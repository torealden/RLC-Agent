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65647BAC-995E-4F41-A7DF-18B554B13BAA}" xr6:coauthVersionLast="47" xr6:coauthVersionMax="47" xr10:uidLastSave="{00000000-0000-0000-0000-000000000000}"/>
  <bookViews>
    <workbookView xWindow="1695" yWindow="2745" windowWidth="20850" windowHeight="12465" xr2:uid="{26413349-F293-41C1-B1C0-270A6A3D9CC8}"/>
  </bookViews>
  <sheets>
    <sheet name="Argentina Soy Complex" sheetId="1" r:id="rId1"/>
    <sheet name="Inedible Tallow Complex" sheetId="2" r:id="rId2"/>
    <sheet name="Poultry Fat Complex" sheetId="3" r:id="rId3"/>
    <sheet name="Choice White Grease Complex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'Argentina Soy Complex'!$A$2:$BG$40</definedName>
    <definedName name="Z_11027877_8754_42DF_AEF4_DF91AFC7E3D7_.wvu.Cols" localSheetId="0" hidden="1">'Argentina Soy Complex'!$B:$AP</definedName>
    <definedName name="Z_11027877_8754_42DF_AEF4_DF91AFC7E3D7_.wvu.PrintArea" localSheetId="0" hidden="1">'Argentina Soy Complex'!$A$1:$BD$40</definedName>
    <definedName name="Z_2C7BB91D_B6C7_4C7E_824A_AD371B7FEFAE_.wvu.Cols" localSheetId="0" hidden="1">'Argentina Soy Complex'!$B:$AP</definedName>
    <definedName name="Z_2C7BB91D_B6C7_4C7E_824A_AD371B7FEFAE_.wvu.PrintArea" localSheetId="0" hidden="1">'Argentina Soy Complex'!$A$1:$BD$40</definedName>
    <definedName name="Z_3389ABBF_4A47_4E3C_9E30_013DEA936013_.wvu.PrintArea" localSheetId="0" hidden="1">'Argentina Soy Complex'!$A$1:$BD$40</definedName>
    <definedName name="Z_63FD8648_A18A_466A_B152_26B7B5EB5F8A_.wvu.Cols" localSheetId="0" hidden="1">'Argentina Soy Complex'!$B:$AP</definedName>
    <definedName name="Z_63FD8648_A18A_466A_B152_26B7B5EB5F8A_.wvu.PrintArea" localSheetId="0" hidden="1">'Argentina Soy Complex'!$A$1:$BD$40</definedName>
    <definedName name="Z_896AD9BE_343E_4241_9567_E97EA3C7D73E_.wvu.Cols" localSheetId="0" hidden="1">'Argentina Soy Complex'!$B:$AP</definedName>
    <definedName name="Z_896AD9BE_343E_4241_9567_E97EA3C7D73E_.wvu.PrintArea" localSheetId="0" hidden="1">'Argentina Soy Complex'!$A$1:$BD$40</definedName>
    <definedName name="Z_8F904101_0CD0_4EB8_918C_6C9451EECAE3_.wvu.Cols" localSheetId="0" hidden="1">'Argentina Soy Complex'!$B:$AP</definedName>
    <definedName name="Z_8F904101_0CD0_4EB8_918C_6C9451EECAE3_.wvu.PrintArea" localSheetId="0" hidden="1">'Argentina Soy Complex'!$A$1:$BD$40</definedName>
    <definedName name="Z_A9F82761_E541_4BC7_AF39_E754A8EE4364_.wvu.Cols" localSheetId="0" hidden="1">'Argentina Soy Complex'!$B:$AP</definedName>
    <definedName name="Z_A9F82761_E541_4BC7_AF39_E754A8EE4364_.wvu.PrintArea" localSheetId="0" hidden="1">'Argentina Soy Complex'!$A$1:$BD$40</definedName>
    <definedName name="Z_BE7D4983_2668_442B_8E12_AE767275E8F1_.wvu.PrintArea" localSheetId="0" hidden="1">'Argentina Soy Complex'!$A$1:$BD$40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7" i="1" l="1"/>
  <c r="BJ6" i="1"/>
  <c r="BI11" i="1"/>
  <c r="BI7" i="1"/>
  <c r="BI6" i="1"/>
  <c r="BH8" i="1"/>
  <c r="BI12" i="1"/>
  <c r="BJ12" i="1"/>
  <c r="BG88" i="1"/>
  <c r="BJ88" i="1"/>
  <c r="BG12" i="1"/>
  <c r="BI88" i="1"/>
  <c r="S146" i="4"/>
  <c r="R146" i="4"/>
  <c r="Q146" i="4"/>
  <c r="P146" i="4"/>
  <c r="O146" i="4"/>
  <c r="N146" i="4"/>
  <c r="M146" i="4"/>
  <c r="L146" i="4"/>
  <c r="K146" i="4"/>
  <c r="J146" i="4"/>
  <c r="I146" i="4"/>
  <c r="I33" i="4" s="1"/>
  <c r="I81" i="4" s="1"/>
  <c r="H146" i="4"/>
  <c r="H33" i="4" s="1"/>
  <c r="H81" i="4" s="1"/>
  <c r="G146" i="4"/>
  <c r="G33" i="4" s="1"/>
  <c r="G81" i="4" s="1"/>
  <c r="F146" i="4"/>
  <c r="F33" i="4" s="1"/>
  <c r="F81" i="4" s="1"/>
  <c r="E146" i="4"/>
  <c r="E33" i="4" s="1"/>
  <c r="E81" i="4" s="1"/>
  <c r="D146" i="4"/>
  <c r="D33" i="4" s="1"/>
  <c r="D81" i="4" s="1"/>
  <c r="C146" i="4"/>
  <c r="C33" i="4" s="1"/>
  <c r="C81" i="4" s="1"/>
  <c r="B146" i="4"/>
  <c r="B33" i="4" s="1"/>
  <c r="B81" i="4" s="1"/>
  <c r="S145" i="4"/>
  <c r="R145" i="4"/>
  <c r="Q145" i="4"/>
  <c r="P145" i="4"/>
  <c r="O145" i="4"/>
  <c r="N145" i="4"/>
  <c r="M145" i="4"/>
  <c r="L145" i="4"/>
  <c r="K145" i="4"/>
  <c r="J145" i="4"/>
  <c r="I145" i="4"/>
  <c r="I32" i="4" s="1"/>
  <c r="I80" i="4" s="1"/>
  <c r="H145" i="4"/>
  <c r="H32" i="4" s="1"/>
  <c r="H80" i="4" s="1"/>
  <c r="G145" i="4"/>
  <c r="G32" i="4" s="1"/>
  <c r="G80" i="4" s="1"/>
  <c r="F145" i="4"/>
  <c r="F32" i="4" s="1"/>
  <c r="F80" i="4" s="1"/>
  <c r="E145" i="4"/>
  <c r="E32" i="4" s="1"/>
  <c r="E80" i="4" s="1"/>
  <c r="D145" i="4"/>
  <c r="D32" i="4" s="1"/>
  <c r="D80" i="4" s="1"/>
  <c r="C145" i="4"/>
  <c r="C32" i="4" s="1"/>
  <c r="C80" i="4" s="1"/>
  <c r="B145" i="4"/>
  <c r="B32" i="4" s="1"/>
  <c r="B80" i="4" s="1"/>
  <c r="S144" i="4"/>
  <c r="R144" i="4"/>
  <c r="Q144" i="4"/>
  <c r="P144" i="4"/>
  <c r="O144" i="4"/>
  <c r="N144" i="4"/>
  <c r="M144" i="4"/>
  <c r="L144" i="4"/>
  <c r="K144" i="4"/>
  <c r="J144" i="4"/>
  <c r="I144" i="4"/>
  <c r="I31" i="4" s="1"/>
  <c r="I79" i="4" s="1"/>
  <c r="H144" i="4"/>
  <c r="H31" i="4" s="1"/>
  <c r="G144" i="4"/>
  <c r="F144" i="4"/>
  <c r="E144" i="4"/>
  <c r="E31" i="4" s="1"/>
  <c r="E79" i="4" s="1"/>
  <c r="D144" i="4"/>
  <c r="C144" i="4"/>
  <c r="C31" i="4" s="1"/>
  <c r="C79" i="4" s="1"/>
  <c r="B144" i="4"/>
  <c r="S143" i="4"/>
  <c r="R143" i="4"/>
  <c r="Q143" i="4"/>
  <c r="P143" i="4"/>
  <c r="O143" i="4"/>
  <c r="N143" i="4"/>
  <c r="M143" i="4"/>
  <c r="L143" i="4"/>
  <c r="K143" i="4"/>
  <c r="J143" i="4"/>
  <c r="I143" i="4"/>
  <c r="I30" i="4" s="1"/>
  <c r="I78" i="4" s="1"/>
  <c r="H143" i="4"/>
  <c r="H30" i="4" s="1"/>
  <c r="G143" i="4"/>
  <c r="G30" i="4" s="1"/>
  <c r="G78" i="4" s="1"/>
  <c r="F143" i="4"/>
  <c r="F30" i="4" s="1"/>
  <c r="F78" i="4" s="1"/>
  <c r="E143" i="4"/>
  <c r="E30" i="4" s="1"/>
  <c r="E78" i="4" s="1"/>
  <c r="D143" i="4"/>
  <c r="D30" i="4" s="1"/>
  <c r="D78" i="4" s="1"/>
  <c r="C143" i="4"/>
  <c r="B143" i="4"/>
  <c r="S142" i="4"/>
  <c r="R142" i="4"/>
  <c r="Q142" i="4"/>
  <c r="P142" i="4"/>
  <c r="O142" i="4"/>
  <c r="N142" i="4"/>
  <c r="M142" i="4"/>
  <c r="L142" i="4"/>
  <c r="K142" i="4"/>
  <c r="J142" i="4"/>
  <c r="I142" i="4"/>
  <c r="I29" i="4" s="1"/>
  <c r="I77" i="4" s="1"/>
  <c r="H142" i="4"/>
  <c r="H29" i="4" s="1"/>
  <c r="H77" i="4" s="1"/>
  <c r="G142" i="4"/>
  <c r="G29" i="4" s="1"/>
  <c r="G77" i="4" s="1"/>
  <c r="F142" i="4"/>
  <c r="E142" i="4"/>
  <c r="E29" i="4" s="1"/>
  <c r="E77" i="4" s="1"/>
  <c r="D142" i="4"/>
  <c r="D29" i="4" s="1"/>
  <c r="C142" i="4"/>
  <c r="C29" i="4" s="1"/>
  <c r="C77" i="4" s="1"/>
  <c r="B142" i="4"/>
  <c r="B29" i="4" s="1"/>
  <c r="B77" i="4" s="1"/>
  <c r="S141" i="4"/>
  <c r="R141" i="4"/>
  <c r="Q141" i="4"/>
  <c r="P141" i="4"/>
  <c r="O141" i="4"/>
  <c r="N141" i="4"/>
  <c r="M141" i="4"/>
  <c r="L141" i="4"/>
  <c r="K141" i="4"/>
  <c r="J141" i="4"/>
  <c r="I141" i="4"/>
  <c r="I28" i="4" s="1"/>
  <c r="I76" i="4" s="1"/>
  <c r="H141" i="4"/>
  <c r="H28" i="4" s="1"/>
  <c r="H76" i="4" s="1"/>
  <c r="G141" i="4"/>
  <c r="G28" i="4" s="1"/>
  <c r="G76" i="4" s="1"/>
  <c r="F141" i="4"/>
  <c r="F28" i="4" s="1"/>
  <c r="F76" i="4" s="1"/>
  <c r="E141" i="4"/>
  <c r="E28" i="4" s="1"/>
  <c r="E76" i="4" s="1"/>
  <c r="D141" i="4"/>
  <c r="D28" i="4" s="1"/>
  <c r="D76" i="4" s="1"/>
  <c r="C141" i="4"/>
  <c r="C28" i="4" s="1"/>
  <c r="C76" i="4" s="1"/>
  <c r="B141" i="4"/>
  <c r="S140" i="4"/>
  <c r="R140" i="4"/>
  <c r="Q140" i="4"/>
  <c r="P140" i="4"/>
  <c r="O140" i="4"/>
  <c r="N140" i="4"/>
  <c r="M140" i="4"/>
  <c r="L140" i="4"/>
  <c r="K140" i="4"/>
  <c r="J140" i="4"/>
  <c r="I140" i="4"/>
  <c r="I27" i="4" s="1"/>
  <c r="I75" i="4" s="1"/>
  <c r="H140" i="4"/>
  <c r="H27" i="4" s="1"/>
  <c r="H75" i="4" s="1"/>
  <c r="G140" i="4"/>
  <c r="G27" i="4" s="1"/>
  <c r="G75" i="4" s="1"/>
  <c r="F140" i="4"/>
  <c r="F27" i="4" s="1"/>
  <c r="F75" i="4" s="1"/>
  <c r="E140" i="4"/>
  <c r="E27" i="4" s="1"/>
  <c r="E75" i="4" s="1"/>
  <c r="D140" i="4"/>
  <c r="D27" i="4" s="1"/>
  <c r="D75" i="4" s="1"/>
  <c r="C140" i="4"/>
  <c r="C27" i="4" s="1"/>
  <c r="C75" i="4" s="1"/>
  <c r="B140" i="4"/>
  <c r="B27" i="4" s="1"/>
  <c r="B75" i="4" s="1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D26" i="4" s="1"/>
  <c r="D74" i="4" s="1"/>
  <c r="C139" i="4"/>
  <c r="C26" i="4" s="1"/>
  <c r="C74" i="4" s="1"/>
  <c r="B139" i="4"/>
  <c r="B26" i="4" s="1"/>
  <c r="B74" i="4" s="1"/>
  <c r="S138" i="4"/>
  <c r="R138" i="4"/>
  <c r="Q138" i="4"/>
  <c r="P138" i="4"/>
  <c r="O138" i="4"/>
  <c r="N138" i="4"/>
  <c r="M138" i="4"/>
  <c r="L138" i="4"/>
  <c r="K138" i="4"/>
  <c r="J138" i="4"/>
  <c r="I138" i="4"/>
  <c r="H138" i="4"/>
  <c r="H25" i="4" s="1"/>
  <c r="H73" i="4" s="1"/>
  <c r="G138" i="4"/>
  <c r="G25" i="4" s="1"/>
  <c r="G73" i="4" s="1"/>
  <c r="F138" i="4"/>
  <c r="F25" i="4" s="1"/>
  <c r="F73" i="4" s="1"/>
  <c r="E138" i="4"/>
  <c r="D138" i="4"/>
  <c r="C138" i="4"/>
  <c r="C25" i="4" s="1"/>
  <c r="C73" i="4" s="1"/>
  <c r="B138" i="4"/>
  <c r="B25" i="4" s="1"/>
  <c r="B73" i="4" s="1"/>
  <c r="S137" i="4"/>
  <c r="R137" i="4"/>
  <c r="Q137" i="4"/>
  <c r="P137" i="4"/>
  <c r="O137" i="4"/>
  <c r="N137" i="4"/>
  <c r="M137" i="4"/>
  <c r="L137" i="4"/>
  <c r="K137" i="4"/>
  <c r="J137" i="4"/>
  <c r="J24" i="4" s="1"/>
  <c r="I137" i="4"/>
  <c r="I24" i="4" s="1"/>
  <c r="I72" i="4" s="1"/>
  <c r="H137" i="4"/>
  <c r="G137" i="4"/>
  <c r="G24" i="4" s="1"/>
  <c r="G72" i="4" s="1"/>
  <c r="F137" i="4"/>
  <c r="F24" i="4" s="1"/>
  <c r="F72" i="4" s="1"/>
  <c r="E137" i="4"/>
  <c r="E24" i="4" s="1"/>
  <c r="E72" i="4" s="1"/>
  <c r="D137" i="4"/>
  <c r="D24" i="4" s="1"/>
  <c r="D72" i="4" s="1"/>
  <c r="C137" i="4"/>
  <c r="C24" i="4" s="1"/>
  <c r="B137" i="4"/>
  <c r="B24" i="4" s="1"/>
  <c r="B72" i="4" s="1"/>
  <c r="S136" i="4"/>
  <c r="R136" i="4"/>
  <c r="Q136" i="4"/>
  <c r="P136" i="4"/>
  <c r="O136" i="4"/>
  <c r="N136" i="4"/>
  <c r="M136" i="4"/>
  <c r="L136" i="4"/>
  <c r="K136" i="4"/>
  <c r="J136" i="4"/>
  <c r="J23" i="4" s="1"/>
  <c r="I136" i="4"/>
  <c r="I23" i="4" s="1"/>
  <c r="I71" i="4" s="1"/>
  <c r="H136" i="4"/>
  <c r="G136" i="4"/>
  <c r="F136" i="4"/>
  <c r="E136" i="4"/>
  <c r="E23" i="4" s="1"/>
  <c r="E71" i="4" s="1"/>
  <c r="D136" i="4"/>
  <c r="C136" i="4"/>
  <c r="B136" i="4"/>
  <c r="B23" i="4" s="1"/>
  <c r="B71" i="4" s="1"/>
  <c r="S135" i="4"/>
  <c r="R135" i="4"/>
  <c r="Q135" i="4"/>
  <c r="P135" i="4"/>
  <c r="O135" i="4"/>
  <c r="N135" i="4"/>
  <c r="M135" i="4"/>
  <c r="L135" i="4"/>
  <c r="K135" i="4"/>
  <c r="J135" i="4"/>
  <c r="J22" i="4" s="1"/>
  <c r="I135" i="4"/>
  <c r="I22" i="4" s="1"/>
  <c r="H135" i="4"/>
  <c r="H22" i="4" s="1"/>
  <c r="G135" i="4"/>
  <c r="G22" i="4" s="1"/>
  <c r="G70" i="4" s="1"/>
  <c r="G82" i="4" s="1"/>
  <c r="F135" i="4"/>
  <c r="F22" i="4" s="1"/>
  <c r="E135" i="4"/>
  <c r="D135" i="4"/>
  <c r="D22" i="4" s="1"/>
  <c r="C135" i="4"/>
  <c r="C22" i="4" s="1"/>
  <c r="C70" i="4" s="1"/>
  <c r="C82" i="4" s="1"/>
  <c r="B135" i="4"/>
  <c r="B22" i="4" s="1"/>
  <c r="J121" i="4"/>
  <c r="J120" i="4"/>
  <c r="J119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I115" i="4"/>
  <c r="H115" i="4"/>
  <c r="G115" i="4"/>
  <c r="F115" i="4"/>
  <c r="E115" i="4"/>
  <c r="D115" i="4"/>
  <c r="C115" i="4"/>
  <c r="B115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H79" i="4"/>
  <c r="H78" i="4"/>
  <c r="D77" i="4"/>
  <c r="C72" i="4"/>
  <c r="I69" i="4"/>
  <c r="H69" i="4"/>
  <c r="G69" i="4"/>
  <c r="F69" i="4"/>
  <c r="E69" i="4"/>
  <c r="D69" i="4"/>
  <c r="C69" i="4"/>
  <c r="B69" i="4"/>
  <c r="I68" i="4"/>
  <c r="H68" i="4"/>
  <c r="G68" i="4"/>
  <c r="G67" i="4" s="1"/>
  <c r="F68" i="4"/>
  <c r="E68" i="4"/>
  <c r="D68" i="4"/>
  <c r="C68" i="4"/>
  <c r="C67" i="4" s="1"/>
  <c r="B68" i="4"/>
  <c r="I67" i="4"/>
  <c r="H67" i="4"/>
  <c r="K66" i="4"/>
  <c r="K55" i="4" s="1"/>
  <c r="J66" i="4"/>
  <c r="I66" i="4"/>
  <c r="H66" i="4"/>
  <c r="G66" i="4"/>
  <c r="F66" i="4"/>
  <c r="F13" i="4" s="1"/>
  <c r="E66" i="4"/>
  <c r="D66" i="4"/>
  <c r="C66" i="4"/>
  <c r="C13" i="4" s="1"/>
  <c r="B66" i="4"/>
  <c r="B13" i="4" s="1"/>
  <c r="J62" i="4"/>
  <c r="K58" i="4"/>
  <c r="J58" i="4"/>
  <c r="L58" i="4" s="1"/>
  <c r="K57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S50" i="4"/>
  <c r="R50" i="4"/>
  <c r="Q50" i="4"/>
  <c r="P50" i="4"/>
  <c r="O50" i="4"/>
  <c r="N50" i="4"/>
  <c r="M50" i="4"/>
  <c r="L50" i="4"/>
  <c r="K50" i="4"/>
  <c r="J50" i="4"/>
  <c r="I50" i="4"/>
  <c r="H50" i="4"/>
  <c r="H5" i="4" s="1"/>
  <c r="G50" i="4"/>
  <c r="G5" i="4" s="1"/>
  <c r="F50" i="4"/>
  <c r="F5" i="4" s="1"/>
  <c r="E50" i="4"/>
  <c r="E5" i="4" s="1"/>
  <c r="D50" i="4"/>
  <c r="D5" i="4" s="1"/>
  <c r="C50" i="4"/>
  <c r="B50" i="4"/>
  <c r="K40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G31" i="4"/>
  <c r="G79" i="4" s="1"/>
  <c r="F31" i="4"/>
  <c r="F79" i="4" s="1"/>
  <c r="D31" i="4"/>
  <c r="D79" i="4" s="1"/>
  <c r="C30" i="4"/>
  <c r="C78" i="4" s="1"/>
  <c r="B30" i="4"/>
  <c r="B78" i="4" s="1"/>
  <c r="F29" i="4"/>
  <c r="F77" i="4" s="1"/>
  <c r="B28" i="4"/>
  <c r="B76" i="4" s="1"/>
  <c r="I26" i="4"/>
  <c r="I74" i="4" s="1"/>
  <c r="H26" i="4"/>
  <c r="H74" i="4" s="1"/>
  <c r="G26" i="4"/>
  <c r="G74" i="4" s="1"/>
  <c r="F26" i="4"/>
  <c r="F74" i="4" s="1"/>
  <c r="E26" i="4"/>
  <c r="E74" i="4" s="1"/>
  <c r="I25" i="4"/>
  <c r="I73" i="4" s="1"/>
  <c r="E25" i="4"/>
  <c r="E73" i="4" s="1"/>
  <c r="D25" i="4"/>
  <c r="D73" i="4" s="1"/>
  <c r="H24" i="4"/>
  <c r="H72" i="4" s="1"/>
  <c r="D23" i="4"/>
  <c r="D71" i="4" s="1"/>
  <c r="C23" i="4"/>
  <c r="C71" i="4" s="1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T13" i="4"/>
  <c r="S13" i="4"/>
  <c r="S66" i="4" s="1"/>
  <c r="R13" i="4"/>
  <c r="R66" i="4" s="1"/>
  <c r="Q13" i="4"/>
  <c r="Q66" i="4" s="1"/>
  <c r="P13" i="4"/>
  <c r="P66" i="4" s="1"/>
  <c r="O13" i="4"/>
  <c r="O66" i="4" s="1"/>
  <c r="N13" i="4"/>
  <c r="N66" i="4" s="1"/>
  <c r="M13" i="4"/>
  <c r="M66" i="4" s="1"/>
  <c r="L13" i="4"/>
  <c r="L66" i="4" s="1"/>
  <c r="K13" i="4"/>
  <c r="J13" i="4"/>
  <c r="I13" i="4"/>
  <c r="H13" i="4"/>
  <c r="G13" i="4"/>
  <c r="E13" i="4"/>
  <c r="I8" i="4"/>
  <c r="H8" i="4"/>
  <c r="G8" i="4"/>
  <c r="F8" i="4"/>
  <c r="E8" i="4"/>
  <c r="D8" i="4"/>
  <c r="C8" i="4"/>
  <c r="I5" i="4"/>
  <c r="C5" i="4"/>
  <c r="B5" i="4"/>
  <c r="J120" i="3"/>
  <c r="J119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T115" i="3"/>
  <c r="S115" i="3"/>
  <c r="R115" i="3"/>
  <c r="Q115" i="3"/>
  <c r="P115" i="3"/>
  <c r="O115" i="3"/>
  <c r="N115" i="3"/>
  <c r="M115" i="3"/>
  <c r="L115" i="3"/>
  <c r="K115" i="3"/>
  <c r="J115" i="3"/>
  <c r="B115" i="3"/>
  <c r="K113" i="3"/>
  <c r="K112" i="3"/>
  <c r="K110" i="3"/>
  <c r="J110" i="3"/>
  <c r="K107" i="3"/>
  <c r="K105" i="3"/>
  <c r="L104" i="3"/>
  <c r="K104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I83" i="3"/>
  <c r="H83" i="3"/>
  <c r="G83" i="3"/>
  <c r="F83" i="3"/>
  <c r="E83" i="3"/>
  <c r="D83" i="3"/>
  <c r="C83" i="3"/>
  <c r="B83" i="3"/>
  <c r="E82" i="3"/>
  <c r="D82" i="3"/>
  <c r="C82" i="3"/>
  <c r="B82" i="3"/>
  <c r="I81" i="3"/>
  <c r="G81" i="3"/>
  <c r="F81" i="3"/>
  <c r="D81" i="3"/>
  <c r="C81" i="3"/>
  <c r="I80" i="3"/>
  <c r="H80" i="3"/>
  <c r="G80" i="3"/>
  <c r="F80" i="3"/>
  <c r="E80" i="3"/>
  <c r="F79" i="3"/>
  <c r="E79" i="3"/>
  <c r="D79" i="3"/>
  <c r="C79" i="3"/>
  <c r="B79" i="3"/>
  <c r="I78" i="3"/>
  <c r="H78" i="3"/>
  <c r="C78" i="3"/>
  <c r="I76" i="3"/>
  <c r="H76" i="3"/>
  <c r="I75" i="3"/>
  <c r="H75" i="3"/>
  <c r="G75" i="3"/>
  <c r="F75" i="3"/>
  <c r="E75" i="3"/>
  <c r="D75" i="3"/>
  <c r="C75" i="3"/>
  <c r="B75" i="3"/>
  <c r="C74" i="3"/>
  <c r="B74" i="3"/>
  <c r="D72" i="3"/>
  <c r="E71" i="3"/>
  <c r="D71" i="3"/>
  <c r="C71" i="3"/>
  <c r="B71" i="3"/>
  <c r="I70" i="3"/>
  <c r="I82" i="3" s="1"/>
  <c r="E70" i="3"/>
  <c r="D70" i="3"/>
  <c r="C70" i="3"/>
  <c r="B70" i="3"/>
  <c r="I69" i="3"/>
  <c r="H69" i="3"/>
  <c r="G69" i="3"/>
  <c r="F69" i="3"/>
  <c r="E69" i="3"/>
  <c r="D69" i="3"/>
  <c r="C69" i="3"/>
  <c r="B69" i="3"/>
  <c r="I68" i="3"/>
  <c r="H68" i="3"/>
  <c r="G68" i="3"/>
  <c r="F68" i="3"/>
  <c r="E68" i="3"/>
  <c r="E67" i="3" s="1"/>
  <c r="D68" i="3"/>
  <c r="C68" i="3"/>
  <c r="C67" i="3" s="1"/>
  <c r="B68" i="3"/>
  <c r="I67" i="3"/>
  <c r="H67" i="3"/>
  <c r="G67" i="3"/>
  <c r="F67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J61" i="3" s="1"/>
  <c r="D66" i="3"/>
  <c r="C66" i="3"/>
  <c r="B66" i="3"/>
  <c r="K64" i="3"/>
  <c r="J64" i="3"/>
  <c r="K61" i="3"/>
  <c r="Q61" i="3" s="1"/>
  <c r="K60" i="3"/>
  <c r="J60" i="3"/>
  <c r="K59" i="3"/>
  <c r="O55" i="3"/>
  <c r="L55" i="3"/>
  <c r="K55" i="3"/>
  <c r="L54" i="3"/>
  <c r="L65" i="3" s="1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K42" i="3" s="1"/>
  <c r="Q42" i="3" s="1"/>
  <c r="E50" i="3"/>
  <c r="D50" i="3"/>
  <c r="C50" i="3"/>
  <c r="B50" i="3"/>
  <c r="K48" i="3"/>
  <c r="Q48" i="3" s="1"/>
  <c r="J47" i="3"/>
  <c r="J42" i="3"/>
  <c r="K38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I34" i="3"/>
  <c r="I4" i="3" s="1"/>
  <c r="I6" i="3" s="1"/>
  <c r="I14" i="3" s="1"/>
  <c r="H34" i="3"/>
  <c r="H4" i="3" s="1"/>
  <c r="H6" i="3" s="1"/>
  <c r="H14" i="3" s="1"/>
  <c r="F34" i="3"/>
  <c r="F4" i="3" s="1"/>
  <c r="F6" i="3" s="1"/>
  <c r="F14" i="3" s="1"/>
  <c r="I33" i="3"/>
  <c r="H33" i="3"/>
  <c r="H81" i="3" s="1"/>
  <c r="G33" i="3"/>
  <c r="F33" i="3"/>
  <c r="E33" i="3"/>
  <c r="E81" i="3" s="1"/>
  <c r="D33" i="3"/>
  <c r="C33" i="3"/>
  <c r="B33" i="3"/>
  <c r="B81" i="3" s="1"/>
  <c r="K32" i="3"/>
  <c r="I32" i="3"/>
  <c r="H32" i="3"/>
  <c r="G32" i="3"/>
  <c r="F32" i="3"/>
  <c r="E32" i="3"/>
  <c r="D32" i="3"/>
  <c r="D80" i="3" s="1"/>
  <c r="C32" i="3"/>
  <c r="C80" i="3" s="1"/>
  <c r="B32" i="3"/>
  <c r="B80" i="3" s="1"/>
  <c r="I31" i="3"/>
  <c r="I79" i="3" s="1"/>
  <c r="H31" i="3"/>
  <c r="H79" i="3" s="1"/>
  <c r="G31" i="3"/>
  <c r="G79" i="3" s="1"/>
  <c r="F31" i="3"/>
  <c r="E31" i="3"/>
  <c r="D31" i="3"/>
  <c r="C31" i="3"/>
  <c r="B31" i="3"/>
  <c r="I30" i="3"/>
  <c r="H30" i="3"/>
  <c r="G30" i="3"/>
  <c r="G78" i="3" s="1"/>
  <c r="F30" i="3"/>
  <c r="F78" i="3" s="1"/>
  <c r="E30" i="3"/>
  <c r="E78" i="3" s="1"/>
  <c r="D30" i="3"/>
  <c r="D78" i="3" s="1"/>
  <c r="C30" i="3"/>
  <c r="B30" i="3"/>
  <c r="B78" i="3" s="1"/>
  <c r="J29" i="3"/>
  <c r="I29" i="3"/>
  <c r="I77" i="3" s="1"/>
  <c r="H29" i="3"/>
  <c r="H77" i="3" s="1"/>
  <c r="G29" i="3"/>
  <c r="G77" i="3" s="1"/>
  <c r="F29" i="3"/>
  <c r="F77" i="3" s="1"/>
  <c r="E29" i="3"/>
  <c r="E77" i="3" s="1"/>
  <c r="D29" i="3"/>
  <c r="D77" i="3" s="1"/>
  <c r="C29" i="3"/>
  <c r="C77" i="3" s="1"/>
  <c r="B29" i="3"/>
  <c r="B77" i="3" s="1"/>
  <c r="I28" i="3"/>
  <c r="H28" i="3"/>
  <c r="G28" i="3"/>
  <c r="G76" i="3" s="1"/>
  <c r="F28" i="3"/>
  <c r="F76" i="3" s="1"/>
  <c r="E28" i="3"/>
  <c r="E76" i="3" s="1"/>
  <c r="D28" i="3"/>
  <c r="D76" i="3" s="1"/>
  <c r="C28" i="3"/>
  <c r="C76" i="3" s="1"/>
  <c r="B28" i="3"/>
  <c r="B76" i="3" s="1"/>
  <c r="I27" i="3"/>
  <c r="H27" i="3"/>
  <c r="G27" i="3"/>
  <c r="F27" i="3"/>
  <c r="E27" i="3"/>
  <c r="D27" i="3"/>
  <c r="C27" i="3"/>
  <c r="B27" i="3"/>
  <c r="K26" i="3"/>
  <c r="I26" i="3"/>
  <c r="I74" i="3" s="1"/>
  <c r="H26" i="3"/>
  <c r="H74" i="3" s="1"/>
  <c r="G26" i="3"/>
  <c r="G74" i="3" s="1"/>
  <c r="F26" i="3"/>
  <c r="F74" i="3" s="1"/>
  <c r="E26" i="3"/>
  <c r="E74" i="3" s="1"/>
  <c r="D26" i="3"/>
  <c r="D74" i="3" s="1"/>
  <c r="C26" i="3"/>
  <c r="B26" i="3"/>
  <c r="I25" i="3"/>
  <c r="I73" i="3" s="1"/>
  <c r="H25" i="3"/>
  <c r="H73" i="3" s="1"/>
  <c r="G25" i="3"/>
  <c r="G73" i="3" s="1"/>
  <c r="F25" i="3"/>
  <c r="F73" i="3" s="1"/>
  <c r="E25" i="3"/>
  <c r="E73" i="3" s="1"/>
  <c r="D25" i="3"/>
  <c r="D73" i="3" s="1"/>
  <c r="C25" i="3"/>
  <c r="C73" i="3" s="1"/>
  <c r="B25" i="3"/>
  <c r="I24" i="3"/>
  <c r="I72" i="3" s="1"/>
  <c r="H24" i="3"/>
  <c r="H72" i="3" s="1"/>
  <c r="G24" i="3"/>
  <c r="G72" i="3" s="1"/>
  <c r="F24" i="3"/>
  <c r="F72" i="3" s="1"/>
  <c r="E24" i="3"/>
  <c r="E72" i="3" s="1"/>
  <c r="D24" i="3"/>
  <c r="C24" i="3"/>
  <c r="C72" i="3" s="1"/>
  <c r="B24" i="3"/>
  <c r="B72" i="3" s="1"/>
  <c r="J23" i="3"/>
  <c r="I23" i="3"/>
  <c r="I71" i="3" s="1"/>
  <c r="H23" i="3"/>
  <c r="H71" i="3" s="1"/>
  <c r="G23" i="3"/>
  <c r="G71" i="3" s="1"/>
  <c r="F23" i="3"/>
  <c r="F71" i="3" s="1"/>
  <c r="E23" i="3"/>
  <c r="D23" i="3"/>
  <c r="C23" i="3"/>
  <c r="B23" i="3"/>
  <c r="J22" i="3"/>
  <c r="I22" i="3"/>
  <c r="H22" i="3"/>
  <c r="H70" i="3" s="1"/>
  <c r="H82" i="3" s="1"/>
  <c r="G22" i="3"/>
  <c r="G70" i="3" s="1"/>
  <c r="G82" i="3" s="1"/>
  <c r="F22" i="3"/>
  <c r="F70" i="3" s="1"/>
  <c r="F82" i="3" s="1"/>
  <c r="E22" i="3"/>
  <c r="D22" i="3"/>
  <c r="C22" i="3"/>
  <c r="B22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J121" i="2"/>
  <c r="J120" i="2"/>
  <c r="J119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I115" i="2"/>
  <c r="H115" i="2"/>
  <c r="F115" i="2"/>
  <c r="E115" i="2"/>
  <c r="D115" i="2"/>
  <c r="C115" i="2"/>
  <c r="B115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J99" i="2"/>
  <c r="I99" i="2"/>
  <c r="H99" i="2"/>
  <c r="G99" i="2"/>
  <c r="G8" i="2" s="1"/>
  <c r="F99" i="2"/>
  <c r="F8" i="2" s="1"/>
  <c r="E99" i="2"/>
  <c r="D99" i="2"/>
  <c r="C99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D83" i="2"/>
  <c r="I82" i="2"/>
  <c r="H82" i="2"/>
  <c r="C82" i="2"/>
  <c r="F81" i="2"/>
  <c r="F80" i="2"/>
  <c r="E80" i="2"/>
  <c r="I79" i="2"/>
  <c r="H79" i="2"/>
  <c r="G79" i="2"/>
  <c r="D79" i="2"/>
  <c r="C79" i="2"/>
  <c r="I78" i="2"/>
  <c r="H78" i="2"/>
  <c r="G78" i="2"/>
  <c r="F78" i="2"/>
  <c r="F77" i="2"/>
  <c r="D77" i="2"/>
  <c r="C77" i="2"/>
  <c r="B77" i="2"/>
  <c r="I76" i="2"/>
  <c r="H76" i="2"/>
  <c r="G76" i="2"/>
  <c r="F76" i="2"/>
  <c r="B75" i="2"/>
  <c r="I74" i="2"/>
  <c r="H74" i="2"/>
  <c r="C74" i="2"/>
  <c r="I73" i="2"/>
  <c r="H73" i="2"/>
  <c r="G73" i="2"/>
  <c r="F73" i="2"/>
  <c r="E73" i="2"/>
  <c r="B73" i="2"/>
  <c r="E72" i="2"/>
  <c r="D72" i="2"/>
  <c r="C72" i="2"/>
  <c r="B72" i="2"/>
  <c r="I71" i="2"/>
  <c r="C71" i="2"/>
  <c r="B71" i="2"/>
  <c r="E70" i="2"/>
  <c r="E82" i="2" s="1"/>
  <c r="I69" i="2"/>
  <c r="H69" i="2"/>
  <c r="G69" i="2"/>
  <c r="F69" i="2"/>
  <c r="E69" i="2"/>
  <c r="D69" i="2"/>
  <c r="C69" i="2"/>
  <c r="B69" i="2"/>
  <c r="I68" i="2"/>
  <c r="I67" i="2" s="1"/>
  <c r="H68" i="2"/>
  <c r="G68" i="2"/>
  <c r="F68" i="2"/>
  <c r="F67" i="2" s="1"/>
  <c r="E68" i="2"/>
  <c r="D68" i="2"/>
  <c r="C68" i="2"/>
  <c r="C67" i="2" s="1"/>
  <c r="B68" i="2"/>
  <c r="J66" i="2"/>
  <c r="I66" i="2"/>
  <c r="H66" i="2"/>
  <c r="G66" i="2"/>
  <c r="F66" i="2"/>
  <c r="E66" i="2"/>
  <c r="D66" i="2"/>
  <c r="C66" i="2"/>
  <c r="I53" i="2"/>
  <c r="H53" i="2"/>
  <c r="G53" i="2"/>
  <c r="F53" i="2"/>
  <c r="E53" i="2"/>
  <c r="D53" i="2"/>
  <c r="C53" i="2"/>
  <c r="B53" i="2"/>
  <c r="I37" i="2"/>
  <c r="H37" i="2"/>
  <c r="G37" i="2"/>
  <c r="F37" i="2"/>
  <c r="E37" i="2"/>
  <c r="D37" i="2"/>
  <c r="C37" i="2"/>
  <c r="B37" i="2"/>
  <c r="I34" i="2"/>
  <c r="I4" i="2" s="1"/>
  <c r="I33" i="2"/>
  <c r="I81" i="2" s="1"/>
  <c r="H33" i="2"/>
  <c r="H81" i="2" s="1"/>
  <c r="G33" i="2"/>
  <c r="G81" i="2" s="1"/>
  <c r="F33" i="2"/>
  <c r="E33" i="2"/>
  <c r="E81" i="2" s="1"/>
  <c r="D33" i="2"/>
  <c r="D81" i="2" s="1"/>
  <c r="C33" i="2"/>
  <c r="C81" i="2" s="1"/>
  <c r="B33" i="2"/>
  <c r="B81" i="2" s="1"/>
  <c r="I32" i="2"/>
  <c r="I80" i="2" s="1"/>
  <c r="H32" i="2"/>
  <c r="H80" i="2" s="1"/>
  <c r="G32" i="2"/>
  <c r="G80" i="2" s="1"/>
  <c r="F32" i="2"/>
  <c r="E32" i="2"/>
  <c r="D32" i="2"/>
  <c r="D80" i="2" s="1"/>
  <c r="C32" i="2"/>
  <c r="C80" i="2" s="1"/>
  <c r="B32" i="2"/>
  <c r="B80" i="2" s="1"/>
  <c r="I31" i="2"/>
  <c r="H31" i="2"/>
  <c r="G31" i="2"/>
  <c r="F31" i="2"/>
  <c r="F79" i="2" s="1"/>
  <c r="E31" i="2"/>
  <c r="E79" i="2" s="1"/>
  <c r="D31" i="2"/>
  <c r="C31" i="2"/>
  <c r="B31" i="2"/>
  <c r="B79" i="2" s="1"/>
  <c r="I30" i="2"/>
  <c r="H30" i="2"/>
  <c r="G30" i="2"/>
  <c r="F30" i="2"/>
  <c r="E30" i="2"/>
  <c r="E78" i="2" s="1"/>
  <c r="D30" i="2"/>
  <c r="D78" i="2" s="1"/>
  <c r="C30" i="2"/>
  <c r="C78" i="2" s="1"/>
  <c r="B30" i="2"/>
  <c r="B78" i="2" s="1"/>
  <c r="I29" i="2"/>
  <c r="I77" i="2" s="1"/>
  <c r="H29" i="2"/>
  <c r="H77" i="2" s="1"/>
  <c r="G29" i="2"/>
  <c r="G77" i="2" s="1"/>
  <c r="F29" i="2"/>
  <c r="E29" i="2"/>
  <c r="E77" i="2" s="1"/>
  <c r="D29" i="2"/>
  <c r="C29" i="2"/>
  <c r="B29" i="2"/>
  <c r="I28" i="2"/>
  <c r="H28" i="2"/>
  <c r="G28" i="2"/>
  <c r="F28" i="2"/>
  <c r="E28" i="2"/>
  <c r="E76" i="2" s="1"/>
  <c r="D28" i="2"/>
  <c r="D76" i="2" s="1"/>
  <c r="C28" i="2"/>
  <c r="C76" i="2" s="1"/>
  <c r="B28" i="2"/>
  <c r="B76" i="2" s="1"/>
  <c r="I27" i="2"/>
  <c r="I75" i="2" s="1"/>
  <c r="H27" i="2"/>
  <c r="H75" i="2" s="1"/>
  <c r="G27" i="2"/>
  <c r="G75" i="2" s="1"/>
  <c r="F27" i="2"/>
  <c r="F75" i="2" s="1"/>
  <c r="E27" i="2"/>
  <c r="E75" i="2" s="1"/>
  <c r="D27" i="2"/>
  <c r="D75" i="2" s="1"/>
  <c r="C27" i="2"/>
  <c r="C75" i="2" s="1"/>
  <c r="B27" i="2"/>
  <c r="I26" i="2"/>
  <c r="H26" i="2"/>
  <c r="G26" i="2"/>
  <c r="G74" i="2" s="1"/>
  <c r="F26" i="2"/>
  <c r="F74" i="2" s="1"/>
  <c r="E26" i="2"/>
  <c r="E74" i="2" s="1"/>
  <c r="D26" i="2"/>
  <c r="D74" i="2" s="1"/>
  <c r="C26" i="2"/>
  <c r="B26" i="2"/>
  <c r="B74" i="2" s="1"/>
  <c r="I25" i="2"/>
  <c r="H25" i="2"/>
  <c r="G25" i="2"/>
  <c r="F25" i="2"/>
  <c r="E25" i="2"/>
  <c r="D25" i="2"/>
  <c r="D73" i="2" s="1"/>
  <c r="C25" i="2"/>
  <c r="B25" i="2"/>
  <c r="J24" i="2"/>
  <c r="I24" i="2"/>
  <c r="I72" i="2" s="1"/>
  <c r="H24" i="2"/>
  <c r="H72" i="2" s="1"/>
  <c r="G24" i="2"/>
  <c r="G72" i="2" s="1"/>
  <c r="F24" i="2"/>
  <c r="F72" i="2" s="1"/>
  <c r="E24" i="2"/>
  <c r="D24" i="2"/>
  <c r="C24" i="2"/>
  <c r="B24" i="2"/>
  <c r="J23" i="2"/>
  <c r="I23" i="2"/>
  <c r="H23" i="2"/>
  <c r="H71" i="2" s="1"/>
  <c r="G23" i="2"/>
  <c r="G71" i="2" s="1"/>
  <c r="F23" i="2"/>
  <c r="F71" i="2" s="1"/>
  <c r="E23" i="2"/>
  <c r="D23" i="2"/>
  <c r="D71" i="2" s="1"/>
  <c r="C23" i="2"/>
  <c r="B23" i="2"/>
  <c r="J22" i="2"/>
  <c r="I22" i="2"/>
  <c r="I70" i="2" s="1"/>
  <c r="H22" i="2"/>
  <c r="H70" i="2" s="1"/>
  <c r="G22" i="2"/>
  <c r="F22" i="2"/>
  <c r="E22" i="2"/>
  <c r="D22" i="2"/>
  <c r="C22" i="2"/>
  <c r="C70" i="2" s="1"/>
  <c r="B22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J8" i="2"/>
  <c r="I8" i="2"/>
  <c r="H8" i="2"/>
  <c r="E8" i="2"/>
  <c r="D8" i="2"/>
  <c r="C8" i="2"/>
  <c r="B8" i="2"/>
  <c r="R7" i="2"/>
  <c r="Q7" i="2"/>
  <c r="P7" i="2"/>
  <c r="O7" i="2"/>
  <c r="N7" i="2"/>
  <c r="M7" i="2"/>
  <c r="L7" i="2"/>
  <c r="K7" i="2"/>
  <c r="J7" i="2"/>
  <c r="I7" i="2"/>
  <c r="I83" i="2" s="1"/>
  <c r="H7" i="2"/>
  <c r="H83" i="2" s="1"/>
  <c r="G7" i="2"/>
  <c r="G83" i="2" s="1"/>
  <c r="F7" i="2"/>
  <c r="F83" i="2" s="1"/>
  <c r="E7" i="2"/>
  <c r="E83" i="2" s="1"/>
  <c r="D7" i="2"/>
  <c r="C7" i="2"/>
  <c r="C83" i="2" s="1"/>
  <c r="J3" i="2"/>
  <c r="I3" i="2"/>
  <c r="H3" i="2"/>
  <c r="G3" i="2"/>
  <c r="F3" i="2"/>
  <c r="E3" i="2"/>
  <c r="D3" i="2"/>
  <c r="C3" i="2"/>
  <c r="BG493" i="1"/>
  <c r="BF493" i="1"/>
  <c r="BE493" i="1"/>
  <c r="BD493" i="1"/>
  <c r="BC493" i="1"/>
  <c r="BB493" i="1"/>
  <c r="BA493" i="1"/>
  <c r="AZ493" i="1"/>
  <c r="AY493" i="1"/>
  <c r="AX493" i="1"/>
  <c r="BG492" i="1"/>
  <c r="BF492" i="1"/>
  <c r="BE492" i="1"/>
  <c r="BD492" i="1"/>
  <c r="BC492" i="1"/>
  <c r="BB492" i="1"/>
  <c r="BA492" i="1"/>
  <c r="AZ492" i="1"/>
  <c r="AY492" i="1"/>
  <c r="AX492" i="1"/>
  <c r="BG491" i="1"/>
  <c r="BF491" i="1"/>
  <c r="BE491" i="1"/>
  <c r="BD491" i="1"/>
  <c r="BC491" i="1"/>
  <c r="BB491" i="1"/>
  <c r="BA491" i="1"/>
  <c r="AZ491" i="1"/>
  <c r="AY491" i="1"/>
  <c r="AX491" i="1"/>
  <c r="BG490" i="1"/>
  <c r="BF490" i="1"/>
  <c r="BE490" i="1"/>
  <c r="BD490" i="1"/>
  <c r="BC490" i="1"/>
  <c r="BB490" i="1"/>
  <c r="BA490" i="1"/>
  <c r="AZ490" i="1"/>
  <c r="AY490" i="1"/>
  <c r="AX490" i="1"/>
  <c r="BG489" i="1"/>
  <c r="BF489" i="1"/>
  <c r="BE489" i="1"/>
  <c r="BD489" i="1"/>
  <c r="BC489" i="1"/>
  <c r="BB489" i="1"/>
  <c r="BA489" i="1"/>
  <c r="AZ489" i="1"/>
  <c r="AY489" i="1"/>
  <c r="AX489" i="1"/>
  <c r="BG488" i="1"/>
  <c r="BF488" i="1"/>
  <c r="BE488" i="1"/>
  <c r="BD488" i="1"/>
  <c r="BC488" i="1"/>
  <c r="BB488" i="1"/>
  <c r="BA488" i="1"/>
  <c r="AZ488" i="1"/>
  <c r="AY488" i="1"/>
  <c r="AX488" i="1"/>
  <c r="BG487" i="1"/>
  <c r="BF487" i="1"/>
  <c r="BE487" i="1"/>
  <c r="BD487" i="1"/>
  <c r="BC487" i="1"/>
  <c r="BB487" i="1"/>
  <c r="BA487" i="1"/>
  <c r="AZ487" i="1"/>
  <c r="AY487" i="1"/>
  <c r="AX487" i="1"/>
  <c r="BG486" i="1"/>
  <c r="BF486" i="1"/>
  <c r="BE486" i="1"/>
  <c r="BD486" i="1"/>
  <c r="BC486" i="1"/>
  <c r="BB486" i="1"/>
  <c r="BA486" i="1"/>
  <c r="AZ486" i="1"/>
  <c r="AY486" i="1"/>
  <c r="AX486" i="1"/>
  <c r="BG485" i="1"/>
  <c r="BF485" i="1"/>
  <c r="BE485" i="1"/>
  <c r="BD485" i="1"/>
  <c r="BC485" i="1"/>
  <c r="BB485" i="1"/>
  <c r="BA485" i="1"/>
  <c r="AZ485" i="1"/>
  <c r="AY485" i="1"/>
  <c r="BG484" i="1"/>
  <c r="BF484" i="1"/>
  <c r="BE484" i="1"/>
  <c r="BD484" i="1"/>
  <c r="BC484" i="1"/>
  <c r="BB484" i="1"/>
  <c r="BA484" i="1"/>
  <c r="AZ484" i="1"/>
  <c r="AY484" i="1"/>
  <c r="BG483" i="1"/>
  <c r="BF483" i="1"/>
  <c r="BE483" i="1"/>
  <c r="BD483" i="1"/>
  <c r="BC483" i="1"/>
  <c r="BB483" i="1"/>
  <c r="BA483" i="1"/>
  <c r="AZ483" i="1"/>
  <c r="AY483" i="1"/>
  <c r="BG482" i="1"/>
  <c r="BF482" i="1"/>
  <c r="BE482" i="1"/>
  <c r="BD482" i="1"/>
  <c r="BC482" i="1"/>
  <c r="BB482" i="1"/>
  <c r="BA482" i="1"/>
  <c r="AZ482" i="1"/>
  <c r="AY482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BD475" i="1"/>
  <c r="AY475" i="1"/>
  <c r="AX47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BM461" i="1"/>
  <c r="BL461" i="1"/>
  <c r="BK461" i="1"/>
  <c r="BJ461" i="1"/>
  <c r="BJ477" i="1" s="1"/>
  <c r="BI461" i="1"/>
  <c r="BI477" i="1" s="1"/>
  <c r="BH461" i="1"/>
  <c r="BJ508" i="1" s="1"/>
  <c r="BG461" i="1"/>
  <c r="BG477" i="1" s="1"/>
  <c r="BF461" i="1"/>
  <c r="BF477" i="1" s="1"/>
  <c r="BE461" i="1"/>
  <c r="BE477" i="1" s="1"/>
  <c r="BD461" i="1"/>
  <c r="BD477" i="1" s="1"/>
  <c r="BC461" i="1"/>
  <c r="BC477" i="1" s="1"/>
  <c r="BB461" i="1"/>
  <c r="BB477" i="1" s="1"/>
  <c r="BA461" i="1"/>
  <c r="BA477" i="1" s="1"/>
  <c r="AZ461" i="1"/>
  <c r="AZ477" i="1" s="1"/>
  <c r="AY461" i="1"/>
  <c r="AY477" i="1" s="1"/>
  <c r="AX461" i="1"/>
  <c r="AX477" i="1" s="1"/>
  <c r="BM460" i="1"/>
  <c r="BL460" i="1"/>
  <c r="BK460" i="1"/>
  <c r="BJ460" i="1"/>
  <c r="BJ476" i="1" s="1"/>
  <c r="BI460" i="1"/>
  <c r="BI476" i="1" s="1"/>
  <c r="BH460" i="1"/>
  <c r="BG460" i="1"/>
  <c r="BG476" i="1" s="1"/>
  <c r="BF460" i="1"/>
  <c r="BF476" i="1" s="1"/>
  <c r="BE460" i="1"/>
  <c r="BE476" i="1" s="1"/>
  <c r="BD460" i="1"/>
  <c r="BD476" i="1" s="1"/>
  <c r="BC460" i="1"/>
  <c r="BC476" i="1" s="1"/>
  <c r="BB460" i="1"/>
  <c r="BB476" i="1" s="1"/>
  <c r="BA460" i="1"/>
  <c r="BA476" i="1" s="1"/>
  <c r="AZ460" i="1"/>
  <c r="AZ476" i="1" s="1"/>
  <c r="AY460" i="1"/>
  <c r="AY476" i="1" s="1"/>
  <c r="AX460" i="1"/>
  <c r="AX476" i="1" s="1"/>
  <c r="BM459" i="1"/>
  <c r="BL459" i="1"/>
  <c r="BK459" i="1"/>
  <c r="BJ459" i="1"/>
  <c r="BJ475" i="1" s="1"/>
  <c r="BI459" i="1"/>
  <c r="BI475" i="1" s="1"/>
  <c r="BH459" i="1"/>
  <c r="BG459" i="1"/>
  <c r="BG475" i="1" s="1"/>
  <c r="BF459" i="1"/>
  <c r="BF475" i="1" s="1"/>
  <c r="BE459" i="1"/>
  <c r="BE475" i="1" s="1"/>
  <c r="BD459" i="1"/>
  <c r="BC459" i="1"/>
  <c r="BC475" i="1" s="1"/>
  <c r="BB459" i="1"/>
  <c r="BB475" i="1" s="1"/>
  <c r="BA459" i="1"/>
  <c r="BA475" i="1" s="1"/>
  <c r="AZ459" i="1"/>
  <c r="AZ475" i="1" s="1"/>
  <c r="AY459" i="1"/>
  <c r="AX459" i="1"/>
  <c r="BM458" i="1"/>
  <c r="BL458" i="1"/>
  <c r="BK458" i="1"/>
  <c r="BJ458" i="1"/>
  <c r="BJ474" i="1" s="1"/>
  <c r="BI458" i="1"/>
  <c r="BI474" i="1" s="1"/>
  <c r="BH458" i="1"/>
  <c r="BH474" i="1" s="1"/>
  <c r="BG458" i="1"/>
  <c r="BG474" i="1" s="1"/>
  <c r="BF458" i="1"/>
  <c r="BF474" i="1" s="1"/>
  <c r="BE458" i="1"/>
  <c r="BE474" i="1" s="1"/>
  <c r="BD458" i="1"/>
  <c r="BD474" i="1" s="1"/>
  <c r="BC458" i="1"/>
  <c r="BC474" i="1" s="1"/>
  <c r="BB458" i="1"/>
  <c r="BB474" i="1" s="1"/>
  <c r="BA458" i="1"/>
  <c r="BA474" i="1" s="1"/>
  <c r="AZ458" i="1"/>
  <c r="AZ474" i="1" s="1"/>
  <c r="AY458" i="1"/>
  <c r="AY474" i="1" s="1"/>
  <c r="AX458" i="1"/>
  <c r="AX474" i="1" s="1"/>
  <c r="BM457" i="1"/>
  <c r="BL457" i="1"/>
  <c r="BK457" i="1"/>
  <c r="BJ457" i="1"/>
  <c r="BJ473" i="1" s="1"/>
  <c r="BI457" i="1"/>
  <c r="BI473" i="1" s="1"/>
  <c r="BH457" i="1"/>
  <c r="BJ504" i="1" s="1"/>
  <c r="BG457" i="1"/>
  <c r="BG473" i="1" s="1"/>
  <c r="BF457" i="1"/>
  <c r="BF473" i="1" s="1"/>
  <c r="BE457" i="1"/>
  <c r="BE473" i="1" s="1"/>
  <c r="BD457" i="1"/>
  <c r="BD473" i="1" s="1"/>
  <c r="BC457" i="1"/>
  <c r="BC473" i="1" s="1"/>
  <c r="BB457" i="1"/>
  <c r="BB473" i="1" s="1"/>
  <c r="BA457" i="1"/>
  <c r="BA473" i="1" s="1"/>
  <c r="AZ457" i="1"/>
  <c r="AZ473" i="1" s="1"/>
  <c r="AY457" i="1"/>
  <c r="AY473" i="1" s="1"/>
  <c r="AX457" i="1"/>
  <c r="AX473" i="1" s="1"/>
  <c r="BM456" i="1"/>
  <c r="BL456" i="1"/>
  <c r="BK456" i="1"/>
  <c r="BJ456" i="1"/>
  <c r="BJ472" i="1" s="1"/>
  <c r="BI456" i="1"/>
  <c r="BI472" i="1" s="1"/>
  <c r="BH456" i="1"/>
  <c r="BG456" i="1"/>
  <c r="BG472" i="1" s="1"/>
  <c r="BF456" i="1"/>
  <c r="BF472" i="1" s="1"/>
  <c r="BE456" i="1"/>
  <c r="BE472" i="1" s="1"/>
  <c r="BD456" i="1"/>
  <c r="BD472" i="1" s="1"/>
  <c r="BC456" i="1"/>
  <c r="BC472" i="1" s="1"/>
  <c r="BB456" i="1"/>
  <c r="BB472" i="1" s="1"/>
  <c r="BA456" i="1"/>
  <c r="BA472" i="1" s="1"/>
  <c r="AZ456" i="1"/>
  <c r="AZ472" i="1" s="1"/>
  <c r="AY456" i="1"/>
  <c r="AY472" i="1" s="1"/>
  <c r="AX456" i="1"/>
  <c r="AX472" i="1" s="1"/>
  <c r="BM455" i="1"/>
  <c r="BL455" i="1"/>
  <c r="BK455" i="1"/>
  <c r="BJ455" i="1"/>
  <c r="BJ471" i="1" s="1"/>
  <c r="BI455" i="1"/>
  <c r="BI471" i="1" s="1"/>
  <c r="BH455" i="1"/>
  <c r="BH471" i="1" s="1"/>
  <c r="BG455" i="1"/>
  <c r="BG471" i="1" s="1"/>
  <c r="BF455" i="1"/>
  <c r="BF471" i="1" s="1"/>
  <c r="BE455" i="1"/>
  <c r="BE471" i="1" s="1"/>
  <c r="BD455" i="1"/>
  <c r="BD471" i="1" s="1"/>
  <c r="BC455" i="1"/>
  <c r="BC471" i="1" s="1"/>
  <c r="BB455" i="1"/>
  <c r="BA455" i="1"/>
  <c r="AZ455" i="1"/>
  <c r="AZ471" i="1" s="1"/>
  <c r="AY455" i="1"/>
  <c r="AY471" i="1" s="1"/>
  <c r="AX455" i="1"/>
  <c r="AX471" i="1" s="1"/>
  <c r="BM454" i="1"/>
  <c r="BL454" i="1"/>
  <c r="BK454" i="1"/>
  <c r="BJ454" i="1"/>
  <c r="BJ470" i="1" s="1"/>
  <c r="BI454" i="1"/>
  <c r="BI470" i="1" s="1"/>
  <c r="BH454" i="1"/>
  <c r="BH470" i="1" s="1"/>
  <c r="BG454" i="1"/>
  <c r="BG470" i="1" s="1"/>
  <c r="BF454" i="1"/>
  <c r="BF470" i="1" s="1"/>
  <c r="BE454" i="1"/>
  <c r="BE470" i="1" s="1"/>
  <c r="BD454" i="1"/>
  <c r="BD470" i="1" s="1"/>
  <c r="BC454" i="1"/>
  <c r="BC470" i="1" s="1"/>
  <c r="BB454" i="1"/>
  <c r="BB470" i="1" s="1"/>
  <c r="BA454" i="1"/>
  <c r="BA470" i="1" s="1"/>
  <c r="AZ454" i="1"/>
  <c r="AZ470" i="1" s="1"/>
  <c r="AY454" i="1"/>
  <c r="AY470" i="1" s="1"/>
  <c r="AX454" i="1"/>
  <c r="AX470" i="1" s="1"/>
  <c r="BM453" i="1"/>
  <c r="BL453" i="1"/>
  <c r="BK453" i="1"/>
  <c r="BJ453" i="1"/>
  <c r="BJ469" i="1" s="1"/>
  <c r="BI453" i="1"/>
  <c r="BI469" i="1" s="1"/>
  <c r="BH453" i="1"/>
  <c r="BJ500" i="1" s="1"/>
  <c r="BG453" i="1"/>
  <c r="BG469" i="1" s="1"/>
  <c r="BF453" i="1"/>
  <c r="BF469" i="1" s="1"/>
  <c r="BE453" i="1"/>
  <c r="BE469" i="1" s="1"/>
  <c r="BD453" i="1"/>
  <c r="BD469" i="1" s="1"/>
  <c r="BC453" i="1"/>
  <c r="BC469" i="1" s="1"/>
  <c r="BB453" i="1"/>
  <c r="BB469" i="1" s="1"/>
  <c r="BA453" i="1"/>
  <c r="BA469" i="1" s="1"/>
  <c r="AZ453" i="1"/>
  <c r="AZ469" i="1" s="1"/>
  <c r="AY453" i="1"/>
  <c r="AY469" i="1" s="1"/>
  <c r="BM452" i="1"/>
  <c r="BL452" i="1"/>
  <c r="BK452" i="1"/>
  <c r="BJ452" i="1"/>
  <c r="BJ468" i="1" s="1"/>
  <c r="BI452" i="1"/>
  <c r="BH452" i="1"/>
  <c r="BJ499" i="1" s="1"/>
  <c r="BG452" i="1"/>
  <c r="BG468" i="1" s="1"/>
  <c r="BF452" i="1"/>
  <c r="BF468" i="1" s="1"/>
  <c r="BE452" i="1"/>
  <c r="BD452" i="1"/>
  <c r="BD468" i="1" s="1"/>
  <c r="BC452" i="1"/>
  <c r="BC468" i="1" s="1"/>
  <c r="BB452" i="1"/>
  <c r="BB468" i="1" s="1"/>
  <c r="BA452" i="1"/>
  <c r="BA468" i="1" s="1"/>
  <c r="AZ452" i="1"/>
  <c r="AZ468" i="1" s="1"/>
  <c r="AY452" i="1"/>
  <c r="AY468" i="1" s="1"/>
  <c r="BM451" i="1"/>
  <c r="BL451" i="1"/>
  <c r="BK451" i="1"/>
  <c r="BJ451" i="1"/>
  <c r="BJ467" i="1" s="1"/>
  <c r="BI451" i="1"/>
  <c r="BI467" i="1" s="1"/>
  <c r="BH451" i="1"/>
  <c r="BH467" i="1" s="1"/>
  <c r="BG451" i="1"/>
  <c r="BG467" i="1" s="1"/>
  <c r="BF451" i="1"/>
  <c r="BF467" i="1" s="1"/>
  <c r="BE451" i="1"/>
  <c r="BE467" i="1" s="1"/>
  <c r="BD451" i="1"/>
  <c r="BD467" i="1" s="1"/>
  <c r="BC451" i="1"/>
  <c r="BC467" i="1" s="1"/>
  <c r="BB451" i="1"/>
  <c r="BB467" i="1" s="1"/>
  <c r="BA451" i="1"/>
  <c r="BA467" i="1" s="1"/>
  <c r="AZ451" i="1"/>
  <c r="AZ467" i="1" s="1"/>
  <c r="AY451" i="1"/>
  <c r="AY467" i="1" s="1"/>
  <c r="BM450" i="1"/>
  <c r="BM462" i="1" s="1"/>
  <c r="BL450" i="1"/>
  <c r="BL462" i="1" s="1"/>
  <c r="BK450" i="1"/>
  <c r="BK462" i="1" s="1"/>
  <c r="BJ450" i="1"/>
  <c r="BJ466" i="1" s="1"/>
  <c r="BI450" i="1"/>
  <c r="BI466" i="1" s="1"/>
  <c r="BH450" i="1"/>
  <c r="BJ497" i="1" s="1"/>
  <c r="BG450" i="1"/>
  <c r="BG466" i="1" s="1"/>
  <c r="BG478" i="1" s="1"/>
  <c r="BF450" i="1"/>
  <c r="BE450" i="1"/>
  <c r="BE466" i="1" s="1"/>
  <c r="BD450" i="1"/>
  <c r="BD466" i="1" s="1"/>
  <c r="BC450" i="1"/>
  <c r="BC466" i="1" s="1"/>
  <c r="BB450" i="1"/>
  <c r="BB466" i="1" s="1"/>
  <c r="BA450" i="1"/>
  <c r="BA466" i="1" s="1"/>
  <c r="AZ450" i="1"/>
  <c r="AZ466" i="1" s="1"/>
  <c r="AY450" i="1"/>
  <c r="AY466" i="1" s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BI413" i="1"/>
  <c r="BH413" i="1"/>
  <c r="BG413" i="1"/>
  <c r="BH407" i="1"/>
  <c r="AV407" i="1"/>
  <c r="BH406" i="1"/>
  <c r="BG406" i="1"/>
  <c r="BG407" i="1" s="1"/>
  <c r="BF406" i="1"/>
  <c r="BE406" i="1"/>
  <c r="BD406" i="1"/>
  <c r="BC406" i="1"/>
  <c r="BB406" i="1"/>
  <c r="BA406" i="1"/>
  <c r="AZ406" i="1"/>
  <c r="AZ407" i="1" s="1"/>
  <c r="AY406" i="1"/>
  <c r="AX406" i="1"/>
  <c r="AW406" i="1"/>
  <c r="AW407" i="1" s="1"/>
  <c r="AV406" i="1"/>
  <c r="AU406" i="1"/>
  <c r="AT406" i="1"/>
  <c r="AS406" i="1"/>
  <c r="BJ397" i="1"/>
  <c r="BJ395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H390" i="1"/>
  <c r="BG390" i="1"/>
  <c r="BF390" i="1"/>
  <c r="BE390" i="1"/>
  <c r="BD390" i="1"/>
  <c r="BC390" i="1"/>
  <c r="BC407" i="1" s="1"/>
  <c r="BB390" i="1"/>
  <c r="BA390" i="1"/>
  <c r="BA407" i="1" s="1"/>
  <c r="AZ390" i="1"/>
  <c r="AY390" i="1"/>
  <c r="AX390" i="1"/>
  <c r="AW390" i="1"/>
  <c r="AV390" i="1"/>
  <c r="AU390" i="1"/>
  <c r="AT390" i="1"/>
  <c r="AS390" i="1"/>
  <c r="BI388" i="1"/>
  <c r="BJ378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BW373" i="1"/>
  <c r="BV373" i="1"/>
  <c r="BW372" i="1"/>
  <c r="BV372" i="1"/>
  <c r="BW371" i="1"/>
  <c r="BV371" i="1"/>
  <c r="BW370" i="1"/>
  <c r="BV370" i="1"/>
  <c r="BW369" i="1"/>
  <c r="BV369" i="1"/>
  <c r="BW368" i="1"/>
  <c r="BV368" i="1"/>
  <c r="BW367" i="1"/>
  <c r="BV367" i="1"/>
  <c r="BW366" i="1"/>
  <c r="BV366" i="1"/>
  <c r="BW365" i="1"/>
  <c r="BV365" i="1"/>
  <c r="BW364" i="1"/>
  <c r="BV364" i="1"/>
  <c r="BX363" i="1"/>
  <c r="BW363" i="1"/>
  <c r="BV363" i="1"/>
  <c r="BX362" i="1"/>
  <c r="BW362" i="1"/>
  <c r="BV362" i="1"/>
  <c r="CH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BO361" i="1"/>
  <c r="BN361" i="1"/>
  <c r="CG361" i="1" s="1"/>
  <c r="BM361" i="1"/>
  <c r="CF361" i="1" s="1"/>
  <c r="BL361" i="1"/>
  <c r="CE361" i="1" s="1"/>
  <c r="BK361" i="1"/>
  <c r="CD361" i="1" s="1"/>
  <c r="BJ361" i="1"/>
  <c r="BI361" i="1"/>
  <c r="BH361" i="1"/>
  <c r="BG361" i="1"/>
  <c r="L357" i="1"/>
  <c r="K357" i="1"/>
  <c r="J357" i="1"/>
  <c r="I357" i="1"/>
  <c r="H357" i="1"/>
  <c r="G357" i="1"/>
  <c r="F357" i="1"/>
  <c r="E357" i="1"/>
  <c r="D357" i="1"/>
  <c r="C357" i="1"/>
  <c r="L356" i="1"/>
  <c r="K356" i="1"/>
  <c r="J356" i="1"/>
  <c r="I356" i="1"/>
  <c r="H356" i="1"/>
  <c r="G356" i="1"/>
  <c r="F356" i="1"/>
  <c r="E356" i="1"/>
  <c r="D356" i="1"/>
  <c r="C356" i="1"/>
  <c r="L355" i="1"/>
  <c r="K355" i="1"/>
  <c r="J355" i="1"/>
  <c r="I355" i="1"/>
  <c r="H355" i="1"/>
  <c r="G355" i="1"/>
  <c r="F355" i="1"/>
  <c r="E355" i="1"/>
  <c r="D355" i="1"/>
  <c r="C355" i="1"/>
  <c r="L354" i="1"/>
  <c r="K354" i="1"/>
  <c r="J354" i="1"/>
  <c r="I354" i="1"/>
  <c r="H354" i="1"/>
  <c r="G354" i="1"/>
  <c r="F354" i="1"/>
  <c r="E354" i="1"/>
  <c r="D354" i="1"/>
  <c r="C354" i="1"/>
  <c r="L353" i="1"/>
  <c r="K353" i="1"/>
  <c r="J353" i="1"/>
  <c r="I353" i="1"/>
  <c r="H353" i="1"/>
  <c r="G353" i="1"/>
  <c r="F353" i="1"/>
  <c r="E353" i="1"/>
  <c r="D353" i="1"/>
  <c r="C353" i="1"/>
  <c r="L352" i="1"/>
  <c r="K352" i="1"/>
  <c r="J352" i="1"/>
  <c r="I352" i="1"/>
  <c r="H352" i="1"/>
  <c r="G352" i="1"/>
  <c r="F352" i="1"/>
  <c r="E352" i="1"/>
  <c r="D352" i="1"/>
  <c r="C352" i="1"/>
  <c r="L351" i="1"/>
  <c r="K351" i="1"/>
  <c r="J351" i="1"/>
  <c r="I351" i="1"/>
  <c r="H351" i="1"/>
  <c r="G351" i="1"/>
  <c r="F351" i="1"/>
  <c r="E351" i="1"/>
  <c r="D351" i="1"/>
  <c r="C351" i="1"/>
  <c r="L350" i="1"/>
  <c r="K350" i="1"/>
  <c r="J350" i="1"/>
  <c r="I350" i="1"/>
  <c r="H350" i="1"/>
  <c r="G350" i="1"/>
  <c r="F350" i="1"/>
  <c r="E350" i="1"/>
  <c r="D350" i="1"/>
  <c r="C350" i="1"/>
  <c r="L349" i="1"/>
  <c r="K349" i="1"/>
  <c r="J349" i="1"/>
  <c r="I349" i="1"/>
  <c r="H349" i="1"/>
  <c r="G349" i="1"/>
  <c r="F349" i="1"/>
  <c r="E349" i="1"/>
  <c r="D349" i="1"/>
  <c r="C349" i="1"/>
  <c r="L348" i="1"/>
  <c r="K348" i="1"/>
  <c r="J348" i="1"/>
  <c r="I348" i="1"/>
  <c r="H348" i="1"/>
  <c r="G348" i="1"/>
  <c r="F348" i="1"/>
  <c r="E348" i="1"/>
  <c r="D348" i="1"/>
  <c r="C348" i="1"/>
  <c r="L347" i="1"/>
  <c r="K347" i="1"/>
  <c r="J347" i="1"/>
  <c r="I347" i="1"/>
  <c r="H347" i="1"/>
  <c r="G347" i="1"/>
  <c r="F347" i="1"/>
  <c r="E347" i="1"/>
  <c r="D347" i="1"/>
  <c r="C347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AA342" i="1"/>
  <c r="W342" i="1"/>
  <c r="BG341" i="1"/>
  <c r="AB341" i="1"/>
  <c r="Y341" i="1"/>
  <c r="V341" i="1"/>
  <c r="T341" i="1"/>
  <c r="R341" i="1"/>
  <c r="AD340" i="1"/>
  <c r="AC340" i="1"/>
  <c r="AB340" i="1"/>
  <c r="Y340" i="1"/>
  <c r="V340" i="1"/>
  <c r="U340" i="1"/>
  <c r="AD339" i="1"/>
  <c r="AC339" i="1"/>
  <c r="AA339" i="1"/>
  <c r="Z339" i="1"/>
  <c r="R339" i="1"/>
  <c r="AD338" i="1"/>
  <c r="AC338" i="1"/>
  <c r="W338" i="1"/>
  <c r="AC337" i="1"/>
  <c r="AB337" i="1"/>
  <c r="Z337" i="1"/>
  <c r="Y337" i="1"/>
  <c r="X337" i="1"/>
  <c r="S337" i="1"/>
  <c r="R337" i="1"/>
  <c r="AD336" i="1"/>
  <c r="AB336" i="1"/>
  <c r="AA336" i="1"/>
  <c r="Y336" i="1"/>
  <c r="X336" i="1"/>
  <c r="W336" i="1"/>
  <c r="U336" i="1"/>
  <c r="S336" i="1"/>
  <c r="AL335" i="1"/>
  <c r="AK335" i="1"/>
  <c r="AD335" i="1"/>
  <c r="AC335" i="1"/>
  <c r="AB335" i="1"/>
  <c r="T335" i="1"/>
  <c r="AE334" i="1"/>
  <c r="AC334" i="1"/>
  <c r="Y334" i="1"/>
  <c r="S334" i="1"/>
  <c r="R334" i="1"/>
  <c r="Q334" i="1"/>
  <c r="AA333" i="1"/>
  <c r="Z333" i="1"/>
  <c r="S333" i="1"/>
  <c r="AE332" i="1"/>
  <c r="Y332" i="1"/>
  <c r="V332" i="1"/>
  <c r="U332" i="1"/>
  <c r="R332" i="1"/>
  <c r="Z331" i="1"/>
  <c r="X331" i="1"/>
  <c r="V331" i="1"/>
  <c r="U331" i="1"/>
  <c r="R331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H327" i="1"/>
  <c r="BD327" i="1"/>
  <c r="BC327" i="1"/>
  <c r="BB327" i="1"/>
  <c r="BA327" i="1"/>
  <c r="AZ327" i="1"/>
  <c r="AX327" i="1"/>
  <c r="AU327" i="1"/>
  <c r="AT327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F326" i="1"/>
  <c r="BE326" i="1"/>
  <c r="AX326" i="1"/>
  <c r="AW326" i="1"/>
  <c r="AV326" i="1"/>
  <c r="AU326" i="1"/>
  <c r="AT326" i="1"/>
  <c r="AS326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F325" i="1"/>
  <c r="BE325" i="1"/>
  <c r="AX325" i="1"/>
  <c r="AW325" i="1"/>
  <c r="AV325" i="1"/>
  <c r="AU325" i="1"/>
  <c r="AT325" i="1"/>
  <c r="AS325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F324" i="1"/>
  <c r="BE324" i="1"/>
  <c r="AX324" i="1"/>
  <c r="AW324" i="1"/>
  <c r="AV324" i="1"/>
  <c r="AU324" i="1"/>
  <c r="AT324" i="1"/>
  <c r="AS324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G323" i="1"/>
  <c r="BF323" i="1"/>
  <c r="BE323" i="1"/>
  <c r="AY323" i="1"/>
  <c r="AX323" i="1"/>
  <c r="AW323" i="1"/>
  <c r="AV323" i="1"/>
  <c r="AU323" i="1"/>
  <c r="AT323" i="1"/>
  <c r="AS323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G322" i="1"/>
  <c r="BF322" i="1"/>
  <c r="BE322" i="1"/>
  <c r="AY322" i="1"/>
  <c r="AX322" i="1"/>
  <c r="AW322" i="1"/>
  <c r="AV322" i="1"/>
  <c r="AU322" i="1"/>
  <c r="AT322" i="1"/>
  <c r="AS322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G321" i="1"/>
  <c r="BF321" i="1"/>
  <c r="BE321" i="1"/>
  <c r="AY321" i="1"/>
  <c r="AX321" i="1"/>
  <c r="AW321" i="1"/>
  <c r="AV321" i="1"/>
  <c r="AU321" i="1"/>
  <c r="AT321" i="1"/>
  <c r="AS321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G320" i="1"/>
  <c r="BF320" i="1"/>
  <c r="BE320" i="1"/>
  <c r="AY320" i="1"/>
  <c r="AX320" i="1"/>
  <c r="AW320" i="1"/>
  <c r="AV320" i="1"/>
  <c r="AU320" i="1"/>
  <c r="AT320" i="1"/>
  <c r="AS320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G319" i="1"/>
  <c r="BF319" i="1"/>
  <c r="BE319" i="1"/>
  <c r="AY319" i="1"/>
  <c r="AX319" i="1"/>
  <c r="AW319" i="1"/>
  <c r="AV319" i="1"/>
  <c r="AU319" i="1"/>
  <c r="AT319" i="1"/>
  <c r="AS319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G318" i="1"/>
  <c r="BF318" i="1"/>
  <c r="BE318" i="1"/>
  <c r="AY318" i="1"/>
  <c r="AX318" i="1"/>
  <c r="AW318" i="1"/>
  <c r="AV318" i="1"/>
  <c r="AU318" i="1"/>
  <c r="AT318" i="1"/>
  <c r="AS318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G317" i="1"/>
  <c r="BF317" i="1"/>
  <c r="BE317" i="1"/>
  <c r="AY317" i="1"/>
  <c r="AX317" i="1"/>
  <c r="AW317" i="1"/>
  <c r="AV317" i="1"/>
  <c r="AU317" i="1"/>
  <c r="AT317" i="1"/>
  <c r="AS317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G316" i="1"/>
  <c r="BF316" i="1"/>
  <c r="AY316" i="1"/>
  <c r="AX316" i="1"/>
  <c r="AW316" i="1"/>
  <c r="AV316" i="1"/>
  <c r="AU316" i="1"/>
  <c r="AT316" i="1"/>
  <c r="AS316" i="1"/>
  <c r="BU315" i="1"/>
  <c r="BT315" i="1"/>
  <c r="BS315" i="1"/>
  <c r="BR315" i="1"/>
  <c r="BQ315" i="1"/>
  <c r="BP315" i="1"/>
  <c r="BO315" i="1"/>
  <c r="BN315" i="1"/>
  <c r="BM315" i="1"/>
  <c r="BM327" i="1" s="1"/>
  <c r="BM35" i="1" s="1"/>
  <c r="BL315" i="1"/>
  <c r="BK315" i="1"/>
  <c r="BJ315" i="1"/>
  <c r="BG315" i="1"/>
  <c r="BF315" i="1"/>
  <c r="AY315" i="1"/>
  <c r="AY327" i="1" s="1"/>
  <c r="AX315" i="1"/>
  <c r="AW315" i="1"/>
  <c r="AV315" i="1"/>
  <c r="AU315" i="1"/>
  <c r="AT315" i="1"/>
  <c r="AS315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T311" i="1"/>
  <c r="AD310" i="1"/>
  <c r="AD342" i="1" s="1"/>
  <c r="AC310" i="1"/>
  <c r="AC342" i="1" s="1"/>
  <c r="AB310" i="1"/>
  <c r="AB342" i="1" s="1"/>
  <c r="AA310" i="1"/>
  <c r="Z310" i="1"/>
  <c r="Z342" i="1" s="1"/>
  <c r="Y310" i="1"/>
  <c r="Y342" i="1" s="1"/>
  <c r="X310" i="1"/>
  <c r="X342" i="1" s="1"/>
  <c r="W310" i="1"/>
  <c r="V310" i="1"/>
  <c r="V342" i="1" s="1"/>
  <c r="U310" i="1"/>
  <c r="U342" i="1" s="1"/>
  <c r="T310" i="1"/>
  <c r="T342" i="1" s="1"/>
  <c r="S310" i="1"/>
  <c r="S342" i="1" s="1"/>
  <c r="R310" i="1"/>
  <c r="R342" i="1" s="1"/>
  <c r="Q310" i="1"/>
  <c r="Q342" i="1" s="1"/>
  <c r="AD309" i="1"/>
  <c r="AD341" i="1" s="1"/>
  <c r="AC309" i="1"/>
  <c r="AC341" i="1" s="1"/>
  <c r="AB309" i="1"/>
  <c r="AA309" i="1"/>
  <c r="AA341" i="1" s="1"/>
  <c r="Z309" i="1"/>
  <c r="Z341" i="1" s="1"/>
  <c r="Y309" i="1"/>
  <c r="X309" i="1"/>
  <c r="X341" i="1" s="1"/>
  <c r="W309" i="1"/>
  <c r="W341" i="1" s="1"/>
  <c r="V309" i="1"/>
  <c r="U309" i="1"/>
  <c r="U341" i="1" s="1"/>
  <c r="T309" i="1"/>
  <c r="S309" i="1"/>
  <c r="S341" i="1" s="1"/>
  <c r="R309" i="1"/>
  <c r="AD308" i="1"/>
  <c r="AC308" i="1"/>
  <c r="AB308" i="1"/>
  <c r="AA308" i="1"/>
  <c r="AA340" i="1" s="1"/>
  <c r="Z308" i="1"/>
  <c r="Z340" i="1" s="1"/>
  <c r="Y308" i="1"/>
  <c r="X308" i="1"/>
  <c r="X340" i="1" s="1"/>
  <c r="W308" i="1"/>
  <c r="W340" i="1" s="1"/>
  <c r="V308" i="1"/>
  <c r="U308" i="1"/>
  <c r="T308" i="1"/>
  <c r="T340" i="1" s="1"/>
  <c r="S308" i="1"/>
  <c r="S340" i="1" s="1"/>
  <c r="R308" i="1"/>
  <c r="R340" i="1" s="1"/>
  <c r="AD307" i="1"/>
  <c r="AC307" i="1"/>
  <c r="AB307" i="1"/>
  <c r="AB339" i="1" s="1"/>
  <c r="AA307" i="1"/>
  <c r="Z307" i="1"/>
  <c r="Y307" i="1"/>
  <c r="Y339" i="1" s="1"/>
  <c r="X307" i="1"/>
  <c r="X339" i="1" s="1"/>
  <c r="W307" i="1"/>
  <c r="W339" i="1" s="1"/>
  <c r="V307" i="1"/>
  <c r="V339" i="1" s="1"/>
  <c r="U307" i="1"/>
  <c r="U339" i="1" s="1"/>
  <c r="T307" i="1"/>
  <c r="T339" i="1" s="1"/>
  <c r="S307" i="1"/>
  <c r="R307" i="1"/>
  <c r="BA306" i="1"/>
  <c r="BA338" i="1" s="1"/>
  <c r="AR306" i="1"/>
  <c r="AR338" i="1" s="1"/>
  <c r="AD306" i="1"/>
  <c r="AC306" i="1"/>
  <c r="AB306" i="1"/>
  <c r="AB338" i="1" s="1"/>
  <c r="AA306" i="1"/>
  <c r="AA338" i="1" s="1"/>
  <c r="Z306" i="1"/>
  <c r="Z338" i="1" s="1"/>
  <c r="Y306" i="1"/>
  <c r="Y338" i="1" s="1"/>
  <c r="X306" i="1"/>
  <c r="X338" i="1" s="1"/>
  <c r="W306" i="1"/>
  <c r="V306" i="1"/>
  <c r="V338" i="1" s="1"/>
  <c r="U306" i="1"/>
  <c r="U338" i="1" s="1"/>
  <c r="T306" i="1"/>
  <c r="T338" i="1" s="1"/>
  <c r="S306" i="1"/>
  <c r="S338" i="1" s="1"/>
  <c r="R306" i="1"/>
  <c r="R338" i="1" s="1"/>
  <c r="AD305" i="1"/>
  <c r="AD337" i="1" s="1"/>
  <c r="AC305" i="1"/>
  <c r="AB305" i="1"/>
  <c r="AA305" i="1"/>
  <c r="AA337" i="1" s="1"/>
  <c r="Z305" i="1"/>
  <c r="Y305" i="1"/>
  <c r="X305" i="1"/>
  <c r="W305" i="1"/>
  <c r="W337" i="1" s="1"/>
  <c r="V305" i="1"/>
  <c r="V337" i="1" s="1"/>
  <c r="U305" i="1"/>
  <c r="U337" i="1" s="1"/>
  <c r="T305" i="1"/>
  <c r="T337" i="1" s="1"/>
  <c r="S305" i="1"/>
  <c r="R305" i="1"/>
  <c r="AE304" i="1"/>
  <c r="AE336" i="1" s="1"/>
  <c r="AD304" i="1"/>
  <c r="AC304" i="1"/>
  <c r="AC336" i="1" s="1"/>
  <c r="AB304" i="1"/>
  <c r="AA304" i="1"/>
  <c r="Z304" i="1"/>
  <c r="Z336" i="1" s="1"/>
  <c r="Y304" i="1"/>
  <c r="X304" i="1"/>
  <c r="W304" i="1"/>
  <c r="V304" i="1"/>
  <c r="V336" i="1" s="1"/>
  <c r="U304" i="1"/>
  <c r="T304" i="1"/>
  <c r="T336" i="1" s="1"/>
  <c r="S304" i="1"/>
  <c r="R304" i="1"/>
  <c r="R336" i="1" s="1"/>
  <c r="O304" i="1"/>
  <c r="O336" i="1" s="1"/>
  <c r="BG303" i="1"/>
  <c r="AE303" i="1"/>
  <c r="AE335" i="1" s="1"/>
  <c r="AD303" i="1"/>
  <c r="AC303" i="1"/>
  <c r="AB303" i="1"/>
  <c r="AA303" i="1"/>
  <c r="AA335" i="1" s="1"/>
  <c r="Z303" i="1"/>
  <c r="Z335" i="1" s="1"/>
  <c r="Y303" i="1"/>
  <c r="Y335" i="1" s="1"/>
  <c r="X303" i="1"/>
  <c r="X335" i="1" s="1"/>
  <c r="W303" i="1"/>
  <c r="W335" i="1" s="1"/>
  <c r="V303" i="1"/>
  <c r="U303" i="1"/>
  <c r="T303" i="1"/>
  <c r="S303" i="1"/>
  <c r="S335" i="1" s="1"/>
  <c r="R303" i="1"/>
  <c r="R335" i="1" s="1"/>
  <c r="AE302" i="1"/>
  <c r="AD302" i="1"/>
  <c r="AD334" i="1" s="1"/>
  <c r="AC302" i="1"/>
  <c r="AB302" i="1"/>
  <c r="AB334" i="1" s="1"/>
  <c r="AA302" i="1"/>
  <c r="AA334" i="1" s="1"/>
  <c r="Z302" i="1"/>
  <c r="Z334" i="1" s="1"/>
  <c r="Y302" i="1"/>
  <c r="X302" i="1"/>
  <c r="X334" i="1" s="1"/>
  <c r="W302" i="1"/>
  <c r="W334" i="1" s="1"/>
  <c r="V302" i="1"/>
  <c r="V334" i="1" s="1"/>
  <c r="U302" i="1"/>
  <c r="U334" i="1" s="1"/>
  <c r="T302" i="1"/>
  <c r="T334" i="1" s="1"/>
  <c r="S302" i="1"/>
  <c r="R302" i="1"/>
  <c r="AE301" i="1"/>
  <c r="AE333" i="1" s="1"/>
  <c r="AD301" i="1"/>
  <c r="AD333" i="1" s="1"/>
  <c r="AC301" i="1"/>
  <c r="AC333" i="1" s="1"/>
  <c r="AB301" i="1"/>
  <c r="AB333" i="1" s="1"/>
  <c r="AA301" i="1"/>
  <c r="Z301" i="1"/>
  <c r="Y301" i="1"/>
  <c r="Y333" i="1" s="1"/>
  <c r="X301" i="1"/>
  <c r="X333" i="1" s="1"/>
  <c r="W301" i="1"/>
  <c r="W333" i="1" s="1"/>
  <c r="V301" i="1"/>
  <c r="V333" i="1" s="1"/>
  <c r="U301" i="1"/>
  <c r="U333" i="1" s="1"/>
  <c r="T301" i="1"/>
  <c r="T333" i="1" s="1"/>
  <c r="S301" i="1"/>
  <c r="R301" i="1"/>
  <c r="N301" i="1"/>
  <c r="N333" i="1" s="1"/>
  <c r="AE300" i="1"/>
  <c r="AD300" i="1"/>
  <c r="AD332" i="1" s="1"/>
  <c r="AC300" i="1"/>
  <c r="AC332" i="1" s="1"/>
  <c r="AB300" i="1"/>
  <c r="AB332" i="1" s="1"/>
  <c r="AA300" i="1"/>
  <c r="AA332" i="1" s="1"/>
  <c r="Z300" i="1"/>
  <c r="Y300" i="1"/>
  <c r="X300" i="1"/>
  <c r="X332" i="1" s="1"/>
  <c r="W300" i="1"/>
  <c r="W332" i="1" s="1"/>
  <c r="V300" i="1"/>
  <c r="U300" i="1"/>
  <c r="T300" i="1"/>
  <c r="T332" i="1" s="1"/>
  <c r="S300" i="1"/>
  <c r="S332" i="1" s="1"/>
  <c r="R300" i="1"/>
  <c r="AY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T331" i="1" s="1"/>
  <c r="S299" i="1"/>
  <c r="S331" i="1" s="1"/>
  <c r="R299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AD295" i="1"/>
  <c r="AC295" i="1"/>
  <c r="AB295" i="1"/>
  <c r="AA295" i="1"/>
  <c r="Z295" i="1"/>
  <c r="Y295" i="1"/>
  <c r="X295" i="1"/>
  <c r="W295" i="1"/>
  <c r="V295" i="1"/>
  <c r="U295" i="1"/>
  <c r="H286" i="1" s="1"/>
  <c r="T295" i="1"/>
  <c r="S295" i="1"/>
  <c r="R295" i="1"/>
  <c r="BH294" i="1"/>
  <c r="BH309" i="1" s="1"/>
  <c r="BH341" i="1" s="1"/>
  <c r="BG294" i="1"/>
  <c r="BG309" i="1" s="1"/>
  <c r="BF294" i="1"/>
  <c r="BF309" i="1" s="1"/>
  <c r="BE294" i="1"/>
  <c r="BE309" i="1" s="1"/>
  <c r="BD294" i="1"/>
  <c r="BD309" i="1" s="1"/>
  <c r="BD341" i="1" s="1"/>
  <c r="BC294" i="1"/>
  <c r="BC309" i="1" s="1"/>
  <c r="BC341" i="1" s="1"/>
  <c r="BB294" i="1"/>
  <c r="BB309" i="1" s="1"/>
  <c r="BB341" i="1" s="1"/>
  <c r="BA294" i="1"/>
  <c r="BA309" i="1" s="1"/>
  <c r="BA341" i="1" s="1"/>
  <c r="AZ294" i="1"/>
  <c r="AZ309" i="1" s="1"/>
  <c r="AZ341" i="1" s="1"/>
  <c r="AY294" i="1"/>
  <c r="AY309" i="1" s="1"/>
  <c r="AY341" i="1" s="1"/>
  <c r="AX294" i="1"/>
  <c r="AX309" i="1" s="1"/>
  <c r="AW294" i="1"/>
  <c r="AW309" i="1" s="1"/>
  <c r="AW341" i="1" s="1"/>
  <c r="AV294" i="1"/>
  <c r="AV309" i="1" s="1"/>
  <c r="AV341" i="1" s="1"/>
  <c r="AU294" i="1"/>
  <c r="AU309" i="1" s="1"/>
  <c r="AU341" i="1" s="1"/>
  <c r="AT294" i="1"/>
  <c r="AT309" i="1" s="1"/>
  <c r="AT341" i="1" s="1"/>
  <c r="AS294" i="1"/>
  <c r="AS309" i="1" s="1"/>
  <c r="AS341" i="1" s="1"/>
  <c r="AR294" i="1"/>
  <c r="AR309" i="1" s="1"/>
  <c r="AR341" i="1" s="1"/>
  <c r="AQ294" i="1"/>
  <c r="AQ309" i="1" s="1"/>
  <c r="AQ341" i="1" s="1"/>
  <c r="AP294" i="1"/>
  <c r="AP309" i="1" s="1"/>
  <c r="AP341" i="1" s="1"/>
  <c r="AO294" i="1"/>
  <c r="AO309" i="1" s="1"/>
  <c r="AO341" i="1" s="1"/>
  <c r="AN294" i="1"/>
  <c r="AN309" i="1" s="1"/>
  <c r="AN341" i="1" s="1"/>
  <c r="AM294" i="1"/>
  <c r="AM309" i="1" s="1"/>
  <c r="AM341" i="1" s="1"/>
  <c r="AL294" i="1"/>
  <c r="AL309" i="1" s="1"/>
  <c r="AL341" i="1" s="1"/>
  <c r="AK294" i="1"/>
  <c r="AK309" i="1" s="1"/>
  <c r="AK341" i="1" s="1"/>
  <c r="AJ294" i="1"/>
  <c r="AJ309" i="1" s="1"/>
  <c r="AJ341" i="1" s="1"/>
  <c r="AI294" i="1"/>
  <c r="AI309" i="1" s="1"/>
  <c r="AI341" i="1" s="1"/>
  <c r="AH294" i="1"/>
  <c r="AH309" i="1" s="1"/>
  <c r="AH341" i="1" s="1"/>
  <c r="AG294" i="1"/>
  <c r="AG309" i="1" s="1"/>
  <c r="AG341" i="1" s="1"/>
  <c r="AF294" i="1"/>
  <c r="AE294" i="1"/>
  <c r="AE309" i="1" s="1"/>
  <c r="AE341" i="1" s="1"/>
  <c r="Q294" i="1"/>
  <c r="Q309" i="1" s="1"/>
  <c r="Q341" i="1" s="1"/>
  <c r="K294" i="1"/>
  <c r="C294" i="1"/>
  <c r="BH293" i="1"/>
  <c r="BH308" i="1" s="1"/>
  <c r="BH340" i="1" s="1"/>
  <c r="BG293" i="1"/>
  <c r="BG308" i="1" s="1"/>
  <c r="BG340" i="1" s="1"/>
  <c r="BF293" i="1"/>
  <c r="BE293" i="1"/>
  <c r="BE308" i="1" s="1"/>
  <c r="BD293" i="1"/>
  <c r="BD308" i="1" s="1"/>
  <c r="BD340" i="1" s="1"/>
  <c r="BC293" i="1"/>
  <c r="BC308" i="1" s="1"/>
  <c r="BC340" i="1" s="1"/>
  <c r="BB293" i="1"/>
  <c r="BB308" i="1" s="1"/>
  <c r="BB340" i="1" s="1"/>
  <c r="BA293" i="1"/>
  <c r="BA308" i="1" s="1"/>
  <c r="BA340" i="1" s="1"/>
  <c r="AZ293" i="1"/>
  <c r="AZ308" i="1" s="1"/>
  <c r="AZ340" i="1" s="1"/>
  <c r="AY293" i="1"/>
  <c r="AY308" i="1" s="1"/>
  <c r="AY340" i="1" s="1"/>
  <c r="AX293" i="1"/>
  <c r="AX308" i="1" s="1"/>
  <c r="AX340" i="1" s="1"/>
  <c r="AW293" i="1"/>
  <c r="AW308" i="1" s="1"/>
  <c r="AV293" i="1"/>
  <c r="AV308" i="1" s="1"/>
  <c r="AV340" i="1" s="1"/>
  <c r="AU293" i="1"/>
  <c r="AU308" i="1" s="1"/>
  <c r="AU340" i="1" s="1"/>
  <c r="AT293" i="1"/>
  <c r="AT308" i="1" s="1"/>
  <c r="AT340" i="1" s="1"/>
  <c r="AS293" i="1"/>
  <c r="AS308" i="1" s="1"/>
  <c r="AS340" i="1" s="1"/>
  <c r="AR293" i="1"/>
  <c r="AR308" i="1" s="1"/>
  <c r="AR340" i="1" s="1"/>
  <c r="AQ293" i="1"/>
  <c r="AQ308" i="1" s="1"/>
  <c r="AQ340" i="1" s="1"/>
  <c r="AP293" i="1"/>
  <c r="AP308" i="1" s="1"/>
  <c r="AP340" i="1" s="1"/>
  <c r="AO293" i="1"/>
  <c r="AO308" i="1" s="1"/>
  <c r="AO340" i="1" s="1"/>
  <c r="AN293" i="1"/>
  <c r="AN308" i="1" s="1"/>
  <c r="AN340" i="1" s="1"/>
  <c r="AM293" i="1"/>
  <c r="AM308" i="1" s="1"/>
  <c r="AM340" i="1" s="1"/>
  <c r="AL293" i="1"/>
  <c r="AL308" i="1" s="1"/>
  <c r="AL340" i="1" s="1"/>
  <c r="AK293" i="1"/>
  <c r="AK308" i="1" s="1"/>
  <c r="AK340" i="1" s="1"/>
  <c r="AJ293" i="1"/>
  <c r="AJ308" i="1" s="1"/>
  <c r="AJ340" i="1" s="1"/>
  <c r="AI293" i="1"/>
  <c r="AI308" i="1" s="1"/>
  <c r="AI340" i="1" s="1"/>
  <c r="AH293" i="1"/>
  <c r="AH308" i="1" s="1"/>
  <c r="AH340" i="1" s="1"/>
  <c r="AG293" i="1"/>
  <c r="AG308" i="1" s="1"/>
  <c r="AG340" i="1" s="1"/>
  <c r="AF293" i="1"/>
  <c r="AF308" i="1" s="1"/>
  <c r="AF340" i="1" s="1"/>
  <c r="AE293" i="1"/>
  <c r="AE308" i="1" s="1"/>
  <c r="AE340" i="1" s="1"/>
  <c r="P293" i="1"/>
  <c r="P308" i="1" s="1"/>
  <c r="P340" i="1" s="1"/>
  <c r="O293" i="1"/>
  <c r="O308" i="1" s="1"/>
  <c r="O340" i="1" s="1"/>
  <c r="L293" i="1"/>
  <c r="K293" i="1"/>
  <c r="J293" i="1"/>
  <c r="I293" i="1"/>
  <c r="BH292" i="1"/>
  <c r="BH307" i="1" s="1"/>
  <c r="BH339" i="1" s="1"/>
  <c r="BG292" i="1"/>
  <c r="BF292" i="1"/>
  <c r="BE292" i="1"/>
  <c r="BE307" i="1" s="1"/>
  <c r="BD292" i="1"/>
  <c r="BD307" i="1" s="1"/>
  <c r="BD339" i="1" s="1"/>
  <c r="BC292" i="1"/>
  <c r="BC307" i="1" s="1"/>
  <c r="BC339" i="1" s="1"/>
  <c r="BB292" i="1"/>
  <c r="BB307" i="1" s="1"/>
  <c r="BB339" i="1" s="1"/>
  <c r="BA292" i="1"/>
  <c r="BA307" i="1" s="1"/>
  <c r="BA339" i="1" s="1"/>
  <c r="AZ292" i="1"/>
  <c r="AZ307" i="1" s="1"/>
  <c r="AZ339" i="1" s="1"/>
  <c r="AY292" i="1"/>
  <c r="AY307" i="1" s="1"/>
  <c r="AY339" i="1" s="1"/>
  <c r="AX292" i="1"/>
  <c r="AX307" i="1" s="1"/>
  <c r="AX339" i="1" s="1"/>
  <c r="AW292" i="1"/>
  <c r="AW307" i="1" s="1"/>
  <c r="AW339" i="1" s="1"/>
  <c r="AV292" i="1"/>
  <c r="AV307" i="1" s="1"/>
  <c r="AV339" i="1" s="1"/>
  <c r="AU292" i="1"/>
  <c r="AU307" i="1" s="1"/>
  <c r="AU339" i="1" s="1"/>
  <c r="AT292" i="1"/>
  <c r="AT307" i="1" s="1"/>
  <c r="AT339" i="1" s="1"/>
  <c r="AS292" i="1"/>
  <c r="AS307" i="1" s="1"/>
  <c r="AS339" i="1" s="1"/>
  <c r="AR292" i="1"/>
  <c r="AR307" i="1" s="1"/>
  <c r="AR339" i="1" s="1"/>
  <c r="AQ292" i="1"/>
  <c r="AQ307" i="1" s="1"/>
  <c r="AQ339" i="1" s="1"/>
  <c r="AP292" i="1"/>
  <c r="AP307" i="1" s="1"/>
  <c r="AP339" i="1" s="1"/>
  <c r="AO292" i="1"/>
  <c r="AO307" i="1" s="1"/>
  <c r="AO339" i="1" s="1"/>
  <c r="AN292" i="1"/>
  <c r="AN307" i="1" s="1"/>
  <c r="AN339" i="1" s="1"/>
  <c r="AM292" i="1"/>
  <c r="AM307" i="1" s="1"/>
  <c r="AM339" i="1" s="1"/>
  <c r="AL292" i="1"/>
  <c r="AL307" i="1" s="1"/>
  <c r="AL339" i="1" s="1"/>
  <c r="AK292" i="1"/>
  <c r="AK307" i="1" s="1"/>
  <c r="AK339" i="1" s="1"/>
  <c r="AJ292" i="1"/>
  <c r="AJ307" i="1" s="1"/>
  <c r="AJ339" i="1" s="1"/>
  <c r="AI292" i="1"/>
  <c r="AI307" i="1" s="1"/>
  <c r="AI339" i="1" s="1"/>
  <c r="AH292" i="1"/>
  <c r="AH307" i="1" s="1"/>
  <c r="AH339" i="1" s="1"/>
  <c r="AG292" i="1"/>
  <c r="AG307" i="1" s="1"/>
  <c r="AG339" i="1" s="1"/>
  <c r="AF292" i="1"/>
  <c r="AF307" i="1" s="1"/>
  <c r="AF339" i="1" s="1"/>
  <c r="AE292" i="1"/>
  <c r="AE307" i="1" s="1"/>
  <c r="AE339" i="1" s="1"/>
  <c r="H292" i="1"/>
  <c r="G292" i="1"/>
  <c r="BH291" i="1"/>
  <c r="BH306" i="1" s="1"/>
  <c r="BH338" i="1" s="1"/>
  <c r="BG291" i="1"/>
  <c r="BG306" i="1" s="1"/>
  <c r="BF291" i="1"/>
  <c r="BE291" i="1"/>
  <c r="BE306" i="1" s="1"/>
  <c r="BD291" i="1"/>
  <c r="BD306" i="1" s="1"/>
  <c r="BD338" i="1" s="1"/>
  <c r="BC291" i="1"/>
  <c r="BC306" i="1" s="1"/>
  <c r="BC338" i="1" s="1"/>
  <c r="BB291" i="1"/>
  <c r="BB306" i="1" s="1"/>
  <c r="BB338" i="1" s="1"/>
  <c r="BA291" i="1"/>
  <c r="AZ291" i="1"/>
  <c r="AZ306" i="1" s="1"/>
  <c r="AZ338" i="1" s="1"/>
  <c r="AY291" i="1"/>
  <c r="AY306" i="1" s="1"/>
  <c r="AY338" i="1" s="1"/>
  <c r="AX291" i="1"/>
  <c r="AX306" i="1" s="1"/>
  <c r="AX338" i="1" s="1"/>
  <c r="AW291" i="1"/>
  <c r="AW306" i="1" s="1"/>
  <c r="AW338" i="1" s="1"/>
  <c r="AV291" i="1"/>
  <c r="AV306" i="1" s="1"/>
  <c r="AV338" i="1" s="1"/>
  <c r="AU291" i="1"/>
  <c r="AU306" i="1" s="1"/>
  <c r="AU338" i="1" s="1"/>
  <c r="AT291" i="1"/>
  <c r="AT306" i="1" s="1"/>
  <c r="AT338" i="1" s="1"/>
  <c r="AS291" i="1"/>
  <c r="AS306" i="1" s="1"/>
  <c r="AS338" i="1" s="1"/>
  <c r="AR291" i="1"/>
  <c r="AQ291" i="1"/>
  <c r="AQ306" i="1" s="1"/>
  <c r="AQ338" i="1" s="1"/>
  <c r="AP291" i="1"/>
  <c r="AP306" i="1" s="1"/>
  <c r="AP338" i="1" s="1"/>
  <c r="AO291" i="1"/>
  <c r="AO306" i="1" s="1"/>
  <c r="AO338" i="1" s="1"/>
  <c r="AN291" i="1"/>
  <c r="AN306" i="1" s="1"/>
  <c r="AN338" i="1" s="1"/>
  <c r="AM291" i="1"/>
  <c r="AM306" i="1" s="1"/>
  <c r="AM338" i="1" s="1"/>
  <c r="AL291" i="1"/>
  <c r="AL306" i="1" s="1"/>
  <c r="AL338" i="1" s="1"/>
  <c r="AK291" i="1"/>
  <c r="AK306" i="1" s="1"/>
  <c r="AK338" i="1" s="1"/>
  <c r="AJ291" i="1"/>
  <c r="AJ306" i="1" s="1"/>
  <c r="AJ338" i="1" s="1"/>
  <c r="AI291" i="1"/>
  <c r="AI306" i="1" s="1"/>
  <c r="AI338" i="1" s="1"/>
  <c r="AH291" i="1"/>
  <c r="AH306" i="1" s="1"/>
  <c r="AH338" i="1" s="1"/>
  <c r="AG291" i="1"/>
  <c r="AG306" i="1" s="1"/>
  <c r="AG338" i="1" s="1"/>
  <c r="AF291" i="1"/>
  <c r="AF306" i="1" s="1"/>
  <c r="AF338" i="1" s="1"/>
  <c r="AE291" i="1"/>
  <c r="AE306" i="1" s="1"/>
  <c r="AE338" i="1" s="1"/>
  <c r="P291" i="1"/>
  <c r="P306" i="1" s="1"/>
  <c r="P338" i="1" s="1"/>
  <c r="O291" i="1"/>
  <c r="O306" i="1" s="1"/>
  <c r="O338" i="1" s="1"/>
  <c r="N291" i="1"/>
  <c r="N306" i="1" s="1"/>
  <c r="N338" i="1" s="1"/>
  <c r="M291" i="1"/>
  <c r="M306" i="1" s="1"/>
  <c r="M338" i="1" s="1"/>
  <c r="BI290" i="1"/>
  <c r="BH290" i="1"/>
  <c r="BG290" i="1"/>
  <c r="BF290" i="1"/>
  <c r="BE290" i="1"/>
  <c r="BD290" i="1"/>
  <c r="BD305" i="1" s="1"/>
  <c r="BD337" i="1" s="1"/>
  <c r="BC290" i="1"/>
  <c r="BC305" i="1" s="1"/>
  <c r="BC337" i="1" s="1"/>
  <c r="BB290" i="1"/>
  <c r="BB305" i="1" s="1"/>
  <c r="BB337" i="1" s="1"/>
  <c r="BA290" i="1"/>
  <c r="BA305" i="1" s="1"/>
  <c r="BA337" i="1" s="1"/>
  <c r="AZ290" i="1"/>
  <c r="AZ305" i="1" s="1"/>
  <c r="AZ337" i="1" s="1"/>
  <c r="AY290" i="1"/>
  <c r="AY305" i="1" s="1"/>
  <c r="AY337" i="1" s="1"/>
  <c r="AX290" i="1"/>
  <c r="AX305" i="1" s="1"/>
  <c r="AX337" i="1" s="1"/>
  <c r="AW290" i="1"/>
  <c r="AW305" i="1" s="1"/>
  <c r="AW337" i="1" s="1"/>
  <c r="AV290" i="1"/>
  <c r="AV305" i="1" s="1"/>
  <c r="AV337" i="1" s="1"/>
  <c r="AU290" i="1"/>
  <c r="AU305" i="1" s="1"/>
  <c r="AU337" i="1" s="1"/>
  <c r="AT290" i="1"/>
  <c r="AT305" i="1" s="1"/>
  <c r="AT337" i="1" s="1"/>
  <c r="AS290" i="1"/>
  <c r="AS305" i="1" s="1"/>
  <c r="AS337" i="1" s="1"/>
  <c r="AR290" i="1"/>
  <c r="AR305" i="1" s="1"/>
  <c r="AR337" i="1" s="1"/>
  <c r="AQ290" i="1"/>
  <c r="AQ305" i="1" s="1"/>
  <c r="AQ337" i="1" s="1"/>
  <c r="AP290" i="1"/>
  <c r="AP305" i="1" s="1"/>
  <c r="AP337" i="1" s="1"/>
  <c r="AO290" i="1"/>
  <c r="AO305" i="1" s="1"/>
  <c r="AO337" i="1" s="1"/>
  <c r="AN290" i="1"/>
  <c r="AN305" i="1" s="1"/>
  <c r="AN337" i="1" s="1"/>
  <c r="AM290" i="1"/>
  <c r="AM305" i="1" s="1"/>
  <c r="AM337" i="1" s="1"/>
  <c r="AL290" i="1"/>
  <c r="AL305" i="1" s="1"/>
  <c r="AL337" i="1" s="1"/>
  <c r="AK290" i="1"/>
  <c r="AK305" i="1" s="1"/>
  <c r="AK337" i="1" s="1"/>
  <c r="AJ290" i="1"/>
  <c r="AJ305" i="1" s="1"/>
  <c r="AJ337" i="1" s="1"/>
  <c r="AI290" i="1"/>
  <c r="AI305" i="1" s="1"/>
  <c r="AI337" i="1" s="1"/>
  <c r="AH290" i="1"/>
  <c r="AH305" i="1" s="1"/>
  <c r="AH337" i="1" s="1"/>
  <c r="AG290" i="1"/>
  <c r="AG305" i="1" s="1"/>
  <c r="AG337" i="1" s="1"/>
  <c r="AF290" i="1"/>
  <c r="AF305" i="1" s="1"/>
  <c r="AF337" i="1" s="1"/>
  <c r="AE290" i="1"/>
  <c r="AE305" i="1" s="1"/>
  <c r="AE337" i="1" s="1"/>
  <c r="H290" i="1"/>
  <c r="BI289" i="1"/>
  <c r="BH289" i="1"/>
  <c r="BG289" i="1"/>
  <c r="BG304" i="1" s="1"/>
  <c r="BF289" i="1"/>
  <c r="BF304" i="1" s="1"/>
  <c r="BE289" i="1"/>
  <c r="BD289" i="1"/>
  <c r="BD304" i="1" s="1"/>
  <c r="BD336" i="1" s="1"/>
  <c r="BC289" i="1"/>
  <c r="BC304" i="1" s="1"/>
  <c r="BC336" i="1" s="1"/>
  <c r="BB289" i="1"/>
  <c r="BB304" i="1" s="1"/>
  <c r="BB336" i="1" s="1"/>
  <c r="BA289" i="1"/>
  <c r="BA304" i="1" s="1"/>
  <c r="BA336" i="1" s="1"/>
  <c r="AZ289" i="1"/>
  <c r="AZ304" i="1" s="1"/>
  <c r="AZ336" i="1" s="1"/>
  <c r="AY289" i="1"/>
  <c r="AY304" i="1" s="1"/>
  <c r="AY336" i="1" s="1"/>
  <c r="AX289" i="1"/>
  <c r="AX304" i="1" s="1"/>
  <c r="AX336" i="1" s="1"/>
  <c r="AW289" i="1"/>
  <c r="AW304" i="1" s="1"/>
  <c r="AV289" i="1"/>
  <c r="AV304" i="1" s="1"/>
  <c r="AV336" i="1" s="1"/>
  <c r="AU289" i="1"/>
  <c r="AU304" i="1" s="1"/>
  <c r="AU336" i="1" s="1"/>
  <c r="AT289" i="1"/>
  <c r="AT304" i="1" s="1"/>
  <c r="AT336" i="1" s="1"/>
  <c r="AS289" i="1"/>
  <c r="AS304" i="1" s="1"/>
  <c r="AS336" i="1" s="1"/>
  <c r="AR289" i="1"/>
  <c r="AR304" i="1" s="1"/>
  <c r="AR336" i="1" s="1"/>
  <c r="AQ289" i="1"/>
  <c r="AQ304" i="1" s="1"/>
  <c r="AQ336" i="1" s="1"/>
  <c r="AP289" i="1"/>
  <c r="AP304" i="1" s="1"/>
  <c r="AP336" i="1" s="1"/>
  <c r="AO289" i="1"/>
  <c r="AO304" i="1" s="1"/>
  <c r="AO336" i="1" s="1"/>
  <c r="AN289" i="1"/>
  <c r="AN304" i="1" s="1"/>
  <c r="AN336" i="1" s="1"/>
  <c r="AM289" i="1"/>
  <c r="AM304" i="1" s="1"/>
  <c r="AM336" i="1" s="1"/>
  <c r="AL289" i="1"/>
  <c r="AL304" i="1" s="1"/>
  <c r="AL336" i="1" s="1"/>
  <c r="AK289" i="1"/>
  <c r="AK304" i="1" s="1"/>
  <c r="AK336" i="1" s="1"/>
  <c r="AJ289" i="1"/>
  <c r="AJ304" i="1" s="1"/>
  <c r="AJ336" i="1" s="1"/>
  <c r="AI289" i="1"/>
  <c r="AI304" i="1" s="1"/>
  <c r="AI336" i="1" s="1"/>
  <c r="AH289" i="1"/>
  <c r="AH304" i="1" s="1"/>
  <c r="AH336" i="1" s="1"/>
  <c r="AG289" i="1"/>
  <c r="AG304" i="1" s="1"/>
  <c r="AG336" i="1" s="1"/>
  <c r="AF289" i="1"/>
  <c r="AF304" i="1" s="1"/>
  <c r="AF336" i="1" s="1"/>
  <c r="O289" i="1"/>
  <c r="C289" i="1"/>
  <c r="BI288" i="1"/>
  <c r="BH288" i="1"/>
  <c r="BH303" i="1" s="1"/>
  <c r="BH335" i="1" s="1"/>
  <c r="BG288" i="1"/>
  <c r="BF288" i="1"/>
  <c r="BF303" i="1" s="1"/>
  <c r="BE288" i="1"/>
  <c r="BE303" i="1" s="1"/>
  <c r="BD288" i="1"/>
  <c r="BD303" i="1" s="1"/>
  <c r="BD335" i="1" s="1"/>
  <c r="BC288" i="1"/>
  <c r="BC303" i="1" s="1"/>
  <c r="BC335" i="1" s="1"/>
  <c r="BB288" i="1"/>
  <c r="BB303" i="1" s="1"/>
  <c r="BB335" i="1" s="1"/>
  <c r="BA288" i="1"/>
  <c r="BA303" i="1" s="1"/>
  <c r="BA335" i="1" s="1"/>
  <c r="AZ288" i="1"/>
  <c r="AZ303" i="1" s="1"/>
  <c r="AZ335" i="1" s="1"/>
  <c r="AY288" i="1"/>
  <c r="AY303" i="1" s="1"/>
  <c r="AY335" i="1" s="1"/>
  <c r="AX288" i="1"/>
  <c r="AX303" i="1" s="1"/>
  <c r="AX335" i="1" s="1"/>
  <c r="AW288" i="1"/>
  <c r="AW303" i="1" s="1"/>
  <c r="AW335" i="1" s="1"/>
  <c r="AV288" i="1"/>
  <c r="AV303" i="1" s="1"/>
  <c r="AV335" i="1" s="1"/>
  <c r="AU288" i="1"/>
  <c r="AU303" i="1" s="1"/>
  <c r="AU335" i="1" s="1"/>
  <c r="AT288" i="1"/>
  <c r="AT303" i="1" s="1"/>
  <c r="AT335" i="1" s="1"/>
  <c r="AS288" i="1"/>
  <c r="AS303" i="1" s="1"/>
  <c r="AS335" i="1" s="1"/>
  <c r="AR288" i="1"/>
  <c r="AR303" i="1" s="1"/>
  <c r="AR335" i="1" s="1"/>
  <c r="AQ288" i="1"/>
  <c r="AQ303" i="1" s="1"/>
  <c r="AQ335" i="1" s="1"/>
  <c r="AP288" i="1"/>
  <c r="AP303" i="1" s="1"/>
  <c r="AP335" i="1" s="1"/>
  <c r="AO288" i="1"/>
  <c r="AO303" i="1" s="1"/>
  <c r="AO335" i="1" s="1"/>
  <c r="AN288" i="1"/>
  <c r="AN303" i="1" s="1"/>
  <c r="AN335" i="1" s="1"/>
  <c r="AM288" i="1"/>
  <c r="AM303" i="1" s="1"/>
  <c r="AM335" i="1" s="1"/>
  <c r="AL288" i="1"/>
  <c r="AL303" i="1" s="1"/>
  <c r="AK288" i="1"/>
  <c r="AK303" i="1" s="1"/>
  <c r="AJ288" i="1"/>
  <c r="AJ303" i="1" s="1"/>
  <c r="AJ335" i="1" s="1"/>
  <c r="AI288" i="1"/>
  <c r="AI303" i="1" s="1"/>
  <c r="AI335" i="1" s="1"/>
  <c r="AH288" i="1"/>
  <c r="AH303" i="1" s="1"/>
  <c r="AH335" i="1" s="1"/>
  <c r="AG288" i="1"/>
  <c r="AG303" i="1" s="1"/>
  <c r="AG335" i="1" s="1"/>
  <c r="AF288" i="1"/>
  <c r="AF303" i="1" s="1"/>
  <c r="AF335" i="1" s="1"/>
  <c r="J288" i="1"/>
  <c r="I288" i="1"/>
  <c r="H288" i="1"/>
  <c r="G288" i="1"/>
  <c r="F288" i="1"/>
  <c r="E288" i="1"/>
  <c r="D288" i="1"/>
  <c r="C288" i="1"/>
  <c r="BI287" i="1"/>
  <c r="BH287" i="1"/>
  <c r="BG287" i="1"/>
  <c r="BG302" i="1" s="1"/>
  <c r="BF287" i="1"/>
  <c r="BF302" i="1" s="1"/>
  <c r="BE287" i="1"/>
  <c r="BD287" i="1"/>
  <c r="BC287" i="1"/>
  <c r="BC302" i="1" s="1"/>
  <c r="BC334" i="1" s="1"/>
  <c r="BB287" i="1"/>
  <c r="BB302" i="1" s="1"/>
  <c r="BB334" i="1" s="1"/>
  <c r="BA287" i="1"/>
  <c r="BA302" i="1" s="1"/>
  <c r="BA334" i="1" s="1"/>
  <c r="AZ287" i="1"/>
  <c r="AZ302" i="1" s="1"/>
  <c r="AZ334" i="1" s="1"/>
  <c r="AY287" i="1"/>
  <c r="AY302" i="1" s="1"/>
  <c r="AY334" i="1" s="1"/>
  <c r="AX287" i="1"/>
  <c r="AX302" i="1" s="1"/>
  <c r="AX334" i="1" s="1"/>
  <c r="AW287" i="1"/>
  <c r="AW302" i="1" s="1"/>
  <c r="AV287" i="1"/>
  <c r="AV302" i="1" s="1"/>
  <c r="AV334" i="1" s="1"/>
  <c r="AU287" i="1"/>
  <c r="AU302" i="1" s="1"/>
  <c r="AU334" i="1" s="1"/>
  <c r="AT287" i="1"/>
  <c r="AT302" i="1" s="1"/>
  <c r="AT334" i="1" s="1"/>
  <c r="AS287" i="1"/>
  <c r="AS302" i="1" s="1"/>
  <c r="AS334" i="1" s="1"/>
  <c r="AR287" i="1"/>
  <c r="AR302" i="1" s="1"/>
  <c r="AR334" i="1" s="1"/>
  <c r="AQ287" i="1"/>
  <c r="AQ302" i="1" s="1"/>
  <c r="AQ334" i="1" s="1"/>
  <c r="AP287" i="1"/>
  <c r="AP302" i="1" s="1"/>
  <c r="AP334" i="1" s="1"/>
  <c r="AO287" i="1"/>
  <c r="AO302" i="1" s="1"/>
  <c r="AO334" i="1" s="1"/>
  <c r="AN287" i="1"/>
  <c r="AN302" i="1" s="1"/>
  <c r="AN334" i="1" s="1"/>
  <c r="AM287" i="1"/>
  <c r="AM302" i="1" s="1"/>
  <c r="AM334" i="1" s="1"/>
  <c r="AL287" i="1"/>
  <c r="AL302" i="1" s="1"/>
  <c r="AL334" i="1" s="1"/>
  <c r="AK287" i="1"/>
  <c r="AK302" i="1" s="1"/>
  <c r="AK334" i="1" s="1"/>
  <c r="AJ287" i="1"/>
  <c r="AJ302" i="1" s="1"/>
  <c r="AJ334" i="1" s="1"/>
  <c r="AI287" i="1"/>
  <c r="AI302" i="1" s="1"/>
  <c r="AI334" i="1" s="1"/>
  <c r="AH287" i="1"/>
  <c r="AH302" i="1" s="1"/>
  <c r="AH334" i="1" s="1"/>
  <c r="AG287" i="1"/>
  <c r="AG302" i="1" s="1"/>
  <c r="AG334" i="1" s="1"/>
  <c r="AF287" i="1"/>
  <c r="AF302" i="1" s="1"/>
  <c r="AF334" i="1" s="1"/>
  <c r="Q287" i="1"/>
  <c r="Q302" i="1" s="1"/>
  <c r="P287" i="1"/>
  <c r="P302" i="1" s="1"/>
  <c r="P334" i="1" s="1"/>
  <c r="H287" i="1"/>
  <c r="G287" i="1"/>
  <c r="F287" i="1"/>
  <c r="C287" i="1"/>
  <c r="BI286" i="1"/>
  <c r="BH286" i="1"/>
  <c r="BH301" i="1" s="1"/>
  <c r="BH333" i="1" s="1"/>
  <c r="BG286" i="1"/>
  <c r="BG301" i="1" s="1"/>
  <c r="BF286" i="1"/>
  <c r="BF301" i="1" s="1"/>
  <c r="BE286" i="1"/>
  <c r="BD286" i="1"/>
  <c r="BD301" i="1" s="1"/>
  <c r="BD333" i="1" s="1"/>
  <c r="BC286" i="1"/>
  <c r="BC301" i="1" s="1"/>
  <c r="BC333" i="1" s="1"/>
  <c r="BB286" i="1"/>
  <c r="BB301" i="1" s="1"/>
  <c r="BB333" i="1" s="1"/>
  <c r="BA286" i="1"/>
  <c r="BA301" i="1" s="1"/>
  <c r="BA333" i="1" s="1"/>
  <c r="AZ286" i="1"/>
  <c r="AZ301" i="1" s="1"/>
  <c r="AZ333" i="1" s="1"/>
  <c r="AY286" i="1"/>
  <c r="AY301" i="1" s="1"/>
  <c r="AY333" i="1" s="1"/>
  <c r="AX286" i="1"/>
  <c r="AX301" i="1" s="1"/>
  <c r="AX333" i="1" s="1"/>
  <c r="AW286" i="1"/>
  <c r="AW301" i="1" s="1"/>
  <c r="AW333" i="1" s="1"/>
  <c r="AV286" i="1"/>
  <c r="AV301" i="1" s="1"/>
  <c r="AV333" i="1" s="1"/>
  <c r="AU286" i="1"/>
  <c r="AU301" i="1" s="1"/>
  <c r="AU333" i="1" s="1"/>
  <c r="AT286" i="1"/>
  <c r="AT301" i="1" s="1"/>
  <c r="AT333" i="1" s="1"/>
  <c r="AS286" i="1"/>
  <c r="AS301" i="1" s="1"/>
  <c r="AS333" i="1" s="1"/>
  <c r="AR286" i="1"/>
  <c r="AR301" i="1" s="1"/>
  <c r="AR333" i="1" s="1"/>
  <c r="AQ286" i="1"/>
  <c r="AQ301" i="1" s="1"/>
  <c r="AQ333" i="1" s="1"/>
  <c r="AP286" i="1"/>
  <c r="AP301" i="1" s="1"/>
  <c r="AP333" i="1" s="1"/>
  <c r="AO286" i="1"/>
  <c r="AO301" i="1" s="1"/>
  <c r="AO333" i="1" s="1"/>
  <c r="AN286" i="1"/>
  <c r="AN301" i="1" s="1"/>
  <c r="AN333" i="1" s="1"/>
  <c r="AM286" i="1"/>
  <c r="AM301" i="1" s="1"/>
  <c r="AM333" i="1" s="1"/>
  <c r="AL286" i="1"/>
  <c r="AL301" i="1" s="1"/>
  <c r="AL333" i="1" s="1"/>
  <c r="AK286" i="1"/>
  <c r="AK301" i="1" s="1"/>
  <c r="AK333" i="1" s="1"/>
  <c r="AJ286" i="1"/>
  <c r="AJ301" i="1" s="1"/>
  <c r="AJ333" i="1" s="1"/>
  <c r="AI286" i="1"/>
  <c r="AI301" i="1" s="1"/>
  <c r="AI333" i="1" s="1"/>
  <c r="AH286" i="1"/>
  <c r="AH301" i="1" s="1"/>
  <c r="AH333" i="1" s="1"/>
  <c r="AG286" i="1"/>
  <c r="AG301" i="1" s="1"/>
  <c r="AG333" i="1" s="1"/>
  <c r="AF286" i="1"/>
  <c r="AF301" i="1" s="1"/>
  <c r="AF333" i="1" s="1"/>
  <c r="P286" i="1"/>
  <c r="P301" i="1" s="1"/>
  <c r="P333" i="1" s="1"/>
  <c r="O286" i="1"/>
  <c r="O301" i="1" s="1"/>
  <c r="O333" i="1" s="1"/>
  <c r="N286" i="1"/>
  <c r="K286" i="1"/>
  <c r="J286" i="1"/>
  <c r="BI285" i="1"/>
  <c r="BH285" i="1"/>
  <c r="BG285" i="1"/>
  <c r="BF285" i="1"/>
  <c r="BF300" i="1" s="1"/>
  <c r="BE285" i="1"/>
  <c r="BD285" i="1"/>
  <c r="BC285" i="1"/>
  <c r="BC300" i="1" s="1"/>
  <c r="BC332" i="1" s="1"/>
  <c r="BB285" i="1"/>
  <c r="BB300" i="1" s="1"/>
  <c r="BB332" i="1" s="1"/>
  <c r="BA285" i="1"/>
  <c r="BA300" i="1" s="1"/>
  <c r="BA332" i="1" s="1"/>
  <c r="AZ285" i="1"/>
  <c r="AZ300" i="1" s="1"/>
  <c r="AZ332" i="1" s="1"/>
  <c r="AY285" i="1"/>
  <c r="AY300" i="1" s="1"/>
  <c r="AY332" i="1" s="1"/>
  <c r="AX285" i="1"/>
  <c r="AX300" i="1" s="1"/>
  <c r="AX332" i="1" s="1"/>
  <c r="AW285" i="1"/>
  <c r="AW300" i="1" s="1"/>
  <c r="AW332" i="1" s="1"/>
  <c r="AV285" i="1"/>
  <c r="AV300" i="1" s="1"/>
  <c r="AV332" i="1" s="1"/>
  <c r="AU285" i="1"/>
  <c r="AU300" i="1" s="1"/>
  <c r="AU332" i="1" s="1"/>
  <c r="AT285" i="1"/>
  <c r="AT300" i="1" s="1"/>
  <c r="AT332" i="1" s="1"/>
  <c r="AS285" i="1"/>
  <c r="AS300" i="1" s="1"/>
  <c r="AS332" i="1" s="1"/>
  <c r="AR285" i="1"/>
  <c r="AR300" i="1" s="1"/>
  <c r="AR332" i="1" s="1"/>
  <c r="AQ285" i="1"/>
  <c r="AQ300" i="1" s="1"/>
  <c r="AQ332" i="1" s="1"/>
  <c r="AP285" i="1"/>
  <c r="AP300" i="1" s="1"/>
  <c r="AP332" i="1" s="1"/>
  <c r="AO285" i="1"/>
  <c r="AO300" i="1" s="1"/>
  <c r="AO332" i="1" s="1"/>
  <c r="AN285" i="1"/>
  <c r="AN300" i="1" s="1"/>
  <c r="AN332" i="1" s="1"/>
  <c r="AM285" i="1"/>
  <c r="AM300" i="1" s="1"/>
  <c r="AM332" i="1" s="1"/>
  <c r="AL285" i="1"/>
  <c r="AL300" i="1" s="1"/>
  <c r="AL332" i="1" s="1"/>
  <c r="AK285" i="1"/>
  <c r="AK300" i="1" s="1"/>
  <c r="AK332" i="1" s="1"/>
  <c r="AJ285" i="1"/>
  <c r="AJ300" i="1" s="1"/>
  <c r="AJ332" i="1" s="1"/>
  <c r="AI285" i="1"/>
  <c r="AI300" i="1" s="1"/>
  <c r="AI332" i="1" s="1"/>
  <c r="AH285" i="1"/>
  <c r="AH300" i="1" s="1"/>
  <c r="AH332" i="1" s="1"/>
  <c r="AG285" i="1"/>
  <c r="AG300" i="1" s="1"/>
  <c r="AG332" i="1" s="1"/>
  <c r="AF285" i="1"/>
  <c r="AF300" i="1" s="1"/>
  <c r="AF332" i="1" s="1"/>
  <c r="E285" i="1"/>
  <c r="D285" i="1"/>
  <c r="BI284" i="1"/>
  <c r="BH284" i="1"/>
  <c r="BH299" i="1" s="1"/>
  <c r="BH331" i="1" s="1"/>
  <c r="BG284" i="1"/>
  <c r="BF284" i="1"/>
  <c r="BF299" i="1" s="1"/>
  <c r="BE284" i="1"/>
  <c r="BE299" i="1" s="1"/>
  <c r="BD284" i="1"/>
  <c r="BD299" i="1" s="1"/>
  <c r="BC284" i="1"/>
  <c r="BC299" i="1" s="1"/>
  <c r="BB284" i="1"/>
  <c r="BB299" i="1" s="1"/>
  <c r="BA284" i="1"/>
  <c r="AZ284" i="1"/>
  <c r="AZ299" i="1" s="1"/>
  <c r="AY284" i="1"/>
  <c r="AX284" i="1"/>
  <c r="AX299" i="1" s="1"/>
  <c r="AW284" i="1"/>
  <c r="AW299" i="1" s="1"/>
  <c r="AV284" i="1"/>
  <c r="AV299" i="1" s="1"/>
  <c r="AU284" i="1"/>
  <c r="AU299" i="1" s="1"/>
  <c r="AT284" i="1"/>
  <c r="AT299" i="1" s="1"/>
  <c r="AT331" i="1" s="1"/>
  <c r="AS284" i="1"/>
  <c r="AS299" i="1" s="1"/>
  <c r="AS331" i="1" s="1"/>
  <c r="AR284" i="1"/>
  <c r="AR299" i="1" s="1"/>
  <c r="AR331" i="1" s="1"/>
  <c r="AQ284" i="1"/>
  <c r="AQ299" i="1" s="1"/>
  <c r="AQ331" i="1" s="1"/>
  <c r="AP284" i="1"/>
  <c r="AP299" i="1" s="1"/>
  <c r="AO284" i="1"/>
  <c r="AN284" i="1"/>
  <c r="AN299" i="1" s="1"/>
  <c r="AM284" i="1"/>
  <c r="AM299" i="1" s="1"/>
  <c r="AL284" i="1"/>
  <c r="AL299" i="1" s="1"/>
  <c r="AK284" i="1"/>
  <c r="AK299" i="1" s="1"/>
  <c r="AJ284" i="1"/>
  <c r="AJ299" i="1" s="1"/>
  <c r="AJ331" i="1" s="1"/>
  <c r="AI284" i="1"/>
  <c r="AI299" i="1" s="1"/>
  <c r="AH284" i="1"/>
  <c r="AG284" i="1"/>
  <c r="AG299" i="1" s="1"/>
  <c r="AF284" i="1"/>
  <c r="AF299" i="1" s="1"/>
  <c r="P284" i="1"/>
  <c r="P299" i="1" s="1"/>
  <c r="M284" i="1"/>
  <c r="M299" i="1" s="1"/>
  <c r="L284" i="1"/>
  <c r="E284" i="1"/>
  <c r="C284" i="1"/>
  <c r="BI283" i="1"/>
  <c r="BH283" i="1"/>
  <c r="BG283" i="1"/>
  <c r="BF310" i="1" s="1"/>
  <c r="BF283" i="1"/>
  <c r="BE310" i="1" s="1"/>
  <c r="BE342" i="1" s="1"/>
  <c r="BE283" i="1"/>
  <c r="BD310" i="1" s="1"/>
  <c r="BD342" i="1" s="1"/>
  <c r="BD283" i="1"/>
  <c r="BC310" i="1" s="1"/>
  <c r="BC342" i="1" s="1"/>
  <c r="BC283" i="1"/>
  <c r="BB283" i="1"/>
  <c r="BA283" i="1"/>
  <c r="AZ310" i="1" s="1"/>
  <c r="AZ342" i="1" s="1"/>
  <c r="AZ283" i="1"/>
  <c r="AY283" i="1"/>
  <c r="AX283" i="1"/>
  <c r="AW283" i="1"/>
  <c r="AV310" i="1" s="1"/>
  <c r="AV342" i="1" s="1"/>
  <c r="AV283" i="1"/>
  <c r="AU283" i="1"/>
  <c r="AT283" i="1"/>
  <c r="AS283" i="1"/>
  <c r="AR283" i="1"/>
  <c r="AQ283" i="1"/>
  <c r="AP283" i="1"/>
  <c r="AO283" i="1"/>
  <c r="AN310" i="1" s="1"/>
  <c r="AN342" i="1" s="1"/>
  <c r="AN283" i="1"/>
  <c r="AM283" i="1"/>
  <c r="AL283" i="1"/>
  <c r="AK283" i="1"/>
  <c r="AJ310" i="1" s="1"/>
  <c r="AJ342" i="1" s="1"/>
  <c r="AJ283" i="1"/>
  <c r="AI310" i="1" s="1"/>
  <c r="AI342" i="1" s="1"/>
  <c r="AI283" i="1"/>
  <c r="AH310" i="1" s="1"/>
  <c r="AH342" i="1" s="1"/>
  <c r="AH283" i="1"/>
  <c r="AG310" i="1" s="1"/>
  <c r="AG342" i="1" s="1"/>
  <c r="AG283" i="1"/>
  <c r="AF283" i="1"/>
  <c r="AE310" i="1" s="1"/>
  <c r="AE342" i="1" s="1"/>
  <c r="P283" i="1"/>
  <c r="O310" i="1" s="1"/>
  <c r="O342" i="1" s="1"/>
  <c r="L283" i="1"/>
  <c r="K283" i="1"/>
  <c r="J283" i="1"/>
  <c r="G283" i="1"/>
  <c r="F283" i="1"/>
  <c r="E283" i="1"/>
  <c r="D283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BO276" i="1"/>
  <c r="BJ274" i="1"/>
  <c r="BO273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AQ262" i="1"/>
  <c r="AO262" i="1"/>
  <c r="AN262" i="1"/>
  <c r="AM262" i="1"/>
  <c r="AK262" i="1"/>
  <c r="AC260" i="1"/>
  <c r="X260" i="1"/>
  <c r="U260" i="1"/>
  <c r="AA259" i="1"/>
  <c r="Z259" i="1"/>
  <c r="BB258" i="1"/>
  <c r="BA258" i="1"/>
  <c r="AZ258" i="1"/>
  <c r="AT258" i="1"/>
  <c r="BF257" i="1"/>
  <c r="BE257" i="1"/>
  <c r="AJ257" i="1"/>
  <c r="BE256" i="1"/>
  <c r="BD256" i="1"/>
  <c r="BI255" i="1"/>
  <c r="BH255" i="1"/>
  <c r="BD255" i="1"/>
  <c r="BC255" i="1"/>
  <c r="X255" i="1"/>
  <c r="AH253" i="1"/>
  <c r="AG253" i="1"/>
  <c r="Z253" i="1"/>
  <c r="Y253" i="1"/>
  <c r="AG252" i="1"/>
  <c r="AE252" i="1"/>
  <c r="AA252" i="1"/>
  <c r="Z252" i="1"/>
  <c r="W252" i="1"/>
  <c r="V252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AG247" i="1"/>
  <c r="AG263" i="1" s="1"/>
  <c r="AB247" i="1"/>
  <c r="AA247" i="1"/>
  <c r="Z247" i="1"/>
  <c r="L247" i="1"/>
  <c r="K247" i="1"/>
  <c r="J247" i="1"/>
  <c r="I247" i="1"/>
  <c r="H247" i="1"/>
  <c r="G247" i="1"/>
  <c r="F247" i="1"/>
  <c r="F263" i="1" s="1"/>
  <c r="E247" i="1"/>
  <c r="D247" i="1"/>
  <c r="C247" i="1"/>
  <c r="BH246" i="1"/>
  <c r="BG246" i="1"/>
  <c r="BG262" i="1" s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N261" i="1" s="1"/>
  <c r="AM245" i="1"/>
  <c r="AM261" i="1" s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V260" i="1" s="1"/>
  <c r="AU244" i="1"/>
  <c r="AU260" i="1" s="1"/>
  <c r="AT244" i="1"/>
  <c r="AS244" i="1"/>
  <c r="AS260" i="1" s="1"/>
  <c r="AR244" i="1"/>
  <c r="AQ244" i="1"/>
  <c r="AQ260" i="1" s="1"/>
  <c r="AP244" i="1"/>
  <c r="AP260" i="1" s="1"/>
  <c r="AO244" i="1"/>
  <c r="AO260" i="1" s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Y260" i="1" s="1"/>
  <c r="X244" i="1"/>
  <c r="W244" i="1"/>
  <c r="W260" i="1" s="1"/>
  <c r="V244" i="1"/>
  <c r="U244" i="1"/>
  <c r="T244" i="1"/>
  <c r="T260" i="1" s="1"/>
  <c r="S244" i="1"/>
  <c r="R244" i="1"/>
  <c r="Q244" i="1"/>
  <c r="P244" i="1"/>
  <c r="O244" i="1"/>
  <c r="N244" i="1"/>
  <c r="M244" i="1"/>
  <c r="BI243" i="1"/>
  <c r="BH243" i="1"/>
  <c r="BG243" i="1"/>
  <c r="BF243" i="1"/>
  <c r="BE243" i="1"/>
  <c r="BD243" i="1"/>
  <c r="BC243" i="1"/>
  <c r="BC259" i="1" s="1"/>
  <c r="BB243" i="1"/>
  <c r="BB259" i="1" s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M259" i="1" s="1"/>
  <c r="AL243" i="1"/>
  <c r="AK243" i="1"/>
  <c r="AJ243" i="1"/>
  <c r="AI243" i="1"/>
  <c r="AH243" i="1"/>
  <c r="AH259" i="1" s="1"/>
  <c r="AG243" i="1"/>
  <c r="AG259" i="1" s="1"/>
  <c r="AF243" i="1"/>
  <c r="AF259" i="1" s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BI242" i="1"/>
  <c r="BI258" i="1" s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R258" i="1" s="1"/>
  <c r="AQ242" i="1"/>
  <c r="AP242" i="1"/>
  <c r="AO242" i="1"/>
  <c r="AN242" i="1"/>
  <c r="AM242" i="1"/>
  <c r="AM258" i="1" s="1"/>
  <c r="AL242" i="1"/>
  <c r="AL258" i="1" s="1"/>
  <c r="AK242" i="1"/>
  <c r="AK258" i="1" s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BI241" i="1"/>
  <c r="BH241" i="1"/>
  <c r="BG241" i="1"/>
  <c r="BF241" i="1"/>
  <c r="BE241" i="1"/>
  <c r="BD241" i="1"/>
  <c r="BC241" i="1"/>
  <c r="BB241" i="1"/>
  <c r="BA241" i="1"/>
  <c r="AZ241" i="1"/>
  <c r="AY241" i="1"/>
  <c r="AY257" i="1" s="1"/>
  <c r="AX241" i="1"/>
  <c r="AX257" i="1" s="1"/>
  <c r="AW241" i="1"/>
  <c r="AW257" i="1" s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C257" i="1" s="1"/>
  <c r="AB241" i="1"/>
  <c r="AB257" i="1" s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T256" i="1" s="1"/>
  <c r="AS240" i="1"/>
  <c r="AR240" i="1"/>
  <c r="AQ240" i="1"/>
  <c r="AP240" i="1"/>
  <c r="AO240" i="1"/>
  <c r="AO256" i="1" s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X256" i="1" s="1"/>
  <c r="W240" i="1"/>
  <c r="V240" i="1"/>
  <c r="U240" i="1"/>
  <c r="T240" i="1"/>
  <c r="T256" i="1" s="1"/>
  <c r="S240" i="1"/>
  <c r="R240" i="1"/>
  <c r="Q240" i="1"/>
  <c r="P240" i="1"/>
  <c r="O240" i="1"/>
  <c r="N240" i="1"/>
  <c r="M240" i="1"/>
  <c r="BL239" i="1"/>
  <c r="BK239" i="1"/>
  <c r="BJ239" i="1"/>
  <c r="BI239" i="1"/>
  <c r="BH239" i="1"/>
  <c r="BN239" i="1" s="1"/>
  <c r="BG239" i="1"/>
  <c r="BF239" i="1"/>
  <c r="BE239" i="1"/>
  <c r="BD239" i="1"/>
  <c r="BC239" i="1"/>
  <c r="BB239" i="1"/>
  <c r="BA239" i="1"/>
  <c r="AZ239" i="1"/>
  <c r="AZ255" i="1" s="1"/>
  <c r="AY239" i="1"/>
  <c r="AY255" i="1" s="1"/>
  <c r="AX239" i="1"/>
  <c r="AW239" i="1"/>
  <c r="AV239" i="1"/>
  <c r="AV255" i="1" s="1"/>
  <c r="AU239" i="1"/>
  <c r="AU255" i="1" s="1"/>
  <c r="AT239" i="1"/>
  <c r="AS239" i="1"/>
  <c r="AR239" i="1"/>
  <c r="AQ239" i="1"/>
  <c r="AP239" i="1"/>
  <c r="AO239" i="1"/>
  <c r="AO255" i="1" s="1"/>
  <c r="AN239" i="1"/>
  <c r="AM239" i="1"/>
  <c r="AL239" i="1"/>
  <c r="AK239" i="1"/>
  <c r="AJ239" i="1"/>
  <c r="AI239" i="1"/>
  <c r="AH239" i="1"/>
  <c r="AG239" i="1"/>
  <c r="AF239" i="1"/>
  <c r="AE239" i="1"/>
  <c r="AD239" i="1"/>
  <c r="AD255" i="1" s="1"/>
  <c r="AC239" i="1"/>
  <c r="AB239" i="1"/>
  <c r="AA239" i="1"/>
  <c r="Z239" i="1"/>
  <c r="Z255" i="1" s="1"/>
  <c r="Y239" i="1"/>
  <c r="Y255" i="1" s="1"/>
  <c r="X239" i="1"/>
  <c r="W239" i="1"/>
  <c r="W255" i="1" s="1"/>
  <c r="V239" i="1"/>
  <c r="U239" i="1"/>
  <c r="T239" i="1"/>
  <c r="S239" i="1"/>
  <c r="R239" i="1"/>
  <c r="Q239" i="1"/>
  <c r="P239" i="1"/>
  <c r="O239" i="1"/>
  <c r="N239" i="1"/>
  <c r="M239" i="1"/>
  <c r="BI238" i="1"/>
  <c r="BH238" i="1"/>
  <c r="BG238" i="1"/>
  <c r="BF238" i="1"/>
  <c r="BE238" i="1"/>
  <c r="BD238" i="1"/>
  <c r="BC238" i="1"/>
  <c r="BB238" i="1"/>
  <c r="BB254" i="1" s="1"/>
  <c r="BA238" i="1"/>
  <c r="BA254" i="1" s="1"/>
  <c r="AZ238" i="1"/>
  <c r="AZ254" i="1" s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M254" i="1" s="1"/>
  <c r="AL238" i="1"/>
  <c r="AK238" i="1"/>
  <c r="AJ238" i="1"/>
  <c r="AJ254" i="1" s="1"/>
  <c r="AI238" i="1"/>
  <c r="AH238" i="1"/>
  <c r="AH254" i="1" s="1"/>
  <c r="AG238" i="1"/>
  <c r="AF238" i="1"/>
  <c r="AF254" i="1" s="1"/>
  <c r="AE238" i="1"/>
  <c r="AE254" i="1" s="1"/>
  <c r="AD238" i="1"/>
  <c r="AD254" i="1" s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BI237" i="1"/>
  <c r="BH237" i="1"/>
  <c r="BG237" i="1"/>
  <c r="BF237" i="1"/>
  <c r="BE237" i="1"/>
  <c r="BK237" i="1" s="1"/>
  <c r="BD237" i="1"/>
  <c r="BC237" i="1"/>
  <c r="BB237" i="1"/>
  <c r="BB253" i="1" s="1"/>
  <c r="BA237" i="1"/>
  <c r="AZ237" i="1"/>
  <c r="AY237" i="1"/>
  <c r="AX237" i="1"/>
  <c r="AW237" i="1"/>
  <c r="AV237" i="1"/>
  <c r="AV253" i="1" s="1"/>
  <c r="AU237" i="1"/>
  <c r="AU253" i="1" s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F253" i="1" s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R252" i="1" s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T252" i="1" s="1"/>
  <c r="S236" i="1"/>
  <c r="R236" i="1"/>
  <c r="Q236" i="1"/>
  <c r="P236" i="1"/>
  <c r="O236" i="1"/>
  <c r="N236" i="1"/>
  <c r="M236" i="1"/>
  <c r="BI235" i="1"/>
  <c r="BH235" i="1"/>
  <c r="BG235" i="1"/>
  <c r="BF235" i="1"/>
  <c r="BE235" i="1"/>
  <c r="BJ235" i="1" s="1"/>
  <c r="BD235" i="1"/>
  <c r="BC235" i="1"/>
  <c r="BB235" i="1"/>
  <c r="BA235" i="1"/>
  <c r="AZ235" i="1"/>
  <c r="AY235" i="1"/>
  <c r="AX235" i="1"/>
  <c r="AW235" i="1"/>
  <c r="AV235" i="1"/>
  <c r="AU235" i="1"/>
  <c r="AU251" i="1" s="1"/>
  <c r="AT235" i="1"/>
  <c r="AT251" i="1" s="1"/>
  <c r="AS235" i="1"/>
  <c r="AR235" i="1"/>
  <c r="AQ235" i="1"/>
  <c r="AP235" i="1"/>
  <c r="AO235" i="1"/>
  <c r="AN235" i="1"/>
  <c r="AM235" i="1"/>
  <c r="AL235" i="1"/>
  <c r="AK235" i="1"/>
  <c r="AJ235" i="1"/>
  <c r="AJ251" i="1" s="1"/>
  <c r="AI235" i="1"/>
  <c r="AI251" i="1" s="1"/>
  <c r="AH235" i="1"/>
  <c r="AG235" i="1"/>
  <c r="AF235" i="1"/>
  <c r="AE235" i="1"/>
  <c r="AD235" i="1"/>
  <c r="AC235" i="1"/>
  <c r="AB235" i="1"/>
  <c r="AA235" i="1"/>
  <c r="Z235" i="1"/>
  <c r="Y235" i="1"/>
  <c r="Y251" i="1" s="1"/>
  <c r="X235" i="1"/>
  <c r="X251" i="1" s="1"/>
  <c r="W235" i="1"/>
  <c r="V235" i="1"/>
  <c r="U235" i="1"/>
  <c r="T235" i="1"/>
  <c r="S235" i="1"/>
  <c r="R235" i="1"/>
  <c r="Q235" i="1"/>
  <c r="P235" i="1"/>
  <c r="O235" i="1"/>
  <c r="N235" i="1"/>
  <c r="M235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L230" i="1"/>
  <c r="K230" i="1"/>
  <c r="K310" i="1" s="1"/>
  <c r="K342" i="1" s="1"/>
  <c r="F230" i="1"/>
  <c r="E230" i="1"/>
  <c r="D230" i="1"/>
  <c r="C230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L229" i="1"/>
  <c r="G229" i="1"/>
  <c r="F229" i="1"/>
  <c r="E229" i="1"/>
  <c r="D229" i="1"/>
  <c r="C229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L228" i="1"/>
  <c r="H228" i="1"/>
  <c r="G228" i="1"/>
  <c r="F228" i="1"/>
  <c r="E228" i="1"/>
  <c r="D228" i="1"/>
  <c r="C228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I227" i="1"/>
  <c r="H227" i="1"/>
  <c r="G227" i="1"/>
  <c r="F227" i="1"/>
  <c r="E227" i="1"/>
  <c r="C227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K226" i="1"/>
  <c r="J226" i="1"/>
  <c r="I226" i="1"/>
  <c r="H226" i="1"/>
  <c r="G226" i="1"/>
  <c r="F226" i="1"/>
  <c r="E226" i="1"/>
  <c r="D226" i="1"/>
  <c r="C226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L225" i="1"/>
  <c r="K225" i="1"/>
  <c r="J225" i="1"/>
  <c r="I225" i="1"/>
  <c r="H225" i="1"/>
  <c r="G225" i="1"/>
  <c r="F225" i="1"/>
  <c r="E225" i="1"/>
  <c r="D225" i="1"/>
  <c r="C225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L224" i="1"/>
  <c r="K224" i="1"/>
  <c r="J224" i="1"/>
  <c r="I224" i="1"/>
  <c r="H224" i="1"/>
  <c r="G224" i="1"/>
  <c r="F224" i="1"/>
  <c r="E224" i="1"/>
  <c r="D224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L223" i="1"/>
  <c r="K223" i="1"/>
  <c r="J223" i="1"/>
  <c r="I223" i="1"/>
  <c r="H223" i="1"/>
  <c r="G223" i="1"/>
  <c r="F223" i="1"/>
  <c r="E223" i="1"/>
  <c r="D223" i="1"/>
  <c r="C223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L222" i="1"/>
  <c r="K222" i="1"/>
  <c r="J222" i="1"/>
  <c r="I222" i="1"/>
  <c r="H222" i="1"/>
  <c r="H302" i="1" s="1"/>
  <c r="H334" i="1" s="1"/>
  <c r="G222" i="1"/>
  <c r="G302" i="1" s="1"/>
  <c r="G334" i="1" s="1"/>
  <c r="F222" i="1"/>
  <c r="C222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D231" i="1" s="1"/>
  <c r="CC221" i="1"/>
  <c r="CB221" i="1"/>
  <c r="CA221" i="1"/>
  <c r="BZ221" i="1"/>
  <c r="BY221" i="1"/>
  <c r="BY231" i="1" s="1"/>
  <c r="BX221" i="1"/>
  <c r="BX231" i="1" s="1"/>
  <c r="BW221" i="1"/>
  <c r="BV221" i="1"/>
  <c r="L221" i="1"/>
  <c r="K221" i="1"/>
  <c r="J221" i="1"/>
  <c r="I221" i="1"/>
  <c r="F221" i="1"/>
  <c r="E221" i="1"/>
  <c r="D221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L220" i="1"/>
  <c r="I220" i="1"/>
  <c r="H220" i="1"/>
  <c r="G220" i="1"/>
  <c r="D220" i="1"/>
  <c r="D300" i="1" s="1"/>
  <c r="D332" i="1" s="1"/>
  <c r="C220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V231" i="1" s="1"/>
  <c r="L219" i="1"/>
  <c r="K219" i="1"/>
  <c r="J219" i="1"/>
  <c r="G219" i="1"/>
  <c r="F219" i="1"/>
  <c r="E219" i="1"/>
  <c r="D219" i="1"/>
  <c r="C219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L198" i="1"/>
  <c r="K198" i="1"/>
  <c r="J198" i="1"/>
  <c r="I198" i="1"/>
  <c r="H198" i="1"/>
  <c r="G198" i="1"/>
  <c r="F198" i="1"/>
  <c r="E198" i="1"/>
  <c r="D198" i="1"/>
  <c r="C198" i="1"/>
  <c r="L197" i="1"/>
  <c r="K197" i="1"/>
  <c r="J197" i="1"/>
  <c r="I197" i="1"/>
  <c r="H197" i="1"/>
  <c r="G197" i="1"/>
  <c r="F197" i="1"/>
  <c r="E197" i="1"/>
  <c r="D197" i="1"/>
  <c r="C197" i="1"/>
  <c r="L196" i="1"/>
  <c r="K196" i="1"/>
  <c r="J196" i="1"/>
  <c r="I196" i="1"/>
  <c r="H196" i="1"/>
  <c r="G196" i="1"/>
  <c r="F196" i="1"/>
  <c r="E196" i="1"/>
  <c r="D196" i="1"/>
  <c r="C196" i="1"/>
  <c r="L195" i="1"/>
  <c r="K195" i="1"/>
  <c r="J195" i="1"/>
  <c r="I195" i="1"/>
  <c r="H195" i="1"/>
  <c r="G195" i="1"/>
  <c r="F195" i="1"/>
  <c r="E195" i="1"/>
  <c r="D195" i="1"/>
  <c r="C195" i="1"/>
  <c r="L194" i="1"/>
  <c r="K194" i="1"/>
  <c r="J194" i="1"/>
  <c r="I194" i="1"/>
  <c r="H194" i="1"/>
  <c r="G194" i="1"/>
  <c r="F194" i="1"/>
  <c r="E194" i="1"/>
  <c r="D194" i="1"/>
  <c r="C194" i="1"/>
  <c r="L193" i="1"/>
  <c r="K193" i="1"/>
  <c r="J193" i="1"/>
  <c r="I193" i="1"/>
  <c r="H193" i="1"/>
  <c r="G193" i="1"/>
  <c r="F193" i="1"/>
  <c r="E193" i="1"/>
  <c r="D193" i="1"/>
  <c r="C193" i="1"/>
  <c r="L192" i="1"/>
  <c r="K192" i="1"/>
  <c r="J192" i="1"/>
  <c r="I192" i="1"/>
  <c r="H192" i="1"/>
  <c r="G192" i="1"/>
  <c r="F192" i="1"/>
  <c r="E192" i="1"/>
  <c r="D192" i="1"/>
  <c r="C192" i="1"/>
  <c r="L191" i="1"/>
  <c r="K191" i="1"/>
  <c r="J191" i="1"/>
  <c r="I191" i="1"/>
  <c r="H191" i="1"/>
  <c r="G191" i="1"/>
  <c r="F191" i="1"/>
  <c r="E191" i="1"/>
  <c r="D191" i="1"/>
  <c r="C191" i="1"/>
  <c r="L190" i="1"/>
  <c r="K190" i="1"/>
  <c r="J190" i="1"/>
  <c r="I190" i="1"/>
  <c r="H190" i="1"/>
  <c r="G190" i="1"/>
  <c r="F190" i="1"/>
  <c r="E190" i="1"/>
  <c r="D190" i="1"/>
  <c r="C190" i="1"/>
  <c r="L189" i="1"/>
  <c r="K189" i="1"/>
  <c r="J189" i="1"/>
  <c r="I189" i="1"/>
  <c r="H189" i="1"/>
  <c r="G189" i="1"/>
  <c r="F189" i="1"/>
  <c r="E189" i="1"/>
  <c r="D189" i="1"/>
  <c r="C189" i="1"/>
  <c r="L188" i="1"/>
  <c r="K188" i="1"/>
  <c r="J188" i="1"/>
  <c r="I188" i="1"/>
  <c r="H188" i="1"/>
  <c r="G188" i="1"/>
  <c r="F188" i="1"/>
  <c r="E188" i="1"/>
  <c r="D188" i="1"/>
  <c r="C188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AD183" i="1"/>
  <c r="AC183" i="1"/>
  <c r="AB183" i="1"/>
  <c r="AA183" i="1"/>
  <c r="Z183" i="1"/>
  <c r="Y183" i="1"/>
  <c r="X183" i="1"/>
  <c r="W183" i="1"/>
  <c r="V183" i="1"/>
  <c r="U183" i="1"/>
  <c r="T183" i="1"/>
  <c r="AP182" i="1"/>
  <c r="AN182" i="1"/>
  <c r="AD182" i="1"/>
  <c r="AC182" i="1"/>
  <c r="AB182" i="1"/>
  <c r="AA182" i="1"/>
  <c r="Y182" i="1"/>
  <c r="X182" i="1"/>
  <c r="W182" i="1"/>
  <c r="V182" i="1"/>
  <c r="U182" i="1"/>
  <c r="T182" i="1"/>
  <c r="AZ181" i="1"/>
  <c r="AY181" i="1"/>
  <c r="AX181" i="1"/>
  <c r="AF181" i="1"/>
  <c r="AD181" i="1"/>
  <c r="AC181" i="1"/>
  <c r="AB181" i="1"/>
  <c r="AA181" i="1"/>
  <c r="Z181" i="1"/>
  <c r="Y181" i="1"/>
  <c r="X181" i="1"/>
  <c r="W181" i="1"/>
  <c r="V181" i="1"/>
  <c r="U181" i="1"/>
  <c r="T181" i="1"/>
  <c r="AD180" i="1"/>
  <c r="AC180" i="1"/>
  <c r="AB180" i="1"/>
  <c r="AA180" i="1"/>
  <c r="Z180" i="1"/>
  <c r="Y180" i="1"/>
  <c r="X180" i="1"/>
  <c r="W180" i="1"/>
  <c r="V180" i="1"/>
  <c r="U180" i="1"/>
  <c r="T180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BH167" i="1"/>
  <c r="BG167" i="1"/>
  <c r="BG183" i="1" s="1"/>
  <c r="CP103" i="1" s="1"/>
  <c r="BF167" i="1"/>
  <c r="BF183" i="1" s="1"/>
  <c r="CO103" i="1" s="1"/>
  <c r="BE167" i="1"/>
  <c r="BE183" i="1" s="1"/>
  <c r="BD167" i="1"/>
  <c r="BD183" i="1" s="1"/>
  <c r="BC167" i="1"/>
  <c r="BC183" i="1" s="1"/>
  <c r="BB167" i="1"/>
  <c r="BB183" i="1" s="1"/>
  <c r="BA167" i="1"/>
  <c r="BA183" i="1" s="1"/>
  <c r="AZ167" i="1"/>
  <c r="AZ183" i="1" s="1"/>
  <c r="AY167" i="1"/>
  <c r="AY183" i="1" s="1"/>
  <c r="AX167" i="1"/>
  <c r="AX183" i="1" s="1"/>
  <c r="AW167" i="1"/>
  <c r="AW183" i="1" s="1"/>
  <c r="AV167" i="1"/>
  <c r="AV183" i="1" s="1"/>
  <c r="AU167" i="1"/>
  <c r="AU183" i="1" s="1"/>
  <c r="AT167" i="1"/>
  <c r="AT183" i="1" s="1"/>
  <c r="AS167" i="1"/>
  <c r="AS183" i="1" s="1"/>
  <c r="AR167" i="1"/>
  <c r="AR183" i="1" s="1"/>
  <c r="AQ167" i="1"/>
  <c r="AQ183" i="1" s="1"/>
  <c r="AP167" i="1"/>
  <c r="AP183" i="1" s="1"/>
  <c r="AO167" i="1"/>
  <c r="AO183" i="1" s="1"/>
  <c r="AN167" i="1"/>
  <c r="AN183" i="1" s="1"/>
  <c r="AM167" i="1"/>
  <c r="AM183" i="1" s="1"/>
  <c r="AL167" i="1"/>
  <c r="AL183" i="1" s="1"/>
  <c r="AK167" i="1"/>
  <c r="AK183" i="1" s="1"/>
  <c r="AJ167" i="1"/>
  <c r="AJ183" i="1" s="1"/>
  <c r="AI167" i="1"/>
  <c r="AI183" i="1" s="1"/>
  <c r="AH167" i="1"/>
  <c r="AH183" i="1" s="1"/>
  <c r="AG167" i="1"/>
  <c r="AG183" i="1" s="1"/>
  <c r="AF167" i="1"/>
  <c r="AF183" i="1" s="1"/>
  <c r="AE167" i="1"/>
  <c r="AE183" i="1" s="1"/>
  <c r="BH166" i="1"/>
  <c r="BH182" i="1" s="1"/>
  <c r="BG166" i="1"/>
  <c r="BG182" i="1" s="1"/>
  <c r="BF166" i="1"/>
  <c r="BF182" i="1" s="1"/>
  <c r="BE166" i="1"/>
  <c r="BE182" i="1" s="1"/>
  <c r="BD166" i="1"/>
  <c r="BD182" i="1" s="1"/>
  <c r="BC166" i="1"/>
  <c r="BC182" i="1" s="1"/>
  <c r="BB166" i="1"/>
  <c r="BB182" i="1" s="1"/>
  <c r="BA166" i="1"/>
  <c r="BA182" i="1" s="1"/>
  <c r="AZ166" i="1"/>
  <c r="AZ182" i="1" s="1"/>
  <c r="AY166" i="1"/>
  <c r="AY182" i="1" s="1"/>
  <c r="AX166" i="1"/>
  <c r="AX182" i="1" s="1"/>
  <c r="AW166" i="1"/>
  <c r="AW182" i="1" s="1"/>
  <c r="AV166" i="1"/>
  <c r="AV182" i="1" s="1"/>
  <c r="AU166" i="1"/>
  <c r="AU182" i="1" s="1"/>
  <c r="AT166" i="1"/>
  <c r="AT182" i="1" s="1"/>
  <c r="AS166" i="1"/>
  <c r="AS182" i="1" s="1"/>
  <c r="AR166" i="1"/>
  <c r="AR182" i="1" s="1"/>
  <c r="AQ166" i="1"/>
  <c r="AQ182" i="1" s="1"/>
  <c r="AP166" i="1"/>
  <c r="AO166" i="1"/>
  <c r="AO182" i="1" s="1"/>
  <c r="AN166" i="1"/>
  <c r="AM166" i="1"/>
  <c r="AM182" i="1" s="1"/>
  <c r="AL166" i="1"/>
  <c r="AL182" i="1" s="1"/>
  <c r="AK166" i="1"/>
  <c r="AK182" i="1" s="1"/>
  <c r="AJ166" i="1"/>
  <c r="AJ182" i="1" s="1"/>
  <c r="AI166" i="1"/>
  <c r="AI182" i="1" s="1"/>
  <c r="AH166" i="1"/>
  <c r="AH182" i="1" s="1"/>
  <c r="AG166" i="1"/>
  <c r="AG182" i="1" s="1"/>
  <c r="AF166" i="1"/>
  <c r="AF182" i="1" s="1"/>
  <c r="AE166" i="1"/>
  <c r="AE182" i="1" s="1"/>
  <c r="J166" i="1"/>
  <c r="H166" i="1"/>
  <c r="G166" i="1"/>
  <c r="F166" i="1"/>
  <c r="BI165" i="1"/>
  <c r="BH165" i="1"/>
  <c r="BH181" i="1" s="1"/>
  <c r="BG165" i="1"/>
  <c r="BG181" i="1" s="1"/>
  <c r="BV101" i="1" s="1"/>
  <c r="BF165" i="1"/>
  <c r="BF181" i="1" s="1"/>
  <c r="CO101" i="1" s="1"/>
  <c r="BE165" i="1"/>
  <c r="BE181" i="1" s="1"/>
  <c r="BD165" i="1"/>
  <c r="BD181" i="1" s="1"/>
  <c r="BC165" i="1"/>
  <c r="BC181" i="1" s="1"/>
  <c r="CL101" i="1" s="1"/>
  <c r="BB165" i="1"/>
  <c r="BB181" i="1" s="1"/>
  <c r="BA165" i="1"/>
  <c r="BA181" i="1" s="1"/>
  <c r="AZ165" i="1"/>
  <c r="AY165" i="1"/>
  <c r="AX165" i="1"/>
  <c r="AW165" i="1"/>
  <c r="AW181" i="1" s="1"/>
  <c r="AV165" i="1"/>
  <c r="AV181" i="1" s="1"/>
  <c r="AU165" i="1"/>
  <c r="AU181" i="1" s="1"/>
  <c r="AT165" i="1"/>
  <c r="AT181" i="1" s="1"/>
  <c r="AS165" i="1"/>
  <c r="AS181" i="1" s="1"/>
  <c r="AR165" i="1"/>
  <c r="AR181" i="1" s="1"/>
  <c r="AQ165" i="1"/>
  <c r="AQ181" i="1" s="1"/>
  <c r="AP165" i="1"/>
  <c r="AP181" i="1" s="1"/>
  <c r="AO165" i="1"/>
  <c r="AO181" i="1" s="1"/>
  <c r="AN165" i="1"/>
  <c r="AN181" i="1" s="1"/>
  <c r="AM165" i="1"/>
  <c r="AM181" i="1" s="1"/>
  <c r="AL165" i="1"/>
  <c r="AL181" i="1" s="1"/>
  <c r="AK165" i="1"/>
  <c r="AK181" i="1" s="1"/>
  <c r="AJ165" i="1"/>
  <c r="AJ181" i="1" s="1"/>
  <c r="AI165" i="1"/>
  <c r="AI181" i="1" s="1"/>
  <c r="AH165" i="1"/>
  <c r="AH181" i="1" s="1"/>
  <c r="AG165" i="1"/>
  <c r="AG181" i="1" s="1"/>
  <c r="AF165" i="1"/>
  <c r="AE165" i="1"/>
  <c r="AE181" i="1" s="1"/>
  <c r="E165" i="1"/>
  <c r="C165" i="1"/>
  <c r="BI164" i="1"/>
  <c r="BH164" i="1"/>
  <c r="BH180" i="1" s="1"/>
  <c r="BG164" i="1"/>
  <c r="BF164" i="1"/>
  <c r="BF180" i="1" s="1"/>
  <c r="BE164" i="1"/>
  <c r="BD164" i="1"/>
  <c r="BC164" i="1"/>
  <c r="BC180" i="1" s="1"/>
  <c r="BB164" i="1"/>
  <c r="BB180" i="1" s="1"/>
  <c r="BA164" i="1"/>
  <c r="BA180" i="1" s="1"/>
  <c r="AZ164" i="1"/>
  <c r="AZ180" i="1" s="1"/>
  <c r="AY164" i="1"/>
  <c r="AY180" i="1" s="1"/>
  <c r="AX164" i="1"/>
  <c r="AX180" i="1" s="1"/>
  <c r="AW164" i="1"/>
  <c r="AW180" i="1" s="1"/>
  <c r="AV164" i="1"/>
  <c r="AV180" i="1" s="1"/>
  <c r="AU164" i="1"/>
  <c r="AU180" i="1" s="1"/>
  <c r="AT164" i="1"/>
  <c r="AT180" i="1" s="1"/>
  <c r="AS164" i="1"/>
  <c r="AS180" i="1" s="1"/>
  <c r="AR164" i="1"/>
  <c r="AR180" i="1" s="1"/>
  <c r="AQ164" i="1"/>
  <c r="AQ180" i="1" s="1"/>
  <c r="AP164" i="1"/>
  <c r="AP180" i="1" s="1"/>
  <c r="AO164" i="1"/>
  <c r="AO180" i="1" s="1"/>
  <c r="AN164" i="1"/>
  <c r="AN180" i="1" s="1"/>
  <c r="AM164" i="1"/>
  <c r="AM180" i="1" s="1"/>
  <c r="AL164" i="1"/>
  <c r="AL180" i="1" s="1"/>
  <c r="AK164" i="1"/>
  <c r="AK180" i="1" s="1"/>
  <c r="AJ164" i="1"/>
  <c r="AJ180" i="1" s="1"/>
  <c r="AI164" i="1"/>
  <c r="AI180" i="1" s="1"/>
  <c r="AH164" i="1"/>
  <c r="AH180" i="1" s="1"/>
  <c r="AG164" i="1"/>
  <c r="AG180" i="1" s="1"/>
  <c r="AF164" i="1"/>
  <c r="AF180" i="1" s="1"/>
  <c r="AE164" i="1"/>
  <c r="N164" i="1"/>
  <c r="L164" i="1"/>
  <c r="K164" i="1"/>
  <c r="J164" i="1"/>
  <c r="BI163" i="1"/>
  <c r="BI178" i="1" s="1"/>
  <c r="BH163" i="1"/>
  <c r="BH179" i="1" s="1"/>
  <c r="BG163" i="1"/>
  <c r="BG179" i="1" s="1"/>
  <c r="BF163" i="1"/>
  <c r="BF179" i="1" s="1"/>
  <c r="BE163" i="1"/>
  <c r="BE179" i="1" s="1"/>
  <c r="CN99" i="1" s="1"/>
  <c r="BD163" i="1"/>
  <c r="BD179" i="1" s="1"/>
  <c r="CM99" i="1" s="1"/>
  <c r="BC163" i="1"/>
  <c r="BB163" i="1"/>
  <c r="BB179" i="1" s="1"/>
  <c r="BA163" i="1"/>
  <c r="BA179" i="1" s="1"/>
  <c r="AZ163" i="1"/>
  <c r="AZ179" i="1" s="1"/>
  <c r="AY163" i="1"/>
  <c r="AY179" i="1" s="1"/>
  <c r="AX163" i="1"/>
  <c r="AX179" i="1" s="1"/>
  <c r="AW163" i="1"/>
  <c r="AW179" i="1" s="1"/>
  <c r="AV163" i="1"/>
  <c r="AV179" i="1" s="1"/>
  <c r="AU163" i="1"/>
  <c r="AU179" i="1" s="1"/>
  <c r="AT163" i="1"/>
  <c r="AT179" i="1" s="1"/>
  <c r="AS163" i="1"/>
  <c r="AS179" i="1" s="1"/>
  <c r="AR163" i="1"/>
  <c r="AR179" i="1" s="1"/>
  <c r="AQ163" i="1"/>
  <c r="AQ179" i="1" s="1"/>
  <c r="AP163" i="1"/>
  <c r="AP179" i="1" s="1"/>
  <c r="AO163" i="1"/>
  <c r="AO179" i="1" s="1"/>
  <c r="AN163" i="1"/>
  <c r="AN179" i="1" s="1"/>
  <c r="AM163" i="1"/>
  <c r="AM179" i="1" s="1"/>
  <c r="AL163" i="1"/>
  <c r="AL179" i="1" s="1"/>
  <c r="AK163" i="1"/>
  <c r="AK179" i="1" s="1"/>
  <c r="AJ163" i="1"/>
  <c r="AJ179" i="1" s="1"/>
  <c r="AI163" i="1"/>
  <c r="AI179" i="1" s="1"/>
  <c r="AH163" i="1"/>
  <c r="AH179" i="1" s="1"/>
  <c r="AG163" i="1"/>
  <c r="AG179" i="1" s="1"/>
  <c r="AF163" i="1"/>
  <c r="AF179" i="1" s="1"/>
  <c r="N163" i="1"/>
  <c r="M163" i="1"/>
  <c r="L163" i="1"/>
  <c r="K163" i="1"/>
  <c r="J163" i="1"/>
  <c r="I163" i="1"/>
  <c r="H163" i="1"/>
  <c r="G163" i="1"/>
  <c r="F163" i="1"/>
  <c r="E163" i="1"/>
  <c r="BI162" i="1"/>
  <c r="BI177" i="1" s="1"/>
  <c r="BH162" i="1"/>
  <c r="BH178" i="1" s="1"/>
  <c r="BG162" i="1"/>
  <c r="BF162" i="1"/>
  <c r="BE162" i="1"/>
  <c r="BE178" i="1" s="1"/>
  <c r="CN98" i="1" s="1"/>
  <c r="BD162" i="1"/>
  <c r="BC162" i="1"/>
  <c r="BB162" i="1"/>
  <c r="BB178" i="1" s="1"/>
  <c r="BA162" i="1"/>
  <c r="BA178" i="1" s="1"/>
  <c r="AZ162" i="1"/>
  <c r="AZ178" i="1" s="1"/>
  <c r="AY162" i="1"/>
  <c r="AY178" i="1" s="1"/>
  <c r="AX162" i="1"/>
  <c r="AX178" i="1" s="1"/>
  <c r="AW162" i="1"/>
  <c r="AW178" i="1" s="1"/>
  <c r="AV162" i="1"/>
  <c r="AV178" i="1" s="1"/>
  <c r="AU162" i="1"/>
  <c r="AU178" i="1" s="1"/>
  <c r="AT162" i="1"/>
  <c r="AT178" i="1" s="1"/>
  <c r="AS162" i="1"/>
  <c r="AS178" i="1" s="1"/>
  <c r="AR162" i="1"/>
  <c r="AR178" i="1" s="1"/>
  <c r="AQ162" i="1"/>
  <c r="AQ178" i="1" s="1"/>
  <c r="AP162" i="1"/>
  <c r="AP178" i="1" s="1"/>
  <c r="AO162" i="1"/>
  <c r="AO178" i="1" s="1"/>
  <c r="AN162" i="1"/>
  <c r="AN178" i="1" s="1"/>
  <c r="AM162" i="1"/>
  <c r="AM178" i="1" s="1"/>
  <c r="AL162" i="1"/>
  <c r="AL178" i="1" s="1"/>
  <c r="AK162" i="1"/>
  <c r="AK178" i="1" s="1"/>
  <c r="AJ162" i="1"/>
  <c r="AJ178" i="1" s="1"/>
  <c r="AI162" i="1"/>
  <c r="AI178" i="1" s="1"/>
  <c r="AH162" i="1"/>
  <c r="AH178" i="1" s="1"/>
  <c r="AG162" i="1"/>
  <c r="AG178" i="1" s="1"/>
  <c r="AF162" i="1"/>
  <c r="AF178" i="1" s="1"/>
  <c r="Q162" i="1"/>
  <c r="P162" i="1"/>
  <c r="O162" i="1"/>
  <c r="N162" i="1"/>
  <c r="F162" i="1"/>
  <c r="E162" i="1"/>
  <c r="D162" i="1"/>
  <c r="BI161" i="1"/>
  <c r="BH161" i="1"/>
  <c r="BH177" i="1" s="1"/>
  <c r="BG161" i="1"/>
  <c r="BG177" i="1" s="1"/>
  <c r="BF161" i="1"/>
  <c r="BF177" i="1" s="1"/>
  <c r="BE161" i="1"/>
  <c r="BE177" i="1" s="1"/>
  <c r="BD161" i="1"/>
  <c r="BD177" i="1" s="1"/>
  <c r="CM97" i="1" s="1"/>
  <c r="BC161" i="1"/>
  <c r="BC177" i="1" s="1"/>
  <c r="BB161" i="1"/>
  <c r="BA161" i="1"/>
  <c r="BA177" i="1" s="1"/>
  <c r="AZ161" i="1"/>
  <c r="AZ177" i="1" s="1"/>
  <c r="AY161" i="1"/>
  <c r="AY177" i="1" s="1"/>
  <c r="AX161" i="1"/>
  <c r="AX177" i="1" s="1"/>
  <c r="AW161" i="1"/>
  <c r="AW177" i="1" s="1"/>
  <c r="AV161" i="1"/>
  <c r="AV177" i="1" s="1"/>
  <c r="AU161" i="1"/>
  <c r="AU177" i="1" s="1"/>
  <c r="AT161" i="1"/>
  <c r="AT177" i="1" s="1"/>
  <c r="AS161" i="1"/>
  <c r="AS177" i="1" s="1"/>
  <c r="AR161" i="1"/>
  <c r="AR177" i="1" s="1"/>
  <c r="AQ161" i="1"/>
  <c r="AQ177" i="1" s="1"/>
  <c r="AP161" i="1"/>
  <c r="AP177" i="1" s="1"/>
  <c r="AO161" i="1"/>
  <c r="AO177" i="1" s="1"/>
  <c r="AN161" i="1"/>
  <c r="AN177" i="1" s="1"/>
  <c r="AM161" i="1"/>
  <c r="AM177" i="1" s="1"/>
  <c r="AL161" i="1"/>
  <c r="AL177" i="1" s="1"/>
  <c r="AK161" i="1"/>
  <c r="AK177" i="1" s="1"/>
  <c r="AJ161" i="1"/>
  <c r="AJ177" i="1" s="1"/>
  <c r="AI161" i="1"/>
  <c r="AI177" i="1" s="1"/>
  <c r="AH161" i="1"/>
  <c r="AH177" i="1" s="1"/>
  <c r="AG161" i="1"/>
  <c r="AG177" i="1" s="1"/>
  <c r="AF161" i="1"/>
  <c r="AF177" i="1" s="1"/>
  <c r="Q161" i="1"/>
  <c r="P161" i="1"/>
  <c r="E161" i="1"/>
  <c r="BI160" i="1"/>
  <c r="BH160" i="1"/>
  <c r="BH176" i="1" s="1"/>
  <c r="BG160" i="1"/>
  <c r="BG176" i="1" s="1"/>
  <c r="BF160" i="1"/>
  <c r="BF176" i="1" s="1"/>
  <c r="CO96" i="1" s="1"/>
  <c r="BE160" i="1"/>
  <c r="BE176" i="1" s="1"/>
  <c r="CN96" i="1" s="1"/>
  <c r="BD160" i="1"/>
  <c r="BD176" i="1" s="1"/>
  <c r="BC160" i="1"/>
  <c r="BC176" i="1" s="1"/>
  <c r="BB160" i="1"/>
  <c r="BB176" i="1" s="1"/>
  <c r="BA160" i="1"/>
  <c r="BA176" i="1" s="1"/>
  <c r="AZ160" i="1"/>
  <c r="AZ176" i="1" s="1"/>
  <c r="AY160" i="1"/>
  <c r="AY176" i="1" s="1"/>
  <c r="AX160" i="1"/>
  <c r="AX176" i="1" s="1"/>
  <c r="AW160" i="1"/>
  <c r="AW176" i="1" s="1"/>
  <c r="AV160" i="1"/>
  <c r="AV176" i="1" s="1"/>
  <c r="AU160" i="1"/>
  <c r="AU176" i="1" s="1"/>
  <c r="AT160" i="1"/>
  <c r="AT176" i="1" s="1"/>
  <c r="AS160" i="1"/>
  <c r="AS176" i="1" s="1"/>
  <c r="AR160" i="1"/>
  <c r="AR176" i="1" s="1"/>
  <c r="AQ160" i="1"/>
  <c r="AQ176" i="1" s="1"/>
  <c r="AP160" i="1"/>
  <c r="AP176" i="1" s="1"/>
  <c r="AO160" i="1"/>
  <c r="AO176" i="1" s="1"/>
  <c r="AN160" i="1"/>
  <c r="AN176" i="1" s="1"/>
  <c r="AM160" i="1"/>
  <c r="AM176" i="1" s="1"/>
  <c r="AL160" i="1"/>
  <c r="AL176" i="1" s="1"/>
  <c r="AK160" i="1"/>
  <c r="AK176" i="1" s="1"/>
  <c r="AJ160" i="1"/>
  <c r="AJ176" i="1" s="1"/>
  <c r="AI160" i="1"/>
  <c r="AI176" i="1" s="1"/>
  <c r="AH160" i="1"/>
  <c r="AH176" i="1" s="1"/>
  <c r="AG160" i="1"/>
  <c r="AG176" i="1" s="1"/>
  <c r="AF160" i="1"/>
  <c r="AF176" i="1" s="1"/>
  <c r="D160" i="1"/>
  <c r="BI159" i="1"/>
  <c r="BI175" i="1" s="1"/>
  <c r="BX95" i="1" s="1"/>
  <c r="BH159" i="1"/>
  <c r="BH175" i="1" s="1"/>
  <c r="BW95" i="1" s="1"/>
  <c r="BG159" i="1"/>
  <c r="BF159" i="1"/>
  <c r="BF175" i="1" s="1"/>
  <c r="BE159" i="1"/>
  <c r="BD159" i="1"/>
  <c r="BC159" i="1"/>
  <c r="BC175" i="1" s="1"/>
  <c r="CL95" i="1" s="1"/>
  <c r="BB159" i="1"/>
  <c r="BB175" i="1" s="1"/>
  <c r="CK95" i="1" s="1"/>
  <c r="BA159" i="1"/>
  <c r="BA175" i="1" s="1"/>
  <c r="AZ159" i="1"/>
  <c r="AZ175" i="1" s="1"/>
  <c r="AY159" i="1"/>
  <c r="AY175" i="1" s="1"/>
  <c r="AX159" i="1"/>
  <c r="AX175" i="1" s="1"/>
  <c r="AW159" i="1"/>
  <c r="AW175" i="1" s="1"/>
  <c r="AV159" i="1"/>
  <c r="AV175" i="1" s="1"/>
  <c r="AU159" i="1"/>
  <c r="AU175" i="1" s="1"/>
  <c r="AT159" i="1"/>
  <c r="AT175" i="1" s="1"/>
  <c r="AS159" i="1"/>
  <c r="AR159" i="1"/>
  <c r="AR175" i="1" s="1"/>
  <c r="AQ159" i="1"/>
  <c r="AQ175" i="1" s="1"/>
  <c r="AP159" i="1"/>
  <c r="AP175" i="1" s="1"/>
  <c r="AO159" i="1"/>
  <c r="AO175" i="1" s="1"/>
  <c r="AN159" i="1"/>
  <c r="AN175" i="1" s="1"/>
  <c r="AM159" i="1"/>
  <c r="AM175" i="1" s="1"/>
  <c r="AL159" i="1"/>
  <c r="AL175" i="1" s="1"/>
  <c r="AK159" i="1"/>
  <c r="AK175" i="1" s="1"/>
  <c r="AJ159" i="1"/>
  <c r="AJ175" i="1" s="1"/>
  <c r="AI159" i="1"/>
  <c r="AI175" i="1" s="1"/>
  <c r="AH159" i="1"/>
  <c r="AH175" i="1" s="1"/>
  <c r="AG159" i="1"/>
  <c r="AG175" i="1" s="1"/>
  <c r="AF159" i="1"/>
  <c r="AF175" i="1" s="1"/>
  <c r="L159" i="1"/>
  <c r="J159" i="1"/>
  <c r="I159" i="1"/>
  <c r="BI158" i="1"/>
  <c r="BI174" i="1" s="1"/>
  <c r="BH158" i="1"/>
  <c r="BH174" i="1" s="1"/>
  <c r="BG158" i="1"/>
  <c r="BG174" i="1" s="1"/>
  <c r="CP94" i="1" s="1"/>
  <c r="BF158" i="1"/>
  <c r="BF174" i="1" s="1"/>
  <c r="BE158" i="1"/>
  <c r="BE174" i="1" s="1"/>
  <c r="BD158" i="1"/>
  <c r="BD174" i="1" s="1"/>
  <c r="BC158" i="1"/>
  <c r="BB158" i="1"/>
  <c r="BA158" i="1"/>
  <c r="BA174" i="1" s="1"/>
  <c r="AZ158" i="1"/>
  <c r="AZ174" i="1" s="1"/>
  <c r="AY158" i="1"/>
  <c r="AY174" i="1" s="1"/>
  <c r="AX158" i="1"/>
  <c r="AX174" i="1" s="1"/>
  <c r="AW158" i="1"/>
  <c r="AW174" i="1" s="1"/>
  <c r="AV158" i="1"/>
  <c r="AV174" i="1" s="1"/>
  <c r="AU158" i="1"/>
  <c r="AU174" i="1" s="1"/>
  <c r="AT158" i="1"/>
  <c r="AT174" i="1" s="1"/>
  <c r="AS158" i="1"/>
  <c r="AS174" i="1" s="1"/>
  <c r="AR158" i="1"/>
  <c r="AR174" i="1" s="1"/>
  <c r="AQ158" i="1"/>
  <c r="AQ174" i="1" s="1"/>
  <c r="AP158" i="1"/>
  <c r="AP174" i="1" s="1"/>
  <c r="AO158" i="1"/>
  <c r="AO174" i="1" s="1"/>
  <c r="AN158" i="1"/>
  <c r="AN174" i="1" s="1"/>
  <c r="AM158" i="1"/>
  <c r="AM174" i="1" s="1"/>
  <c r="AL158" i="1"/>
  <c r="AL174" i="1" s="1"/>
  <c r="AK158" i="1"/>
  <c r="AK174" i="1" s="1"/>
  <c r="AJ158" i="1"/>
  <c r="AJ174" i="1" s="1"/>
  <c r="AI158" i="1"/>
  <c r="AI174" i="1" s="1"/>
  <c r="AH158" i="1"/>
  <c r="AH174" i="1" s="1"/>
  <c r="AG158" i="1"/>
  <c r="AG174" i="1" s="1"/>
  <c r="AF158" i="1"/>
  <c r="AF174" i="1" s="1"/>
  <c r="M158" i="1"/>
  <c r="L158" i="1"/>
  <c r="K158" i="1"/>
  <c r="J158" i="1"/>
  <c r="I158" i="1"/>
  <c r="H158" i="1"/>
  <c r="G158" i="1"/>
  <c r="F158" i="1"/>
  <c r="E158" i="1"/>
  <c r="D158" i="1"/>
  <c r="BI157" i="1"/>
  <c r="BH157" i="1"/>
  <c r="BG157" i="1"/>
  <c r="BF157" i="1"/>
  <c r="BE157" i="1"/>
  <c r="BD157" i="1"/>
  <c r="BC157" i="1"/>
  <c r="BB157" i="1"/>
  <c r="BB173" i="1" s="1"/>
  <c r="BA157" i="1"/>
  <c r="BA173" i="1" s="1"/>
  <c r="AZ157" i="1"/>
  <c r="AZ173" i="1" s="1"/>
  <c r="AY157" i="1"/>
  <c r="AY173" i="1" s="1"/>
  <c r="AX157" i="1"/>
  <c r="AW157" i="1"/>
  <c r="AV157" i="1"/>
  <c r="AV173" i="1" s="1"/>
  <c r="AU157" i="1"/>
  <c r="AU173" i="1" s="1"/>
  <c r="AT157" i="1"/>
  <c r="AT173" i="1" s="1"/>
  <c r="AS157" i="1"/>
  <c r="AS173" i="1" s="1"/>
  <c r="AR157" i="1"/>
  <c r="AR173" i="1" s="1"/>
  <c r="AQ157" i="1"/>
  <c r="AQ173" i="1" s="1"/>
  <c r="AP157" i="1"/>
  <c r="AP173" i="1" s="1"/>
  <c r="AO157" i="1"/>
  <c r="AO173" i="1" s="1"/>
  <c r="AN157" i="1"/>
  <c r="AN173" i="1" s="1"/>
  <c r="AM157" i="1"/>
  <c r="AL157" i="1"/>
  <c r="AL173" i="1" s="1"/>
  <c r="AK157" i="1"/>
  <c r="AK173" i="1" s="1"/>
  <c r="AJ157" i="1"/>
  <c r="AJ173" i="1" s="1"/>
  <c r="AI157" i="1"/>
  <c r="AI173" i="1" s="1"/>
  <c r="AH157" i="1"/>
  <c r="AH173" i="1" s="1"/>
  <c r="AG157" i="1"/>
  <c r="AF157" i="1"/>
  <c r="AF173" i="1" s="1"/>
  <c r="Q157" i="1"/>
  <c r="P157" i="1"/>
  <c r="O157" i="1"/>
  <c r="N157" i="1"/>
  <c r="M157" i="1"/>
  <c r="E157" i="1"/>
  <c r="D157" i="1"/>
  <c r="C157" i="1"/>
  <c r="BI156" i="1"/>
  <c r="BI172" i="1" s="1"/>
  <c r="BH156" i="1"/>
  <c r="BH172" i="1" s="1"/>
  <c r="BG156" i="1"/>
  <c r="BF156" i="1"/>
  <c r="BF172" i="1" s="1"/>
  <c r="CO92" i="1" s="1"/>
  <c r="BE156" i="1"/>
  <c r="BD156" i="1"/>
  <c r="BC156" i="1"/>
  <c r="BC172" i="1" s="1"/>
  <c r="CL92" i="1" s="1"/>
  <c r="BB156" i="1"/>
  <c r="BB172" i="1" s="1"/>
  <c r="BA156" i="1"/>
  <c r="AZ156" i="1"/>
  <c r="AY156" i="1"/>
  <c r="AX156" i="1"/>
  <c r="AX172" i="1" s="1"/>
  <c r="AW156" i="1"/>
  <c r="AW172" i="1" s="1"/>
  <c r="AV156" i="1"/>
  <c r="AV172" i="1" s="1"/>
  <c r="AU156" i="1"/>
  <c r="AT156" i="1"/>
  <c r="AT172" i="1" s="1"/>
  <c r="AS156" i="1"/>
  <c r="AS172" i="1" s="1"/>
  <c r="AR156" i="1"/>
  <c r="AR172" i="1" s="1"/>
  <c r="AQ156" i="1"/>
  <c r="AQ172" i="1" s="1"/>
  <c r="AP156" i="1"/>
  <c r="AO156" i="1"/>
  <c r="AN156" i="1"/>
  <c r="AM156" i="1"/>
  <c r="AM172" i="1" s="1"/>
  <c r="AL156" i="1"/>
  <c r="AL172" i="1" s="1"/>
  <c r="AK156" i="1"/>
  <c r="AK172" i="1" s="1"/>
  <c r="AJ156" i="1"/>
  <c r="AJ172" i="1" s="1"/>
  <c r="AI156" i="1"/>
  <c r="AI172" i="1" s="1"/>
  <c r="AH156" i="1"/>
  <c r="AH172" i="1" s="1"/>
  <c r="AG156" i="1"/>
  <c r="AG172" i="1" s="1"/>
  <c r="AF156" i="1"/>
  <c r="Q156" i="1"/>
  <c r="P156" i="1"/>
  <c r="E156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H152" i="1"/>
  <c r="BG152" i="1"/>
  <c r="BF152" i="1"/>
  <c r="BE152" i="1"/>
  <c r="BD152" i="1"/>
  <c r="BD23" i="1" s="1"/>
  <c r="BC152" i="1"/>
  <c r="BC23" i="1" s="1"/>
  <c r="BC24" i="1" s="1"/>
  <c r="BC27" i="1" s="1"/>
  <c r="BB152" i="1"/>
  <c r="BA152" i="1"/>
  <c r="AZ152" i="1"/>
  <c r="AZ23" i="1" s="1"/>
  <c r="AY152" i="1"/>
  <c r="AY23" i="1" s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BK151" i="1"/>
  <c r="BI151" i="1"/>
  <c r="BJ151" i="1" s="1"/>
  <c r="BJ150" i="1"/>
  <c r="BI150" i="1"/>
  <c r="BK149" i="1"/>
  <c r="BJ149" i="1"/>
  <c r="BI149" i="1"/>
  <c r="BI148" i="1"/>
  <c r="BI147" i="1"/>
  <c r="BK146" i="1"/>
  <c r="BJ146" i="1"/>
  <c r="BJ145" i="1"/>
  <c r="BM144" i="1"/>
  <c r="BL144" i="1"/>
  <c r="BJ144" i="1"/>
  <c r="BK144" i="1" s="1"/>
  <c r="BL143" i="1"/>
  <c r="BK143" i="1"/>
  <c r="BJ143" i="1"/>
  <c r="BJ142" i="1"/>
  <c r="BJ141" i="1"/>
  <c r="BL140" i="1"/>
  <c r="BK140" i="1"/>
  <c r="BJ140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H136" i="1"/>
  <c r="AP136" i="1"/>
  <c r="AN136" i="1"/>
  <c r="AL136" i="1"/>
  <c r="L136" i="1"/>
  <c r="K136" i="1"/>
  <c r="J136" i="1"/>
  <c r="J263" i="1" s="1"/>
  <c r="I136" i="1"/>
  <c r="H136" i="1"/>
  <c r="G136" i="1"/>
  <c r="F136" i="1"/>
  <c r="E136" i="1"/>
  <c r="E263" i="1" s="1"/>
  <c r="D136" i="1"/>
  <c r="C136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W262" i="1" s="1"/>
  <c r="AV135" i="1"/>
  <c r="AU135" i="1"/>
  <c r="AT135" i="1"/>
  <c r="AS135" i="1"/>
  <c r="AS262" i="1" s="1"/>
  <c r="AR135" i="1"/>
  <c r="AR262" i="1" s="1"/>
  <c r="AQ135" i="1"/>
  <c r="AP135" i="1"/>
  <c r="AP262" i="1" s="1"/>
  <c r="AO135" i="1"/>
  <c r="AN135" i="1"/>
  <c r="AM135" i="1"/>
  <c r="AL135" i="1"/>
  <c r="AL262" i="1" s="1"/>
  <c r="AK135" i="1"/>
  <c r="AJ135" i="1"/>
  <c r="AJ262" i="1" s="1"/>
  <c r="AI135" i="1"/>
  <c r="AI262" i="1" s="1"/>
  <c r="AH135" i="1"/>
  <c r="AH262" i="1" s="1"/>
  <c r="AG135" i="1"/>
  <c r="AF135" i="1"/>
  <c r="AE135" i="1"/>
  <c r="AD135" i="1"/>
  <c r="AC135" i="1"/>
  <c r="AB135" i="1"/>
  <c r="AA135" i="1"/>
  <c r="Z135" i="1"/>
  <c r="Y135" i="1"/>
  <c r="X135" i="1"/>
  <c r="W135" i="1"/>
  <c r="W262" i="1" s="1"/>
  <c r="V135" i="1"/>
  <c r="V262" i="1" s="1"/>
  <c r="U135" i="1"/>
  <c r="U262" i="1" s="1"/>
  <c r="T135" i="1"/>
  <c r="T262" i="1" s="1"/>
  <c r="BI134" i="1"/>
  <c r="BH134" i="1"/>
  <c r="BG134" i="1"/>
  <c r="BF134" i="1"/>
  <c r="BE134" i="1"/>
  <c r="BD134" i="1"/>
  <c r="BC134" i="1"/>
  <c r="BB134" i="1"/>
  <c r="BB261" i="1" s="1"/>
  <c r="BA134" i="1"/>
  <c r="BA261" i="1" s="1"/>
  <c r="AZ134" i="1"/>
  <c r="AY134" i="1"/>
  <c r="AY261" i="1" s="1"/>
  <c r="AX134" i="1"/>
  <c r="AX261" i="1" s="1"/>
  <c r="AW134" i="1"/>
  <c r="AW261" i="1" s="1"/>
  <c r="AV134" i="1"/>
  <c r="AV261" i="1" s="1"/>
  <c r="AU134" i="1"/>
  <c r="AU261" i="1" s="1"/>
  <c r="AT134" i="1"/>
  <c r="AT261" i="1" s="1"/>
  <c r="AS134" i="1"/>
  <c r="AS261" i="1" s="1"/>
  <c r="AR134" i="1"/>
  <c r="AR261" i="1" s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F261" i="1" s="1"/>
  <c r="AE134" i="1"/>
  <c r="AE261" i="1" s="1"/>
  <c r="AD134" i="1"/>
  <c r="AC134" i="1"/>
  <c r="AC261" i="1" s="1"/>
  <c r="AB134" i="1"/>
  <c r="AB261" i="1" s="1"/>
  <c r="AA134" i="1"/>
  <c r="AA261" i="1" s="1"/>
  <c r="Y134" i="1"/>
  <c r="Y261" i="1" s="1"/>
  <c r="X134" i="1"/>
  <c r="W134" i="1"/>
  <c r="W261" i="1" s="1"/>
  <c r="V134" i="1"/>
  <c r="U134" i="1"/>
  <c r="T134" i="1"/>
  <c r="BI133" i="1"/>
  <c r="BH133" i="1"/>
  <c r="BG133" i="1"/>
  <c r="BF133" i="1"/>
  <c r="BE133" i="1"/>
  <c r="BD133" i="1"/>
  <c r="BC133" i="1"/>
  <c r="BC260" i="1" s="1"/>
  <c r="BB133" i="1"/>
  <c r="BB260" i="1" s="1"/>
  <c r="BA133" i="1"/>
  <c r="BA260" i="1" s="1"/>
  <c r="AZ133" i="1"/>
  <c r="AZ260" i="1" s="1"/>
  <c r="AY133" i="1"/>
  <c r="AY260" i="1" s="1"/>
  <c r="AX133" i="1"/>
  <c r="AW133" i="1"/>
  <c r="AV133" i="1"/>
  <c r="AU133" i="1"/>
  <c r="AT133" i="1"/>
  <c r="AT260" i="1" s="1"/>
  <c r="AS133" i="1"/>
  <c r="AR133" i="1"/>
  <c r="AQ133" i="1"/>
  <c r="AP133" i="1"/>
  <c r="AO133" i="1"/>
  <c r="AN133" i="1"/>
  <c r="AM133" i="1"/>
  <c r="AL133" i="1"/>
  <c r="AK133" i="1"/>
  <c r="AJ133" i="1"/>
  <c r="AJ260" i="1" s="1"/>
  <c r="AI133" i="1"/>
  <c r="AH133" i="1"/>
  <c r="AH260" i="1" s="1"/>
  <c r="AG133" i="1"/>
  <c r="AG260" i="1" s="1"/>
  <c r="AF133" i="1"/>
  <c r="AF260" i="1" s="1"/>
  <c r="AE133" i="1"/>
  <c r="AE260" i="1" s="1"/>
  <c r="AD133" i="1"/>
  <c r="AD260" i="1" s="1"/>
  <c r="AC133" i="1"/>
  <c r="AB133" i="1"/>
  <c r="AA133" i="1"/>
  <c r="Z133" i="1"/>
  <c r="Y133" i="1"/>
  <c r="X133" i="1"/>
  <c r="W133" i="1"/>
  <c r="V133" i="1"/>
  <c r="U133" i="1"/>
  <c r="T133" i="1"/>
  <c r="BI132" i="1"/>
  <c r="BH132" i="1"/>
  <c r="BH259" i="1" s="1"/>
  <c r="BG132" i="1"/>
  <c r="BF132" i="1"/>
  <c r="BF259" i="1" s="1"/>
  <c r="BE132" i="1"/>
  <c r="BD132" i="1"/>
  <c r="BC132" i="1"/>
  <c r="BB132" i="1"/>
  <c r="BA132" i="1"/>
  <c r="BA259" i="1" s="1"/>
  <c r="AZ132" i="1"/>
  <c r="AZ259" i="1" s="1"/>
  <c r="AY132" i="1"/>
  <c r="AY259" i="1" s="1"/>
  <c r="AX132" i="1"/>
  <c r="AW132" i="1"/>
  <c r="AV132" i="1"/>
  <c r="AV259" i="1" s="1"/>
  <c r="AU132" i="1"/>
  <c r="AT132" i="1"/>
  <c r="AS132" i="1"/>
  <c r="AR132" i="1"/>
  <c r="AQ132" i="1"/>
  <c r="AP132" i="1"/>
  <c r="AO132" i="1"/>
  <c r="AN132" i="1"/>
  <c r="AM132" i="1"/>
  <c r="AL132" i="1"/>
  <c r="AL259" i="1" s="1"/>
  <c r="AK132" i="1"/>
  <c r="AK259" i="1" s="1"/>
  <c r="AJ132" i="1"/>
  <c r="AJ259" i="1" s="1"/>
  <c r="AI132" i="1"/>
  <c r="AI259" i="1" s="1"/>
  <c r="AH132" i="1"/>
  <c r="AG132" i="1"/>
  <c r="AF132" i="1"/>
  <c r="AE132" i="1"/>
  <c r="AE259" i="1" s="1"/>
  <c r="AD132" i="1"/>
  <c r="AD259" i="1" s="1"/>
  <c r="AC132" i="1"/>
  <c r="AC259" i="1" s="1"/>
  <c r="AB132" i="1"/>
  <c r="AB259" i="1" s="1"/>
  <c r="AA132" i="1"/>
  <c r="Z132" i="1"/>
  <c r="Y132" i="1"/>
  <c r="Y259" i="1" s="1"/>
  <c r="X132" i="1"/>
  <c r="W132" i="1"/>
  <c r="V132" i="1"/>
  <c r="U132" i="1"/>
  <c r="T132" i="1"/>
  <c r="BI131" i="1"/>
  <c r="BH131" i="1"/>
  <c r="BG131" i="1"/>
  <c r="BF131" i="1"/>
  <c r="BE131" i="1"/>
  <c r="BD131" i="1"/>
  <c r="BJ131" i="1" s="1"/>
  <c r="BC131" i="1"/>
  <c r="BC258" i="1" s="1"/>
  <c r="BB131" i="1"/>
  <c r="BA131" i="1"/>
  <c r="AZ131" i="1"/>
  <c r="AY131" i="1"/>
  <c r="AX131" i="1"/>
  <c r="AW131" i="1"/>
  <c r="AV131" i="1"/>
  <c r="AU131" i="1"/>
  <c r="AU258" i="1" s="1"/>
  <c r="AT131" i="1"/>
  <c r="AS131" i="1"/>
  <c r="AR131" i="1"/>
  <c r="AQ131" i="1"/>
  <c r="AQ258" i="1" s="1"/>
  <c r="AP131" i="1"/>
  <c r="AP258" i="1" s="1"/>
  <c r="AO131" i="1"/>
  <c r="AO258" i="1" s="1"/>
  <c r="AN131" i="1"/>
  <c r="AN258" i="1" s="1"/>
  <c r="AM131" i="1"/>
  <c r="AL131" i="1"/>
  <c r="AK131" i="1"/>
  <c r="AJ131" i="1"/>
  <c r="AI131" i="1"/>
  <c r="AH131" i="1"/>
  <c r="AG131" i="1"/>
  <c r="AG258" i="1" s="1"/>
  <c r="AF131" i="1"/>
  <c r="AF258" i="1" s="1"/>
  <c r="AE131" i="1"/>
  <c r="AE258" i="1" s="1"/>
  <c r="AD131" i="1"/>
  <c r="AC131" i="1"/>
  <c r="AB131" i="1"/>
  <c r="AA131" i="1"/>
  <c r="Z131" i="1"/>
  <c r="Y131" i="1"/>
  <c r="Y258" i="1" s="1"/>
  <c r="X131" i="1"/>
  <c r="X258" i="1" s="1"/>
  <c r="W131" i="1"/>
  <c r="W258" i="1" s="1"/>
  <c r="V131" i="1"/>
  <c r="V258" i="1" s="1"/>
  <c r="U131" i="1"/>
  <c r="U258" i="1" s="1"/>
  <c r="T131" i="1"/>
  <c r="T258" i="1" s="1"/>
  <c r="BI130" i="1"/>
  <c r="BH130" i="1"/>
  <c r="BG130" i="1"/>
  <c r="BF130" i="1"/>
  <c r="BE130" i="1"/>
  <c r="BD130" i="1"/>
  <c r="BC130" i="1"/>
  <c r="BB130" i="1"/>
  <c r="BA130" i="1"/>
  <c r="AZ130" i="1"/>
  <c r="AZ257" i="1" s="1"/>
  <c r="AY130" i="1"/>
  <c r="AX130" i="1"/>
  <c r="AW130" i="1"/>
  <c r="AV130" i="1"/>
  <c r="AV257" i="1" s="1"/>
  <c r="AU130" i="1"/>
  <c r="AU257" i="1" s="1"/>
  <c r="AT130" i="1"/>
  <c r="AS130" i="1"/>
  <c r="AS257" i="1" s="1"/>
  <c r="AR130" i="1"/>
  <c r="AQ130" i="1"/>
  <c r="AP130" i="1"/>
  <c r="AP257" i="1" s="1"/>
  <c r="AO130" i="1"/>
  <c r="AO257" i="1" s="1"/>
  <c r="AN130" i="1"/>
  <c r="AM130" i="1"/>
  <c r="AL130" i="1"/>
  <c r="AK130" i="1"/>
  <c r="AJ130" i="1"/>
  <c r="AI130" i="1"/>
  <c r="AH130" i="1"/>
  <c r="AG130" i="1"/>
  <c r="AF130" i="1"/>
  <c r="AE130" i="1"/>
  <c r="AD130" i="1"/>
  <c r="AD257" i="1" s="1"/>
  <c r="AC130" i="1"/>
  <c r="AB130" i="1"/>
  <c r="AA130" i="1"/>
  <c r="AA257" i="1" s="1"/>
  <c r="Z130" i="1"/>
  <c r="Z257" i="1" s="1"/>
  <c r="Y130" i="1"/>
  <c r="Y257" i="1" s="1"/>
  <c r="X130" i="1"/>
  <c r="W130" i="1"/>
  <c r="W257" i="1" s="1"/>
  <c r="V130" i="1"/>
  <c r="V257" i="1" s="1"/>
  <c r="U130" i="1"/>
  <c r="U257" i="1" s="1"/>
  <c r="T130" i="1"/>
  <c r="BI129" i="1"/>
  <c r="BH129" i="1"/>
  <c r="BG129" i="1"/>
  <c r="BF129" i="1"/>
  <c r="BE129" i="1"/>
  <c r="BD129" i="1"/>
  <c r="BJ129" i="1" s="1"/>
  <c r="BC129" i="1"/>
  <c r="BC256" i="1" s="1"/>
  <c r="BB129" i="1"/>
  <c r="BB256" i="1" s="1"/>
  <c r="BA129" i="1"/>
  <c r="BA256" i="1" s="1"/>
  <c r="AZ129" i="1"/>
  <c r="AZ256" i="1" s="1"/>
  <c r="AY129" i="1"/>
  <c r="AY256" i="1" s="1"/>
  <c r="AX129" i="1"/>
  <c r="AX256" i="1" s="1"/>
  <c r="AW129" i="1"/>
  <c r="AV129" i="1"/>
  <c r="AU129" i="1"/>
  <c r="AT129" i="1"/>
  <c r="AS129" i="1"/>
  <c r="AR129" i="1"/>
  <c r="AQ129" i="1"/>
  <c r="AP129" i="1"/>
  <c r="AO129" i="1"/>
  <c r="AN129" i="1"/>
  <c r="AN256" i="1" s="1"/>
  <c r="AM129" i="1"/>
  <c r="AL129" i="1"/>
  <c r="AK129" i="1"/>
  <c r="AJ129" i="1"/>
  <c r="AI129" i="1"/>
  <c r="AH129" i="1"/>
  <c r="AG129" i="1"/>
  <c r="AG256" i="1" s="1"/>
  <c r="AF129" i="1"/>
  <c r="AE129" i="1"/>
  <c r="AE256" i="1" s="1"/>
  <c r="AD129" i="1"/>
  <c r="AD256" i="1" s="1"/>
  <c r="AC129" i="1"/>
  <c r="AC256" i="1" s="1"/>
  <c r="AB129" i="1"/>
  <c r="AB256" i="1" s="1"/>
  <c r="AA129" i="1"/>
  <c r="Z129" i="1"/>
  <c r="Y129" i="1"/>
  <c r="X129" i="1"/>
  <c r="W129" i="1"/>
  <c r="W256" i="1" s="1"/>
  <c r="V129" i="1"/>
  <c r="V256" i="1" s="1"/>
  <c r="U129" i="1"/>
  <c r="U256" i="1" s="1"/>
  <c r="T129" i="1"/>
  <c r="BI128" i="1"/>
  <c r="BH128" i="1"/>
  <c r="BG128" i="1"/>
  <c r="BF128" i="1"/>
  <c r="BF255" i="1" s="1"/>
  <c r="BE128" i="1"/>
  <c r="BD128" i="1"/>
  <c r="BJ128" i="1" s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M255" i="1" s="1"/>
  <c r="AL128" i="1"/>
  <c r="AL255" i="1" s="1"/>
  <c r="AK128" i="1"/>
  <c r="AK255" i="1" s="1"/>
  <c r="AJ128" i="1"/>
  <c r="AJ255" i="1" s="1"/>
  <c r="AI128" i="1"/>
  <c r="AI255" i="1" s="1"/>
  <c r="AH128" i="1"/>
  <c r="AH255" i="1" s="1"/>
  <c r="AG128" i="1"/>
  <c r="AG255" i="1" s="1"/>
  <c r="AF128" i="1"/>
  <c r="AE128" i="1"/>
  <c r="AD128" i="1"/>
  <c r="AC128" i="1"/>
  <c r="AC255" i="1" s="1"/>
  <c r="AB128" i="1"/>
  <c r="AA128" i="1"/>
  <c r="Z128" i="1"/>
  <c r="Y128" i="1"/>
  <c r="X128" i="1"/>
  <c r="W128" i="1"/>
  <c r="V128" i="1"/>
  <c r="U128" i="1"/>
  <c r="T128" i="1"/>
  <c r="BI127" i="1"/>
  <c r="BH127" i="1"/>
  <c r="BG127" i="1"/>
  <c r="BG254" i="1" s="1"/>
  <c r="BF127" i="1"/>
  <c r="BE127" i="1"/>
  <c r="BD127" i="1"/>
  <c r="BC127" i="1"/>
  <c r="BC254" i="1" s="1"/>
  <c r="BB127" i="1"/>
  <c r="BA127" i="1"/>
  <c r="AZ127" i="1"/>
  <c r="AY127" i="1"/>
  <c r="AX127" i="1"/>
  <c r="AW127" i="1"/>
  <c r="AV127" i="1"/>
  <c r="AU127" i="1"/>
  <c r="AT127" i="1"/>
  <c r="AS127" i="1"/>
  <c r="AS254" i="1" s="1"/>
  <c r="AR127" i="1"/>
  <c r="AR254" i="1" s="1"/>
  <c r="AQ127" i="1"/>
  <c r="AP127" i="1"/>
  <c r="AO127" i="1"/>
  <c r="AO254" i="1" s="1"/>
  <c r="AN127" i="1"/>
  <c r="AN254" i="1" s="1"/>
  <c r="AM127" i="1"/>
  <c r="AL127" i="1"/>
  <c r="AL254" i="1" s="1"/>
  <c r="AK127" i="1"/>
  <c r="AK254" i="1" s="1"/>
  <c r="AJ127" i="1"/>
  <c r="AI127" i="1"/>
  <c r="AI254" i="1" s="1"/>
  <c r="AH127" i="1"/>
  <c r="AG127" i="1"/>
  <c r="AG254" i="1" s="1"/>
  <c r="AF127" i="1"/>
  <c r="AE127" i="1"/>
  <c r="AD127" i="1"/>
  <c r="AC127" i="1"/>
  <c r="AC254" i="1" s="1"/>
  <c r="AB127" i="1"/>
  <c r="AB254" i="1" s="1"/>
  <c r="AA127" i="1"/>
  <c r="Z127" i="1"/>
  <c r="Y127" i="1"/>
  <c r="X127" i="1"/>
  <c r="W127" i="1"/>
  <c r="W254" i="1" s="1"/>
  <c r="V127" i="1"/>
  <c r="U127" i="1"/>
  <c r="T127" i="1"/>
  <c r="BI126" i="1"/>
  <c r="BH126" i="1"/>
  <c r="BG126" i="1"/>
  <c r="BG253" i="1" s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T253" i="1" s="1"/>
  <c r="AS126" i="1"/>
  <c r="AR126" i="1"/>
  <c r="AQ126" i="1"/>
  <c r="AP126" i="1"/>
  <c r="AP253" i="1" s="1"/>
  <c r="AO126" i="1"/>
  <c r="AN126" i="1"/>
  <c r="AM126" i="1"/>
  <c r="AL126" i="1"/>
  <c r="AK126" i="1"/>
  <c r="AK253" i="1" s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X253" i="1" s="1"/>
  <c r="W126" i="1"/>
  <c r="W253" i="1" s="1"/>
  <c r="V126" i="1"/>
  <c r="V253" i="1" s="1"/>
  <c r="U126" i="1"/>
  <c r="U253" i="1" s="1"/>
  <c r="T126" i="1"/>
  <c r="T253" i="1" s="1"/>
  <c r="BI125" i="1"/>
  <c r="BI252" i="1" s="1"/>
  <c r="BH125" i="1"/>
  <c r="BG125" i="1"/>
  <c r="BF125" i="1"/>
  <c r="BE125" i="1"/>
  <c r="BK125" i="1" s="1"/>
  <c r="BD125" i="1"/>
  <c r="BC125" i="1"/>
  <c r="BB125" i="1"/>
  <c r="BA125" i="1"/>
  <c r="AZ125" i="1"/>
  <c r="AY125" i="1"/>
  <c r="AY252" i="1" s="1"/>
  <c r="AX125" i="1"/>
  <c r="AW125" i="1"/>
  <c r="AV125" i="1"/>
  <c r="AV252" i="1" s="1"/>
  <c r="AU125" i="1"/>
  <c r="AU252" i="1" s="1"/>
  <c r="AT125" i="1"/>
  <c r="AT252" i="1" s="1"/>
  <c r="AS125" i="1"/>
  <c r="AR125" i="1"/>
  <c r="AQ125" i="1"/>
  <c r="AQ252" i="1" s="1"/>
  <c r="AP125" i="1"/>
  <c r="AP252" i="1" s="1"/>
  <c r="AO125" i="1"/>
  <c r="AO252" i="1" s="1"/>
  <c r="AN125" i="1"/>
  <c r="AN252" i="1" s="1"/>
  <c r="AM125" i="1"/>
  <c r="AM252" i="1" s="1"/>
  <c r="AL125" i="1"/>
  <c r="AL252" i="1" s="1"/>
  <c r="AK125" i="1"/>
  <c r="AJ125" i="1"/>
  <c r="AI125" i="1"/>
  <c r="AH125" i="1"/>
  <c r="AG125" i="1"/>
  <c r="AF125" i="1"/>
  <c r="AF252" i="1" s="1"/>
  <c r="AE125" i="1"/>
  <c r="AD125" i="1"/>
  <c r="AC125" i="1"/>
  <c r="AC252" i="1" s="1"/>
  <c r="AB125" i="1"/>
  <c r="AA125" i="1"/>
  <c r="Z125" i="1"/>
  <c r="Y125" i="1"/>
  <c r="X125" i="1"/>
  <c r="W125" i="1"/>
  <c r="V125" i="1"/>
  <c r="U125" i="1"/>
  <c r="U252" i="1" s="1"/>
  <c r="T125" i="1"/>
  <c r="BI124" i="1"/>
  <c r="BH124" i="1"/>
  <c r="BG124" i="1"/>
  <c r="BF124" i="1"/>
  <c r="BE124" i="1"/>
  <c r="BD124" i="1"/>
  <c r="BD251" i="1" s="1"/>
  <c r="BC124" i="1"/>
  <c r="BB124" i="1"/>
  <c r="BA124" i="1"/>
  <c r="AZ124" i="1"/>
  <c r="AY124" i="1"/>
  <c r="AX124" i="1"/>
  <c r="AX251" i="1" s="1"/>
  <c r="AW124" i="1"/>
  <c r="AV124" i="1"/>
  <c r="AU124" i="1"/>
  <c r="AT124" i="1"/>
  <c r="AS124" i="1"/>
  <c r="AS251" i="1" s="1"/>
  <c r="AR124" i="1"/>
  <c r="AR251" i="1" s="1"/>
  <c r="AQ124" i="1"/>
  <c r="AP124" i="1"/>
  <c r="AO124" i="1"/>
  <c r="AN124" i="1"/>
  <c r="AM124" i="1"/>
  <c r="AL124" i="1"/>
  <c r="AK124" i="1"/>
  <c r="AJ124" i="1"/>
  <c r="AI124" i="1"/>
  <c r="AH124" i="1"/>
  <c r="AH251" i="1" s="1"/>
  <c r="AG124" i="1"/>
  <c r="AG251" i="1" s="1"/>
  <c r="AF124" i="1"/>
  <c r="AF251" i="1" s="1"/>
  <c r="AE124" i="1"/>
  <c r="AE251" i="1" s="1"/>
  <c r="AD124" i="1"/>
  <c r="AD251" i="1" s="1"/>
  <c r="AC124" i="1"/>
  <c r="AC251" i="1" s="1"/>
  <c r="AB124" i="1"/>
  <c r="AB251" i="1" s="1"/>
  <c r="AA124" i="1"/>
  <c r="AA251" i="1" s="1"/>
  <c r="Z124" i="1"/>
  <c r="Y124" i="1"/>
  <c r="X124" i="1"/>
  <c r="W124" i="1"/>
  <c r="V124" i="1"/>
  <c r="U124" i="1"/>
  <c r="T124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H120" i="1"/>
  <c r="BG120" i="1"/>
  <c r="BF120" i="1"/>
  <c r="BE120" i="1"/>
  <c r="BD120" i="1"/>
  <c r="BD136" i="1" s="1"/>
  <c r="BC120" i="1"/>
  <c r="BB120" i="1"/>
  <c r="BA120" i="1"/>
  <c r="AZ120" i="1"/>
  <c r="AY120" i="1"/>
  <c r="AY136" i="1" s="1"/>
  <c r="AX120" i="1"/>
  <c r="AX136" i="1" s="1"/>
  <c r="AW120" i="1"/>
  <c r="AV120" i="1"/>
  <c r="AU120" i="1"/>
  <c r="AT120" i="1"/>
  <c r="AS120" i="1"/>
  <c r="AS136" i="1" s="1"/>
  <c r="AR120" i="1"/>
  <c r="AQ120" i="1"/>
  <c r="AP120" i="1"/>
  <c r="AO120" i="1"/>
  <c r="AN120" i="1"/>
  <c r="AM120" i="1"/>
  <c r="AL120" i="1"/>
  <c r="AK120" i="1"/>
  <c r="AJ120" i="1"/>
  <c r="AI120" i="1"/>
  <c r="AH120" i="1"/>
  <c r="AH136" i="1" s="1"/>
  <c r="AG120" i="1"/>
  <c r="AF120" i="1"/>
  <c r="AE120" i="1"/>
  <c r="AD120" i="1"/>
  <c r="AC120" i="1"/>
  <c r="AC136" i="1" s="1"/>
  <c r="AB120" i="1"/>
  <c r="AB136" i="1" s="1"/>
  <c r="AA120" i="1"/>
  <c r="Z120" i="1"/>
  <c r="Y120" i="1"/>
  <c r="Y136" i="1" s="1"/>
  <c r="X120" i="1"/>
  <c r="W120" i="1"/>
  <c r="L117" i="1" s="1"/>
  <c r="V120" i="1"/>
  <c r="U120" i="1"/>
  <c r="J119" i="1" s="1"/>
  <c r="T120" i="1"/>
  <c r="BJ118" i="1"/>
  <c r="BK113" i="1"/>
  <c r="BJ113" i="1"/>
  <c r="M113" i="1"/>
  <c r="L113" i="1"/>
  <c r="BK109" i="1"/>
  <c r="BK93" i="1" s="1"/>
  <c r="BK108" i="1"/>
  <c r="P108" i="1"/>
  <c r="P172" i="1" s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H104" i="1"/>
  <c r="BG104" i="1"/>
  <c r="BF104" i="1"/>
  <c r="BE104" i="1"/>
  <c r="BD104" i="1"/>
  <c r="BC104" i="1"/>
  <c r="BB104" i="1"/>
  <c r="BB22" i="1" s="1"/>
  <c r="BB24" i="1" s="1"/>
  <c r="BB27" i="1" s="1"/>
  <c r="BA104" i="1"/>
  <c r="BA22" i="1" s="1"/>
  <c r="AZ104" i="1"/>
  <c r="AZ22" i="1" s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J22" i="1" s="1"/>
  <c r="AI104" i="1"/>
  <c r="AH104" i="1"/>
  <c r="AG104" i="1"/>
  <c r="AF104" i="1"/>
  <c r="AE104" i="1"/>
  <c r="AE22" i="1" s="1"/>
  <c r="AD104" i="1"/>
  <c r="AD22" i="1" s="1"/>
  <c r="AC104" i="1"/>
  <c r="AB104" i="1"/>
  <c r="AA104" i="1"/>
  <c r="Y104" i="1"/>
  <c r="X104" i="1"/>
  <c r="W104" i="1"/>
  <c r="V104" i="1"/>
  <c r="U104" i="1"/>
  <c r="T104" i="1"/>
  <c r="T136" i="1" s="1"/>
  <c r="S104" i="1"/>
  <c r="R104" i="1"/>
  <c r="Q104" i="1"/>
  <c r="P104" i="1"/>
  <c r="O104" i="1"/>
  <c r="N104" i="1"/>
  <c r="N136" i="1" s="1"/>
  <c r="M104" i="1"/>
  <c r="CW103" i="1"/>
  <c r="CJ103" i="1"/>
  <c r="CI103" i="1"/>
  <c r="CW102" i="1"/>
  <c r="CJ102" i="1"/>
  <c r="CI102" i="1"/>
  <c r="BW102" i="1"/>
  <c r="Z102" i="1"/>
  <c r="J102" i="1"/>
  <c r="I102" i="1"/>
  <c r="H102" i="1"/>
  <c r="G102" i="1"/>
  <c r="F102" i="1"/>
  <c r="CW101" i="1"/>
  <c r="CR101" i="1"/>
  <c r="CQ101" i="1"/>
  <c r="CN101" i="1"/>
  <c r="CJ101" i="1"/>
  <c r="CI101" i="1"/>
  <c r="BX101" i="1"/>
  <c r="BW101" i="1"/>
  <c r="L101" i="1"/>
  <c r="J101" i="1"/>
  <c r="I101" i="1"/>
  <c r="H101" i="1"/>
  <c r="G101" i="1"/>
  <c r="F101" i="1"/>
  <c r="E101" i="1"/>
  <c r="CW100" i="1"/>
  <c r="CJ100" i="1"/>
  <c r="CI100" i="1"/>
  <c r="E100" i="1"/>
  <c r="CW99" i="1"/>
  <c r="CP99" i="1"/>
  <c r="CO99" i="1"/>
  <c r="CJ99" i="1"/>
  <c r="CI99" i="1"/>
  <c r="BV99" i="1"/>
  <c r="L99" i="1"/>
  <c r="K99" i="1"/>
  <c r="J99" i="1"/>
  <c r="CR98" i="1"/>
  <c r="CK98" i="1"/>
  <c r="CJ98" i="1"/>
  <c r="CI98" i="1"/>
  <c r="BX98" i="1"/>
  <c r="G98" i="1"/>
  <c r="F98" i="1"/>
  <c r="C98" i="1"/>
  <c r="CJ97" i="1"/>
  <c r="CI97" i="1"/>
  <c r="CP96" i="1"/>
  <c r="CM96" i="1"/>
  <c r="CK96" i="1"/>
  <c r="CJ96" i="1"/>
  <c r="CI96" i="1"/>
  <c r="BV96" i="1"/>
  <c r="L96" i="1"/>
  <c r="I96" i="1"/>
  <c r="H96" i="1"/>
  <c r="G96" i="1"/>
  <c r="F96" i="1"/>
  <c r="E96" i="1"/>
  <c r="D96" i="1"/>
  <c r="C96" i="1"/>
  <c r="CJ95" i="1"/>
  <c r="CI95" i="1"/>
  <c r="E95" i="1"/>
  <c r="C95" i="1"/>
  <c r="CQ94" i="1"/>
  <c r="CO94" i="1"/>
  <c r="CN94" i="1"/>
  <c r="CJ94" i="1"/>
  <c r="CI94" i="1"/>
  <c r="BW94" i="1"/>
  <c r="BV94" i="1"/>
  <c r="L94" i="1"/>
  <c r="CK93" i="1"/>
  <c r="CJ93" i="1"/>
  <c r="CI93" i="1"/>
  <c r="L93" i="1"/>
  <c r="J93" i="1"/>
  <c r="I93" i="1"/>
  <c r="H93" i="1"/>
  <c r="G93" i="1"/>
  <c r="F93" i="1"/>
  <c r="E93" i="1"/>
  <c r="CJ92" i="1"/>
  <c r="CI92" i="1"/>
  <c r="I92" i="1"/>
  <c r="C92" i="1"/>
  <c r="CT91" i="1"/>
  <c r="CS91" i="1"/>
  <c r="CR91" i="1"/>
  <c r="CQ91" i="1"/>
  <c r="CP91" i="1"/>
  <c r="CO91" i="1"/>
  <c r="CN91" i="1"/>
  <c r="CM91" i="1"/>
  <c r="CL91" i="1"/>
  <c r="CJ91" i="1"/>
  <c r="CI91" i="1"/>
  <c r="CH91" i="1"/>
  <c r="CG91" i="1"/>
  <c r="CF91" i="1"/>
  <c r="CE91" i="1"/>
  <c r="CD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I90" i="1"/>
  <c r="BU88" i="1"/>
  <c r="BT88" i="1"/>
  <c r="BS88" i="1"/>
  <c r="BR88" i="1"/>
  <c r="BQ88" i="1"/>
  <c r="BP88" i="1"/>
  <c r="BO88" i="1"/>
  <c r="BN88" i="1"/>
  <c r="BM88" i="1"/>
  <c r="BL88" i="1"/>
  <c r="BK88" i="1"/>
  <c r="BH88" i="1"/>
  <c r="BG136" i="1"/>
  <c r="BF88" i="1"/>
  <c r="BF247" i="1" s="1"/>
  <c r="BE88" i="1"/>
  <c r="BD88" i="1"/>
  <c r="BC88" i="1"/>
  <c r="BB88" i="1"/>
  <c r="BB247" i="1" s="1"/>
  <c r="BA88" i="1"/>
  <c r="AZ88" i="1"/>
  <c r="AY88" i="1"/>
  <c r="AX88" i="1"/>
  <c r="AW88" i="1"/>
  <c r="AW247" i="1" s="1"/>
  <c r="AV88" i="1"/>
  <c r="AU88" i="1"/>
  <c r="AT88" i="1"/>
  <c r="AS88" i="1"/>
  <c r="AR88" i="1"/>
  <c r="AR247" i="1" s="1"/>
  <c r="AQ88" i="1"/>
  <c r="AQ247" i="1" s="1"/>
  <c r="AP88" i="1"/>
  <c r="AO88" i="1"/>
  <c r="AN88" i="1"/>
  <c r="AM88" i="1"/>
  <c r="AL88" i="1"/>
  <c r="AK88" i="1"/>
  <c r="AJ88" i="1"/>
  <c r="AJ247" i="1" s="1"/>
  <c r="AI88" i="1"/>
  <c r="AI247" i="1" s="1"/>
  <c r="AH88" i="1"/>
  <c r="AH247" i="1" s="1"/>
  <c r="AG88" i="1"/>
  <c r="AG136" i="1" s="1"/>
  <c r="AF88" i="1"/>
  <c r="AF247" i="1" s="1"/>
  <c r="AE88" i="1"/>
  <c r="AD88" i="1"/>
  <c r="AC88" i="1"/>
  <c r="AB88" i="1"/>
  <c r="AA88" i="1"/>
  <c r="Z88" i="1"/>
  <c r="Y88" i="1"/>
  <c r="X88" i="1"/>
  <c r="X247" i="1" s="1"/>
  <c r="W88" i="1"/>
  <c r="V88" i="1"/>
  <c r="U88" i="1"/>
  <c r="T88" i="1"/>
  <c r="S88" i="1"/>
  <c r="R88" i="1"/>
  <c r="R136" i="1" s="1"/>
  <c r="Q88" i="1"/>
  <c r="P88" i="1"/>
  <c r="P136" i="1" s="1"/>
  <c r="O88" i="1"/>
  <c r="H79" i="1" s="1"/>
  <c r="N88" i="1"/>
  <c r="M88" i="1"/>
  <c r="DO87" i="1"/>
  <c r="DI87" i="1"/>
  <c r="DH87" i="1"/>
  <c r="DG87" i="1"/>
  <c r="DF87" i="1"/>
  <c r="DA87" i="1" s="1"/>
  <c r="DE87" i="1"/>
  <c r="DD87" i="1"/>
  <c r="DC87" i="1"/>
  <c r="DB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DO86" i="1"/>
  <c r="DJ86" i="1"/>
  <c r="DI86" i="1"/>
  <c r="DH86" i="1"/>
  <c r="DG86" i="1"/>
  <c r="DF86" i="1"/>
  <c r="DE86" i="1"/>
  <c r="DD86" i="1"/>
  <c r="DC86" i="1"/>
  <c r="DB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CX77" i="1"/>
  <c r="DO85" i="1"/>
  <c r="DI85" i="1"/>
  <c r="DH85" i="1"/>
  <c r="DG85" i="1"/>
  <c r="DF85" i="1"/>
  <c r="DE85" i="1"/>
  <c r="DD85" i="1"/>
  <c r="DC85" i="1"/>
  <c r="DB85" i="1"/>
  <c r="CX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K85" i="1"/>
  <c r="E85" i="1"/>
  <c r="D85" i="1"/>
  <c r="C85" i="1"/>
  <c r="DO84" i="1"/>
  <c r="DI84" i="1"/>
  <c r="DH84" i="1"/>
  <c r="DG84" i="1"/>
  <c r="DF84" i="1"/>
  <c r="DE84" i="1"/>
  <c r="DD84" i="1"/>
  <c r="DC84" i="1"/>
  <c r="DB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I84" i="1"/>
  <c r="G84" i="1"/>
  <c r="F84" i="1"/>
  <c r="E84" i="1"/>
  <c r="D84" i="1"/>
  <c r="C84" i="1"/>
  <c r="DO83" i="1"/>
  <c r="DI83" i="1"/>
  <c r="DH83" i="1"/>
  <c r="DG83" i="1"/>
  <c r="DF83" i="1"/>
  <c r="DE83" i="1"/>
  <c r="DD83" i="1"/>
  <c r="DC83" i="1"/>
  <c r="DB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DO82" i="1"/>
  <c r="DK82" i="1"/>
  <c r="DJ82" i="1"/>
  <c r="DI82" i="1"/>
  <c r="DH82" i="1"/>
  <c r="DG82" i="1"/>
  <c r="DF82" i="1"/>
  <c r="DE82" i="1"/>
  <c r="DD82" i="1"/>
  <c r="DC82" i="1"/>
  <c r="DB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M82" i="1"/>
  <c r="BK82" i="1"/>
  <c r="BK114" i="1" s="1"/>
  <c r="DO81" i="1"/>
  <c r="DI81" i="1"/>
  <c r="DH81" i="1"/>
  <c r="DG81" i="1"/>
  <c r="DF81" i="1"/>
  <c r="DA81" i="1" s="1"/>
  <c r="DE81" i="1"/>
  <c r="DD81" i="1"/>
  <c r="DC81" i="1"/>
  <c r="DB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DK81" i="1"/>
  <c r="DO80" i="1"/>
  <c r="DI80" i="1"/>
  <c r="DH80" i="1"/>
  <c r="DG80" i="1"/>
  <c r="DF80" i="1"/>
  <c r="DE80" i="1"/>
  <c r="DD80" i="1"/>
  <c r="DC80" i="1"/>
  <c r="DB80" i="1"/>
  <c r="CX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DO79" i="1"/>
  <c r="DI79" i="1"/>
  <c r="DH79" i="1"/>
  <c r="DG79" i="1"/>
  <c r="DF79" i="1"/>
  <c r="DA79" i="1" s="1"/>
  <c r="DE79" i="1"/>
  <c r="DD79" i="1"/>
  <c r="DC79" i="1"/>
  <c r="DB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X88" i="1" s="1"/>
  <c r="BW79" i="1"/>
  <c r="D79" i="1"/>
  <c r="DO78" i="1"/>
  <c r="DI78" i="1"/>
  <c r="DH78" i="1"/>
  <c r="DG78" i="1"/>
  <c r="DF78" i="1"/>
  <c r="DA78" i="1" s="1"/>
  <c r="DE78" i="1"/>
  <c r="DD78" i="1"/>
  <c r="DC78" i="1"/>
  <c r="DB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Y88" i="1" s="1"/>
  <c r="BX78" i="1"/>
  <c r="BW78" i="1"/>
  <c r="BW88" i="1" s="1"/>
  <c r="DO77" i="1"/>
  <c r="DK77" i="1"/>
  <c r="DI77" i="1"/>
  <c r="DH77" i="1"/>
  <c r="DG77" i="1"/>
  <c r="DF77" i="1"/>
  <c r="DE77" i="1"/>
  <c r="DD77" i="1"/>
  <c r="DC77" i="1"/>
  <c r="DB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DJ77" i="1"/>
  <c r="DO76" i="1"/>
  <c r="DI76" i="1"/>
  <c r="DH76" i="1"/>
  <c r="DG76" i="1"/>
  <c r="DF76" i="1"/>
  <c r="DA76" i="1" s="1"/>
  <c r="DE76" i="1"/>
  <c r="DE88" i="1" s="1"/>
  <c r="DD76" i="1"/>
  <c r="DD88" i="1" s="1"/>
  <c r="DC76" i="1"/>
  <c r="DC88" i="1" s="1"/>
  <c r="DB76" i="1"/>
  <c r="DB88" i="1" s="1"/>
  <c r="CY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J88" i="1" s="1"/>
  <c r="CI76" i="1"/>
  <c r="CH76" i="1"/>
  <c r="CG76" i="1"/>
  <c r="CG88" i="1" s="1"/>
  <c r="CF76" i="1"/>
  <c r="CF88" i="1" s="1"/>
  <c r="CE76" i="1"/>
  <c r="CE88" i="1" s="1"/>
  <c r="CD76" i="1"/>
  <c r="CD88" i="1" s="1"/>
  <c r="CC76" i="1"/>
  <c r="CC88" i="1" s="1"/>
  <c r="CB76" i="1"/>
  <c r="CA76" i="1"/>
  <c r="CA88" i="1" s="1"/>
  <c r="BZ76" i="1"/>
  <c r="BY76" i="1"/>
  <c r="BX76" i="1"/>
  <c r="BW76" i="1"/>
  <c r="BL76" i="1"/>
  <c r="DK76" i="1"/>
  <c r="DL75" i="1"/>
  <c r="DK75" i="1"/>
  <c r="DI75" i="1"/>
  <c r="DH75" i="1"/>
  <c r="DG75" i="1"/>
  <c r="DF75" i="1"/>
  <c r="DE75" i="1"/>
  <c r="DD75" i="1"/>
  <c r="BU75" i="1"/>
  <c r="BT75" i="1"/>
  <c r="BS75" i="1"/>
  <c r="BR75" i="1"/>
  <c r="BQ75" i="1"/>
  <c r="CC91" i="1" s="1"/>
  <c r="BP75" i="1"/>
  <c r="BO75" i="1"/>
  <c r="BN75" i="1"/>
  <c r="BM75" i="1"/>
  <c r="CB91" i="1" s="1"/>
  <c r="BL75" i="1"/>
  <c r="CA91" i="1" s="1"/>
  <c r="BK75" i="1"/>
  <c r="BZ91" i="1" s="1"/>
  <c r="BJ75" i="1"/>
  <c r="DJ75" i="1" s="1"/>
  <c r="BI75" i="1"/>
  <c r="BH75" i="1"/>
  <c r="BG75" i="1"/>
  <c r="BF75" i="1"/>
  <c r="BE75" i="1"/>
  <c r="BD75" i="1"/>
  <c r="BC75" i="1"/>
  <c r="DC75" i="1" s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AD72" i="1"/>
  <c r="AD13" i="1" s="1"/>
  <c r="AC72" i="1"/>
  <c r="AC13" i="1" s="1"/>
  <c r="AB72" i="1"/>
  <c r="AB13" i="1" s="1"/>
  <c r="AA72" i="1"/>
  <c r="AA13" i="1" s="1"/>
  <c r="Z72" i="1"/>
  <c r="Z13" i="1" s="1"/>
  <c r="Y72" i="1"/>
  <c r="X72" i="1"/>
  <c r="W72" i="1"/>
  <c r="V72" i="1"/>
  <c r="U72" i="1"/>
  <c r="T72" i="1"/>
  <c r="S72" i="1"/>
  <c r="R72" i="1"/>
  <c r="Q72" i="1"/>
  <c r="P72" i="1"/>
  <c r="O72" i="1"/>
  <c r="N72" i="1"/>
  <c r="K70" i="1" s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J71" i="1"/>
  <c r="I71" i="1"/>
  <c r="H71" i="1"/>
  <c r="G71" i="1"/>
  <c r="F71" i="1"/>
  <c r="E71" i="1"/>
  <c r="D71" i="1"/>
  <c r="C71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G69" i="1"/>
  <c r="F69" i="1"/>
  <c r="D69" i="1"/>
  <c r="C69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M68" i="1"/>
  <c r="L68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I67" i="1"/>
  <c r="G67" i="1"/>
  <c r="F67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M66" i="1"/>
  <c r="L66" i="1"/>
  <c r="K66" i="1"/>
  <c r="J66" i="1"/>
  <c r="I66" i="1"/>
  <c r="H66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420" i="1" s="1"/>
  <c r="G65" i="1"/>
  <c r="E65" i="1"/>
  <c r="D65" i="1"/>
  <c r="C65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M64" i="1"/>
  <c r="L64" i="1"/>
  <c r="K64" i="1"/>
  <c r="J64" i="1"/>
  <c r="I64" i="1"/>
  <c r="H64" i="1"/>
  <c r="G64" i="1"/>
  <c r="F64" i="1"/>
  <c r="E64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E63" i="1"/>
  <c r="C63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L62" i="1"/>
  <c r="J62" i="1"/>
  <c r="I62" i="1"/>
  <c r="H62" i="1"/>
  <c r="G62" i="1"/>
  <c r="F62" i="1"/>
  <c r="E62" i="1"/>
  <c r="D62" i="1"/>
  <c r="C62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M61" i="1"/>
  <c r="L61" i="1"/>
  <c r="K61" i="1"/>
  <c r="J61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I60" i="1"/>
  <c r="H60" i="1"/>
  <c r="F60" i="1"/>
  <c r="E60" i="1"/>
  <c r="D60" i="1"/>
  <c r="C60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H39" i="1"/>
  <c r="BI30" i="1" s="1"/>
  <c r="BG39" i="1"/>
  <c r="BH30" i="1" s="1"/>
  <c r="BH33" i="1" s="1"/>
  <c r="BH38" i="1" s="1"/>
  <c r="BF39" i="1"/>
  <c r="BE39" i="1"/>
  <c r="BD39" i="1"/>
  <c r="BC39" i="1"/>
  <c r="BB39" i="1"/>
  <c r="BC30" i="1" s="1"/>
  <c r="BA39" i="1"/>
  <c r="AZ39" i="1"/>
  <c r="AY39" i="1"/>
  <c r="AX39" i="1"/>
  <c r="AW39" i="1"/>
  <c r="AV39" i="1"/>
  <c r="AU39" i="1"/>
  <c r="AV30" i="1" s="1"/>
  <c r="AT39" i="1"/>
  <c r="AU30" i="1" s="1"/>
  <c r="AU33" i="1" s="1"/>
  <c r="AU38" i="1" s="1"/>
  <c r="AS39" i="1"/>
  <c r="AR39" i="1"/>
  <c r="AQ39" i="1"/>
  <c r="AR30" i="1" s="1"/>
  <c r="AR33" i="1" s="1"/>
  <c r="AR38" i="1" s="1"/>
  <c r="AP39" i="1"/>
  <c r="AQ30" i="1" s="1"/>
  <c r="AQ33" i="1" s="1"/>
  <c r="AQ38" i="1" s="1"/>
  <c r="AO39" i="1"/>
  <c r="AP30" i="1" s="1"/>
  <c r="AP33" i="1" s="1"/>
  <c r="AP38" i="1" s="1"/>
  <c r="AN39" i="1"/>
  <c r="AO30" i="1" s="1"/>
  <c r="AO33" i="1" s="1"/>
  <c r="AO38" i="1" s="1"/>
  <c r="AM39" i="1"/>
  <c r="AL39" i="1"/>
  <c r="AK39" i="1"/>
  <c r="AL30" i="1" s="1"/>
  <c r="AL33" i="1" s="1"/>
  <c r="AL38" i="1" s="1"/>
  <c r="AJ39" i="1"/>
  <c r="AI39" i="1"/>
  <c r="AH39" i="1"/>
  <c r="AG39" i="1"/>
  <c r="AF39" i="1"/>
  <c r="AE39" i="1"/>
  <c r="AF30" i="1" s="1"/>
  <c r="AD39" i="1"/>
  <c r="AC39" i="1"/>
  <c r="AB39" i="1"/>
  <c r="AA39" i="1"/>
  <c r="Z39" i="1"/>
  <c r="Y39" i="1"/>
  <c r="Z30" i="1" s="1"/>
  <c r="X39" i="1"/>
  <c r="Y30" i="1" s="1"/>
  <c r="Y33" i="1" s="1"/>
  <c r="Y38" i="1" s="1"/>
  <c r="W39" i="1"/>
  <c r="V39" i="1"/>
  <c r="U39" i="1"/>
  <c r="V30" i="1" s="1"/>
  <c r="V33" i="1" s="1"/>
  <c r="V38" i="1" s="1"/>
  <c r="V34" i="1" s="1"/>
  <c r="V312" i="1" s="1"/>
  <c r="T39" i="1"/>
  <c r="U30" i="1" s="1"/>
  <c r="U33" i="1" s="1"/>
  <c r="U38" i="1" s="1"/>
  <c r="U34" i="1" s="1"/>
  <c r="U312" i="1" s="1"/>
  <c r="S39" i="1"/>
  <c r="T30" i="1" s="1"/>
  <c r="T33" i="1" s="1"/>
  <c r="T38" i="1" s="1"/>
  <c r="T34" i="1" s="1"/>
  <c r="T312" i="1" s="1"/>
  <c r="R39" i="1"/>
  <c r="S30" i="1" s="1"/>
  <c r="S33" i="1" s="1"/>
  <c r="S38" i="1" s="1"/>
  <c r="S34" i="1" s="1"/>
  <c r="S312" i="1" s="1"/>
  <c r="Q39" i="1"/>
  <c r="R30" i="1" s="1"/>
  <c r="R33" i="1" s="1"/>
  <c r="R38" i="1" s="1"/>
  <c r="R34" i="1" s="1"/>
  <c r="R312" i="1" s="1"/>
  <c r="P39" i="1"/>
  <c r="Q30" i="1" s="1"/>
  <c r="Q33" i="1" s="1"/>
  <c r="Q38" i="1" s="1"/>
  <c r="Q34" i="1" s="1"/>
  <c r="Q312" i="1" s="1"/>
  <c r="O39" i="1"/>
  <c r="P30" i="1" s="1"/>
  <c r="P33" i="1" s="1"/>
  <c r="P38" i="1" s="1"/>
  <c r="P34" i="1" s="1"/>
  <c r="P312" i="1" s="1"/>
  <c r="N39" i="1"/>
  <c r="M39" i="1"/>
  <c r="L39" i="1"/>
  <c r="K39" i="1"/>
  <c r="J39" i="1"/>
  <c r="I39" i="1"/>
  <c r="H39" i="1"/>
  <c r="G39" i="1"/>
  <c r="F39" i="1"/>
  <c r="E39" i="1"/>
  <c r="D39" i="1"/>
  <c r="C39" i="1"/>
  <c r="D30" i="1" s="1"/>
  <c r="D33" i="1" s="1"/>
  <c r="AT38" i="1"/>
  <c r="AS38" i="1"/>
  <c r="D38" i="1"/>
  <c r="D34" i="1" s="1"/>
  <c r="D312" i="1" s="1"/>
  <c r="BI37" i="1"/>
  <c r="BI295" i="1" s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H35" i="1"/>
  <c r="BD35" i="1"/>
  <c r="BC35" i="1"/>
  <c r="BB35" i="1"/>
  <c r="BA35" i="1"/>
  <c r="AZ35" i="1"/>
  <c r="AY35" i="1"/>
  <c r="AX35" i="1"/>
  <c r="AU35" i="1"/>
  <c r="AT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Y34" i="1"/>
  <c r="Y312" i="1" s="1"/>
  <c r="X34" i="1"/>
  <c r="X312" i="1" s="1"/>
  <c r="W34" i="1"/>
  <c r="W312" i="1" s="1"/>
  <c r="AT33" i="1"/>
  <c r="AK33" i="1"/>
  <c r="AK38" i="1" s="1"/>
  <c r="AJ33" i="1"/>
  <c r="AJ38" i="1" s="1"/>
  <c r="X33" i="1"/>
  <c r="X38" i="1" s="1"/>
  <c r="BI32" i="1"/>
  <c r="BI279" i="1" s="1"/>
  <c r="BH32" i="1"/>
  <c r="BG32" i="1"/>
  <c r="BF32" i="1"/>
  <c r="BE32" i="1"/>
  <c r="BD32" i="1"/>
  <c r="BC32" i="1"/>
  <c r="BB32" i="1"/>
  <c r="BA32" i="1"/>
  <c r="AZ32" i="1"/>
  <c r="AY32" i="1"/>
  <c r="AX32" i="1"/>
  <c r="AX33" i="1" s="1"/>
  <c r="AX38" i="1" s="1"/>
  <c r="AW32" i="1"/>
  <c r="AW33" i="1" s="1"/>
  <c r="AW38" i="1" s="1"/>
  <c r="AV32" i="1"/>
  <c r="AV33" i="1" s="1"/>
  <c r="AV38" i="1" s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B33" i="1" s="1"/>
  <c r="AB38" i="1" s="1"/>
  <c r="AB34" i="1" s="1"/>
  <c r="AB312" i="1" s="1"/>
  <c r="AA32" i="1"/>
  <c r="Z32" i="1"/>
  <c r="Z33" i="1" s="1"/>
  <c r="Z38" i="1" s="1"/>
  <c r="Z34" i="1" s="1"/>
  <c r="Z312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F33" i="1" s="1"/>
  <c r="F38" i="1" s="1"/>
  <c r="F34" i="1" s="1"/>
  <c r="F312" i="1" s="1"/>
  <c r="E32" i="1"/>
  <c r="D32" i="1"/>
  <c r="C32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G30" i="1"/>
  <c r="BG33" i="1" s="1"/>
  <c r="BF30" i="1"/>
  <c r="BF33" i="1" s="1"/>
  <c r="BF38" i="1" s="1"/>
  <c r="BE30" i="1"/>
  <c r="BE33" i="1" s="1"/>
  <c r="BE38" i="1" s="1"/>
  <c r="BD30" i="1"/>
  <c r="BD33" i="1" s="1"/>
  <c r="BD38" i="1" s="1"/>
  <c r="BB30" i="1"/>
  <c r="BA30" i="1"/>
  <c r="AZ30" i="1"/>
  <c r="AY30" i="1"/>
  <c r="AX30" i="1"/>
  <c r="AW30" i="1"/>
  <c r="AT30" i="1"/>
  <c r="AS30" i="1"/>
  <c r="AS33" i="1" s="1"/>
  <c r="AN30" i="1"/>
  <c r="AN33" i="1" s="1"/>
  <c r="AN38" i="1" s="1"/>
  <c r="AM30" i="1"/>
  <c r="AM33" i="1" s="1"/>
  <c r="AM38" i="1" s="1"/>
  <c r="AK30" i="1"/>
  <c r="AJ30" i="1"/>
  <c r="AI30" i="1"/>
  <c r="AH30" i="1"/>
  <c r="AG30" i="1"/>
  <c r="AE30" i="1"/>
  <c r="AD30" i="1"/>
  <c r="AC30" i="1"/>
  <c r="AB30" i="1"/>
  <c r="AA30" i="1"/>
  <c r="X30" i="1"/>
  <c r="W30" i="1"/>
  <c r="W33" i="1" s="1"/>
  <c r="W38" i="1" s="1"/>
  <c r="O30" i="1"/>
  <c r="O33" i="1" s="1"/>
  <c r="O38" i="1" s="1"/>
  <c r="O34" i="1" s="1"/>
  <c r="O312" i="1" s="1"/>
  <c r="N30" i="1"/>
  <c r="N33" i="1" s="1"/>
  <c r="N38" i="1" s="1"/>
  <c r="N34" i="1" s="1"/>
  <c r="N312" i="1" s="1"/>
  <c r="M30" i="1"/>
  <c r="M33" i="1" s="1"/>
  <c r="M38" i="1" s="1"/>
  <c r="M34" i="1" s="1"/>
  <c r="M312" i="1" s="1"/>
  <c r="L30" i="1"/>
  <c r="L33" i="1" s="1"/>
  <c r="L38" i="1" s="1"/>
  <c r="L34" i="1" s="1"/>
  <c r="L312" i="1" s="1"/>
  <c r="K30" i="1"/>
  <c r="K33" i="1" s="1"/>
  <c r="K38" i="1" s="1"/>
  <c r="K34" i="1" s="1"/>
  <c r="K312" i="1" s="1"/>
  <c r="J30" i="1"/>
  <c r="J33" i="1" s="1"/>
  <c r="J38" i="1" s="1"/>
  <c r="J34" i="1" s="1"/>
  <c r="J312" i="1" s="1"/>
  <c r="I30" i="1"/>
  <c r="I33" i="1" s="1"/>
  <c r="I38" i="1" s="1"/>
  <c r="I34" i="1" s="1"/>
  <c r="I312" i="1" s="1"/>
  <c r="H30" i="1"/>
  <c r="G30" i="1"/>
  <c r="F30" i="1"/>
  <c r="E30" i="1"/>
  <c r="BI28" i="1"/>
  <c r="BJ21" i="1" s="1"/>
  <c r="BH28" i="1"/>
  <c r="BG28" i="1"/>
  <c r="BF28" i="1"/>
  <c r="BE28" i="1"/>
  <c r="BD28" i="1"/>
  <c r="BE21" i="1" s="1"/>
  <c r="BE24" i="1" s="1"/>
  <c r="BE27" i="1" s="1"/>
  <c r="BC28" i="1"/>
  <c r="BB28" i="1"/>
  <c r="BA28" i="1"/>
  <c r="AZ28" i="1"/>
  <c r="BA21" i="1" s="1"/>
  <c r="BA24" i="1" s="1"/>
  <c r="BA27" i="1" s="1"/>
  <c r="AY28" i="1"/>
  <c r="AZ21" i="1" s="1"/>
  <c r="AZ24" i="1" s="1"/>
  <c r="AZ27" i="1" s="1"/>
  <c r="AX28" i="1"/>
  <c r="AY21" i="1" s="1"/>
  <c r="AY24" i="1" s="1"/>
  <c r="AY27" i="1" s="1"/>
  <c r="AW28" i="1"/>
  <c r="AX21" i="1" s="1"/>
  <c r="AX24" i="1" s="1"/>
  <c r="AX27" i="1" s="1"/>
  <c r="AV28" i="1"/>
  <c r="AW21" i="1" s="1"/>
  <c r="AW24" i="1" s="1"/>
  <c r="AW27" i="1" s="1"/>
  <c r="AU28" i="1"/>
  <c r="AV21" i="1" s="1"/>
  <c r="AV24" i="1" s="1"/>
  <c r="AV27" i="1" s="1"/>
  <c r="AT28" i="1"/>
  <c r="AU21" i="1" s="1"/>
  <c r="AU24" i="1" s="1"/>
  <c r="AU27" i="1" s="1"/>
  <c r="AS28" i="1"/>
  <c r="AT21" i="1" s="1"/>
  <c r="AR28" i="1"/>
  <c r="AQ28" i="1"/>
  <c r="AR21" i="1" s="1"/>
  <c r="AP28" i="1"/>
  <c r="AO28" i="1"/>
  <c r="AN28" i="1"/>
  <c r="AM28" i="1"/>
  <c r="AN21" i="1" s="1"/>
  <c r="AL28" i="1"/>
  <c r="AK28" i="1"/>
  <c r="AJ28" i="1"/>
  <c r="AI28" i="1"/>
  <c r="AH28" i="1"/>
  <c r="AI21" i="1" s="1"/>
  <c r="AG28" i="1"/>
  <c r="AF28" i="1"/>
  <c r="AE28" i="1"/>
  <c r="AD28" i="1"/>
  <c r="AE21" i="1" s="1"/>
  <c r="AE24" i="1" s="1"/>
  <c r="AE27" i="1" s="1"/>
  <c r="AC28" i="1"/>
  <c r="AD21" i="1" s="1"/>
  <c r="AD24" i="1" s="1"/>
  <c r="AD27" i="1" s="1"/>
  <c r="AD25" i="1" s="1"/>
  <c r="AB28" i="1"/>
  <c r="AC21" i="1" s="1"/>
  <c r="AC24" i="1" s="1"/>
  <c r="AC27" i="1" s="1"/>
  <c r="AC25" i="1" s="1"/>
  <c r="AA28" i="1"/>
  <c r="AB21" i="1" s="1"/>
  <c r="AB24" i="1" s="1"/>
  <c r="AB27" i="1" s="1"/>
  <c r="AB25" i="1" s="1"/>
  <c r="Z28" i="1"/>
  <c r="AA21" i="1" s="1"/>
  <c r="AA24" i="1" s="1"/>
  <c r="AA27" i="1" s="1"/>
  <c r="AA25" i="1" s="1"/>
  <c r="Y28" i="1"/>
  <c r="Z21" i="1" s="1"/>
  <c r="X28" i="1"/>
  <c r="Y21" i="1" s="1"/>
  <c r="Y24" i="1" s="1"/>
  <c r="Y27" i="1" s="1"/>
  <c r="Y25" i="1" s="1"/>
  <c r="W28" i="1"/>
  <c r="X21" i="1" s="1"/>
  <c r="X24" i="1" s="1"/>
  <c r="X27" i="1" s="1"/>
  <c r="X25" i="1" s="1"/>
  <c r="V28" i="1"/>
  <c r="U28" i="1"/>
  <c r="V21" i="1" s="1"/>
  <c r="T28" i="1"/>
  <c r="S28" i="1"/>
  <c r="R28" i="1"/>
  <c r="S21" i="1" s="1"/>
  <c r="S24" i="1" s="1"/>
  <c r="S27" i="1" s="1"/>
  <c r="Q28" i="1"/>
  <c r="R21" i="1" s="1"/>
  <c r="P28" i="1"/>
  <c r="O28" i="1"/>
  <c r="N28" i="1"/>
  <c r="M28" i="1"/>
  <c r="L28" i="1"/>
  <c r="M21" i="1" s="1"/>
  <c r="K28" i="1"/>
  <c r="J28" i="1"/>
  <c r="I28" i="1"/>
  <c r="H28" i="1"/>
  <c r="I21" i="1" s="1"/>
  <c r="I24" i="1" s="1"/>
  <c r="I27" i="1" s="1"/>
  <c r="I25" i="1" s="1"/>
  <c r="G28" i="1"/>
  <c r="H21" i="1" s="1"/>
  <c r="H24" i="1" s="1"/>
  <c r="H27" i="1" s="1"/>
  <c r="H25" i="1" s="1"/>
  <c r="F28" i="1"/>
  <c r="G21" i="1" s="1"/>
  <c r="G24" i="1" s="1"/>
  <c r="G27" i="1" s="1"/>
  <c r="G25" i="1" s="1"/>
  <c r="E28" i="1"/>
  <c r="F21" i="1" s="1"/>
  <c r="F24" i="1" s="1"/>
  <c r="F27" i="1" s="1"/>
  <c r="F25" i="1" s="1"/>
  <c r="D28" i="1"/>
  <c r="E21" i="1" s="1"/>
  <c r="E24" i="1" s="1"/>
  <c r="E27" i="1" s="1"/>
  <c r="E25" i="1" s="1"/>
  <c r="C28" i="1"/>
  <c r="D21" i="1" s="1"/>
  <c r="D24" i="1" s="1"/>
  <c r="D27" i="1" s="1"/>
  <c r="D25" i="1" s="1"/>
  <c r="BD27" i="1"/>
  <c r="BI26" i="1"/>
  <c r="BI168" i="1" s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CM25" i="1"/>
  <c r="CL25" i="1"/>
  <c r="CM24" i="1"/>
  <c r="CL24" i="1"/>
  <c r="BD24" i="1"/>
  <c r="AK24" i="1"/>
  <c r="AK27" i="1" s="1"/>
  <c r="AJ24" i="1"/>
  <c r="AJ27" i="1" s="1"/>
  <c r="AI24" i="1"/>
  <c r="AI27" i="1" s="1"/>
  <c r="AH24" i="1"/>
  <c r="AH27" i="1" s="1"/>
  <c r="AG24" i="1"/>
  <c r="AG27" i="1" s="1"/>
  <c r="O24" i="1"/>
  <c r="O27" i="1" s="1"/>
  <c r="O25" i="1" s="1"/>
  <c r="N24" i="1"/>
  <c r="N27" i="1" s="1"/>
  <c r="N25" i="1" s="1"/>
  <c r="L24" i="1"/>
  <c r="L27" i="1" s="1"/>
  <c r="L25" i="1" s="1"/>
  <c r="K24" i="1"/>
  <c r="K27" i="1" s="1"/>
  <c r="K25" i="1" s="1"/>
  <c r="CM23" i="1"/>
  <c r="CL23" i="1"/>
  <c r="BH23" i="1"/>
  <c r="BH24" i="1" s="1"/>
  <c r="BH27" i="1" s="1"/>
  <c r="BG23" i="1"/>
  <c r="BG24" i="1" s="1"/>
  <c r="BG27" i="1" s="1"/>
  <c r="BF23" i="1"/>
  <c r="BE23" i="1"/>
  <c r="BB23" i="1"/>
  <c r="BA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L24" i="1" s="1"/>
  <c r="AL27" i="1" s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Q24" i="1" s="1"/>
  <c r="Q27" i="1" s="1"/>
  <c r="Q25" i="1" s="1"/>
  <c r="P23" i="1"/>
  <c r="P24" i="1" s="1"/>
  <c r="P27" i="1" s="1"/>
  <c r="P25" i="1" s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H22" i="1"/>
  <c r="BG22" i="1"/>
  <c r="BE22" i="1"/>
  <c r="BD22" i="1"/>
  <c r="BC22" i="1"/>
  <c r="AY22" i="1"/>
  <c r="AX22" i="1"/>
  <c r="AW22" i="1"/>
  <c r="AV22" i="1"/>
  <c r="AU22" i="1"/>
  <c r="AT22" i="1"/>
  <c r="AR22" i="1"/>
  <c r="AQ22" i="1"/>
  <c r="AP22" i="1"/>
  <c r="AN22" i="1"/>
  <c r="AL22" i="1"/>
  <c r="AK22" i="1"/>
  <c r="AI22" i="1"/>
  <c r="AH22" i="1"/>
  <c r="AG22" i="1"/>
  <c r="AC22" i="1"/>
  <c r="AB22" i="1"/>
  <c r="AA22" i="1"/>
  <c r="Y22" i="1"/>
  <c r="X22" i="1"/>
  <c r="W22" i="1"/>
  <c r="V22" i="1"/>
  <c r="U22" i="1"/>
  <c r="U24" i="1" s="1"/>
  <c r="U27" i="1" s="1"/>
  <c r="T22" i="1"/>
  <c r="T24" i="1" s="1"/>
  <c r="T27" i="1" s="1"/>
  <c r="S22" i="1"/>
  <c r="R22" i="1"/>
  <c r="Q22" i="1"/>
  <c r="P22" i="1"/>
  <c r="O22" i="1"/>
  <c r="N22" i="1"/>
  <c r="L22" i="1"/>
  <c r="K22" i="1"/>
  <c r="J22" i="1"/>
  <c r="I22" i="1"/>
  <c r="H22" i="1"/>
  <c r="G22" i="1"/>
  <c r="F22" i="1"/>
  <c r="E22" i="1"/>
  <c r="D22" i="1"/>
  <c r="C22" i="1"/>
  <c r="C24" i="1" s="1"/>
  <c r="BU21" i="1"/>
  <c r="BT21" i="1"/>
  <c r="BS21" i="1"/>
  <c r="BR21" i="1"/>
  <c r="BQ21" i="1"/>
  <c r="BP21" i="1"/>
  <c r="BO21" i="1"/>
  <c r="BN21" i="1"/>
  <c r="BM21" i="1"/>
  <c r="BL21" i="1"/>
  <c r="BK21" i="1"/>
  <c r="BI21" i="1"/>
  <c r="BH21" i="1"/>
  <c r="BG21" i="1"/>
  <c r="BF21" i="1"/>
  <c r="BD21" i="1"/>
  <c r="BC21" i="1"/>
  <c r="BB21" i="1"/>
  <c r="AS21" i="1"/>
  <c r="AQ21" i="1"/>
  <c r="AP21" i="1"/>
  <c r="AO21" i="1"/>
  <c r="AM21" i="1"/>
  <c r="AL21" i="1"/>
  <c r="AK21" i="1"/>
  <c r="AJ21" i="1"/>
  <c r="AH21" i="1"/>
  <c r="AG21" i="1"/>
  <c r="AF21" i="1"/>
  <c r="W21" i="1"/>
  <c r="U21" i="1"/>
  <c r="T21" i="1"/>
  <c r="Q21" i="1"/>
  <c r="P21" i="1"/>
  <c r="O21" i="1"/>
  <c r="N21" i="1"/>
  <c r="L21" i="1"/>
  <c r="K21" i="1"/>
  <c r="J21" i="1"/>
  <c r="J24" i="1" s="1"/>
  <c r="J27" i="1" s="1"/>
  <c r="J25" i="1" s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S18" i="1"/>
  <c r="R18" i="1"/>
  <c r="BP16" i="1"/>
  <c r="BM16" i="1"/>
  <c r="BL16" i="1"/>
  <c r="BK16" i="1"/>
  <c r="BJ16" i="1"/>
  <c r="K16" i="1"/>
  <c r="K18" i="1" s="1"/>
  <c r="J16" i="1"/>
  <c r="I16" i="1"/>
  <c r="H16" i="1"/>
  <c r="C15" i="1"/>
  <c r="BU14" i="1"/>
  <c r="BU16" i="1" s="1"/>
  <c r="BT14" i="1"/>
  <c r="BT16" i="1" s="1"/>
  <c r="BS14" i="1"/>
  <c r="BS16" i="1" s="1"/>
  <c r="BR14" i="1"/>
  <c r="BR16" i="1" s="1"/>
  <c r="BQ14" i="1"/>
  <c r="BQ16" i="1" s="1"/>
  <c r="BP14" i="1"/>
  <c r="BO14" i="1"/>
  <c r="BO16" i="1" s="1"/>
  <c r="BN14" i="1"/>
  <c r="BN16" i="1" s="1"/>
  <c r="BM14" i="1"/>
  <c r="BL14" i="1"/>
  <c r="BK14" i="1"/>
  <c r="BJ14" i="1"/>
  <c r="BJ421" i="1" s="1"/>
  <c r="BI14" i="1"/>
  <c r="BI421" i="1" s="1"/>
  <c r="BH14" i="1"/>
  <c r="BH421" i="1" s="1"/>
  <c r="BG14" i="1"/>
  <c r="BG421" i="1" s="1"/>
  <c r="BF14" i="1"/>
  <c r="BF421" i="1" s="1"/>
  <c r="BE14" i="1"/>
  <c r="BE421" i="1" s="1"/>
  <c r="BD14" i="1"/>
  <c r="BD421" i="1" s="1"/>
  <c r="BC14" i="1"/>
  <c r="BC421" i="1" s="1"/>
  <c r="BB14" i="1"/>
  <c r="BB421" i="1" s="1"/>
  <c r="BA14" i="1"/>
  <c r="BA421" i="1" s="1"/>
  <c r="AZ14" i="1"/>
  <c r="AZ421" i="1" s="1"/>
  <c r="AY14" i="1"/>
  <c r="AY421" i="1" s="1"/>
  <c r="AX14" i="1"/>
  <c r="AX421" i="1" s="1"/>
  <c r="AW14" i="1"/>
  <c r="AW421" i="1" s="1"/>
  <c r="AV14" i="1"/>
  <c r="AV421" i="1" s="1"/>
  <c r="AU14" i="1"/>
  <c r="AU421" i="1" s="1"/>
  <c r="AT14" i="1"/>
  <c r="AT421" i="1" s="1"/>
  <c r="AS14" i="1"/>
  <c r="AS421" i="1" s="1"/>
  <c r="AR14" i="1"/>
  <c r="AR421" i="1" s="1"/>
  <c r="AQ14" i="1"/>
  <c r="AQ421" i="1" s="1"/>
  <c r="AP14" i="1"/>
  <c r="AP421" i="1" s="1"/>
  <c r="AO14" i="1"/>
  <c r="AO421" i="1" s="1"/>
  <c r="AN14" i="1"/>
  <c r="AN421" i="1" s="1"/>
  <c r="AM14" i="1"/>
  <c r="AM421" i="1" s="1"/>
  <c r="AL14" i="1"/>
  <c r="AL421" i="1" s="1"/>
  <c r="AK14" i="1"/>
  <c r="AK421" i="1" s="1"/>
  <c r="AJ14" i="1"/>
  <c r="AJ421" i="1" s="1"/>
  <c r="AI14" i="1"/>
  <c r="AI421" i="1" s="1"/>
  <c r="AH14" i="1"/>
  <c r="AH421" i="1" s="1"/>
  <c r="AG14" i="1"/>
  <c r="AG421" i="1" s="1"/>
  <c r="AF14" i="1"/>
  <c r="AF421" i="1" s="1"/>
  <c r="AE14" i="1"/>
  <c r="AE421" i="1" s="1"/>
  <c r="AD14" i="1"/>
  <c r="AD421" i="1" s="1"/>
  <c r="AC14" i="1"/>
  <c r="AC421" i="1" s="1"/>
  <c r="AB14" i="1"/>
  <c r="AB421" i="1" s="1"/>
  <c r="AA14" i="1"/>
  <c r="AA421" i="1" s="1"/>
  <c r="Z14" i="1"/>
  <c r="Z421" i="1" s="1"/>
  <c r="Y14" i="1"/>
  <c r="Y421" i="1" s="1"/>
  <c r="X14" i="1"/>
  <c r="X421" i="1" s="1"/>
  <c r="W14" i="1"/>
  <c r="W421" i="1" s="1"/>
  <c r="V14" i="1"/>
  <c r="V421" i="1" s="1"/>
  <c r="U14" i="1"/>
  <c r="U421" i="1" s="1"/>
  <c r="T14" i="1"/>
  <c r="T421" i="1" s="1"/>
  <c r="S14" i="1"/>
  <c r="S421" i="1" s="1"/>
  <c r="R14" i="1"/>
  <c r="R421" i="1" s="1"/>
  <c r="Q14" i="1"/>
  <c r="Q421" i="1" s="1"/>
  <c r="P14" i="1"/>
  <c r="P421" i="1" s="1"/>
  <c r="O14" i="1"/>
  <c r="O421" i="1" s="1"/>
  <c r="N14" i="1"/>
  <c r="N421" i="1" s="1"/>
  <c r="M14" i="1"/>
  <c r="M421" i="1" s="1"/>
  <c r="L14" i="1"/>
  <c r="K14" i="1"/>
  <c r="J14" i="1"/>
  <c r="I14" i="1"/>
  <c r="H14" i="1"/>
  <c r="G14" i="1"/>
  <c r="F14" i="1"/>
  <c r="E14" i="1"/>
  <c r="D14" i="1"/>
  <c r="C14" i="1"/>
  <c r="BI13" i="1"/>
  <c r="BI72" i="1" s="1"/>
  <c r="Y13" i="1"/>
  <c r="X13" i="1"/>
  <c r="W13" i="1"/>
  <c r="W15" i="1" s="1"/>
  <c r="V13" i="1"/>
  <c r="V15" i="1" s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H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X15" i="1" s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C11" i="1"/>
  <c r="AC16" i="1" s="1"/>
  <c r="AC18" i="1" s="1"/>
  <c r="Y11" i="1"/>
  <c r="Y16" i="1" s="1"/>
  <c r="Y18" i="1" s="1"/>
  <c r="X11" i="1"/>
  <c r="X16" i="1" s="1"/>
  <c r="X18" i="1" s="1"/>
  <c r="W11" i="1"/>
  <c r="W16" i="1" s="1"/>
  <c r="W18" i="1" s="1"/>
  <c r="V11" i="1"/>
  <c r="V16" i="1" s="1"/>
  <c r="V18" i="1" s="1"/>
  <c r="T11" i="1"/>
  <c r="T16" i="1" s="1"/>
  <c r="S11" i="1"/>
  <c r="S16" i="1" s="1"/>
  <c r="S15" i="1" s="1"/>
  <c r="R11" i="1"/>
  <c r="R16" i="1" s="1"/>
  <c r="C11" i="1"/>
  <c r="C16" i="1" s="1"/>
  <c r="C18" i="1" s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U11" i="1" s="1"/>
  <c r="U16" i="1" s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I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H11" i="1" s="1"/>
  <c r="AH16" i="1" s="1"/>
  <c r="AG8" i="1"/>
  <c r="AG11" i="1" s="1"/>
  <c r="AG16" i="1" s="1"/>
  <c r="AF8" i="1"/>
  <c r="AF11" i="1" s="1"/>
  <c r="AF16" i="1" s="1"/>
  <c r="AE8" i="1"/>
  <c r="AE11" i="1" s="1"/>
  <c r="AE16" i="1" s="1"/>
  <c r="AD8" i="1"/>
  <c r="AD11" i="1" s="1"/>
  <c r="AD16" i="1" s="1"/>
  <c r="AC8" i="1"/>
  <c r="AB8" i="1"/>
  <c r="AB11" i="1" s="1"/>
  <c r="AB16" i="1" s="1"/>
  <c r="AB18" i="1" s="1"/>
  <c r="AA8" i="1"/>
  <c r="AA11" i="1" s="1"/>
  <c r="AA16" i="1" s="1"/>
  <c r="AA18" i="1" s="1"/>
  <c r="Z8" i="1"/>
  <c r="Z11" i="1" s="1"/>
  <c r="Z16" i="1" s="1"/>
  <c r="Z18" i="1" s="1"/>
  <c r="Y8" i="1"/>
  <c r="X8" i="1"/>
  <c r="W8" i="1"/>
  <c r="V8" i="1"/>
  <c r="U8" i="1"/>
  <c r="T8" i="1"/>
  <c r="S8" i="1"/>
  <c r="R8" i="1"/>
  <c r="Q8" i="1"/>
  <c r="Q11" i="1" s="1"/>
  <c r="Q16" i="1" s="1"/>
  <c r="Q15" i="1" s="1"/>
  <c r="P8" i="1"/>
  <c r="P11" i="1" s="1"/>
  <c r="P16" i="1" s="1"/>
  <c r="P15" i="1" s="1"/>
  <c r="O8" i="1"/>
  <c r="N8" i="1"/>
  <c r="M8" i="1"/>
  <c r="L8" i="1"/>
  <c r="L11" i="1" s="1"/>
  <c r="L16" i="1" s="1"/>
  <c r="K8" i="1"/>
  <c r="K11" i="1" s="1"/>
  <c r="J8" i="1"/>
  <c r="J11" i="1" s="1"/>
  <c r="I8" i="1"/>
  <c r="I11" i="1" s="1"/>
  <c r="H8" i="1"/>
  <c r="H11" i="1" s="1"/>
  <c r="G8" i="1"/>
  <c r="G11" i="1" s="1"/>
  <c r="G16" i="1" s="1"/>
  <c r="F8" i="1"/>
  <c r="F11" i="1" s="1"/>
  <c r="F16" i="1" s="1"/>
  <c r="F18" i="1" s="1"/>
  <c r="E8" i="1"/>
  <c r="E11" i="1" s="1"/>
  <c r="E16" i="1" s="1"/>
  <c r="E18" i="1" s="1"/>
  <c r="D8" i="1"/>
  <c r="D11" i="1" s="1"/>
  <c r="D16" i="1" s="1"/>
  <c r="D18" i="1" s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CD6" i="1"/>
  <c r="CC6" i="1"/>
  <c r="CB6" i="1"/>
  <c r="CA6" i="1"/>
  <c r="BZ6" i="1"/>
  <c r="BY6" i="1"/>
  <c r="BX6" i="1"/>
  <c r="BW6" i="1"/>
  <c r="BV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CD5" i="1"/>
  <c r="CC5" i="1"/>
  <c r="CB5" i="1"/>
  <c r="CA5" i="1"/>
  <c r="BZ5" i="1"/>
  <c r="BY5" i="1"/>
  <c r="BX5" i="1"/>
  <c r="BW5" i="1"/>
  <c r="BV5" i="1"/>
  <c r="CD4" i="1"/>
  <c r="CC4" i="1"/>
  <c r="CB4" i="1"/>
  <c r="CA4" i="1"/>
  <c r="BZ4" i="1"/>
  <c r="BY4" i="1"/>
  <c r="BX4" i="1"/>
  <c r="BW4" i="1"/>
  <c r="BV4" i="1"/>
  <c r="CR94" i="1" l="1"/>
  <c r="DA85" i="1"/>
  <c r="BF341" i="1"/>
  <c r="BX94" i="1"/>
  <c r="BD494" i="1"/>
  <c r="BP327" i="1"/>
  <c r="BP35" i="1" s="1"/>
  <c r="BH466" i="1"/>
  <c r="BG494" i="1"/>
  <c r="BS327" i="1"/>
  <c r="BS35" i="1" s="1"/>
  <c r="BF342" i="1"/>
  <c r="BF332" i="1"/>
  <c r="BE341" i="1"/>
  <c r="BG462" i="1"/>
  <c r="CU88" i="1"/>
  <c r="AY462" i="1"/>
  <c r="BG334" i="1"/>
  <c r="AX462" i="1"/>
  <c r="BF334" i="1"/>
  <c r="F147" i="4"/>
  <c r="BF494" i="1"/>
  <c r="BL327" i="1"/>
  <c r="BL35" i="1" s="1"/>
  <c r="AY494" i="1"/>
  <c r="BQ327" i="1"/>
  <c r="BQ35" i="1" s="1"/>
  <c r="DA80" i="1"/>
  <c r="BE340" i="1"/>
  <c r="CZ87" i="1"/>
  <c r="DA86" i="1"/>
  <c r="BJ327" i="1"/>
  <c r="BJ35" i="1" s="1"/>
  <c r="BF336" i="1"/>
  <c r="BE338" i="1"/>
  <c r="BG336" i="1"/>
  <c r="BN327" i="1"/>
  <c r="BN35" i="1" s="1"/>
  <c r="BO327" i="1"/>
  <c r="BO35" i="1" s="1"/>
  <c r="BF333" i="1"/>
  <c r="BG333" i="1"/>
  <c r="BF327" i="1"/>
  <c r="BF35" i="1" s="1"/>
  <c r="BF40" i="1" s="1"/>
  <c r="DA84" i="1"/>
  <c r="CV88" i="1"/>
  <c r="DH88" i="1"/>
  <c r="BG335" i="1"/>
  <c r="BR327" i="1"/>
  <c r="BR35" i="1" s="1"/>
  <c r="BI327" i="1"/>
  <c r="BI35" i="1" s="1"/>
  <c r="BG327" i="1"/>
  <c r="BG35" i="1" s="1"/>
  <c r="CZ81" i="1"/>
  <c r="DA83" i="1"/>
  <c r="BE339" i="1"/>
  <c r="BJ501" i="1"/>
  <c r="BG501" i="1" s="1"/>
  <c r="BE72" i="1"/>
  <c r="BF295" i="1"/>
  <c r="BF37" i="1" s="1"/>
  <c r="BJ502" i="1"/>
  <c r="BG502" i="1" s="1"/>
  <c r="AP56" i="1"/>
  <c r="AP10" i="1" s="1"/>
  <c r="AP11" i="1" s="1"/>
  <c r="AP16" i="1" s="1"/>
  <c r="AQ56" i="1"/>
  <c r="AQ10" i="1" s="1"/>
  <c r="AQ11" i="1" s="1"/>
  <c r="AQ16" i="1" s="1"/>
  <c r="CK100" i="1"/>
  <c r="CL97" i="1"/>
  <c r="BV102" i="1"/>
  <c r="CK92" i="1"/>
  <c r="BF72" i="1"/>
  <c r="BF13" i="1" s="1"/>
  <c r="CR97" i="1"/>
  <c r="BX97" i="1"/>
  <c r="D70" i="4"/>
  <c r="D82" i="4" s="1"/>
  <c r="D34" i="4"/>
  <c r="D4" i="4" s="1"/>
  <c r="D6" i="4" s="1"/>
  <c r="D14" i="4" s="1"/>
  <c r="D16" i="4" s="1"/>
  <c r="F70" i="4"/>
  <c r="F82" i="4" s="1"/>
  <c r="CN92" i="1"/>
  <c r="CK94" i="1"/>
  <c r="BW92" i="1"/>
  <c r="CQ92" i="1"/>
  <c r="BX92" i="1"/>
  <c r="CR92" i="1"/>
  <c r="BW98" i="1"/>
  <c r="CQ98" i="1"/>
  <c r="F23" i="4"/>
  <c r="F71" i="4" s="1"/>
  <c r="AV168" i="1"/>
  <c r="AV169" i="1" s="1"/>
  <c r="J147" i="4"/>
  <c r="CR95" i="1"/>
  <c r="CO102" i="1"/>
  <c r="BD172" i="1"/>
  <c r="CM92" i="1" s="1"/>
  <c r="L147" i="4"/>
  <c r="G147" i="4"/>
  <c r="H147" i="4"/>
  <c r="BC56" i="1"/>
  <c r="BC10" i="1" s="1"/>
  <c r="BC11" i="1" s="1"/>
  <c r="BC16" i="1" s="1"/>
  <c r="E147" i="4"/>
  <c r="CL102" i="1"/>
  <c r="AE295" i="1"/>
  <c r="AE37" i="1" s="1"/>
  <c r="BV97" i="1"/>
  <c r="CO97" i="1"/>
  <c r="CM101" i="1"/>
  <c r="CQ102" i="1"/>
  <c r="H23" i="4"/>
  <c r="H71" i="4" s="1"/>
  <c r="AZ56" i="1"/>
  <c r="AZ10" i="1" s="1"/>
  <c r="AZ11" i="1" s="1"/>
  <c r="AZ16" i="1" s="1"/>
  <c r="CK101" i="1"/>
  <c r="CP97" i="1"/>
  <c r="BG172" i="1"/>
  <c r="CP92" i="1" s="1"/>
  <c r="BA295" i="1"/>
  <c r="BA37" i="1" s="1"/>
  <c r="BA40" i="1" s="1"/>
  <c r="CO95" i="1"/>
  <c r="CQ95" i="1"/>
  <c r="BH473" i="1"/>
  <c r="CP102" i="1"/>
  <c r="BE172" i="1"/>
  <c r="AF72" i="1"/>
  <c r="AF13" i="1" s="1"/>
  <c r="AF15" i="1" s="1"/>
  <c r="CQ97" i="1"/>
  <c r="CP101" i="1"/>
  <c r="BV103" i="1"/>
  <c r="BB174" i="1"/>
  <c r="P147" i="4"/>
  <c r="CN102" i="1"/>
  <c r="BH469" i="1"/>
  <c r="O147" i="4"/>
  <c r="CN97" i="1"/>
  <c r="AX56" i="1"/>
  <c r="AX10" i="1" s="1"/>
  <c r="AX11" i="1" s="1"/>
  <c r="AX16" i="1" s="1"/>
  <c r="AH168" i="1"/>
  <c r="AH26" i="1" s="1"/>
  <c r="AH25" i="1" s="1"/>
  <c r="BC174" i="1"/>
  <c r="CL94" i="1" s="1"/>
  <c r="BI176" i="1"/>
  <c r="CR96" i="1" s="1"/>
  <c r="AS72" i="1"/>
  <c r="AS13" i="1" s="1"/>
  <c r="B31" i="4"/>
  <c r="B79" i="4" s="1"/>
  <c r="N147" i="4"/>
  <c r="CK99" i="1"/>
  <c r="AI184" i="1"/>
  <c r="E22" i="4"/>
  <c r="E70" i="4" s="1"/>
  <c r="E82" i="4" s="1"/>
  <c r="AI295" i="1"/>
  <c r="AI37" i="1" s="1"/>
  <c r="BW97" i="1"/>
  <c r="M147" i="4"/>
  <c r="K147" i="4"/>
  <c r="CL103" i="1"/>
  <c r="S147" i="4"/>
  <c r="AL184" i="1"/>
  <c r="G23" i="4"/>
  <c r="G71" i="4" s="1"/>
  <c r="AP72" i="1"/>
  <c r="AP13" i="1" s="1"/>
  <c r="AP15" i="1" s="1"/>
  <c r="BH477" i="1"/>
  <c r="BH72" i="1"/>
  <c r="BH13" i="1" s="1"/>
  <c r="CL100" i="1"/>
  <c r="CM103" i="1"/>
  <c r="D147" i="4"/>
  <c r="BJ505" i="1"/>
  <c r="BG505" i="1" s="1"/>
  <c r="I147" i="4"/>
  <c r="AV420" i="1"/>
  <c r="CK102" i="1"/>
  <c r="CM102" i="1"/>
  <c r="AT184" i="1"/>
  <c r="AX341" i="1"/>
  <c r="AO56" i="1"/>
  <c r="AO10" i="1" s="1"/>
  <c r="AO11" i="1" s="1"/>
  <c r="AO16" i="1" s="1"/>
  <c r="AO18" i="1" s="1"/>
  <c r="CM94" i="1"/>
  <c r="CO100" i="1"/>
  <c r="CN103" i="1"/>
  <c r="AR72" i="1"/>
  <c r="AR13" i="1" s="1"/>
  <c r="AX420" i="1"/>
  <c r="AQ72" i="1"/>
  <c r="AQ13" i="1" s="1"/>
  <c r="AQ15" i="1" s="1"/>
  <c r="CL96" i="1"/>
  <c r="BD56" i="1"/>
  <c r="BD10" i="1" s="1"/>
  <c r="BD11" i="1" s="1"/>
  <c r="BD16" i="1" s="1"/>
  <c r="AW420" i="1"/>
  <c r="CK103" i="1"/>
  <c r="AR56" i="1"/>
  <c r="AR10" i="1" s="1"/>
  <c r="AR11" i="1" s="1"/>
  <c r="AR16" i="1" s="1"/>
  <c r="AR18" i="1" s="1"/>
  <c r="G34" i="4"/>
  <c r="G4" i="4" s="1"/>
  <c r="G6" i="4" s="1"/>
  <c r="G14" i="4" s="1"/>
  <c r="G7" i="4" s="1"/>
  <c r="C34" i="4"/>
  <c r="C4" i="4" s="1"/>
  <c r="C6" i="4" s="1"/>
  <c r="C14" i="4" s="1"/>
  <c r="C16" i="4" s="1"/>
  <c r="BB56" i="1"/>
  <c r="BB10" i="1" s="1"/>
  <c r="BB11" i="1" s="1"/>
  <c r="BB16" i="1" s="1"/>
  <c r="BC179" i="1"/>
  <c r="CL99" i="1" s="1"/>
  <c r="BF34" i="1"/>
  <c r="BF312" i="1" s="1"/>
  <c r="AW56" i="1"/>
  <c r="AW10" i="1" s="1"/>
  <c r="AW11" i="1" s="1"/>
  <c r="AW16" i="1" s="1"/>
  <c r="AG72" i="1"/>
  <c r="AG13" i="1" s="1"/>
  <c r="AG15" i="1" s="1"/>
  <c r="DF88" i="1"/>
  <c r="BA56" i="1"/>
  <c r="BA10" i="1" s="1"/>
  <c r="BA11" i="1" s="1"/>
  <c r="BA16" i="1" s="1"/>
  <c r="C147" i="4"/>
  <c r="AY56" i="1"/>
  <c r="AY10" i="1" s="1"/>
  <c r="AY11" i="1" s="1"/>
  <c r="AY16" i="1" s="1"/>
  <c r="AQ168" i="1"/>
  <c r="BI16" i="1"/>
  <c r="AQ18" i="1"/>
  <c r="BL5" i="1"/>
  <c r="U15" i="1"/>
  <c r="U18" i="1"/>
  <c r="AY18" i="1"/>
  <c r="G18" i="1"/>
  <c r="G15" i="1"/>
  <c r="M24" i="1"/>
  <c r="M27" i="1" s="1"/>
  <c r="M25" i="1" s="1"/>
  <c r="L15" i="1"/>
  <c r="L18" i="1"/>
  <c r="AE18" i="1"/>
  <c r="AD18" i="1"/>
  <c r="AD15" i="1"/>
  <c r="AF18" i="1"/>
  <c r="AG18" i="1"/>
  <c r="AH18" i="1"/>
  <c r="AP18" i="1"/>
  <c r="I172" i="1"/>
  <c r="AF420" i="1"/>
  <c r="BE13" i="1"/>
  <c r="Q18" i="1"/>
  <c r="CK91" i="1"/>
  <c r="DB75" i="1"/>
  <c r="AX72" i="1"/>
  <c r="AX13" i="1" s="1"/>
  <c r="H18" i="1"/>
  <c r="H15" i="1"/>
  <c r="BB33" i="1"/>
  <c r="BB38" i="1" s="1"/>
  <c r="BC72" i="1"/>
  <c r="L181" i="1"/>
  <c r="C115" i="1"/>
  <c r="C131" i="1" s="1"/>
  <c r="C302" i="1"/>
  <c r="C334" i="1" s="1"/>
  <c r="D15" i="1"/>
  <c r="I18" i="1"/>
  <c r="I15" i="1"/>
  <c r="G33" i="1"/>
  <c r="G38" i="1" s="1"/>
  <c r="G34" i="1" s="1"/>
  <c r="G312" i="1" s="1"/>
  <c r="AC33" i="1"/>
  <c r="AC38" i="1" s="1"/>
  <c r="AC34" i="1" s="1"/>
  <c r="AC312" i="1" s="1"/>
  <c r="AK56" i="1"/>
  <c r="AK10" i="1" s="1"/>
  <c r="AK11" i="1" s="1"/>
  <c r="AK16" i="1" s="1"/>
  <c r="CZ84" i="1"/>
  <c r="C78" i="1"/>
  <c r="E115" i="1"/>
  <c r="BA420" i="1"/>
  <c r="P18" i="1"/>
  <c r="F15" i="1"/>
  <c r="BA33" i="1"/>
  <c r="BA38" i="1" s="1"/>
  <c r="AM56" i="1"/>
  <c r="AM10" i="1" s="1"/>
  <c r="AM11" i="1" s="1"/>
  <c r="AM16" i="1" s="1"/>
  <c r="AI417" i="1"/>
  <c r="AI418" i="1" s="1"/>
  <c r="AI423" i="1" s="1"/>
  <c r="S50" i="1"/>
  <c r="BE417" i="1"/>
  <c r="F79" i="1"/>
  <c r="F238" i="1" s="1"/>
  <c r="H110" i="1"/>
  <c r="BF178" i="1"/>
  <c r="CO98" i="1" s="1"/>
  <c r="C181" i="1"/>
  <c r="BK245" i="1"/>
  <c r="BI261" i="1"/>
  <c r="AM22" i="1"/>
  <c r="AM24" i="1" s="1"/>
  <c r="AM27" i="1" s="1"/>
  <c r="AM136" i="1"/>
  <c r="AW173" i="1"/>
  <c r="AW168" i="1"/>
  <c r="AX173" i="1"/>
  <c r="AX168" i="1"/>
  <c r="AS175" i="1"/>
  <c r="AS184" i="1" s="1"/>
  <c r="AS168" i="1"/>
  <c r="W24" i="1"/>
  <c r="W27" i="1" s="1"/>
  <c r="W25" i="1" s="1"/>
  <c r="E15" i="1"/>
  <c r="AL56" i="1"/>
  <c r="AL10" i="1" s="1"/>
  <c r="AL11" i="1" s="1"/>
  <c r="AL16" i="1" s="1"/>
  <c r="G110" i="1"/>
  <c r="BG38" i="1"/>
  <c r="BG34" i="1" s="1"/>
  <c r="BG312" i="1" s="1"/>
  <c r="AJ417" i="1"/>
  <c r="AJ418" i="1" s="1"/>
  <c r="AJ423" i="1" s="1"/>
  <c r="AJ422" i="1" s="1"/>
  <c r="BF417" i="1"/>
  <c r="I110" i="1"/>
  <c r="I126" i="1" s="1"/>
  <c r="U25" i="1"/>
  <c r="BE56" i="1"/>
  <c r="BF56" i="1"/>
  <c r="BF10" i="1" s="1"/>
  <c r="BF11" i="1" s="1"/>
  <c r="BF16" i="1" s="1"/>
  <c r="W136" i="1"/>
  <c r="M119" i="1"/>
  <c r="S118" i="1"/>
  <c r="G116" i="1"/>
  <c r="M115" i="1"/>
  <c r="S114" i="1"/>
  <c r="I112" i="1"/>
  <c r="I128" i="1" s="1"/>
  <c r="P111" i="1"/>
  <c r="H109" i="1"/>
  <c r="H125" i="1" s="1"/>
  <c r="O108" i="1"/>
  <c r="H119" i="1"/>
  <c r="N118" i="1"/>
  <c r="R117" i="1"/>
  <c r="G115" i="1"/>
  <c r="M114" i="1"/>
  <c r="S113" i="1"/>
  <c r="C112" i="1"/>
  <c r="J111" i="1"/>
  <c r="Q110" i="1"/>
  <c r="I108" i="1"/>
  <c r="I118" i="1"/>
  <c r="I134" i="1" s="1"/>
  <c r="N114" i="1"/>
  <c r="K113" i="1"/>
  <c r="L108" i="1"/>
  <c r="H118" i="1"/>
  <c r="H134" i="1" s="1"/>
  <c r="L114" i="1"/>
  <c r="L130" i="1" s="1"/>
  <c r="J113" i="1"/>
  <c r="J177" i="1" s="1"/>
  <c r="S109" i="1"/>
  <c r="K108" i="1"/>
  <c r="K124" i="1" s="1"/>
  <c r="G118" i="1"/>
  <c r="G134" i="1" s="1"/>
  <c r="K114" i="1"/>
  <c r="H113" i="1"/>
  <c r="R109" i="1"/>
  <c r="J108" i="1"/>
  <c r="S119" i="1"/>
  <c r="F118" i="1"/>
  <c r="J114" i="1"/>
  <c r="C113" i="1"/>
  <c r="S110" i="1"/>
  <c r="Q109" i="1"/>
  <c r="H108" i="1"/>
  <c r="N119" i="1"/>
  <c r="E118" i="1"/>
  <c r="E134" i="1" s="1"/>
  <c r="I114" i="1"/>
  <c r="R110" i="1"/>
  <c r="P109" i="1"/>
  <c r="G108" i="1"/>
  <c r="I119" i="1"/>
  <c r="D118" i="1"/>
  <c r="N115" i="1"/>
  <c r="H114" i="1"/>
  <c r="H130" i="1" s="1"/>
  <c r="P110" i="1"/>
  <c r="O109" i="1"/>
  <c r="F108" i="1"/>
  <c r="F124" i="1" s="1"/>
  <c r="G119" i="1"/>
  <c r="C118" i="1"/>
  <c r="J115" i="1"/>
  <c r="G114" i="1"/>
  <c r="O110" i="1"/>
  <c r="N109" i="1"/>
  <c r="E108" i="1"/>
  <c r="E119" i="1"/>
  <c r="S116" i="1"/>
  <c r="I115" i="1"/>
  <c r="F114" i="1"/>
  <c r="F130" i="1" s="1"/>
  <c r="N110" i="1"/>
  <c r="I109" i="1"/>
  <c r="D108" i="1"/>
  <c r="D119" i="1"/>
  <c r="D135" i="1" s="1"/>
  <c r="R116" i="1"/>
  <c r="H115" i="1"/>
  <c r="E114" i="1"/>
  <c r="M110" i="1"/>
  <c r="E109" i="1"/>
  <c r="E125" i="1" s="1"/>
  <c r="C108" i="1"/>
  <c r="C124" i="1" s="1"/>
  <c r="C119" i="1"/>
  <c r="C135" i="1" s="1"/>
  <c r="Q116" i="1"/>
  <c r="F115" i="1"/>
  <c r="D114" i="1"/>
  <c r="Q111" i="1"/>
  <c r="L110" i="1"/>
  <c r="D109" i="1"/>
  <c r="Q117" i="1"/>
  <c r="O116" i="1"/>
  <c r="D115" i="1"/>
  <c r="L111" i="1"/>
  <c r="J110" i="1"/>
  <c r="K117" i="1"/>
  <c r="J112" i="1"/>
  <c r="J117" i="1"/>
  <c r="J133" i="1" s="1"/>
  <c r="F112" i="1"/>
  <c r="F128" i="1" s="1"/>
  <c r="R113" i="1"/>
  <c r="I117" i="1"/>
  <c r="I133" i="1" s="1"/>
  <c r="E112" i="1"/>
  <c r="Q113" i="1"/>
  <c r="H117" i="1"/>
  <c r="H133" i="1" s="1"/>
  <c r="P114" i="1"/>
  <c r="D112" i="1"/>
  <c r="D128" i="1" s="1"/>
  <c r="F111" i="1"/>
  <c r="O114" i="1"/>
  <c r="P116" i="1"/>
  <c r="C114" i="1"/>
  <c r="M111" i="1"/>
  <c r="C109" i="1"/>
  <c r="N116" i="1"/>
  <c r="K111" i="1"/>
  <c r="H116" i="1"/>
  <c r="I111" i="1"/>
  <c r="C116" i="1"/>
  <c r="C132" i="1" s="1"/>
  <c r="D116" i="1"/>
  <c r="H111" i="1"/>
  <c r="G111" i="1"/>
  <c r="G127" i="1" s="1"/>
  <c r="P113" i="1"/>
  <c r="E111" i="1"/>
  <c r="E127" i="1" s="1"/>
  <c r="N113" i="1"/>
  <c r="O118" i="1"/>
  <c r="O113" i="1"/>
  <c r="D111" i="1"/>
  <c r="D127" i="1" s="1"/>
  <c r="M118" i="1"/>
  <c r="C111" i="1"/>
  <c r="C127" i="1" s="1"/>
  <c r="AZ33" i="1"/>
  <c r="AZ38" i="1" s="1"/>
  <c r="O136" i="1"/>
  <c r="D83" i="1"/>
  <c r="E81" i="1"/>
  <c r="I85" i="1"/>
  <c r="J85" i="1"/>
  <c r="D81" i="1"/>
  <c r="I86" i="1"/>
  <c r="J76" i="1"/>
  <c r="J235" i="1" s="1"/>
  <c r="L82" i="1"/>
  <c r="L81" i="1"/>
  <c r="C87" i="1"/>
  <c r="K82" i="1"/>
  <c r="K241" i="1" s="1"/>
  <c r="K81" i="1"/>
  <c r="K240" i="1" s="1"/>
  <c r="L77" i="1"/>
  <c r="L236" i="1" s="1"/>
  <c r="L86" i="1"/>
  <c r="L245" i="1" s="1"/>
  <c r="J81" i="1"/>
  <c r="J240" i="1" s="1"/>
  <c r="K77" i="1"/>
  <c r="I76" i="1"/>
  <c r="K86" i="1"/>
  <c r="H81" i="1"/>
  <c r="L80" i="1"/>
  <c r="J77" i="1"/>
  <c r="L76" i="1"/>
  <c r="H80" i="1"/>
  <c r="J86" i="1"/>
  <c r="K85" i="1"/>
  <c r="F81" i="1"/>
  <c r="J80" i="1"/>
  <c r="K76" i="1"/>
  <c r="I80" i="1"/>
  <c r="H86" i="1"/>
  <c r="H85" i="1"/>
  <c r="F80" i="1"/>
  <c r="F239" i="1" s="1"/>
  <c r="F255" i="1" s="1"/>
  <c r="H76" i="1"/>
  <c r="G85" i="1"/>
  <c r="G244" i="1" s="1"/>
  <c r="D80" i="1"/>
  <c r="D239" i="1" s="1"/>
  <c r="G76" i="1"/>
  <c r="G235" i="1" s="1"/>
  <c r="F85" i="1"/>
  <c r="F244" i="1" s="1"/>
  <c r="C80" i="1"/>
  <c r="C239" i="1" s="1"/>
  <c r="F76" i="1"/>
  <c r="F235" i="1" s="1"/>
  <c r="R15" i="1"/>
  <c r="K15" i="1"/>
  <c r="AK417" i="1"/>
  <c r="AK418" i="1" s="1"/>
  <c r="AK423" i="1" s="1"/>
  <c r="BG417" i="1"/>
  <c r="K110" i="1"/>
  <c r="M117" i="1"/>
  <c r="M177" i="1"/>
  <c r="M129" i="1"/>
  <c r="M256" i="1" s="1"/>
  <c r="AY420" i="1"/>
  <c r="M420" i="1"/>
  <c r="E175" i="1"/>
  <c r="BA72" i="1"/>
  <c r="BA13" i="1" s="1"/>
  <c r="AE33" i="1"/>
  <c r="AE38" i="1" s="1"/>
  <c r="AL417" i="1"/>
  <c r="AL418" i="1" s="1"/>
  <c r="AL423" i="1" s="1"/>
  <c r="BH417" i="1"/>
  <c r="N117" i="1"/>
  <c r="BB177" i="1"/>
  <c r="AC15" i="1"/>
  <c r="T25" i="1"/>
  <c r="AS24" i="1"/>
  <c r="AS27" i="1" s="1"/>
  <c r="AZ420" i="1"/>
  <c r="AZ72" i="1"/>
  <c r="AZ13" i="1" s="1"/>
  <c r="AF136" i="1"/>
  <c r="AF263" i="1" s="1"/>
  <c r="AF22" i="1"/>
  <c r="AF24" i="1" s="1"/>
  <c r="AF27" i="1" s="1"/>
  <c r="T15" i="1"/>
  <c r="T18" i="1"/>
  <c r="AG33" i="1"/>
  <c r="AG38" i="1" s="1"/>
  <c r="AF33" i="1"/>
  <c r="AF38" i="1" s="1"/>
  <c r="AM417" i="1"/>
  <c r="AM418" i="1" s="1"/>
  <c r="AM423" i="1" s="1"/>
  <c r="O117" i="1"/>
  <c r="AA33" i="1"/>
  <c r="AA38" i="1" s="1"/>
  <c r="AA34" i="1" s="1"/>
  <c r="AA312" i="1" s="1"/>
  <c r="AD33" i="1"/>
  <c r="AD38" i="1" s="1"/>
  <c r="AD34" i="1" s="1"/>
  <c r="AD312" i="1" s="1"/>
  <c r="R24" i="1"/>
  <c r="R27" i="1" s="1"/>
  <c r="R25" i="1" s="1"/>
  <c r="AN24" i="1"/>
  <c r="AN27" i="1" s="1"/>
  <c r="AH33" i="1"/>
  <c r="AH38" i="1" s="1"/>
  <c r="BC33" i="1"/>
  <c r="BC38" i="1" s="1"/>
  <c r="AN417" i="1"/>
  <c r="AN418" i="1" s="1"/>
  <c r="AN423" i="1" s="1"/>
  <c r="AI72" i="1"/>
  <c r="AI13" i="1" s="1"/>
  <c r="F173" i="1"/>
  <c r="E176" i="1"/>
  <c r="O112" i="1"/>
  <c r="P117" i="1"/>
  <c r="AI56" i="1"/>
  <c r="C27" i="1"/>
  <c r="C25" i="1" s="1"/>
  <c r="J18" i="1"/>
  <c r="J15" i="1"/>
  <c r="Y15" i="1"/>
  <c r="AP24" i="1"/>
  <c r="AP27" i="1" s="1"/>
  <c r="S25" i="1"/>
  <c r="E33" i="1"/>
  <c r="E38" i="1" s="1"/>
  <c r="E34" i="1" s="1"/>
  <c r="E312" i="1" s="1"/>
  <c r="AI33" i="1"/>
  <c r="AI38" i="1" s="1"/>
  <c r="AI34" i="1" s="1"/>
  <c r="AS56" i="1"/>
  <c r="AS10" i="1" s="1"/>
  <c r="AS11" i="1" s="1"/>
  <c r="AS16" i="1" s="1"/>
  <c r="AO417" i="1"/>
  <c r="AO418" i="1" s="1"/>
  <c r="AO423" i="1" s="1"/>
  <c r="AL72" i="1"/>
  <c r="AL13" i="1" s="1"/>
  <c r="P112" i="1"/>
  <c r="S117" i="1"/>
  <c r="F182" i="1"/>
  <c r="L177" i="1"/>
  <c r="AW72" i="1"/>
  <c r="AW13" i="1" s="1"/>
  <c r="G182" i="1"/>
  <c r="AO136" i="1"/>
  <c r="AO22" i="1"/>
  <c r="AO24" i="1" s="1"/>
  <c r="AO27" i="1" s="1"/>
  <c r="AE420" i="1"/>
  <c r="AE72" i="1"/>
  <c r="AE13" i="1" s="1"/>
  <c r="AE15" i="1" s="1"/>
  <c r="BJ388" i="1"/>
  <c r="BK388" i="1"/>
  <c r="BB72" i="1"/>
  <c r="BB13" i="1" s="1"/>
  <c r="BD417" i="1"/>
  <c r="BD418" i="1" s="1"/>
  <c r="M11" i="1"/>
  <c r="M16" i="1" s="1"/>
  <c r="Z15" i="1"/>
  <c r="AQ24" i="1"/>
  <c r="AQ27" i="1" s="1"/>
  <c r="AT56" i="1"/>
  <c r="AT10" i="1" s="1"/>
  <c r="AT11" i="1" s="1"/>
  <c r="AT16" i="1" s="1"/>
  <c r="AM72" i="1"/>
  <c r="AM13" i="1" s="1"/>
  <c r="AK72" i="1"/>
  <c r="AK13" i="1" s="1"/>
  <c r="BZ88" i="1"/>
  <c r="Q112" i="1"/>
  <c r="J118" i="1"/>
  <c r="J134" i="1" s="1"/>
  <c r="K175" i="1"/>
  <c r="J135" i="1"/>
  <c r="AY72" i="1"/>
  <c r="AY13" i="1" s="1"/>
  <c r="AY33" i="1"/>
  <c r="AY38" i="1" s="1"/>
  <c r="N11" i="1"/>
  <c r="N16" i="1" s="1"/>
  <c r="AA15" i="1"/>
  <c r="AU56" i="1"/>
  <c r="AU10" i="1" s="1"/>
  <c r="AU11" i="1" s="1"/>
  <c r="AU16" i="1" s="1"/>
  <c r="AN72" i="1"/>
  <c r="AN13" i="1" s="1"/>
  <c r="R112" i="1"/>
  <c r="K118" i="1"/>
  <c r="L175" i="1"/>
  <c r="AT24" i="1"/>
  <c r="AT27" i="1" s="1"/>
  <c r="BK130" i="1"/>
  <c r="BG257" i="1"/>
  <c r="BJ130" i="1"/>
  <c r="F181" i="1"/>
  <c r="BB420" i="1"/>
  <c r="AH72" i="1"/>
  <c r="AH13" i="1" s="1"/>
  <c r="AH15" i="1" s="1"/>
  <c r="O11" i="1"/>
  <c r="O16" i="1" s="1"/>
  <c r="AB15" i="1"/>
  <c r="AS22" i="1"/>
  <c r="BI169" i="1"/>
  <c r="V24" i="1"/>
  <c r="V27" i="1" s="1"/>
  <c r="V25" i="1" s="1"/>
  <c r="AR24" i="1"/>
  <c r="AR27" i="1" s="1"/>
  <c r="H33" i="1"/>
  <c r="H38" i="1" s="1"/>
  <c r="H34" i="1" s="1"/>
  <c r="H312" i="1" s="1"/>
  <c r="AV56" i="1"/>
  <c r="AV10" i="1" s="1"/>
  <c r="AV11" i="1" s="1"/>
  <c r="AV16" i="1" s="1"/>
  <c r="BH56" i="1"/>
  <c r="AO72" i="1"/>
  <c r="AO13" i="1" s="1"/>
  <c r="AU420" i="1"/>
  <c r="CB88" i="1"/>
  <c r="I176" i="1"/>
  <c r="S112" i="1"/>
  <c r="P124" i="1"/>
  <c r="P251" i="1" s="1"/>
  <c r="BJ124" i="1"/>
  <c r="BJ229" i="1"/>
  <c r="CS220" i="1" s="1"/>
  <c r="BJ261" i="1"/>
  <c r="AG420" i="1"/>
  <c r="L176" i="1"/>
  <c r="I182" i="1"/>
  <c r="BK126" i="1"/>
  <c r="F302" i="1"/>
  <c r="F334" i="1" s="1"/>
  <c r="AU72" i="1"/>
  <c r="AU13" i="1" s="1"/>
  <c r="AH420" i="1"/>
  <c r="BD420" i="1"/>
  <c r="CI88" i="1"/>
  <c r="DA77" i="1"/>
  <c r="X263" i="1"/>
  <c r="D100" i="1"/>
  <c r="D180" i="1" s="1"/>
  <c r="H99" i="1"/>
  <c r="H179" i="1" s="1"/>
  <c r="K98" i="1"/>
  <c r="K178" i="1" s="1"/>
  <c r="D93" i="1"/>
  <c r="G92" i="1"/>
  <c r="L103" i="1"/>
  <c r="C100" i="1"/>
  <c r="G99" i="1"/>
  <c r="G179" i="1" s="1"/>
  <c r="J98" i="1"/>
  <c r="C93" i="1"/>
  <c r="F92" i="1"/>
  <c r="K103" i="1"/>
  <c r="F99" i="1"/>
  <c r="F179" i="1" s="1"/>
  <c r="I98" i="1"/>
  <c r="L97" i="1"/>
  <c r="L129" i="1" s="1"/>
  <c r="E92" i="1"/>
  <c r="E172" i="1" s="1"/>
  <c r="J103" i="1"/>
  <c r="J183" i="1" s="1"/>
  <c r="E99" i="1"/>
  <c r="E179" i="1" s="1"/>
  <c r="H98" i="1"/>
  <c r="K97" i="1"/>
  <c r="K177" i="1" s="1"/>
  <c r="D92" i="1"/>
  <c r="D172" i="1" s="1"/>
  <c r="G103" i="1"/>
  <c r="G183" i="1" s="1"/>
  <c r="L102" i="1"/>
  <c r="L182" i="1" s="1"/>
  <c r="E98" i="1"/>
  <c r="E178" i="1" s="1"/>
  <c r="H97" i="1"/>
  <c r="H177" i="1" s="1"/>
  <c r="K96" i="1"/>
  <c r="F103" i="1"/>
  <c r="K102" i="1"/>
  <c r="D98" i="1"/>
  <c r="D178" i="1" s="1"/>
  <c r="G97" i="1"/>
  <c r="J96" i="1"/>
  <c r="M136" i="1"/>
  <c r="E102" i="1"/>
  <c r="I99" i="1"/>
  <c r="I179" i="1" s="1"/>
  <c r="J97" i="1"/>
  <c r="K94" i="1"/>
  <c r="K174" i="1" s="1"/>
  <c r="D102" i="1"/>
  <c r="D99" i="1"/>
  <c r="I97" i="1"/>
  <c r="J94" i="1"/>
  <c r="J174" i="1" s="1"/>
  <c r="C102" i="1"/>
  <c r="C182" i="1" s="1"/>
  <c r="C99" i="1"/>
  <c r="F97" i="1"/>
  <c r="F177" i="1" s="1"/>
  <c r="I94" i="1"/>
  <c r="I103" i="1"/>
  <c r="I183" i="1" s="1"/>
  <c r="L100" i="1"/>
  <c r="L180" i="1" s="1"/>
  <c r="E97" i="1"/>
  <c r="E177" i="1" s="1"/>
  <c r="L95" i="1"/>
  <c r="H94" i="1"/>
  <c r="H103" i="1"/>
  <c r="K100" i="1"/>
  <c r="D97" i="1"/>
  <c r="K95" i="1"/>
  <c r="G94" i="1"/>
  <c r="E103" i="1"/>
  <c r="J100" i="1"/>
  <c r="C97" i="1"/>
  <c r="J95" i="1"/>
  <c r="F94" i="1"/>
  <c r="D103" i="1"/>
  <c r="I100" i="1"/>
  <c r="I95" i="1"/>
  <c r="I175" i="1" s="1"/>
  <c r="E94" i="1"/>
  <c r="E174" i="1" s="1"/>
  <c r="C103" i="1"/>
  <c r="C183" i="1" s="1"/>
  <c r="H100" i="1"/>
  <c r="H95" i="1"/>
  <c r="H175" i="1" s="1"/>
  <c r="D94" i="1"/>
  <c r="D174" i="1" s="1"/>
  <c r="L92" i="1"/>
  <c r="L172" i="1" s="1"/>
  <c r="G100" i="1"/>
  <c r="G180" i="1" s="1"/>
  <c r="G95" i="1"/>
  <c r="C94" i="1"/>
  <c r="C174" i="1" s="1"/>
  <c r="K92" i="1"/>
  <c r="F100" i="1"/>
  <c r="F95" i="1"/>
  <c r="J92" i="1"/>
  <c r="K101" i="1"/>
  <c r="L98" i="1"/>
  <c r="D95" i="1"/>
  <c r="H92" i="1"/>
  <c r="BF253" i="1"/>
  <c r="BL126" i="1"/>
  <c r="AF309" i="1"/>
  <c r="AF341" i="1" s="1"/>
  <c r="AF295" i="1"/>
  <c r="AF37" i="1" s="1"/>
  <c r="BK397" i="1"/>
  <c r="BH258" i="1"/>
  <c r="AT72" i="1"/>
  <c r="AT13" i="1" s="1"/>
  <c r="BC420" i="1"/>
  <c r="CH88" i="1"/>
  <c r="AG173" i="1"/>
  <c r="AG184" i="1" s="1"/>
  <c r="AG168" i="1"/>
  <c r="AG26" i="1" s="1"/>
  <c r="AG25" i="1" s="1"/>
  <c r="BC173" i="1"/>
  <c r="CL93" i="1"/>
  <c r="BC168" i="1"/>
  <c r="BW231" i="1"/>
  <c r="BG56" i="1"/>
  <c r="BG10" i="1" s="1"/>
  <c r="BG11" i="1" s="1"/>
  <c r="BG16" i="1" s="1"/>
  <c r="AV72" i="1"/>
  <c r="AV13" i="1" s="1"/>
  <c r="DG88" i="1"/>
  <c r="CZ78" i="1"/>
  <c r="K93" i="1"/>
  <c r="Z182" i="1"/>
  <c r="Z134" i="1"/>
  <c r="Z261" i="1" s="1"/>
  <c r="Z104" i="1"/>
  <c r="Z22" i="1" s="1"/>
  <c r="Z24" i="1" s="1"/>
  <c r="Z27" i="1" s="1"/>
  <c r="Z25" i="1" s="1"/>
  <c r="BE173" i="1"/>
  <c r="CN93" i="1" s="1"/>
  <c r="BE168" i="1"/>
  <c r="BE184" i="1" s="1"/>
  <c r="AI168" i="1"/>
  <c r="AI26" i="1" s="1"/>
  <c r="AI25" i="1" s="1"/>
  <c r="AZ168" i="1"/>
  <c r="AZ172" i="1"/>
  <c r="AZ184" i="1" s="1"/>
  <c r="CL88" i="1"/>
  <c r="BI275" i="1"/>
  <c r="BI277" i="1"/>
  <c r="BQ277" i="1" s="1"/>
  <c r="BI276" i="1"/>
  <c r="BP273" i="1"/>
  <c r="CM88" i="1"/>
  <c r="BJ126" i="1"/>
  <c r="AP310" i="1"/>
  <c r="AP342" i="1" s="1"/>
  <c r="AQ295" i="1"/>
  <c r="AQ37" i="1" s="1"/>
  <c r="AQ34" i="1" s="1"/>
  <c r="AJ420" i="1"/>
  <c r="BJ243" i="1"/>
  <c r="BD259" i="1"/>
  <c r="I63" i="1"/>
  <c r="E61" i="1"/>
  <c r="D61" i="1"/>
  <c r="M60" i="1"/>
  <c r="C70" i="1"/>
  <c r="M69" i="1"/>
  <c r="K67" i="1"/>
  <c r="I65" i="1"/>
  <c r="L69" i="1"/>
  <c r="J67" i="1"/>
  <c r="H65" i="1"/>
  <c r="D63" i="1"/>
  <c r="M62" i="1"/>
  <c r="M71" i="1"/>
  <c r="J69" i="1"/>
  <c r="H67" i="1"/>
  <c r="F65" i="1"/>
  <c r="K62" i="1"/>
  <c r="G60" i="1"/>
  <c r="DK85" i="1"/>
  <c r="BK117" i="1"/>
  <c r="AE136" i="1"/>
  <c r="BF260" i="1"/>
  <c r="P331" i="1"/>
  <c r="DI88" i="1"/>
  <c r="BF168" i="1"/>
  <c r="BF184" i="1" s="1"/>
  <c r="M22" i="1"/>
  <c r="J60" i="1"/>
  <c r="E69" i="1"/>
  <c r="K71" i="1"/>
  <c r="BI419" i="1"/>
  <c r="BJ108" i="1"/>
  <c r="DJ76" i="1"/>
  <c r="CW79" i="1"/>
  <c r="BM76" i="1"/>
  <c r="BO76" i="1" s="1"/>
  <c r="BW100" i="1"/>
  <c r="CQ100" i="1"/>
  <c r="BB331" i="1"/>
  <c r="BH253" i="1"/>
  <c r="AJ184" i="1"/>
  <c r="BF22" i="1"/>
  <c r="BF24" i="1" s="1"/>
  <c r="BF27" i="1" s="1"/>
  <c r="AX417" i="1"/>
  <c r="AX418" i="1" s="1"/>
  <c r="AX423" i="1" s="1"/>
  <c r="L71" i="1"/>
  <c r="CX79" i="1"/>
  <c r="BJ255" i="1"/>
  <c r="AY417" i="1"/>
  <c r="AY418" i="1" s="1"/>
  <c r="AY423" i="1" s="1"/>
  <c r="DL76" i="1"/>
  <c r="CY79" i="1"/>
  <c r="CW80" i="1"/>
  <c r="BJ109" i="1"/>
  <c r="AK184" i="1"/>
  <c r="BQ274" i="1"/>
  <c r="BQ271" i="1"/>
  <c r="BQ270" i="1"/>
  <c r="J300" i="1"/>
  <c r="J332" i="1" s="1"/>
  <c r="BF420" i="1"/>
  <c r="I302" i="1"/>
  <c r="I334" i="1" s="1"/>
  <c r="C33" i="1"/>
  <c r="C38" i="1" s="1"/>
  <c r="C34" i="1" s="1"/>
  <c r="C312" i="1" s="1"/>
  <c r="AN56" i="1"/>
  <c r="AN10" i="1" s="1"/>
  <c r="AN11" i="1" s="1"/>
  <c r="AN16" i="1" s="1"/>
  <c r="AZ417" i="1"/>
  <c r="AZ418" i="1" s="1"/>
  <c r="AZ423" i="1" s="1"/>
  <c r="AJ56" i="1"/>
  <c r="AJ10" i="1" s="1"/>
  <c r="AJ11" i="1" s="1"/>
  <c r="AJ16" i="1" s="1"/>
  <c r="H69" i="1"/>
  <c r="L70" i="1"/>
  <c r="BN76" i="1"/>
  <c r="DJ81" i="1"/>
  <c r="BM81" i="1"/>
  <c r="AI136" i="1"/>
  <c r="BE136" i="1"/>
  <c r="BJ148" i="1"/>
  <c r="BH183" i="1"/>
  <c r="CQ103" i="1" s="1"/>
  <c r="BA417" i="1"/>
  <c r="BA418" i="1" s="1"/>
  <c r="BA423" i="1" s="1"/>
  <c r="AJ72" i="1"/>
  <c r="AJ13" i="1" s="1"/>
  <c r="C67" i="1"/>
  <c r="I69" i="1"/>
  <c r="M70" i="1"/>
  <c r="CS88" i="1"/>
  <c r="BL77" i="1"/>
  <c r="AH263" i="1"/>
  <c r="BJ114" i="1"/>
  <c r="BM114" i="1" s="1"/>
  <c r="AJ136" i="1"/>
  <c r="AJ263" i="1" s="1"/>
  <c r="BF136" i="1"/>
  <c r="BF263" i="1" s="1"/>
  <c r="BK148" i="1"/>
  <c r="BC178" i="1"/>
  <c r="CL98" i="1" s="1"/>
  <c r="H238" i="1"/>
  <c r="BB417" i="1"/>
  <c r="BB418" i="1" s="1"/>
  <c r="BB423" i="1" s="1"/>
  <c r="D67" i="1"/>
  <c r="J68" i="1"/>
  <c r="K69" i="1"/>
  <c r="CT88" i="1"/>
  <c r="BM77" i="1"/>
  <c r="CN88" i="1"/>
  <c r="BL81" i="1"/>
  <c r="BL82" i="1"/>
  <c r="CW85" i="1"/>
  <c r="M247" i="1"/>
  <c r="M263" i="1" s="1"/>
  <c r="L83" i="1"/>
  <c r="J82" i="1"/>
  <c r="I81" i="1"/>
  <c r="G80" i="1"/>
  <c r="E79" i="1"/>
  <c r="D78" i="1"/>
  <c r="D237" i="1" s="1"/>
  <c r="L84" i="1"/>
  <c r="J83" i="1"/>
  <c r="H82" i="1"/>
  <c r="G81" i="1"/>
  <c r="G240" i="1" s="1"/>
  <c r="G256" i="1" s="1"/>
  <c r="E80" i="1"/>
  <c r="E239" i="1" s="1"/>
  <c r="C79" i="1"/>
  <c r="C238" i="1" s="1"/>
  <c r="C254" i="1" s="1"/>
  <c r="L85" i="1"/>
  <c r="L244" i="1" s="1"/>
  <c r="K84" i="1"/>
  <c r="G86" i="1"/>
  <c r="I82" i="1"/>
  <c r="C81" i="1"/>
  <c r="I77" i="1"/>
  <c r="I236" i="1" s="1"/>
  <c r="E76" i="1"/>
  <c r="L87" i="1"/>
  <c r="F86" i="1"/>
  <c r="G82" i="1"/>
  <c r="H77" i="1"/>
  <c r="H236" i="1" s="1"/>
  <c r="D76" i="1"/>
  <c r="K87" i="1"/>
  <c r="K246" i="1" s="1"/>
  <c r="E86" i="1"/>
  <c r="F82" i="1"/>
  <c r="L78" i="1"/>
  <c r="L237" i="1" s="1"/>
  <c r="G77" i="1"/>
  <c r="G236" i="1" s="1"/>
  <c r="G252" i="1" s="1"/>
  <c r="C76" i="1"/>
  <c r="J87" i="1"/>
  <c r="D86" i="1"/>
  <c r="E82" i="1"/>
  <c r="K78" i="1"/>
  <c r="K237" i="1" s="1"/>
  <c r="F77" i="1"/>
  <c r="I87" i="1"/>
  <c r="C86" i="1"/>
  <c r="K83" i="1"/>
  <c r="K242" i="1" s="1"/>
  <c r="D82" i="1"/>
  <c r="J78" i="1"/>
  <c r="J237" i="1" s="1"/>
  <c r="E77" i="1"/>
  <c r="H87" i="1"/>
  <c r="I83" i="1"/>
  <c r="C82" i="1"/>
  <c r="I78" i="1"/>
  <c r="I237" i="1" s="1"/>
  <c r="D77" i="1"/>
  <c r="D236" i="1" s="1"/>
  <c r="G87" i="1"/>
  <c r="H83" i="1"/>
  <c r="L79" i="1"/>
  <c r="L238" i="1" s="1"/>
  <c r="H78" i="1"/>
  <c r="C77" i="1"/>
  <c r="C236" i="1" s="1"/>
  <c r="F87" i="1"/>
  <c r="F246" i="1" s="1"/>
  <c r="G83" i="1"/>
  <c r="G242" i="1" s="1"/>
  <c r="K79" i="1"/>
  <c r="K238" i="1" s="1"/>
  <c r="G78" i="1"/>
  <c r="E87" i="1"/>
  <c r="E246" i="1" s="1"/>
  <c r="F83" i="1"/>
  <c r="F242" i="1" s="1"/>
  <c r="J79" i="1"/>
  <c r="J238" i="1" s="1"/>
  <c r="F78" i="1"/>
  <c r="F237" i="1" s="1"/>
  <c r="D87" i="1"/>
  <c r="J84" i="1"/>
  <c r="E83" i="1"/>
  <c r="I79" i="1"/>
  <c r="E78" i="1"/>
  <c r="E237" i="1" s="1"/>
  <c r="H84" i="1"/>
  <c r="C83" i="1"/>
  <c r="K80" i="1"/>
  <c r="G79" i="1"/>
  <c r="G238" i="1" s="1"/>
  <c r="G254" i="1" s="1"/>
  <c r="AI263" i="1"/>
  <c r="BE247" i="1"/>
  <c r="BE263" i="1" s="1"/>
  <c r="C101" i="1"/>
  <c r="AK136" i="1"/>
  <c r="BK124" i="1"/>
  <c r="BE251" i="1"/>
  <c r="BM143" i="1"/>
  <c r="BN143" i="1" s="1"/>
  <c r="BD178" i="1"/>
  <c r="CM98" i="1" s="1"/>
  <c r="CQ99" i="1"/>
  <c r="BW99" i="1"/>
  <c r="BW96" i="1"/>
  <c r="CQ96" i="1"/>
  <c r="I238" i="1"/>
  <c r="CK88" i="1"/>
  <c r="BJ133" i="1"/>
  <c r="BD260" i="1"/>
  <c r="BA172" i="1"/>
  <c r="BA184" i="1" s="1"/>
  <c r="BA168" i="1"/>
  <c r="BC417" i="1"/>
  <c r="BC418" i="1" s="1"/>
  <c r="BC423" i="1" s="1"/>
  <c r="BG72" i="1"/>
  <c r="BG13" i="1" s="1"/>
  <c r="E67" i="1"/>
  <c r="K68" i="1"/>
  <c r="BD72" i="1"/>
  <c r="D101" i="1"/>
  <c r="BF251" i="1"/>
  <c r="BG175" i="1"/>
  <c r="BV95" i="1" s="1"/>
  <c r="J175" i="1"/>
  <c r="BE301" i="1"/>
  <c r="BE333" i="1" s="1"/>
  <c r="BE295" i="1"/>
  <c r="BE37" i="1" s="1"/>
  <c r="BE34" i="1" s="1"/>
  <c r="BE312" i="1" s="1"/>
  <c r="AI420" i="1"/>
  <c r="BE420" i="1"/>
  <c r="BI89" i="1"/>
  <c r="Q136" i="1"/>
  <c r="L119" i="1"/>
  <c r="BL131" i="1"/>
  <c r="BN131" i="1" s="1"/>
  <c r="BK131" i="1"/>
  <c r="AF168" i="1"/>
  <c r="AF26" i="1" s="1"/>
  <c r="AF172" i="1"/>
  <c r="AF184" i="1" s="1"/>
  <c r="BG168" i="1"/>
  <c r="BG184" i="1" s="1"/>
  <c r="AR168" i="1"/>
  <c r="BJ238" i="1"/>
  <c r="BL238" i="1" s="1"/>
  <c r="BD254" i="1"/>
  <c r="BL243" i="1"/>
  <c r="BI259" i="1"/>
  <c r="BK243" i="1"/>
  <c r="BM243" i="1" s="1"/>
  <c r="V335" i="1"/>
  <c r="V343" i="1" s="1"/>
  <c r="V36" i="1" s="1"/>
  <c r="V311" i="1"/>
  <c r="AK420" i="1"/>
  <c r="BG420" i="1"/>
  <c r="S136" i="1"/>
  <c r="BJ97" i="1"/>
  <c r="AT168" i="1"/>
  <c r="CH231" i="1"/>
  <c r="BF254" i="1"/>
  <c r="G263" i="1"/>
  <c r="K300" i="1"/>
  <c r="K332" i="1" s="1"/>
  <c r="K302" i="1"/>
  <c r="K334" i="1" s="1"/>
  <c r="AL420" i="1"/>
  <c r="BK84" i="1"/>
  <c r="BK86" i="1"/>
  <c r="BK134" i="1"/>
  <c r="BM134" i="1" s="1"/>
  <c r="BJ134" i="1"/>
  <c r="BK145" i="1"/>
  <c r="BL145" i="1" s="1"/>
  <c r="CI231" i="1"/>
  <c r="AP417" i="1"/>
  <c r="K60" i="1"/>
  <c r="F63" i="1"/>
  <c r="J65" i="1"/>
  <c r="AM420" i="1"/>
  <c r="L67" i="1"/>
  <c r="D70" i="1"/>
  <c r="CO88" i="1"/>
  <c r="BL85" i="1"/>
  <c r="BN85" i="1" s="1"/>
  <c r="BL86" i="1"/>
  <c r="AQ136" i="1"/>
  <c r="BK141" i="1"/>
  <c r="AJ168" i="1"/>
  <c r="AJ26" i="1" s="1"/>
  <c r="AJ25" i="1" s="1"/>
  <c r="CJ231" i="1"/>
  <c r="C305" i="1"/>
  <c r="C337" i="1" s="1"/>
  <c r="AQ417" i="1"/>
  <c r="AQ418" i="1" s="1"/>
  <c r="AQ423" i="1" s="1"/>
  <c r="L60" i="1"/>
  <c r="C61" i="1"/>
  <c r="G63" i="1"/>
  <c r="K65" i="1"/>
  <c r="AN420" i="1"/>
  <c r="M67" i="1"/>
  <c r="C68" i="1"/>
  <c r="E70" i="1"/>
  <c r="CP88" i="1"/>
  <c r="AQ263" i="1"/>
  <c r="BJ125" i="1"/>
  <c r="BM129" i="1"/>
  <c r="AK168" i="1"/>
  <c r="AK26" i="1" s="1"/>
  <c r="AK25" i="1" s="1"/>
  <c r="X184" i="1"/>
  <c r="D305" i="1"/>
  <c r="D337" i="1" s="1"/>
  <c r="D241" i="1"/>
  <c r="C307" i="1"/>
  <c r="C339" i="1" s="1"/>
  <c r="C243" i="1"/>
  <c r="C259" i="1" s="1"/>
  <c r="AO247" i="1"/>
  <c r="AA253" i="1"/>
  <c r="AW253" i="1"/>
  <c r="AR417" i="1"/>
  <c r="AR418" i="1" s="1"/>
  <c r="AR423" i="1" s="1"/>
  <c r="H63" i="1"/>
  <c r="L65" i="1"/>
  <c r="AO420" i="1"/>
  <c r="D68" i="1"/>
  <c r="F70" i="1"/>
  <c r="CQ88" i="1"/>
  <c r="BN129" i="1"/>
  <c r="AL168" i="1"/>
  <c r="Y184" i="1"/>
  <c r="CL231" i="1"/>
  <c r="E243" i="1"/>
  <c r="E259" i="1" s="1"/>
  <c r="AS417" i="1"/>
  <c r="AS418" i="1" s="1"/>
  <c r="AS423" i="1" s="1"/>
  <c r="M65" i="1"/>
  <c r="C66" i="1"/>
  <c r="AP420" i="1"/>
  <c r="E68" i="1"/>
  <c r="G70" i="1"/>
  <c r="CR88" i="1"/>
  <c r="BL125" i="1"/>
  <c r="BE254" i="1"/>
  <c r="BK127" i="1"/>
  <c r="BJ127" i="1"/>
  <c r="BB168" i="1"/>
  <c r="F307" i="1"/>
  <c r="F339" i="1" s="1"/>
  <c r="F243" i="1"/>
  <c r="F259" i="1" s="1"/>
  <c r="D245" i="1"/>
  <c r="D309" i="1"/>
  <c r="D341" i="1" s="1"/>
  <c r="AC253" i="1"/>
  <c r="AY253" i="1"/>
  <c r="AB311" i="1"/>
  <c r="AB331" i="1"/>
  <c r="AB343" i="1" s="1"/>
  <c r="AB36" i="1" s="1"/>
  <c r="AT417" i="1"/>
  <c r="AT418" i="1" s="1"/>
  <c r="AT423" i="1" s="1"/>
  <c r="F61" i="1"/>
  <c r="J63" i="1"/>
  <c r="D66" i="1"/>
  <c r="AQ420" i="1"/>
  <c r="F68" i="1"/>
  <c r="H70" i="1"/>
  <c r="BM83" i="1"/>
  <c r="AU136" i="1"/>
  <c r="AD136" i="1"/>
  <c r="AZ136" i="1"/>
  <c r="BE259" i="1"/>
  <c r="BK132" i="1"/>
  <c r="BJ132" i="1"/>
  <c r="K235" i="1"/>
  <c r="G241" i="1"/>
  <c r="AC311" i="1"/>
  <c r="AC331" i="1"/>
  <c r="AC343" i="1" s="1"/>
  <c r="AC36" i="1" s="1"/>
  <c r="AU417" i="1"/>
  <c r="AU418" i="1" s="1"/>
  <c r="AU423" i="1" s="1"/>
  <c r="G61" i="1"/>
  <c r="K63" i="1"/>
  <c r="E66" i="1"/>
  <c r="AR420" i="1"/>
  <c r="G68" i="1"/>
  <c r="I70" i="1"/>
  <c r="BK83" i="1"/>
  <c r="BA136" i="1"/>
  <c r="BN125" i="1"/>
  <c r="BL146" i="1"/>
  <c r="BL150" i="1"/>
  <c r="AO168" i="1"/>
  <c r="AO172" i="1"/>
  <c r="AO184" i="1" s="1"/>
  <c r="L235" i="1"/>
  <c r="L299" i="1"/>
  <c r="H305" i="1"/>
  <c r="H337" i="1" s="1"/>
  <c r="H241" i="1"/>
  <c r="H243" i="1"/>
  <c r="Z263" i="1"/>
  <c r="AV417" i="1"/>
  <c r="AV418" i="1" s="1"/>
  <c r="AV423" i="1" s="1"/>
  <c r="H61" i="1"/>
  <c r="L63" i="1"/>
  <c r="C64" i="1"/>
  <c r="F66" i="1"/>
  <c r="AS420" i="1"/>
  <c r="H68" i="1"/>
  <c r="J70" i="1"/>
  <c r="BB136" i="1"/>
  <c r="BB263" i="1" s="1"/>
  <c r="BI152" i="1"/>
  <c r="BI23" i="1" s="1"/>
  <c r="BH168" i="1"/>
  <c r="AC184" i="1"/>
  <c r="BE305" i="1"/>
  <c r="BE337" i="1" s="1"/>
  <c r="AW417" i="1"/>
  <c r="AW418" i="1" s="1"/>
  <c r="AW423" i="1" s="1"/>
  <c r="I61" i="1"/>
  <c r="M63" i="1"/>
  <c r="D64" i="1"/>
  <c r="G66" i="1"/>
  <c r="AT420" i="1"/>
  <c r="I68" i="1"/>
  <c r="DA82" i="1"/>
  <c r="AW263" i="1"/>
  <c r="BC136" i="1"/>
  <c r="BJ135" i="1"/>
  <c r="BI135" i="1"/>
  <c r="BJ147" i="1"/>
  <c r="BK150" i="1"/>
  <c r="K161" i="1"/>
  <c r="J160" i="1"/>
  <c r="J176" i="1" s="1"/>
  <c r="K156" i="1"/>
  <c r="J161" i="1"/>
  <c r="I160" i="1"/>
  <c r="Q159" i="1"/>
  <c r="J156" i="1"/>
  <c r="I156" i="1"/>
  <c r="H156" i="1"/>
  <c r="G167" i="1"/>
  <c r="L166" i="1"/>
  <c r="I165" i="1"/>
  <c r="P164" i="1"/>
  <c r="G161" i="1"/>
  <c r="F160" i="1"/>
  <c r="N159" i="1"/>
  <c r="G156" i="1"/>
  <c r="K166" i="1"/>
  <c r="H165" i="1"/>
  <c r="H181" i="1" s="1"/>
  <c r="O164" i="1"/>
  <c r="F161" i="1"/>
  <c r="E160" i="1"/>
  <c r="M159" i="1"/>
  <c r="F156" i="1"/>
  <c r="I166" i="1"/>
  <c r="D165" i="1"/>
  <c r="M164" i="1"/>
  <c r="O163" i="1"/>
  <c r="C160" i="1"/>
  <c r="K159" i="1"/>
  <c r="N158" i="1"/>
  <c r="D156" i="1"/>
  <c r="AD184" i="1"/>
  <c r="BG258" i="1"/>
  <c r="AX259" i="1"/>
  <c r="AB263" i="1"/>
  <c r="AF331" i="1"/>
  <c r="L118" i="1"/>
  <c r="F119" i="1"/>
  <c r="BK129" i="1"/>
  <c r="BO129" i="1" s="1"/>
  <c r="BK133" i="1"/>
  <c r="AN168" i="1"/>
  <c r="AN172" i="1"/>
  <c r="AN184" i="1" s="1"/>
  <c r="BD173" i="1"/>
  <c r="CM93" i="1" s="1"/>
  <c r="BD168" i="1"/>
  <c r="BD184" i="1" s="1"/>
  <c r="M162" i="1"/>
  <c r="D161" i="1"/>
  <c r="Q160" i="1"/>
  <c r="H159" i="1"/>
  <c r="L157" i="1"/>
  <c r="C156" i="1"/>
  <c r="O167" i="1"/>
  <c r="D166" i="1"/>
  <c r="Q165" i="1"/>
  <c r="H164" i="1"/>
  <c r="L162" i="1"/>
  <c r="L178" i="1" s="1"/>
  <c r="C161" i="1"/>
  <c r="C177" i="1" s="1"/>
  <c r="P160" i="1"/>
  <c r="G159" i="1"/>
  <c r="K157" i="1"/>
  <c r="N167" i="1"/>
  <c r="C166" i="1"/>
  <c r="P165" i="1"/>
  <c r="G164" i="1"/>
  <c r="K162" i="1"/>
  <c r="O160" i="1"/>
  <c r="F159" i="1"/>
  <c r="J157" i="1"/>
  <c r="M167" i="1"/>
  <c r="O165" i="1"/>
  <c r="F164" i="1"/>
  <c r="J162" i="1"/>
  <c r="N160" i="1"/>
  <c r="E159" i="1"/>
  <c r="I157" i="1"/>
  <c r="L167" i="1"/>
  <c r="L183" i="1" s="1"/>
  <c r="N165" i="1"/>
  <c r="E164" i="1"/>
  <c r="E180" i="1" s="1"/>
  <c r="I162" i="1"/>
  <c r="M160" i="1"/>
  <c r="D159" i="1"/>
  <c r="Q158" i="1"/>
  <c r="H157" i="1"/>
  <c r="K167" i="1"/>
  <c r="M165" i="1"/>
  <c r="D164" i="1"/>
  <c r="Q163" i="1"/>
  <c r="H162" i="1"/>
  <c r="L160" i="1"/>
  <c r="C159" i="1"/>
  <c r="P158" i="1"/>
  <c r="G157" i="1"/>
  <c r="J167" i="1"/>
  <c r="K165" i="1"/>
  <c r="C164" i="1"/>
  <c r="P163" i="1"/>
  <c r="G162" i="1"/>
  <c r="G178" i="1" s="1"/>
  <c r="K160" i="1"/>
  <c r="O158" i="1"/>
  <c r="F157" i="1"/>
  <c r="D167" i="1"/>
  <c r="Q166" i="1"/>
  <c r="G165" i="1"/>
  <c r="G181" i="1" s="1"/>
  <c r="C167" i="1"/>
  <c r="P166" i="1"/>
  <c r="F165" i="1"/>
  <c r="CK231" i="1"/>
  <c r="AB253" i="1"/>
  <c r="AX253" i="1"/>
  <c r="BL274" i="1"/>
  <c r="BF307" i="1"/>
  <c r="BF339" i="1" s="1"/>
  <c r="BM133" i="1"/>
  <c r="BG260" i="1"/>
  <c r="AP168" i="1"/>
  <c r="BF173" i="1"/>
  <c r="CO93" i="1" s="1"/>
  <c r="BG178" i="1"/>
  <c r="AH184" i="1"/>
  <c r="CM231" i="1"/>
  <c r="S247" i="1"/>
  <c r="S263" i="1" s="1"/>
  <c r="AS252" i="1"/>
  <c r="AD253" i="1"/>
  <c r="AZ253" i="1"/>
  <c r="T254" i="1"/>
  <c r="AP254" i="1"/>
  <c r="AS256" i="1"/>
  <c r="BH262" i="1"/>
  <c r="N115" i="2"/>
  <c r="K115" i="2"/>
  <c r="J115" i="2"/>
  <c r="BE255" i="1"/>
  <c r="BK128" i="1"/>
  <c r="BM132" i="1"/>
  <c r="BO132" i="1" s="1"/>
  <c r="AQ184" i="1"/>
  <c r="BG173" i="1"/>
  <c r="CN231" i="1"/>
  <c r="C242" i="1"/>
  <c r="T247" i="1"/>
  <c r="T263" i="1" s="1"/>
  <c r="AP247" i="1"/>
  <c r="AP263" i="1" s="1"/>
  <c r="BJ219" i="1"/>
  <c r="AE253" i="1"/>
  <c r="BA253" i="1"/>
  <c r="X261" i="1"/>
  <c r="BD331" i="1"/>
  <c r="M108" i="1"/>
  <c r="F109" i="1"/>
  <c r="N111" i="1"/>
  <c r="G112" i="1"/>
  <c r="G128" i="1" s="1"/>
  <c r="Q114" i="1"/>
  <c r="K115" i="1"/>
  <c r="K131" i="1" s="1"/>
  <c r="E116" i="1"/>
  <c r="E132" i="1" s="1"/>
  <c r="P118" i="1"/>
  <c r="AR184" i="1"/>
  <c r="O159" i="1"/>
  <c r="G160" i="1"/>
  <c r="G176" i="1" s="1"/>
  <c r="H161" i="1"/>
  <c r="Q164" i="1"/>
  <c r="J165" i="1"/>
  <c r="J181" i="1" s="1"/>
  <c r="M166" i="1"/>
  <c r="H167" i="1"/>
  <c r="V184" i="1"/>
  <c r="L174" i="1"/>
  <c r="CO231" i="1"/>
  <c r="D242" i="1"/>
  <c r="U247" i="1"/>
  <c r="BL235" i="1"/>
  <c r="Y256" i="1"/>
  <c r="AU256" i="1"/>
  <c r="T259" i="1"/>
  <c r="BK267" i="1"/>
  <c r="BK274" i="1"/>
  <c r="BM274" i="1" s="1"/>
  <c r="BK270" i="1"/>
  <c r="BO275" i="1"/>
  <c r="BP270" i="1"/>
  <c r="BJ268" i="1"/>
  <c r="BQ268" i="1" s="1"/>
  <c r="BK273" i="1"/>
  <c r="BJ273" i="1"/>
  <c r="BO277" i="1"/>
  <c r="BJ275" i="1"/>
  <c r="BO272" i="1"/>
  <c r="BK272" i="1"/>
  <c r="BJ272" i="1"/>
  <c r="BQ272" i="1" s="1"/>
  <c r="BP268" i="1"/>
  <c r="BO268" i="1"/>
  <c r="BP271" i="1"/>
  <c r="BO271" i="1"/>
  <c r="BK268" i="1"/>
  <c r="BJ277" i="1"/>
  <c r="BK271" i="1"/>
  <c r="BJ271" i="1"/>
  <c r="BJ270" i="1"/>
  <c r="BP269" i="1"/>
  <c r="BO269" i="1"/>
  <c r="AO299" i="1"/>
  <c r="AO295" i="1"/>
  <c r="AO37" i="1" s="1"/>
  <c r="AO34" i="1" s="1"/>
  <c r="N108" i="1"/>
  <c r="G109" i="1"/>
  <c r="G125" i="1" s="1"/>
  <c r="O111" i="1"/>
  <c r="H112" i="1"/>
  <c r="H128" i="1" s="1"/>
  <c r="R114" i="1"/>
  <c r="L115" i="1"/>
  <c r="L179" i="1" s="1"/>
  <c r="F116" i="1"/>
  <c r="F132" i="1" s="1"/>
  <c r="Q118" i="1"/>
  <c r="K119" i="1"/>
  <c r="R118" i="1"/>
  <c r="C117" i="1"/>
  <c r="J116" i="1"/>
  <c r="J132" i="1" s="1"/>
  <c r="Q115" i="1"/>
  <c r="I113" i="1"/>
  <c r="BL129" i="1"/>
  <c r="BL134" i="1"/>
  <c r="AM173" i="1"/>
  <c r="AM184" i="1" s="1"/>
  <c r="AM168" i="1"/>
  <c r="BI173" i="1"/>
  <c r="P159" i="1"/>
  <c r="H160" i="1"/>
  <c r="I161" i="1"/>
  <c r="AE180" i="1"/>
  <c r="AE184" i="1" s="1"/>
  <c r="AE168" i="1"/>
  <c r="AE26" i="1" s="1"/>
  <c r="AE25" i="1" s="1"/>
  <c r="N166" i="1"/>
  <c r="I167" i="1"/>
  <c r="W184" i="1"/>
  <c r="C173" i="1"/>
  <c r="F303" i="1"/>
  <c r="F335" i="1" s="1"/>
  <c r="E242" i="1"/>
  <c r="AK251" i="1"/>
  <c r="BG251" i="1"/>
  <c r="BC253" i="1"/>
  <c r="Z256" i="1"/>
  <c r="BH257" i="1"/>
  <c r="V136" i="1"/>
  <c r="AR136" i="1"/>
  <c r="AR263" i="1" s="1"/>
  <c r="O166" i="1"/>
  <c r="D173" i="1"/>
  <c r="CQ231" i="1"/>
  <c r="I301" i="1"/>
  <c r="I333" i="1" s="1"/>
  <c r="BZ231" i="1"/>
  <c r="G303" i="1"/>
  <c r="G335" i="1" s="1"/>
  <c r="G239" i="1"/>
  <c r="G255" i="1" s="1"/>
  <c r="W247" i="1"/>
  <c r="W263" i="1" s="1"/>
  <c r="AL251" i="1"/>
  <c r="BH251" i="1"/>
  <c r="AW252" i="1"/>
  <c r="BJ237" i="1"/>
  <c r="BD253" i="1"/>
  <c r="AA256" i="1"/>
  <c r="BL241" i="1"/>
  <c r="AM260" i="1"/>
  <c r="BI260" i="1"/>
  <c r="BH254" i="1"/>
  <c r="BI257" i="1"/>
  <c r="AU168" i="1"/>
  <c r="AU172" i="1"/>
  <c r="AU184" i="1" s="1"/>
  <c r="H303" i="1"/>
  <c r="H335" i="1" s="1"/>
  <c r="H239" i="1"/>
  <c r="AT247" i="1"/>
  <c r="AT263" i="1" s="1"/>
  <c r="AM251" i="1"/>
  <c r="BI251" i="1"/>
  <c r="AB252" i="1"/>
  <c r="AX252" i="1"/>
  <c r="AN255" i="1"/>
  <c r="AK257" i="1"/>
  <c r="AN260" i="1"/>
  <c r="BJ228" i="1"/>
  <c r="CS219" i="1" s="1"/>
  <c r="BI254" i="1"/>
  <c r="BD300" i="1"/>
  <c r="BD332" i="1" s="1"/>
  <c r="Q108" i="1"/>
  <c r="J109" i="1"/>
  <c r="J125" i="1" s="1"/>
  <c r="C110" i="1"/>
  <c r="C126" i="1" s="1"/>
  <c r="R111" i="1"/>
  <c r="K112" i="1"/>
  <c r="K128" i="1" s="1"/>
  <c r="D113" i="1"/>
  <c r="D129" i="1" s="1"/>
  <c r="O115" i="1"/>
  <c r="I116" i="1"/>
  <c r="I132" i="1" s="1"/>
  <c r="D117" i="1"/>
  <c r="D133" i="1" s="1"/>
  <c r="O119" i="1"/>
  <c r="X136" i="1"/>
  <c r="AT136" i="1"/>
  <c r="BL132" i="1"/>
  <c r="U136" i="1"/>
  <c r="BN144" i="1"/>
  <c r="BL151" i="1"/>
  <c r="L156" i="1"/>
  <c r="AV184" i="1"/>
  <c r="L161" i="1"/>
  <c r="CB231" i="1"/>
  <c r="I303" i="1"/>
  <c r="I335" i="1" s="1"/>
  <c r="I239" i="1"/>
  <c r="Y247" i="1"/>
  <c r="Y263" i="1" s="1"/>
  <c r="AU247" i="1"/>
  <c r="BK235" i="1"/>
  <c r="BK223" i="1"/>
  <c r="CS226" i="1" s="1"/>
  <c r="BK244" i="1"/>
  <c r="BM244" i="1" s="1"/>
  <c r="BE300" i="1"/>
  <c r="BE332" i="1" s="1"/>
  <c r="R108" i="1"/>
  <c r="K109" i="1"/>
  <c r="D110" i="1"/>
  <c r="S111" i="1"/>
  <c r="L112" i="1"/>
  <c r="L128" i="1" s="1"/>
  <c r="E113" i="1"/>
  <c r="P115" i="1"/>
  <c r="K116" i="1"/>
  <c r="E117" i="1"/>
  <c r="E133" i="1" s="1"/>
  <c r="P119" i="1"/>
  <c r="BM127" i="1"/>
  <c r="BL128" i="1"/>
  <c r="BN132" i="1"/>
  <c r="BO144" i="1"/>
  <c r="BN149" i="1"/>
  <c r="BM151" i="1"/>
  <c r="BN151" i="1" s="1"/>
  <c r="M156" i="1"/>
  <c r="AW184" i="1"/>
  <c r="BD175" i="1"/>
  <c r="CM95" i="1" s="1"/>
  <c r="M161" i="1"/>
  <c r="BE180" i="1"/>
  <c r="CN100" i="1" s="1"/>
  <c r="AP172" i="1"/>
  <c r="AP184" i="1" s="1"/>
  <c r="L301" i="1"/>
  <c r="L333" i="1" s="1"/>
  <c r="J303" i="1"/>
  <c r="J335" i="1" s="1"/>
  <c r="J239" i="1"/>
  <c r="C310" i="1"/>
  <c r="C342" i="1" s="1"/>
  <c r="C246" i="1"/>
  <c r="AO251" i="1"/>
  <c r="BL244" i="1"/>
  <c r="BO267" i="1"/>
  <c r="S108" i="1"/>
  <c r="L109" i="1"/>
  <c r="L125" i="1" s="1"/>
  <c r="E110" i="1"/>
  <c r="M112" i="1"/>
  <c r="F113" i="1"/>
  <c r="R115" i="1"/>
  <c r="L116" i="1"/>
  <c r="F117" i="1"/>
  <c r="Q119" i="1"/>
  <c r="Z136" i="1"/>
  <c r="AV136" i="1"/>
  <c r="BL142" i="1"/>
  <c r="BK142" i="1"/>
  <c r="N156" i="1"/>
  <c r="AX184" i="1"/>
  <c r="BE175" i="1"/>
  <c r="CN95" i="1" s="1"/>
  <c r="N161" i="1"/>
  <c r="C163" i="1"/>
  <c r="T184" i="1"/>
  <c r="K239" i="1"/>
  <c r="BA252" i="1"/>
  <c r="AL253" i="1"/>
  <c r="AI258" i="1"/>
  <c r="BK242" i="1"/>
  <c r="BE258" i="1"/>
  <c r="X262" i="1"/>
  <c r="AT262" i="1"/>
  <c r="BG300" i="1"/>
  <c r="BG332" i="1" s="1"/>
  <c r="M109" i="1"/>
  <c r="F110" i="1"/>
  <c r="F126" i="1" s="1"/>
  <c r="N112" i="1"/>
  <c r="G113" i="1"/>
  <c r="G129" i="1" s="1"/>
  <c r="S115" i="1"/>
  <c r="M116" i="1"/>
  <c r="G117" i="1"/>
  <c r="R119" i="1"/>
  <c r="AA136" i="1"/>
  <c r="AA263" i="1" s="1"/>
  <c r="AW136" i="1"/>
  <c r="O156" i="1"/>
  <c r="AY168" i="1"/>
  <c r="AY172" i="1"/>
  <c r="AY184" i="1" s="1"/>
  <c r="C158" i="1"/>
  <c r="O161" i="1"/>
  <c r="C162" i="1"/>
  <c r="D163" i="1"/>
  <c r="BG180" i="1"/>
  <c r="U184" i="1"/>
  <c r="BH173" i="1"/>
  <c r="E183" i="1"/>
  <c r="L239" i="1"/>
  <c r="L255" i="1" s="1"/>
  <c r="C241" i="1"/>
  <c r="BB252" i="1"/>
  <c r="AF256" i="1"/>
  <c r="AJ258" i="1"/>
  <c r="BF258" i="1"/>
  <c r="AW259" i="1"/>
  <c r="V260" i="1"/>
  <c r="AR260" i="1"/>
  <c r="Y262" i="1"/>
  <c r="AU262" i="1"/>
  <c r="BG259" i="1"/>
  <c r="BH300" i="1"/>
  <c r="BH332" i="1" s="1"/>
  <c r="U335" i="1"/>
  <c r="U343" i="1" s="1"/>
  <c r="U36" i="1" s="1"/>
  <c r="U311" i="1"/>
  <c r="AJ343" i="1"/>
  <c r="AJ36" i="1" s="1"/>
  <c r="CP231" i="1"/>
  <c r="I242" i="1"/>
  <c r="V247" i="1"/>
  <c r="AI253" i="1"/>
  <c r="AS255" i="1"/>
  <c r="AV256" i="1"/>
  <c r="AH257" i="1"/>
  <c r="BD257" i="1"/>
  <c r="BJ241" i="1"/>
  <c r="AS258" i="1"/>
  <c r="BG261" i="1"/>
  <c r="AJ311" i="1"/>
  <c r="C309" i="1"/>
  <c r="C341" i="1" s="1"/>
  <c r="C245" i="1"/>
  <c r="L246" i="1"/>
  <c r="AS247" i="1"/>
  <c r="AS263" i="1" s="1"/>
  <c r="AD252" i="1"/>
  <c r="AZ252" i="1"/>
  <c r="AT255" i="1"/>
  <c r="AW256" i="1"/>
  <c r="AI257" i="1"/>
  <c r="BK241" i="1"/>
  <c r="AL261" i="1"/>
  <c r="BH261" i="1"/>
  <c r="M331" i="1"/>
  <c r="AZ311" i="1"/>
  <c r="AZ331" i="1"/>
  <c r="AZ343" i="1" s="1"/>
  <c r="AZ36" i="1" s="1"/>
  <c r="AZ344" i="1" s="1"/>
  <c r="S339" i="1"/>
  <c r="S311" i="1"/>
  <c r="BE331" i="1"/>
  <c r="D240" i="1"/>
  <c r="I241" i="1"/>
  <c r="F245" i="1"/>
  <c r="AV247" i="1"/>
  <c r="AV263" i="1" s="1"/>
  <c r="Z251" i="1"/>
  <c r="BC252" i="1"/>
  <c r="AA255" i="1"/>
  <c r="AW255" i="1"/>
  <c r="AL257" i="1"/>
  <c r="AN259" i="1"/>
  <c r="AO261" i="1"/>
  <c r="Z262" i="1"/>
  <c r="AV262" i="1"/>
  <c r="BC331" i="1"/>
  <c r="BC343" i="1" s="1"/>
  <c r="BC36" i="1" s="1"/>
  <c r="BC344" i="1" s="1"/>
  <c r="BC311" i="1"/>
  <c r="BD180" i="1"/>
  <c r="CM100" i="1" s="1"/>
  <c r="AH252" i="1"/>
  <c r="BD252" i="1"/>
  <c r="BJ236" i="1"/>
  <c r="AB255" i="1"/>
  <c r="AX255" i="1"/>
  <c r="AM257" i="1"/>
  <c r="AO259" i="1"/>
  <c r="T261" i="1"/>
  <c r="AP261" i="1"/>
  <c r="BL245" i="1"/>
  <c r="AA262" i="1"/>
  <c r="BJ152" i="1"/>
  <c r="BJ23" i="1" s="1"/>
  <c r="C299" i="1"/>
  <c r="C235" i="1"/>
  <c r="C251" i="1" s="1"/>
  <c r="G300" i="1"/>
  <c r="G332" i="1" s="1"/>
  <c r="F240" i="1"/>
  <c r="C244" i="1"/>
  <c r="AX247" i="1"/>
  <c r="AX263" i="1" s="1"/>
  <c r="AI252" i="1"/>
  <c r="BE252" i="1"/>
  <c r="BK236" i="1"/>
  <c r="X254" i="1"/>
  <c r="AT254" i="1"/>
  <c r="E240" i="1"/>
  <c r="AN257" i="1"/>
  <c r="AC258" i="1"/>
  <c r="AY258" i="1"/>
  <c r="AP259" i="1"/>
  <c r="U261" i="1"/>
  <c r="AQ261" i="1"/>
  <c r="BM245" i="1"/>
  <c r="AI311" i="1"/>
  <c r="AI331" i="1"/>
  <c r="AI343" i="1" s="1"/>
  <c r="AI36" i="1" s="1"/>
  <c r="J180" i="1"/>
  <c r="G304" i="1"/>
  <c r="G336" i="1" s="1"/>
  <c r="L305" i="1"/>
  <c r="L337" i="1" s="1"/>
  <c r="D244" i="1"/>
  <c r="AC247" i="1"/>
  <c r="AC263" i="1" s="1"/>
  <c r="AY247" i="1"/>
  <c r="AY263" i="1" s="1"/>
  <c r="AY251" i="1"/>
  <c r="AJ252" i="1"/>
  <c r="BF252" i="1"/>
  <c r="Y254" i="1"/>
  <c r="AU254" i="1"/>
  <c r="AD258" i="1"/>
  <c r="V261" i="1"/>
  <c r="AC262" i="1"/>
  <c r="AY262" i="1"/>
  <c r="I263" i="1"/>
  <c r="BE253" i="1"/>
  <c r="AJ295" i="1"/>
  <c r="AJ37" i="1" s="1"/>
  <c r="AJ34" i="1" s="1"/>
  <c r="BF331" i="1"/>
  <c r="H309" i="1"/>
  <c r="H341" i="1" s="1"/>
  <c r="C176" i="1"/>
  <c r="E235" i="1"/>
  <c r="E299" i="1"/>
  <c r="BK221" i="1"/>
  <c r="CS224" i="1" s="1"/>
  <c r="H240" i="1"/>
  <c r="E244" i="1"/>
  <c r="AD247" i="1"/>
  <c r="AZ247" i="1"/>
  <c r="AZ251" i="1"/>
  <c r="AK252" i="1"/>
  <c r="BG252" i="1"/>
  <c r="BM236" i="1"/>
  <c r="AQ253" i="1"/>
  <c r="Z254" i="1"/>
  <c r="AV254" i="1"/>
  <c r="AE255" i="1"/>
  <c r="BA255" i="1"/>
  <c r="AH256" i="1"/>
  <c r="V259" i="1"/>
  <c r="AR259" i="1"/>
  <c r="AI260" i="1"/>
  <c r="BE260" i="1"/>
  <c r="AK331" i="1"/>
  <c r="BG295" i="1"/>
  <c r="BG37" i="1" s="1"/>
  <c r="BG299" i="1"/>
  <c r="BM140" i="1"/>
  <c r="BL149" i="1"/>
  <c r="F167" i="1"/>
  <c r="L165" i="1"/>
  <c r="E167" i="1"/>
  <c r="Z184" i="1"/>
  <c r="J179" i="1"/>
  <c r="CC231" i="1"/>
  <c r="L300" i="1"/>
  <c r="L332" i="1" s="1"/>
  <c r="CF231" i="1"/>
  <c r="C303" i="1"/>
  <c r="C335" i="1" s="1"/>
  <c r="I304" i="1"/>
  <c r="I336" i="1" s="1"/>
  <c r="I240" i="1"/>
  <c r="AE247" i="1"/>
  <c r="AE263" i="1" s="1"/>
  <c r="BA247" i="1"/>
  <c r="BA263" i="1" s="1"/>
  <c r="BA251" i="1"/>
  <c r="AR253" i="1"/>
  <c r="AA254" i="1"/>
  <c r="AW254" i="1"/>
  <c r="AF255" i="1"/>
  <c r="BB255" i="1"/>
  <c r="AQ257" i="1"/>
  <c r="AE262" i="1"/>
  <c r="BA262" i="1"/>
  <c r="BA310" i="1"/>
  <c r="BA342" i="1" s="1"/>
  <c r="BB295" i="1"/>
  <c r="BB37" i="1" s="1"/>
  <c r="BB40" i="1" s="1"/>
  <c r="AL331" i="1"/>
  <c r="BF306" i="1"/>
  <c r="BF338" i="1" s="1"/>
  <c r="BN140" i="1"/>
  <c r="BO140" i="1" s="1"/>
  <c r="BM149" i="1"/>
  <c r="AA184" i="1"/>
  <c r="CG231" i="1"/>
  <c r="D303" i="1"/>
  <c r="D335" i="1" s="1"/>
  <c r="G308" i="1"/>
  <c r="G340" i="1" s="1"/>
  <c r="BB251" i="1"/>
  <c r="AS253" i="1"/>
  <c r="AX254" i="1"/>
  <c r="AJ256" i="1"/>
  <c r="BF256" i="1"/>
  <c r="BL240" i="1"/>
  <c r="BK240" i="1"/>
  <c r="BJ240" i="1"/>
  <c r="AR257" i="1"/>
  <c r="AK260" i="1"/>
  <c r="AF262" i="1"/>
  <c r="BB262" i="1"/>
  <c r="AF310" i="1"/>
  <c r="AF342" i="1" s="1"/>
  <c r="AG295" i="1"/>
  <c r="AG37" i="1" s="1"/>
  <c r="BC295" i="1"/>
  <c r="BC37" i="1" s="1"/>
  <c r="BC40" i="1" s="1"/>
  <c r="BB310" i="1"/>
  <c r="BB342" i="1" s="1"/>
  <c r="AM331" i="1"/>
  <c r="I164" i="1"/>
  <c r="E166" i="1"/>
  <c r="P167" i="1"/>
  <c r="AB184" i="1"/>
  <c r="CE231" i="1"/>
  <c r="E303" i="1"/>
  <c r="E335" i="1" s="1"/>
  <c r="BC247" i="1"/>
  <c r="BC251" i="1"/>
  <c r="AY254" i="1"/>
  <c r="AH258" i="1"/>
  <c r="BJ242" i="1"/>
  <c r="BD258" i="1"/>
  <c r="AL260" i="1"/>
  <c r="BH260" i="1"/>
  <c r="AG262" i="1"/>
  <c r="BH302" i="1"/>
  <c r="BH334" i="1" s="1"/>
  <c r="R333" i="1"/>
  <c r="R343" i="1" s="1"/>
  <c r="R36" i="1" s="1"/>
  <c r="R311" i="1"/>
  <c r="L240" i="1"/>
  <c r="J241" i="1"/>
  <c r="H242" i="1"/>
  <c r="G307" i="1"/>
  <c r="G339" i="1" s="1"/>
  <c r="G243" i="1"/>
  <c r="F308" i="1"/>
  <c r="F340" i="1" s="1"/>
  <c r="E309" i="1"/>
  <c r="E341" i="1" s="1"/>
  <c r="E245" i="1"/>
  <c r="E261" i="1" s="1"/>
  <c r="D310" i="1"/>
  <c r="D342" i="1" s="1"/>
  <c r="D246" i="1"/>
  <c r="D262" i="1" s="1"/>
  <c r="BD247" i="1"/>
  <c r="BD263" i="1" s="1"/>
  <c r="AN251" i="1"/>
  <c r="BH252" i="1"/>
  <c r="AJ253" i="1"/>
  <c r="BK238" i="1"/>
  <c r="AI256" i="1"/>
  <c r="U259" i="1"/>
  <c r="AQ259" i="1"/>
  <c r="AD262" i="1"/>
  <c r="AZ262" i="1"/>
  <c r="H263" i="1"/>
  <c r="BP267" i="1"/>
  <c r="AP295" i="1"/>
  <c r="AP37" i="1" s="1"/>
  <c r="AP34" i="1" s="1"/>
  <c r="AO310" i="1"/>
  <c r="AO342" i="1" s="1"/>
  <c r="AN311" i="1"/>
  <c r="F299" i="1"/>
  <c r="C300" i="1"/>
  <c r="C332" i="1" s="1"/>
  <c r="J242" i="1"/>
  <c r="I307" i="1"/>
  <c r="I339" i="1" s="1"/>
  <c r="I243" i="1"/>
  <c r="H244" i="1"/>
  <c r="G245" i="1"/>
  <c r="F310" i="1"/>
  <c r="F342" i="1" s="1"/>
  <c r="G230" i="1"/>
  <c r="J229" i="1"/>
  <c r="C224" i="1"/>
  <c r="D227" i="1"/>
  <c r="T251" i="1"/>
  <c r="AP251" i="1"/>
  <c r="AK256" i="1"/>
  <c r="BG256" i="1"/>
  <c r="W259" i="1"/>
  <c r="AS259" i="1"/>
  <c r="Z260" i="1"/>
  <c r="BR272" i="1"/>
  <c r="BR270" i="1"/>
  <c r="AQ310" i="1"/>
  <c r="AQ342" i="1" s="1"/>
  <c r="AQ343" i="1" s="1"/>
  <c r="AQ36" i="1" s="1"/>
  <c r="AR295" i="1"/>
  <c r="AR37" i="1" s="1"/>
  <c r="AR34" i="1" s="1"/>
  <c r="AP331" i="1"/>
  <c r="G299" i="1"/>
  <c r="J227" i="1"/>
  <c r="I228" i="1"/>
  <c r="H229" i="1"/>
  <c r="H245" i="1" s="1"/>
  <c r="H230" i="1"/>
  <c r="O247" i="1"/>
  <c r="O263" i="1" s="1"/>
  <c r="AK247" i="1"/>
  <c r="BG247" i="1"/>
  <c r="BG263" i="1" s="1"/>
  <c r="U251" i="1"/>
  <c r="AQ251" i="1"/>
  <c r="AM253" i="1"/>
  <c r="BI253" i="1"/>
  <c r="BG255" i="1"/>
  <c r="AL256" i="1"/>
  <c r="BH256" i="1"/>
  <c r="X259" i="1"/>
  <c r="AT259" i="1"/>
  <c r="AA260" i="1"/>
  <c r="AW260" i="1"/>
  <c r="AD261" i="1"/>
  <c r="AZ261" i="1"/>
  <c r="BC262" i="1"/>
  <c r="K263" i="1"/>
  <c r="AS295" i="1"/>
  <c r="AS37" i="1" s="1"/>
  <c r="AS34" i="1" s="1"/>
  <c r="AR310" i="1"/>
  <c r="AR342" i="1" s="1"/>
  <c r="AR343" i="1" s="1"/>
  <c r="AR36" i="1" s="1"/>
  <c r="H293" i="1"/>
  <c r="H308" i="1" s="1"/>
  <c r="H340" i="1" s="1"/>
  <c r="K291" i="1"/>
  <c r="K306" i="1" s="1"/>
  <c r="K338" i="1" s="1"/>
  <c r="O290" i="1"/>
  <c r="O305" i="1" s="1"/>
  <c r="O337" i="1" s="1"/>
  <c r="I286" i="1"/>
  <c r="N285" i="1"/>
  <c r="N300" i="1" s="1"/>
  <c r="N332" i="1" s="1"/>
  <c r="C283" i="1"/>
  <c r="L285" i="1"/>
  <c r="F293" i="1"/>
  <c r="I291" i="1"/>
  <c r="I306" i="1" s="1"/>
  <c r="I338" i="1" s="1"/>
  <c r="L290" i="1"/>
  <c r="Q289" i="1"/>
  <c r="Q304" i="1" s="1"/>
  <c r="Q336" i="1" s="1"/>
  <c r="G286" i="1"/>
  <c r="K285" i="1"/>
  <c r="E293" i="1"/>
  <c r="E308" i="1" s="1"/>
  <c r="E340" i="1" s="1"/>
  <c r="H291" i="1"/>
  <c r="H306" i="1" s="1"/>
  <c r="H338" i="1" s="1"/>
  <c r="K290" i="1"/>
  <c r="K305" i="1" s="1"/>
  <c r="K337" i="1" s="1"/>
  <c r="P289" i="1"/>
  <c r="P304" i="1" s="1"/>
  <c r="P336" i="1" s="1"/>
  <c r="J285" i="1"/>
  <c r="Q284" i="1"/>
  <c r="Q299" i="1" s="1"/>
  <c r="G290" i="1"/>
  <c r="G305" i="1" s="1"/>
  <c r="G337" i="1" s="1"/>
  <c r="N289" i="1"/>
  <c r="N304" i="1" s="1"/>
  <c r="N336" i="1" s="1"/>
  <c r="G285" i="1"/>
  <c r="O284" i="1"/>
  <c r="O299" i="1" s="1"/>
  <c r="F290" i="1"/>
  <c r="F305" i="1" s="1"/>
  <c r="F337" i="1" s="1"/>
  <c r="M289" i="1"/>
  <c r="M304" i="1" s="1"/>
  <c r="M336" i="1" s="1"/>
  <c r="F285" i="1"/>
  <c r="N284" i="1"/>
  <c r="N299" i="1" s="1"/>
  <c r="E290" i="1"/>
  <c r="E305" i="1" s="1"/>
  <c r="E337" i="1" s="1"/>
  <c r="L289" i="1"/>
  <c r="Q288" i="1"/>
  <c r="Q303" i="1" s="1"/>
  <c r="Q335" i="1" s="1"/>
  <c r="D290" i="1"/>
  <c r="F289" i="1"/>
  <c r="F304" i="1" s="1"/>
  <c r="F336" i="1" s="1"/>
  <c r="P288" i="1"/>
  <c r="P303" i="1" s="1"/>
  <c r="P335" i="1" s="1"/>
  <c r="C290" i="1"/>
  <c r="D289" i="1"/>
  <c r="D304" i="1" s="1"/>
  <c r="D336" i="1" s="1"/>
  <c r="O288" i="1"/>
  <c r="O303" i="1" s="1"/>
  <c r="O335" i="1" s="1"/>
  <c r="C285" i="1"/>
  <c r="H219" i="1"/>
  <c r="CA231" i="1"/>
  <c r="E220" i="1"/>
  <c r="L226" i="1"/>
  <c r="L242" i="1" s="1"/>
  <c r="K227" i="1"/>
  <c r="J228" i="1"/>
  <c r="I229" i="1"/>
  <c r="I230" i="1"/>
  <c r="P247" i="1"/>
  <c r="P263" i="1" s="1"/>
  <c r="AL247" i="1"/>
  <c r="AL263" i="1" s="1"/>
  <c r="BH247" i="1"/>
  <c r="BH263" i="1" s="1"/>
  <c r="V251" i="1"/>
  <c r="AN253" i="1"/>
  <c r="AM256" i="1"/>
  <c r="BI256" i="1"/>
  <c r="AU259" i="1"/>
  <c r="AB260" i="1"/>
  <c r="AX260" i="1"/>
  <c r="BD262" i="1"/>
  <c r="L263" i="1"/>
  <c r="H283" i="1"/>
  <c r="AT295" i="1"/>
  <c r="AT37" i="1" s="1"/>
  <c r="AT34" i="1" s="1"/>
  <c r="AS310" i="1"/>
  <c r="AS342" i="1" s="1"/>
  <c r="AS343" i="1" s="1"/>
  <c r="AS36" i="1" s="1"/>
  <c r="L286" i="1"/>
  <c r="J287" i="1"/>
  <c r="J302" i="1" s="1"/>
  <c r="J334" i="1" s="1"/>
  <c r="K288" i="1"/>
  <c r="K303" i="1" s="1"/>
  <c r="K335" i="1" s="1"/>
  <c r="I292" i="1"/>
  <c r="BF308" i="1"/>
  <c r="BF340" i="1" s="1"/>
  <c r="BF305" i="1"/>
  <c r="BF337" i="1" s="1"/>
  <c r="S343" i="1"/>
  <c r="S36" i="1" s="1"/>
  <c r="I219" i="1"/>
  <c r="F220" i="1"/>
  <c r="C221" i="1"/>
  <c r="L227" i="1"/>
  <c r="L243" i="1" s="1"/>
  <c r="K228" i="1"/>
  <c r="K229" i="1"/>
  <c r="J230" i="1"/>
  <c r="Q247" i="1"/>
  <c r="Q263" i="1" s="1"/>
  <c r="AM247" i="1"/>
  <c r="W251" i="1"/>
  <c r="AO253" i="1"/>
  <c r="T257" i="1"/>
  <c r="BE262" i="1"/>
  <c r="I283" i="1"/>
  <c r="AT310" i="1"/>
  <c r="AT342" i="1" s="1"/>
  <c r="AT343" i="1" s="1"/>
  <c r="AT36" i="1" s="1"/>
  <c r="AU295" i="1"/>
  <c r="AU37" i="1" s="1"/>
  <c r="AU34" i="1" s="1"/>
  <c r="AU312" i="1" s="1"/>
  <c r="M286" i="1"/>
  <c r="M301" i="1" s="1"/>
  <c r="M333" i="1" s="1"/>
  <c r="K287" i="1"/>
  <c r="L288" i="1"/>
  <c r="L303" i="1" s="1"/>
  <c r="L335" i="1" s="1"/>
  <c r="K292" i="1"/>
  <c r="BG305" i="1"/>
  <c r="BG337" i="1" s="1"/>
  <c r="L308" i="1"/>
  <c r="L340" i="1" s="1"/>
  <c r="L309" i="1"/>
  <c r="L341" i="1" s="1"/>
  <c r="R247" i="1"/>
  <c r="R263" i="1" s="1"/>
  <c r="AN247" i="1"/>
  <c r="AN263" i="1" s="1"/>
  <c r="AG261" i="1"/>
  <c r="BC261" i="1"/>
  <c r="BL246" i="1"/>
  <c r="BF262" i="1"/>
  <c r="N247" i="1"/>
  <c r="N263" i="1" s="1"/>
  <c r="AU310" i="1"/>
  <c r="AU342" i="1" s="1"/>
  <c r="AV295" i="1"/>
  <c r="AV37" i="1" s="1"/>
  <c r="AV34" i="1" s="1"/>
  <c r="AV312" i="1" s="1"/>
  <c r="Q292" i="1"/>
  <c r="Q307" i="1" s="1"/>
  <c r="Q339" i="1" s="1"/>
  <c r="W331" i="1"/>
  <c r="W343" i="1" s="1"/>
  <c r="W36" i="1" s="1"/>
  <c r="W311" i="1"/>
  <c r="BH305" i="1"/>
  <c r="BH337" i="1" s="1"/>
  <c r="AP256" i="1"/>
  <c r="AH261" i="1"/>
  <c r="BD261" i="1"/>
  <c r="AU331" i="1"/>
  <c r="BE304" i="1"/>
  <c r="BE336" i="1" s="1"/>
  <c r="AV251" i="1"/>
  <c r="X252" i="1"/>
  <c r="U254" i="1"/>
  <c r="AQ254" i="1"/>
  <c r="T255" i="1"/>
  <c r="AP255" i="1"/>
  <c r="BL255" i="1"/>
  <c r="AQ256" i="1"/>
  <c r="AI261" i="1"/>
  <c r="BE261" i="1"/>
  <c r="AW310" i="1"/>
  <c r="AW342" i="1" s="1"/>
  <c r="AX295" i="1"/>
  <c r="AX37" i="1" s="1"/>
  <c r="AX40" i="1" s="1"/>
  <c r="AV311" i="1"/>
  <c r="AV331" i="1"/>
  <c r="AV343" i="1" s="1"/>
  <c r="AV36" i="1" s="1"/>
  <c r="AV344" i="1" s="1"/>
  <c r="D294" i="1"/>
  <c r="Y311" i="1"/>
  <c r="Y331" i="1"/>
  <c r="Y343" i="1" s="1"/>
  <c r="Y36" i="1" s="1"/>
  <c r="J220" i="1"/>
  <c r="J236" i="1" s="1"/>
  <c r="G221" i="1"/>
  <c r="D222" i="1"/>
  <c r="AW251" i="1"/>
  <c r="Y252" i="1"/>
  <c r="V254" i="1"/>
  <c r="U255" i="1"/>
  <c r="AQ255" i="1"/>
  <c r="BM239" i="1"/>
  <c r="AR256" i="1"/>
  <c r="X257" i="1"/>
  <c r="AT257" i="1"/>
  <c r="AA258" i="1"/>
  <c r="AW258" i="1"/>
  <c r="AJ261" i="1"/>
  <c r="BF261" i="1"/>
  <c r="BI246" i="1"/>
  <c r="N283" i="1"/>
  <c r="M310" i="1" s="1"/>
  <c r="M342" i="1" s="1"/>
  <c r="AX310" i="1"/>
  <c r="AX342" i="1" s="1"/>
  <c r="AY295" i="1"/>
  <c r="AY37" i="1" s="1"/>
  <c r="AY40" i="1" s="1"/>
  <c r="F284" i="1"/>
  <c r="AW331" i="1"/>
  <c r="H285" i="1"/>
  <c r="H300" i="1" s="1"/>
  <c r="H332" i="1" s="1"/>
  <c r="Q286" i="1"/>
  <c r="Q301" i="1" s="1"/>
  <c r="Q333" i="1" s="1"/>
  <c r="G291" i="1"/>
  <c r="G306" i="1" s="1"/>
  <c r="G338" i="1" s="1"/>
  <c r="G294" i="1"/>
  <c r="G309" i="1" s="1"/>
  <c r="G341" i="1" s="1"/>
  <c r="K220" i="1"/>
  <c r="H221" i="1"/>
  <c r="E222" i="1"/>
  <c r="D235" i="1"/>
  <c r="V255" i="1"/>
  <c r="AR255" i="1"/>
  <c r="AB258" i="1"/>
  <c r="AX258" i="1"/>
  <c r="AK261" i="1"/>
  <c r="BJ246" i="1"/>
  <c r="O283" i="1"/>
  <c r="N310" i="1" s="1"/>
  <c r="N342" i="1" s="1"/>
  <c r="AY310" i="1"/>
  <c r="AY342" i="1" s="1"/>
  <c r="AZ295" i="1"/>
  <c r="AZ37" i="1" s="1"/>
  <c r="AZ40" i="1" s="1"/>
  <c r="K284" i="1"/>
  <c r="K299" i="1" s="1"/>
  <c r="AX331" i="1"/>
  <c r="O285" i="1"/>
  <c r="O300" i="1" s="1"/>
  <c r="O332" i="1" s="1"/>
  <c r="BH304" i="1"/>
  <c r="BH336" i="1" s="1"/>
  <c r="L291" i="1"/>
  <c r="H294" i="1"/>
  <c r="AA311" i="1"/>
  <c r="AA331" i="1"/>
  <c r="AA343" i="1" s="1"/>
  <c r="AA36" i="1" s="1"/>
  <c r="BT327" i="1"/>
  <c r="BT35" i="1" s="1"/>
  <c r="BG307" i="1"/>
  <c r="BG339" i="1" s="1"/>
  <c r="AG311" i="1"/>
  <c r="E306" i="1"/>
  <c r="E338" i="1" s="1"/>
  <c r="BD302" i="1"/>
  <c r="BD334" i="1" s="1"/>
  <c r="X311" i="1"/>
  <c r="BE302" i="1"/>
  <c r="BE334" i="1" s="1"/>
  <c r="Z258" i="1"/>
  <c r="AV258" i="1"/>
  <c r="BJ269" i="1"/>
  <c r="BJ276" i="1"/>
  <c r="BJ267" i="1"/>
  <c r="BS267" i="1" s="1"/>
  <c r="AW336" i="1"/>
  <c r="BK378" i="1"/>
  <c r="BK269" i="1"/>
  <c r="H301" i="1"/>
  <c r="H333" i="1" s="1"/>
  <c r="BV374" i="1"/>
  <c r="AY331" i="1"/>
  <c r="BW374" i="1"/>
  <c r="AK310" i="1"/>
  <c r="AK342" i="1" s="1"/>
  <c r="AL295" i="1"/>
  <c r="AL37" i="1" s="1"/>
  <c r="AL34" i="1" s="1"/>
  <c r="BG310" i="1"/>
  <c r="BG342" i="1" s="1"/>
  <c r="BH295" i="1"/>
  <c r="BH37" i="1" s="1"/>
  <c r="BH34" i="1" s="1"/>
  <c r="J301" i="1"/>
  <c r="J333" i="1" s="1"/>
  <c r="AE257" i="1"/>
  <c r="BA257" i="1"/>
  <c r="C263" i="1"/>
  <c r="AL310" i="1"/>
  <c r="AL342" i="1" s="1"/>
  <c r="AM295" i="1"/>
  <c r="AM37" i="1" s="1"/>
  <c r="AM34" i="1" s="1"/>
  <c r="N293" i="1"/>
  <c r="N308" i="1" s="1"/>
  <c r="N340" i="1" s="1"/>
  <c r="F292" i="1"/>
  <c r="M293" i="1"/>
  <c r="M308" i="1" s="1"/>
  <c r="M340" i="1" s="1"/>
  <c r="E292" i="1"/>
  <c r="E307" i="1" s="1"/>
  <c r="E339" i="1" s="1"/>
  <c r="P294" i="1"/>
  <c r="P309" i="1" s="1"/>
  <c r="P341" i="1" s="1"/>
  <c r="D293" i="1"/>
  <c r="D308" i="1" s="1"/>
  <c r="D340" i="1" s="1"/>
  <c r="P292" i="1"/>
  <c r="P307" i="1" s="1"/>
  <c r="P339" i="1" s="1"/>
  <c r="F291" i="1"/>
  <c r="F306" i="1" s="1"/>
  <c r="F338" i="1" s="1"/>
  <c r="K289" i="1"/>
  <c r="K304" i="1" s="1"/>
  <c r="K336" i="1" s="1"/>
  <c r="O287" i="1"/>
  <c r="O302" i="1" s="1"/>
  <c r="O334" i="1" s="1"/>
  <c r="F286" i="1"/>
  <c r="F301" i="1" s="1"/>
  <c r="F333" i="1" s="1"/>
  <c r="J284" i="1"/>
  <c r="J299" i="1" s="1"/>
  <c r="O294" i="1"/>
  <c r="O309" i="1" s="1"/>
  <c r="O341" i="1" s="1"/>
  <c r="C293" i="1"/>
  <c r="O292" i="1"/>
  <c r="O307" i="1" s="1"/>
  <c r="O339" i="1" s="1"/>
  <c r="E291" i="1"/>
  <c r="J289" i="1"/>
  <c r="N287" i="1"/>
  <c r="N302" i="1" s="1"/>
  <c r="N334" i="1" s="1"/>
  <c r="E286" i="1"/>
  <c r="E301" i="1" s="1"/>
  <c r="E333" i="1" s="1"/>
  <c r="I284" i="1"/>
  <c r="N294" i="1"/>
  <c r="N309" i="1" s="1"/>
  <c r="N341" i="1" s="1"/>
  <c r="N292" i="1"/>
  <c r="N307" i="1" s="1"/>
  <c r="N339" i="1" s="1"/>
  <c r="D291" i="1"/>
  <c r="D306" i="1" s="1"/>
  <c r="D338" i="1" s="1"/>
  <c r="I289" i="1"/>
  <c r="M287" i="1"/>
  <c r="M302" i="1" s="1"/>
  <c r="M334" i="1" s="1"/>
  <c r="D286" i="1"/>
  <c r="D301" i="1" s="1"/>
  <c r="D333" i="1" s="1"/>
  <c r="Q285" i="1"/>
  <c r="Q300" i="1" s="1"/>
  <c r="Q332" i="1" s="1"/>
  <c r="H284" i="1"/>
  <c r="M294" i="1"/>
  <c r="M309" i="1" s="1"/>
  <c r="M341" i="1" s="1"/>
  <c r="M292" i="1"/>
  <c r="M307" i="1" s="1"/>
  <c r="M339" i="1" s="1"/>
  <c r="C291" i="1"/>
  <c r="C306" i="1" s="1"/>
  <c r="C338" i="1" s="1"/>
  <c r="Q290" i="1"/>
  <c r="Q305" i="1" s="1"/>
  <c r="Q337" i="1" s="1"/>
  <c r="H289" i="1"/>
  <c r="H304" i="1" s="1"/>
  <c r="H336" i="1" s="1"/>
  <c r="L287" i="1"/>
  <c r="L302" i="1" s="1"/>
  <c r="L334" i="1" s="1"/>
  <c r="C286" i="1"/>
  <c r="P285" i="1"/>
  <c r="P300" i="1" s="1"/>
  <c r="P332" i="1" s="1"/>
  <c r="G284" i="1"/>
  <c r="L294" i="1"/>
  <c r="L292" i="1"/>
  <c r="P290" i="1"/>
  <c r="P305" i="1" s="1"/>
  <c r="P337" i="1" s="1"/>
  <c r="G289" i="1"/>
  <c r="J294" i="1"/>
  <c r="J292" i="1"/>
  <c r="N290" i="1"/>
  <c r="N305" i="1" s="1"/>
  <c r="N337" i="1" s="1"/>
  <c r="E289" i="1"/>
  <c r="E304" i="1" s="1"/>
  <c r="E336" i="1" s="1"/>
  <c r="I287" i="1"/>
  <c r="M285" i="1"/>
  <c r="M300" i="1" s="1"/>
  <c r="M332" i="1" s="1"/>
  <c r="D284" i="1"/>
  <c r="D299" i="1" s="1"/>
  <c r="Q283" i="1"/>
  <c r="P310" i="1" s="1"/>
  <c r="P342" i="1" s="1"/>
  <c r="I294" i="1"/>
  <c r="F294" i="1"/>
  <c r="F309" i="1" s="1"/>
  <c r="F341" i="1" s="1"/>
  <c r="D292" i="1"/>
  <c r="J290" i="1"/>
  <c r="J305" i="1" s="1"/>
  <c r="J337" i="1" s="1"/>
  <c r="N288" i="1"/>
  <c r="N303" i="1" s="1"/>
  <c r="N335" i="1" s="1"/>
  <c r="E287" i="1"/>
  <c r="I285" i="1"/>
  <c r="I300" i="1" s="1"/>
  <c r="I332" i="1" s="1"/>
  <c r="M283" i="1"/>
  <c r="E294" i="1"/>
  <c r="Q293" i="1"/>
  <c r="Q308" i="1" s="1"/>
  <c r="Q340" i="1" s="1"/>
  <c r="C292" i="1"/>
  <c r="Q291" i="1"/>
  <c r="Q306" i="1" s="1"/>
  <c r="Q338" i="1" s="1"/>
  <c r="I290" i="1"/>
  <c r="I305" i="1" s="1"/>
  <c r="I337" i="1" s="1"/>
  <c r="M288" i="1"/>
  <c r="M303" i="1" s="1"/>
  <c r="M335" i="1" s="1"/>
  <c r="D287" i="1"/>
  <c r="BA299" i="1"/>
  <c r="K301" i="1"/>
  <c r="K333" i="1" s="1"/>
  <c r="BD407" i="1"/>
  <c r="BI387" i="1"/>
  <c r="AF257" i="1"/>
  <c r="BB257" i="1"/>
  <c r="D263" i="1"/>
  <c r="BO274" i="1"/>
  <c r="BO270" i="1"/>
  <c r="AM310" i="1"/>
  <c r="AM342" i="1" s="1"/>
  <c r="AN295" i="1"/>
  <c r="AN37" i="1" s="1"/>
  <c r="AN34" i="1" s="1"/>
  <c r="M290" i="1"/>
  <c r="M305" i="1" s="1"/>
  <c r="M337" i="1" s="1"/>
  <c r="J291" i="1"/>
  <c r="J306" i="1" s="1"/>
  <c r="J338" i="1" s="1"/>
  <c r="G293" i="1"/>
  <c r="BK327" i="1"/>
  <c r="BK35" i="1" s="1"/>
  <c r="BJ386" i="1"/>
  <c r="BJ384" i="1"/>
  <c r="BJ382" i="1"/>
  <c r="BJ381" i="1"/>
  <c r="BJ383" i="1"/>
  <c r="BJ380" i="1"/>
  <c r="BJ385" i="1"/>
  <c r="BJ379" i="1"/>
  <c r="AG257" i="1"/>
  <c r="BC257" i="1"/>
  <c r="AB262" i="1"/>
  <c r="AX262" i="1"/>
  <c r="BP274" i="1"/>
  <c r="BP272" i="1"/>
  <c r="BP277" i="1"/>
  <c r="BP275" i="1"/>
  <c r="AH295" i="1"/>
  <c r="AH37" i="1" s="1"/>
  <c r="AH299" i="1"/>
  <c r="BD295" i="1"/>
  <c r="T343" i="1"/>
  <c r="T36" i="1" s="1"/>
  <c r="AG331" i="1"/>
  <c r="AG343" i="1" s="1"/>
  <c r="AG36" i="1" s="1"/>
  <c r="BF466" i="1"/>
  <c r="BF478" i="1" s="1"/>
  <c r="BF462" i="1"/>
  <c r="AD311" i="1"/>
  <c r="AD331" i="1"/>
  <c r="AD343" i="1" s="1"/>
  <c r="AD36" i="1" s="1"/>
  <c r="AN331" i="1"/>
  <c r="AN343" i="1" s="1"/>
  <c r="AN36" i="1" s="1"/>
  <c r="C308" i="1"/>
  <c r="C340" i="1" s="1"/>
  <c r="AW295" i="1"/>
  <c r="AW37" i="1" s="1"/>
  <c r="AW34" i="1" s="1"/>
  <c r="AW312" i="1" s="1"/>
  <c r="AE311" i="1"/>
  <c r="AE331" i="1"/>
  <c r="AE343" i="1" s="1"/>
  <c r="AE36" i="1" s="1"/>
  <c r="BE327" i="1"/>
  <c r="BE35" i="1" s="1"/>
  <c r="L306" i="1"/>
  <c r="L338" i="1" s="1"/>
  <c r="M46" i="4"/>
  <c r="M40" i="4"/>
  <c r="BH476" i="1"/>
  <c r="BJ507" i="1"/>
  <c r="AW334" i="1"/>
  <c r="BA471" i="1"/>
  <c r="BA478" i="1" s="1"/>
  <c r="BA462" i="1"/>
  <c r="C34" i="2"/>
  <c r="C4" i="2" s="1"/>
  <c r="C6" i="2" s="1"/>
  <c r="C73" i="2"/>
  <c r="BE468" i="1"/>
  <c r="BE478" i="1" s="1"/>
  <c r="BE462" i="1"/>
  <c r="BB471" i="1"/>
  <c r="BB478" i="1" s="1"/>
  <c r="BB462" i="1"/>
  <c r="BJ503" i="1"/>
  <c r="BH472" i="1"/>
  <c r="AZ462" i="1"/>
  <c r="BG338" i="1"/>
  <c r="BE335" i="1"/>
  <c r="AK295" i="1"/>
  <c r="AK37" i="1" s="1"/>
  <c r="AK34" i="1" s="1"/>
  <c r="E71" i="2"/>
  <c r="E34" i="2"/>
  <c r="E4" i="2" s="1"/>
  <c r="E6" i="2" s="1"/>
  <c r="BF335" i="1"/>
  <c r="BL395" i="1"/>
  <c r="BO395" i="1" s="1"/>
  <c r="BM395" i="1"/>
  <c r="BN395" i="1" s="1"/>
  <c r="BL267" i="1"/>
  <c r="BK395" i="1"/>
  <c r="Z311" i="1"/>
  <c r="Z332" i="1"/>
  <c r="Z343" i="1" s="1"/>
  <c r="Z36" i="1" s="1"/>
  <c r="E310" i="1"/>
  <c r="E342" i="1" s="1"/>
  <c r="BF407" i="1"/>
  <c r="BI404" i="1"/>
  <c r="BI372" i="1" s="1"/>
  <c r="BJ399" i="1"/>
  <c r="N43" i="4"/>
  <c r="N45" i="4"/>
  <c r="AX478" i="1"/>
  <c r="BD462" i="1"/>
  <c r="BI468" i="1"/>
  <c r="BI478" i="1" s="1"/>
  <c r="BI462" i="1"/>
  <c r="BH475" i="1"/>
  <c r="BJ506" i="1"/>
  <c r="I6" i="2"/>
  <c r="BU327" i="1"/>
  <c r="BU35" i="1" s="1"/>
  <c r="X343" i="1"/>
  <c r="X36" i="1" s="1"/>
  <c r="J304" i="1"/>
  <c r="J336" i="1" s="1"/>
  <c r="BC462" i="1"/>
  <c r="AS327" i="1"/>
  <c r="AS35" i="1" s="1"/>
  <c r="L304" i="1"/>
  <c r="L336" i="1" s="1"/>
  <c r="BJ394" i="1"/>
  <c r="BJ362" i="1" s="1"/>
  <c r="L62" i="4"/>
  <c r="AV327" i="1"/>
  <c r="AV35" i="1" s="1"/>
  <c r="AW340" i="1"/>
  <c r="AW327" i="1"/>
  <c r="AW35" i="1" s="1"/>
  <c r="BC478" i="1"/>
  <c r="AX407" i="1"/>
  <c r="AY407" i="1"/>
  <c r="AP418" i="1"/>
  <c r="AP423" i="1" s="1"/>
  <c r="BB407" i="1"/>
  <c r="BG504" i="1"/>
  <c r="G34" i="3"/>
  <c r="G4" i="3" s="1"/>
  <c r="G6" i="3" s="1"/>
  <c r="G14" i="3" s="1"/>
  <c r="H307" i="1"/>
  <c r="H339" i="1" s="1"/>
  <c r="BJ478" i="1"/>
  <c r="Q38" i="3"/>
  <c r="Q49" i="3" s="1"/>
  <c r="P38" i="3"/>
  <c r="P49" i="3" s="1"/>
  <c r="O38" i="3"/>
  <c r="O49" i="3" s="1"/>
  <c r="N38" i="3"/>
  <c r="N49" i="3" s="1"/>
  <c r="M38" i="3"/>
  <c r="L310" i="1"/>
  <c r="L342" i="1" s="1"/>
  <c r="BJ400" i="1"/>
  <c r="BI402" i="1"/>
  <c r="BJ396" i="1"/>
  <c r="BE407" i="1"/>
  <c r="BI401" i="1"/>
  <c r="BI403" i="1"/>
  <c r="BJ398" i="1"/>
  <c r="O42" i="3"/>
  <c r="N42" i="3"/>
  <c r="M42" i="3"/>
  <c r="S42" i="3" s="1"/>
  <c r="L42" i="3"/>
  <c r="R42" i="3" s="1"/>
  <c r="P42" i="3"/>
  <c r="AZ494" i="1"/>
  <c r="P64" i="3"/>
  <c r="N64" i="3"/>
  <c r="M64" i="3"/>
  <c r="BA494" i="1"/>
  <c r="BJ498" i="1"/>
  <c r="P47" i="3"/>
  <c r="O47" i="3"/>
  <c r="N47" i="3"/>
  <c r="M47" i="3"/>
  <c r="S47" i="3" s="1"/>
  <c r="L47" i="3"/>
  <c r="BB494" i="1"/>
  <c r="BG499" i="1"/>
  <c r="G67" i="2"/>
  <c r="L64" i="3"/>
  <c r="AY478" i="1"/>
  <c r="BH462" i="1"/>
  <c r="BC494" i="1"/>
  <c r="BG500" i="1"/>
  <c r="H67" i="2"/>
  <c r="D34" i="3"/>
  <c r="D4" i="3" s="1"/>
  <c r="D6" i="3" s="1"/>
  <c r="D14" i="3" s="1"/>
  <c r="R39" i="3"/>
  <c r="R47" i="3"/>
  <c r="O64" i="3"/>
  <c r="BH468" i="1"/>
  <c r="BJ462" i="1"/>
  <c r="AZ478" i="1"/>
  <c r="BE494" i="1"/>
  <c r="F34" i="2"/>
  <c r="F4" i="2" s="1"/>
  <c r="F70" i="2"/>
  <c r="F82" i="2" s="1"/>
  <c r="G34" i="2"/>
  <c r="G4" i="2" s="1"/>
  <c r="G6" i="2" s="1"/>
  <c r="G70" i="2"/>
  <c r="G82" i="2" s="1"/>
  <c r="R54" i="3"/>
  <c r="R65" i="3" s="1"/>
  <c r="J41" i="4"/>
  <c r="J43" i="4"/>
  <c r="M43" i="4" s="1"/>
  <c r="J45" i="4"/>
  <c r="M45" i="4" s="1"/>
  <c r="J46" i="4"/>
  <c r="N46" i="4" s="1"/>
  <c r="J42" i="4"/>
  <c r="J44" i="4"/>
  <c r="J48" i="4"/>
  <c r="M48" i="4" s="1"/>
  <c r="J47" i="4"/>
  <c r="M47" i="4" s="1"/>
  <c r="B73" i="3"/>
  <c r="B34" i="3"/>
  <c r="B4" i="3" s="1"/>
  <c r="B6" i="3" s="1"/>
  <c r="B14" i="3" s="1"/>
  <c r="K44" i="4"/>
  <c r="K46" i="4"/>
  <c r="K43" i="4"/>
  <c r="K45" i="4"/>
  <c r="K47" i="4"/>
  <c r="K38" i="4"/>
  <c r="K39" i="4"/>
  <c r="K42" i="4"/>
  <c r="K41" i="4"/>
  <c r="K49" i="4" s="1"/>
  <c r="K48" i="4"/>
  <c r="H34" i="2"/>
  <c r="H4" i="2" s="1"/>
  <c r="H6" i="2" s="1"/>
  <c r="L41" i="4"/>
  <c r="L43" i="4"/>
  <c r="L45" i="4"/>
  <c r="L38" i="4"/>
  <c r="L39" i="4"/>
  <c r="L46" i="4"/>
  <c r="L42" i="4"/>
  <c r="L40" i="4"/>
  <c r="N40" i="4" s="1"/>
  <c r="P40" i="4" s="1"/>
  <c r="S115" i="2"/>
  <c r="Q115" i="2"/>
  <c r="Q55" i="3"/>
  <c r="P55" i="3"/>
  <c r="N55" i="3"/>
  <c r="J48" i="3"/>
  <c r="J44" i="3"/>
  <c r="P44" i="3" s="1"/>
  <c r="J43" i="3"/>
  <c r="M55" i="3"/>
  <c r="T115" i="4"/>
  <c r="S115" i="4"/>
  <c r="R115" i="4"/>
  <c r="Q115" i="4"/>
  <c r="P115" i="4"/>
  <c r="O115" i="4"/>
  <c r="N115" i="4"/>
  <c r="M115" i="4"/>
  <c r="L115" i="4"/>
  <c r="K115" i="4"/>
  <c r="J115" i="4"/>
  <c r="L38" i="3"/>
  <c r="L49" i="3" s="1"/>
  <c r="L39" i="3"/>
  <c r="K39" i="3"/>
  <c r="K120" i="3"/>
  <c r="L120" i="3" s="1"/>
  <c r="BD478" i="1"/>
  <c r="BG497" i="1"/>
  <c r="L115" i="2"/>
  <c r="L23" i="3"/>
  <c r="BG508" i="1"/>
  <c r="M115" i="2"/>
  <c r="K31" i="3"/>
  <c r="J45" i="3"/>
  <c r="P61" i="3"/>
  <c r="O61" i="3"/>
  <c r="N61" i="3"/>
  <c r="M61" i="3"/>
  <c r="S61" i="3" s="1"/>
  <c r="L61" i="3"/>
  <c r="R61" i="3" s="1"/>
  <c r="M104" i="3"/>
  <c r="P104" i="3" s="1"/>
  <c r="K45" i="3"/>
  <c r="Q45" i="3" s="1"/>
  <c r="N104" i="3"/>
  <c r="B34" i="2"/>
  <c r="B4" i="2" s="1"/>
  <c r="B6" i="2" s="1"/>
  <c r="B14" i="2" s="1"/>
  <c r="B7" i="2" s="1"/>
  <c r="B70" i="2"/>
  <c r="B82" i="2" s="1"/>
  <c r="O115" i="2"/>
  <c r="K23" i="3"/>
  <c r="P115" i="2"/>
  <c r="C34" i="3"/>
  <c r="C4" i="3" s="1"/>
  <c r="C6" i="3" s="1"/>
  <c r="C14" i="3" s="1"/>
  <c r="N60" i="3"/>
  <c r="M60" i="3"/>
  <c r="S60" i="3" s="1"/>
  <c r="D67" i="4"/>
  <c r="F6" i="2"/>
  <c r="D34" i="2"/>
  <c r="D4" i="2" s="1"/>
  <c r="D6" i="2" s="1"/>
  <c r="D70" i="2"/>
  <c r="D82" i="2" s="1"/>
  <c r="R115" i="2"/>
  <c r="E34" i="3"/>
  <c r="E4" i="3" s="1"/>
  <c r="E6" i="3" s="1"/>
  <c r="E14" i="3" s="1"/>
  <c r="L60" i="3"/>
  <c r="R60" i="3" s="1"/>
  <c r="K44" i="3"/>
  <c r="K46" i="3"/>
  <c r="K41" i="3"/>
  <c r="Q41" i="3" s="1"/>
  <c r="E67" i="4"/>
  <c r="F67" i="4"/>
  <c r="K47" i="3"/>
  <c r="Q47" i="3" s="1"/>
  <c r="D67" i="3"/>
  <c r="K24" i="3"/>
  <c r="K58" i="3"/>
  <c r="Q58" i="3" s="1"/>
  <c r="K63" i="3"/>
  <c r="Q63" i="3" s="1"/>
  <c r="K57" i="3"/>
  <c r="Q57" i="3" s="1"/>
  <c r="K54" i="3"/>
  <c r="K65" i="3" s="1"/>
  <c r="K62" i="3"/>
  <c r="Q62" i="3" s="1"/>
  <c r="B34" i="4"/>
  <c r="B4" i="4" s="1"/>
  <c r="B6" i="4" s="1"/>
  <c r="B14" i="4" s="1"/>
  <c r="B70" i="4"/>
  <c r="B82" i="4" s="1"/>
  <c r="J126" i="3"/>
  <c r="K126" i="3" s="1"/>
  <c r="J113" i="3"/>
  <c r="J111" i="3"/>
  <c r="J109" i="3"/>
  <c r="J107" i="3"/>
  <c r="J105" i="3"/>
  <c r="J114" i="3" s="1"/>
  <c r="J106" i="3"/>
  <c r="J108" i="3"/>
  <c r="K29" i="3"/>
  <c r="K109" i="3"/>
  <c r="K106" i="3"/>
  <c r="K111" i="3"/>
  <c r="K108" i="3"/>
  <c r="M108" i="3" s="1"/>
  <c r="K103" i="3"/>
  <c r="K43" i="3"/>
  <c r="Q43" i="3" s="1"/>
  <c r="K49" i="3"/>
  <c r="L110" i="3"/>
  <c r="L109" i="3"/>
  <c r="L106" i="3"/>
  <c r="L111" i="3"/>
  <c r="L108" i="3"/>
  <c r="L103" i="3"/>
  <c r="M110" i="3"/>
  <c r="J63" i="3"/>
  <c r="J57" i="3"/>
  <c r="J62" i="3"/>
  <c r="J59" i="3"/>
  <c r="L57" i="4"/>
  <c r="L59" i="4"/>
  <c r="L61" i="4"/>
  <c r="L63" i="4"/>
  <c r="L54" i="4"/>
  <c r="N54" i="4" s="1"/>
  <c r="L56" i="4"/>
  <c r="L64" i="4"/>
  <c r="L60" i="4"/>
  <c r="L55" i="4"/>
  <c r="T115" i="2"/>
  <c r="M62" i="4"/>
  <c r="M64" i="4"/>
  <c r="M61" i="4"/>
  <c r="M63" i="4"/>
  <c r="M54" i="4"/>
  <c r="M60" i="4"/>
  <c r="M55" i="4"/>
  <c r="M59" i="4"/>
  <c r="H70" i="4"/>
  <c r="H82" i="4" s="1"/>
  <c r="D13" i="4"/>
  <c r="J63" i="4"/>
  <c r="D67" i="2"/>
  <c r="L56" i="3"/>
  <c r="R56" i="3" s="1"/>
  <c r="L107" i="3"/>
  <c r="N55" i="4"/>
  <c r="N58" i="4"/>
  <c r="M58" i="4"/>
  <c r="E67" i="2"/>
  <c r="J58" i="3"/>
  <c r="M107" i="3"/>
  <c r="J112" i="3"/>
  <c r="O63" i="4"/>
  <c r="I34" i="4"/>
  <c r="I4" i="4" s="1"/>
  <c r="I6" i="4" s="1"/>
  <c r="I14" i="4" s="1"/>
  <c r="L40" i="3"/>
  <c r="R40" i="3" s="1"/>
  <c r="O60" i="3"/>
  <c r="J57" i="4"/>
  <c r="J59" i="4"/>
  <c r="N59" i="4" s="1"/>
  <c r="J61" i="4"/>
  <c r="J41" i="3"/>
  <c r="J46" i="3"/>
  <c r="P60" i="3"/>
  <c r="P62" i="3"/>
  <c r="K60" i="4"/>
  <c r="K62" i="4"/>
  <c r="O62" i="4" s="1"/>
  <c r="K64" i="4"/>
  <c r="K59" i="4"/>
  <c r="K61" i="4"/>
  <c r="K63" i="4"/>
  <c r="K54" i="4"/>
  <c r="P54" i="4" s="1"/>
  <c r="Q60" i="3"/>
  <c r="Q64" i="3"/>
  <c r="R64" i="3"/>
  <c r="R55" i="3"/>
  <c r="J60" i="4"/>
  <c r="O60" i="4" s="1"/>
  <c r="J64" i="4"/>
  <c r="S64" i="3"/>
  <c r="S55" i="3"/>
  <c r="Q147" i="4"/>
  <c r="Q44" i="3"/>
  <c r="Q46" i="3"/>
  <c r="Q59" i="3"/>
  <c r="K56" i="4"/>
  <c r="N56" i="4" s="1"/>
  <c r="R147" i="4"/>
  <c r="I70" i="4"/>
  <c r="I82" i="4" s="1"/>
  <c r="B147" i="4"/>
  <c r="K40" i="3"/>
  <c r="K56" i="3"/>
  <c r="AX422" i="1" l="1"/>
  <c r="AW40" i="1"/>
  <c r="AT311" i="1"/>
  <c r="AO15" i="1"/>
  <c r="BH490" i="1"/>
  <c r="BI490" i="1" s="1"/>
  <c r="D7" i="4"/>
  <c r="D83" i="4" s="1"/>
  <c r="E34" i="4"/>
  <c r="E4" i="4" s="1"/>
  <c r="E6" i="4" s="1"/>
  <c r="E14" i="4" s="1"/>
  <c r="BH489" i="1"/>
  <c r="BI489" i="1" s="1"/>
  <c r="C7" i="4"/>
  <c r="BG40" i="1"/>
  <c r="AK343" i="1"/>
  <c r="AK36" i="1" s="1"/>
  <c r="AY15" i="1"/>
  <c r="AY41" i="1" s="1"/>
  <c r="AW422" i="1"/>
  <c r="BB184" i="1"/>
  <c r="BH296" i="1"/>
  <c r="AQ311" i="1"/>
  <c r="BC422" i="1"/>
  <c r="BE40" i="1"/>
  <c r="F51" i="1"/>
  <c r="AK422" i="1"/>
  <c r="BX96" i="1"/>
  <c r="E50" i="1"/>
  <c r="BV92" i="1"/>
  <c r="G16" i="4"/>
  <c r="F34" i="4"/>
  <c r="F4" i="4" s="1"/>
  <c r="F6" i="4" s="1"/>
  <c r="F14" i="4" s="1"/>
  <c r="AV26" i="1"/>
  <c r="AV25" i="1" s="1"/>
  <c r="AP343" i="1"/>
  <c r="AP36" i="1" s="1"/>
  <c r="AV422" i="1"/>
  <c r="AP311" i="1"/>
  <c r="S47" i="1"/>
  <c r="R46" i="1"/>
  <c r="AF343" i="1"/>
  <c r="AF36" i="1" s="1"/>
  <c r="S46" i="1"/>
  <c r="I55" i="1"/>
  <c r="AF311" i="1"/>
  <c r="BA422" i="1"/>
  <c r="BA34" i="1"/>
  <c r="BA312" i="1" s="1"/>
  <c r="H34" i="4"/>
  <c r="H4" i="4" s="1"/>
  <c r="H6" i="4" s="1"/>
  <c r="H14" i="4" s="1"/>
  <c r="H16" i="4" s="1"/>
  <c r="BJ283" i="1"/>
  <c r="BL283" i="1" s="1"/>
  <c r="AL311" i="1"/>
  <c r="AL343" i="1"/>
  <c r="AL36" i="1" s="1"/>
  <c r="AR422" i="1"/>
  <c r="AE34" i="1"/>
  <c r="AO422" i="1"/>
  <c r="BD343" i="1"/>
  <c r="BD36" i="1" s="1"/>
  <c r="BD344" i="1" s="1"/>
  <c r="BH10" i="1"/>
  <c r="BH11" i="1" s="1"/>
  <c r="BH16" i="1" s="1"/>
  <c r="L51" i="1"/>
  <c r="R45" i="1"/>
  <c r="BH493" i="1"/>
  <c r="BL508" i="1" s="1"/>
  <c r="BI508" i="1" s="1"/>
  <c r="BJ162" i="1"/>
  <c r="BL162" i="1" s="1"/>
  <c r="Q51" i="1"/>
  <c r="BK157" i="1"/>
  <c r="K53" i="1"/>
  <c r="R51" i="1"/>
  <c r="AG53" i="1"/>
  <c r="BH488" i="1"/>
  <c r="BI488" i="1" s="1"/>
  <c r="BH478" i="1"/>
  <c r="AS422" i="1"/>
  <c r="CP95" i="1"/>
  <c r="X55" i="1"/>
  <c r="AR15" i="1"/>
  <c r="Q48" i="1"/>
  <c r="BH482" i="1"/>
  <c r="BC184" i="1"/>
  <c r="BH487" i="1"/>
  <c r="BL502" i="1" s="1"/>
  <c r="BI502" i="1" s="1"/>
  <c r="AP422" i="1"/>
  <c r="BH485" i="1"/>
  <c r="BL500" i="1" s="1"/>
  <c r="BI500" i="1" s="1"/>
  <c r="AW311" i="1"/>
  <c r="BI65" i="1"/>
  <c r="BK65" i="1" s="1"/>
  <c r="BK283" i="1"/>
  <c r="AQ169" i="1"/>
  <c r="AQ26" i="1"/>
  <c r="AQ25" i="1" s="1"/>
  <c r="AX343" i="1"/>
  <c r="AX36" i="1" s="1"/>
  <c r="AX344" i="1" s="1"/>
  <c r="AM311" i="1"/>
  <c r="AU422" i="1"/>
  <c r="BG15" i="1"/>
  <c r="BG41" i="1" s="1"/>
  <c r="BJ285" i="1"/>
  <c r="BL285" i="1" s="1"/>
  <c r="AX311" i="1"/>
  <c r="AM343" i="1"/>
  <c r="AM36" i="1" s="1"/>
  <c r="BK5" i="1"/>
  <c r="BN86" i="1"/>
  <c r="J331" i="1"/>
  <c r="BQ144" i="1"/>
  <c r="P57" i="4"/>
  <c r="AL15" i="1"/>
  <c r="AL18" i="1"/>
  <c r="K331" i="1"/>
  <c r="E262" i="1"/>
  <c r="R59" i="4"/>
  <c r="J33" i="3"/>
  <c r="J130" i="3"/>
  <c r="BS270" i="1"/>
  <c r="F262" i="1"/>
  <c r="O43" i="4"/>
  <c r="P43" i="4"/>
  <c r="S43" i="4" s="1"/>
  <c r="D331" i="1"/>
  <c r="N44" i="4"/>
  <c r="Q61" i="4"/>
  <c r="BM259" i="1"/>
  <c r="O42" i="4"/>
  <c r="M27" i="3"/>
  <c r="P23" i="3"/>
  <c r="BO242" i="1"/>
  <c r="G260" i="1"/>
  <c r="K256" i="1"/>
  <c r="Q60" i="4"/>
  <c r="O45" i="4"/>
  <c r="AM15" i="1"/>
  <c r="AM18" i="1"/>
  <c r="BM145" i="1"/>
  <c r="BG18" i="1"/>
  <c r="K257" i="1"/>
  <c r="BD422" i="1"/>
  <c r="BD423" i="1" s="1"/>
  <c r="BD424" i="1" s="1"/>
  <c r="BE415" i="1" s="1"/>
  <c r="BE418" i="1" s="1"/>
  <c r="AJ15" i="1"/>
  <c r="AJ18" i="1"/>
  <c r="BL225" i="1"/>
  <c r="CT228" i="1" s="1"/>
  <c r="H129" i="1"/>
  <c r="H256" i="1" s="1"/>
  <c r="BK163" i="1"/>
  <c r="BO124" i="1"/>
  <c r="BI119" i="1"/>
  <c r="BI20" i="1"/>
  <c r="BK255" i="1"/>
  <c r="AH53" i="1"/>
  <c r="K107" i="2"/>
  <c r="K112" i="2"/>
  <c r="K106" i="2"/>
  <c r="K103" i="2"/>
  <c r="K109" i="2"/>
  <c r="K105" i="2"/>
  <c r="M105" i="2" s="1"/>
  <c r="K108" i="2"/>
  <c r="K113" i="2"/>
  <c r="K104" i="2"/>
  <c r="K111" i="2"/>
  <c r="K110" i="2"/>
  <c r="R54" i="1"/>
  <c r="Y55" i="1"/>
  <c r="O181" i="1"/>
  <c r="O133" i="1"/>
  <c r="O260" i="1" s="1"/>
  <c r="AD50" i="1"/>
  <c r="J49" i="4"/>
  <c r="BL259" i="1"/>
  <c r="V51" i="1"/>
  <c r="AE50" i="1"/>
  <c r="M56" i="4"/>
  <c r="BI278" i="1"/>
  <c r="T46" i="1"/>
  <c r="K119" i="3"/>
  <c r="K22" i="3"/>
  <c r="G259" i="1"/>
  <c r="BJ62" i="1"/>
  <c r="J110" i="4"/>
  <c r="J106" i="4"/>
  <c r="J113" i="4"/>
  <c r="M113" i="4" s="1"/>
  <c r="J109" i="4"/>
  <c r="J112" i="4"/>
  <c r="J111" i="4"/>
  <c r="J108" i="4"/>
  <c r="M108" i="4" s="1"/>
  <c r="J107" i="4"/>
  <c r="BK289" i="1"/>
  <c r="Q172" i="1"/>
  <c r="Q124" i="1"/>
  <c r="Q251" i="1" s="1"/>
  <c r="BO243" i="1"/>
  <c r="C54" i="1"/>
  <c r="BB422" i="1"/>
  <c r="DJ80" i="1"/>
  <c r="BM80" i="1"/>
  <c r="BL80" i="1"/>
  <c r="BN80" i="1" s="1"/>
  <c r="CW83" i="1"/>
  <c r="BJ112" i="1"/>
  <c r="BJ96" i="1" s="1"/>
  <c r="BJ223" i="1"/>
  <c r="CR226" i="1" s="1"/>
  <c r="I180" i="1"/>
  <c r="BL130" i="1"/>
  <c r="AB46" i="1"/>
  <c r="S133" i="1"/>
  <c r="S260" i="1" s="1"/>
  <c r="S181" i="1"/>
  <c r="E45" i="1"/>
  <c r="D124" i="1"/>
  <c r="D251" i="1" s="1"/>
  <c r="L124" i="1"/>
  <c r="L251" i="1" s="1"/>
  <c r="BO151" i="1"/>
  <c r="AG50" i="1"/>
  <c r="N54" i="1"/>
  <c r="N64" i="4"/>
  <c r="O59" i="3"/>
  <c r="N59" i="3"/>
  <c r="M59" i="3"/>
  <c r="S59" i="3" s="1"/>
  <c r="L59" i="3"/>
  <c r="R59" i="3" s="1"/>
  <c r="K30" i="3"/>
  <c r="K104" i="4"/>
  <c r="K103" i="4"/>
  <c r="K110" i="4"/>
  <c r="K106" i="4"/>
  <c r="K113" i="4"/>
  <c r="K109" i="4"/>
  <c r="K105" i="4"/>
  <c r="K112" i="4"/>
  <c r="K111" i="4"/>
  <c r="K108" i="4"/>
  <c r="K107" i="4"/>
  <c r="P58" i="4"/>
  <c r="BK505" i="1"/>
  <c r="BH505" i="1" s="1"/>
  <c r="AI422" i="1"/>
  <c r="J252" i="1"/>
  <c r="H299" i="1"/>
  <c r="H235" i="1"/>
  <c r="H251" i="1" s="1"/>
  <c r="BN244" i="1"/>
  <c r="BM260" i="1"/>
  <c r="J255" i="1"/>
  <c r="K132" i="1"/>
  <c r="BJ251" i="1"/>
  <c r="BR274" i="1"/>
  <c r="AO169" i="1"/>
  <c r="AO26" i="1"/>
  <c r="AO25" i="1" s="1"/>
  <c r="R47" i="1"/>
  <c r="Y54" i="1"/>
  <c r="BA169" i="1"/>
  <c r="BA26" i="1"/>
  <c r="BA25" i="1" s="1"/>
  <c r="DK80" i="1"/>
  <c r="CX83" i="1"/>
  <c r="BK112" i="1"/>
  <c r="BK96" i="1" s="1"/>
  <c r="L254" i="1"/>
  <c r="F241" i="1"/>
  <c r="F257" i="1" s="1"/>
  <c r="F20" i="1"/>
  <c r="M49" i="1"/>
  <c r="AA49" i="1"/>
  <c r="DJ84" i="1"/>
  <c r="BJ116" i="1"/>
  <c r="BM84" i="1"/>
  <c r="BM227" i="1" s="1"/>
  <c r="BL84" i="1"/>
  <c r="BL227" i="1" s="1"/>
  <c r="CT230" i="1" s="1"/>
  <c r="CW87" i="1"/>
  <c r="O55" i="1"/>
  <c r="BQ275" i="1"/>
  <c r="N55" i="1"/>
  <c r="P343" i="1"/>
  <c r="P36" i="1" s="1"/>
  <c r="AB44" i="1"/>
  <c r="T47" i="1"/>
  <c r="C51" i="1"/>
  <c r="D183" i="1"/>
  <c r="D179" i="1"/>
  <c r="Y45" i="1"/>
  <c r="BM130" i="1"/>
  <c r="I54" i="1"/>
  <c r="AC46" i="1"/>
  <c r="P128" i="1"/>
  <c r="P255" i="1" s="1"/>
  <c r="P176" i="1"/>
  <c r="AA45" i="1"/>
  <c r="AH34" i="1"/>
  <c r="R48" i="1"/>
  <c r="H127" i="1"/>
  <c r="J128" i="1"/>
  <c r="I125" i="1"/>
  <c r="R174" i="1"/>
  <c r="R126" i="1"/>
  <c r="R253" i="1" s="1"/>
  <c r="K129" i="1"/>
  <c r="F178" i="1"/>
  <c r="T50" i="1"/>
  <c r="BC13" i="1"/>
  <c r="BC15" i="1" s="1"/>
  <c r="BC41" i="1" s="1"/>
  <c r="BI67" i="1"/>
  <c r="BI69" i="1"/>
  <c r="M54" i="1"/>
  <c r="BJ119" i="1"/>
  <c r="CX78" i="1"/>
  <c r="DJ87" i="1"/>
  <c r="O172" i="1"/>
  <c r="O124" i="1"/>
  <c r="O251" i="1" s="1"/>
  <c r="O175" i="1"/>
  <c r="O127" i="1"/>
  <c r="O254" i="1" s="1"/>
  <c r="D261" i="1"/>
  <c r="O44" i="3"/>
  <c r="R128" i="1"/>
  <c r="R255" i="1" s="1"/>
  <c r="R176" i="1"/>
  <c r="J244" i="1"/>
  <c r="J260" i="1" s="1"/>
  <c r="J308" i="1"/>
  <c r="J340" i="1" s="1"/>
  <c r="C49" i="1"/>
  <c r="S173" i="1"/>
  <c r="S125" i="1"/>
  <c r="S252" i="1" s="1"/>
  <c r="C83" i="4"/>
  <c r="C12" i="4"/>
  <c r="BJ287" i="1"/>
  <c r="V55" i="1"/>
  <c r="C46" i="1"/>
  <c r="D55" i="1"/>
  <c r="Q46" i="1"/>
  <c r="AN422" i="1"/>
  <c r="R55" i="1"/>
  <c r="D49" i="1"/>
  <c r="F55" i="1"/>
  <c r="G132" i="1"/>
  <c r="M65" i="4"/>
  <c r="BI68" i="1"/>
  <c r="BJ61" i="1"/>
  <c r="BJ60" i="1"/>
  <c r="BM124" i="1"/>
  <c r="O46" i="1"/>
  <c r="Y48" i="1"/>
  <c r="G124" i="1"/>
  <c r="G251" i="1" s="1"/>
  <c r="O46" i="4"/>
  <c r="BJ230" i="1"/>
  <c r="CS221" i="1" s="1"/>
  <c r="BJ262" i="1"/>
  <c r="BP246" i="1"/>
  <c r="BF311" i="1"/>
  <c r="H255" i="1"/>
  <c r="K176" i="1"/>
  <c r="K52" i="1"/>
  <c r="J173" i="1"/>
  <c r="O44" i="1"/>
  <c r="L253" i="1"/>
  <c r="D253" i="1"/>
  <c r="E49" i="1"/>
  <c r="BI66" i="1"/>
  <c r="P311" i="1"/>
  <c r="E44" i="1"/>
  <c r="AG51" i="1"/>
  <c r="I177" i="1"/>
  <c r="BI293" i="1"/>
  <c r="BC34" i="1"/>
  <c r="BC312" i="1" s="1"/>
  <c r="Z48" i="1"/>
  <c r="P173" i="1"/>
  <c r="P125" i="1"/>
  <c r="P252" i="1" s="1"/>
  <c r="M135" i="1"/>
  <c r="M262" i="1" s="1"/>
  <c r="M183" i="1"/>
  <c r="E131" i="1"/>
  <c r="L133" i="1"/>
  <c r="L260" i="1" s="1"/>
  <c r="P46" i="3"/>
  <c r="N46" i="3"/>
  <c r="M46" i="3"/>
  <c r="S46" i="3" s="1"/>
  <c r="L46" i="3"/>
  <c r="R46" i="3" s="1"/>
  <c r="O46" i="3"/>
  <c r="N113" i="3"/>
  <c r="N60" i="4"/>
  <c r="P60" i="4" s="1"/>
  <c r="S60" i="4" s="1"/>
  <c r="O62" i="3"/>
  <c r="N62" i="3"/>
  <c r="M62" i="3"/>
  <c r="S62" i="3" s="1"/>
  <c r="L62" i="3"/>
  <c r="R62" i="3" s="1"/>
  <c r="K122" i="3"/>
  <c r="K25" i="3"/>
  <c r="M112" i="2"/>
  <c r="M109" i="2"/>
  <c r="M111" i="2"/>
  <c r="M110" i="2"/>
  <c r="L110" i="4"/>
  <c r="L103" i="4"/>
  <c r="L109" i="4"/>
  <c r="L107" i="4"/>
  <c r="L105" i="4"/>
  <c r="L104" i="4"/>
  <c r="O40" i="4"/>
  <c r="R40" i="4" s="1"/>
  <c r="BH491" i="1"/>
  <c r="BL506" i="1" s="1"/>
  <c r="BI506" i="1" s="1"/>
  <c r="BH486" i="1"/>
  <c r="P59" i="4"/>
  <c r="AL422" i="1"/>
  <c r="BK379" i="1"/>
  <c r="BJ363" i="1"/>
  <c r="BM379" i="1"/>
  <c r="BL379" i="1"/>
  <c r="BJ387" i="1"/>
  <c r="BI389" i="1"/>
  <c r="BI371" i="1"/>
  <c r="BK387" i="1"/>
  <c r="AU343" i="1"/>
  <c r="AU36" i="1" s="1"/>
  <c r="AU344" i="1" s="1"/>
  <c r="BS277" i="1"/>
  <c r="AK263" i="1"/>
  <c r="BC263" i="1"/>
  <c r="BM240" i="1"/>
  <c r="BP240" i="1" s="1"/>
  <c r="BJ224" i="1"/>
  <c r="CR227" i="1" s="1"/>
  <c r="BJ256" i="1"/>
  <c r="P131" i="1"/>
  <c r="P258" i="1" s="1"/>
  <c r="P179" i="1"/>
  <c r="BM270" i="1"/>
  <c r="BL270" i="1"/>
  <c r="BT270" i="1" s="1"/>
  <c r="BS274" i="1"/>
  <c r="CW81" i="1"/>
  <c r="BJ110" i="1"/>
  <c r="DJ78" i="1"/>
  <c r="BL78" i="1"/>
  <c r="BM78" i="1"/>
  <c r="D54" i="1"/>
  <c r="E53" i="1"/>
  <c r="F49" i="1"/>
  <c r="H55" i="1"/>
  <c r="AF54" i="1"/>
  <c r="J51" i="1"/>
  <c r="BM126" i="1"/>
  <c r="E182" i="1"/>
  <c r="E184" i="1" s="1"/>
  <c r="F44" i="1"/>
  <c r="K180" i="1"/>
  <c r="AG49" i="1"/>
  <c r="F174" i="1"/>
  <c r="D182" i="1"/>
  <c r="AD46" i="1"/>
  <c r="BL388" i="1"/>
  <c r="K179" i="1"/>
  <c r="F45" i="1"/>
  <c r="N46" i="1"/>
  <c r="CK97" i="1"/>
  <c r="G55" i="1"/>
  <c r="L241" i="1"/>
  <c r="L257" i="1" s="1"/>
  <c r="L20" i="1"/>
  <c r="AA48" i="1"/>
  <c r="D132" i="1"/>
  <c r="K133" i="1"/>
  <c r="N174" i="1"/>
  <c r="N126" i="1"/>
  <c r="N253" i="1" s="1"/>
  <c r="I130" i="1"/>
  <c r="I257" i="1" s="1"/>
  <c r="N178" i="1"/>
  <c r="N130" i="1"/>
  <c r="N257" i="1" s="1"/>
  <c r="U50" i="1"/>
  <c r="O54" i="1"/>
  <c r="CP98" i="1"/>
  <c r="BV98" i="1"/>
  <c r="BH169" i="1"/>
  <c r="BH26" i="1"/>
  <c r="BH25" i="1" s="1"/>
  <c r="L30" i="3"/>
  <c r="BN128" i="1"/>
  <c r="BK118" i="1"/>
  <c r="CY77" i="1"/>
  <c r="DK86" i="1"/>
  <c r="BM113" i="1"/>
  <c r="BM97" i="1" s="1"/>
  <c r="P46" i="4"/>
  <c r="BM261" i="1"/>
  <c r="V46" i="1"/>
  <c r="K134" i="1"/>
  <c r="BK259" i="1"/>
  <c r="BQ243" i="1"/>
  <c r="BK227" i="1"/>
  <c r="CS230" i="1" s="1"/>
  <c r="T45" i="1"/>
  <c r="Q129" i="1"/>
  <c r="Q256" i="1" s="1"/>
  <c r="Q177" i="1"/>
  <c r="L126" i="3"/>
  <c r="L29" i="3"/>
  <c r="M173" i="1"/>
  <c r="M125" i="1"/>
  <c r="M252" i="1" s="1"/>
  <c r="BQ245" i="1"/>
  <c r="BK229" i="1"/>
  <c r="CT220" i="1" s="1"/>
  <c r="BK261" i="1"/>
  <c r="L47" i="4"/>
  <c r="D260" i="1"/>
  <c r="V54" i="1"/>
  <c r="C179" i="1"/>
  <c r="H176" i="1"/>
  <c r="D176" i="1"/>
  <c r="D184" i="1" s="1"/>
  <c r="W48" i="1"/>
  <c r="BJ278" i="1"/>
  <c r="BR267" i="1"/>
  <c r="BN267" i="1"/>
  <c r="BK92" i="1"/>
  <c r="I255" i="1"/>
  <c r="BL269" i="1"/>
  <c r="BN269" i="1" s="1"/>
  <c r="BS269" i="1"/>
  <c r="BM269" i="1"/>
  <c r="BR269" i="1"/>
  <c r="M104" i="4"/>
  <c r="M103" i="4"/>
  <c r="M110" i="4"/>
  <c r="M106" i="4"/>
  <c r="Z54" i="1"/>
  <c r="BN77" i="1"/>
  <c r="BP77" i="1" s="1"/>
  <c r="BL109" i="1"/>
  <c r="BL93" i="1" s="1"/>
  <c r="DL77" i="1"/>
  <c r="CY80" i="1"/>
  <c r="BO77" i="1"/>
  <c r="BN126" i="1"/>
  <c r="AC44" i="1"/>
  <c r="U46" i="1"/>
  <c r="F176" i="1"/>
  <c r="AB45" i="1"/>
  <c r="AF34" i="1"/>
  <c r="AB48" i="1"/>
  <c r="J126" i="1"/>
  <c r="O61" i="4"/>
  <c r="O38" i="4"/>
  <c r="P56" i="4"/>
  <c r="BJ403" i="1"/>
  <c r="BH483" i="1"/>
  <c r="BL498" i="1" s="1"/>
  <c r="BI498" i="1" s="1"/>
  <c r="M44" i="4"/>
  <c r="BK380" i="1"/>
  <c r="BJ364" i="1"/>
  <c r="BM246" i="1"/>
  <c r="H310" i="1"/>
  <c r="H342" i="1" s="1"/>
  <c r="H246" i="1"/>
  <c r="H262" i="1" s="1"/>
  <c r="C304" i="1"/>
  <c r="C336" i="1" s="1"/>
  <c r="C240" i="1"/>
  <c r="C256" i="1" s="1"/>
  <c r="L256" i="1"/>
  <c r="BL256" i="1"/>
  <c r="BL224" i="1"/>
  <c r="CT227" i="1" s="1"/>
  <c r="BM142" i="1"/>
  <c r="E173" i="1"/>
  <c r="BM235" i="1"/>
  <c r="BP235" i="1" s="1"/>
  <c r="I129" i="1"/>
  <c r="BU274" i="1"/>
  <c r="N52" i="1"/>
  <c r="BK111" i="1"/>
  <c r="BK95" i="1" s="1"/>
  <c r="CX82" i="1"/>
  <c r="DK79" i="1"/>
  <c r="AF52" i="1"/>
  <c r="AT169" i="1"/>
  <c r="AT26" i="1"/>
  <c r="AT25" i="1" s="1"/>
  <c r="AR169" i="1"/>
  <c r="AR26" i="1"/>
  <c r="AR25" i="1" s="1"/>
  <c r="BP143" i="1"/>
  <c r="E54" i="1"/>
  <c r="J20" i="1"/>
  <c r="F53" i="1"/>
  <c r="G49" i="1"/>
  <c r="C53" i="1"/>
  <c r="I44" i="1"/>
  <c r="AZ169" i="1"/>
  <c r="AZ26" i="1"/>
  <c r="AZ25" i="1" s="1"/>
  <c r="BC296" i="1"/>
  <c r="BC169" i="1"/>
  <c r="BC26" i="1"/>
  <c r="BC25" i="1" s="1"/>
  <c r="H172" i="1"/>
  <c r="E55" i="1"/>
  <c r="D45" i="1"/>
  <c r="AE46" i="1"/>
  <c r="G173" i="1"/>
  <c r="G45" i="1"/>
  <c r="AG34" i="1"/>
  <c r="N181" i="1"/>
  <c r="N133" i="1"/>
  <c r="N260" i="1" s="1"/>
  <c r="H48" i="1"/>
  <c r="I127" i="1"/>
  <c r="L127" i="1"/>
  <c r="I131" i="1"/>
  <c r="I258" i="1" s="1"/>
  <c r="N135" i="1"/>
  <c r="N262" i="1" s="1"/>
  <c r="N183" i="1"/>
  <c r="I124" i="1"/>
  <c r="BE10" i="1"/>
  <c r="BE11" i="1" s="1"/>
  <c r="BE16" i="1" s="1"/>
  <c r="AS169" i="1"/>
  <c r="AS26" i="1"/>
  <c r="AS25" i="1" s="1"/>
  <c r="W50" i="1"/>
  <c r="Q54" i="1"/>
  <c r="P43" i="3"/>
  <c r="O43" i="3"/>
  <c r="N43" i="3"/>
  <c r="L43" i="3"/>
  <c r="R43" i="3" s="1"/>
  <c r="M43" i="3"/>
  <c r="S43" i="3" s="1"/>
  <c r="S179" i="1"/>
  <c r="S131" i="1"/>
  <c r="S258" i="1" s="1"/>
  <c r="K130" i="1"/>
  <c r="P48" i="3"/>
  <c r="O48" i="3"/>
  <c r="N48" i="3"/>
  <c r="L48" i="3"/>
  <c r="R48" i="3" s="1"/>
  <c r="M48" i="3"/>
  <c r="S48" i="3" s="1"/>
  <c r="E331" i="1"/>
  <c r="Z55" i="1"/>
  <c r="AO263" i="1"/>
  <c r="E46" i="1"/>
  <c r="O129" i="1"/>
  <c r="O256" i="1" s="1"/>
  <c r="O177" i="1"/>
  <c r="BJ253" i="1"/>
  <c r="BN237" i="1"/>
  <c r="BJ221" i="1"/>
  <c r="H257" i="1"/>
  <c r="BO143" i="1"/>
  <c r="P46" i="1"/>
  <c r="U45" i="1"/>
  <c r="V48" i="1"/>
  <c r="BJ489" i="1"/>
  <c r="BK489" i="1" s="1"/>
  <c r="BL504" i="1"/>
  <c r="BI504" i="1" s="1"/>
  <c r="BJ258" i="1"/>
  <c r="BJ226" i="1"/>
  <c r="CR229" i="1" s="1"/>
  <c r="AL169" i="1"/>
  <c r="AL26" i="1"/>
  <c r="AL25" i="1" s="1"/>
  <c r="V45" i="1"/>
  <c r="L252" i="1"/>
  <c r="BK225" i="1"/>
  <c r="CS228" i="1" s="1"/>
  <c r="BK257" i="1"/>
  <c r="BO134" i="1"/>
  <c r="K46" i="1"/>
  <c r="AR311" i="1"/>
  <c r="BN235" i="1"/>
  <c r="Y53" i="1"/>
  <c r="AM169" i="1"/>
  <c r="AM26" i="1"/>
  <c r="AM25" i="1" s="1"/>
  <c r="L57" i="3"/>
  <c r="R57" i="3" s="1"/>
  <c r="P57" i="3"/>
  <c r="O57" i="3"/>
  <c r="N57" i="3"/>
  <c r="M57" i="3"/>
  <c r="S57" i="3" s="1"/>
  <c r="BK508" i="1"/>
  <c r="BH508" i="1" s="1"/>
  <c r="BL398" i="1"/>
  <c r="BN398" i="1" s="1"/>
  <c r="BK398" i="1"/>
  <c r="BM398" i="1"/>
  <c r="BK224" i="1"/>
  <c r="CS227" i="1" s="1"/>
  <c r="BK256" i="1"/>
  <c r="BJ164" i="1"/>
  <c r="N63" i="4"/>
  <c r="J65" i="3"/>
  <c r="BJ401" i="1"/>
  <c r="BI405" i="1"/>
  <c r="AQ422" i="1"/>
  <c r="AM422" i="1"/>
  <c r="M41" i="4"/>
  <c r="BK383" i="1"/>
  <c r="BL383" i="1" s="1"/>
  <c r="BJ367" i="1"/>
  <c r="BA311" i="1"/>
  <c r="BA331" i="1"/>
  <c r="BA343" i="1" s="1"/>
  <c r="BA36" i="1" s="1"/>
  <c r="BA344" i="1" s="1"/>
  <c r="BI230" i="1"/>
  <c r="BI262" i="1"/>
  <c r="BK246" i="1"/>
  <c r="H261" i="1"/>
  <c r="J309" i="1"/>
  <c r="J341" i="1" s="1"/>
  <c r="J245" i="1"/>
  <c r="J261" i="1" s="1"/>
  <c r="BK220" i="1"/>
  <c r="CS223" i="1" s="1"/>
  <c r="BK252" i="1"/>
  <c r="BJ220" i="1"/>
  <c r="CR223" i="1" s="1"/>
  <c r="BJ252" i="1"/>
  <c r="S175" i="1"/>
  <c r="S127" i="1"/>
  <c r="S254" i="1" s="1"/>
  <c r="Q131" i="1"/>
  <c r="Q258" i="1" s="1"/>
  <c r="Q179" i="1"/>
  <c r="P182" i="1"/>
  <c r="P134" i="1"/>
  <c r="P261" i="1" s="1"/>
  <c r="C258" i="1"/>
  <c r="BN274" i="1"/>
  <c r="BJ93" i="1"/>
  <c r="BM125" i="1"/>
  <c r="J52" i="1"/>
  <c r="BG296" i="1"/>
  <c r="BG169" i="1"/>
  <c r="BG26" i="1"/>
  <c r="BG25" i="1" s="1"/>
  <c r="AA54" i="1"/>
  <c r="I253" i="1"/>
  <c r="H252" i="1"/>
  <c r="AB53" i="1"/>
  <c r="AC49" i="1"/>
  <c r="K51" i="1"/>
  <c r="BK135" i="1"/>
  <c r="K55" i="1"/>
  <c r="AF44" i="1"/>
  <c r="BP126" i="1"/>
  <c r="D175" i="1"/>
  <c r="X53" i="1"/>
  <c r="AU18" i="1"/>
  <c r="AU15" i="1"/>
  <c r="AU41" i="1" s="1"/>
  <c r="Z46" i="1"/>
  <c r="J45" i="1"/>
  <c r="AC45" i="1"/>
  <c r="BC18" i="1"/>
  <c r="AD48" i="1"/>
  <c r="H132" i="1"/>
  <c r="H259" i="1" s="1"/>
  <c r="D131" i="1"/>
  <c r="D258" i="1" s="1"/>
  <c r="S132" i="1"/>
  <c r="S259" i="1" s="1"/>
  <c r="S180" i="1"/>
  <c r="H124" i="1"/>
  <c r="Q174" i="1"/>
  <c r="Q126" i="1"/>
  <c r="Q253" i="1" s="1"/>
  <c r="X50" i="1"/>
  <c r="S54" i="1"/>
  <c r="AX34" i="1"/>
  <c r="AX312" i="1" s="1"/>
  <c r="BM255" i="1"/>
  <c r="BM223" i="1"/>
  <c r="BR239" i="1"/>
  <c r="BO239" i="1"/>
  <c r="T48" i="1"/>
  <c r="C331" i="1"/>
  <c r="O50" i="1"/>
  <c r="L65" i="4"/>
  <c r="E20" i="1"/>
  <c r="T51" i="1"/>
  <c r="BD18" i="1"/>
  <c r="M174" i="1"/>
  <c r="M126" i="1"/>
  <c r="M253" i="1" s="1"/>
  <c r="B7" i="4"/>
  <c r="B16" i="4"/>
  <c r="N179" i="1"/>
  <c r="N131" i="1"/>
  <c r="N258" i="1" s="1"/>
  <c r="K307" i="1"/>
  <c r="K339" i="1" s="1"/>
  <c r="K243" i="1"/>
  <c r="N103" i="2"/>
  <c r="N112" i="2"/>
  <c r="N107" i="2"/>
  <c r="Y49" i="1"/>
  <c r="BO245" i="1"/>
  <c r="D44" i="1"/>
  <c r="AY311" i="1"/>
  <c r="M51" i="1"/>
  <c r="C172" i="1"/>
  <c r="P41" i="3"/>
  <c r="N41" i="3"/>
  <c r="M41" i="3"/>
  <c r="S41" i="3" s="1"/>
  <c r="L41" i="3"/>
  <c r="R41" i="3" s="1"/>
  <c r="O41" i="3"/>
  <c r="BJ111" i="1"/>
  <c r="BJ95" i="1" s="1"/>
  <c r="BM79" i="1"/>
  <c r="CW82" i="1"/>
  <c r="BL79" i="1"/>
  <c r="DJ79" i="1"/>
  <c r="AB49" i="1"/>
  <c r="I178" i="1"/>
  <c r="V50" i="1"/>
  <c r="N103" i="4"/>
  <c r="P103" i="4" s="1"/>
  <c r="O103" i="4"/>
  <c r="M56" i="3"/>
  <c r="S56" i="3" s="1"/>
  <c r="Q56" i="3"/>
  <c r="P56" i="3"/>
  <c r="O56" i="3"/>
  <c r="N56" i="3"/>
  <c r="P59" i="3"/>
  <c r="N57" i="4"/>
  <c r="J65" i="4"/>
  <c r="M57" i="4"/>
  <c r="I16" i="4"/>
  <c r="I7" i="4"/>
  <c r="N61" i="4"/>
  <c r="O110" i="3"/>
  <c r="BH484" i="1"/>
  <c r="O48" i="4"/>
  <c r="Q48" i="4" s="1"/>
  <c r="BM267" i="1"/>
  <c r="M42" i="4"/>
  <c r="BK381" i="1"/>
  <c r="BJ365" i="1"/>
  <c r="BO240" i="1"/>
  <c r="I244" i="1"/>
  <c r="I260" i="1" s="1"/>
  <c r="I308" i="1"/>
  <c r="I340" i="1" s="1"/>
  <c r="G310" i="1"/>
  <c r="G342" i="1" s="1"/>
  <c r="G246" i="1"/>
  <c r="BN245" i="1"/>
  <c r="BP245" i="1" s="1"/>
  <c r="BS245" i="1" s="1"/>
  <c r="E241" i="1"/>
  <c r="BL242" i="1"/>
  <c r="AY169" i="1"/>
  <c r="AY26" i="1"/>
  <c r="AY25" i="1" s="1"/>
  <c r="BM237" i="1"/>
  <c r="BO237" i="1" s="1"/>
  <c r="D126" i="1"/>
  <c r="BJ260" i="1"/>
  <c r="AU169" i="1"/>
  <c r="AU26" i="1"/>
  <c r="AU25" i="1" s="1"/>
  <c r="BD296" i="1"/>
  <c r="BD169" i="1"/>
  <c r="BJ156" i="1"/>
  <c r="BJ165" i="1"/>
  <c r="BD26" i="1"/>
  <c r="BD25" i="1" s="1"/>
  <c r="BJ160" i="1"/>
  <c r="BM146" i="1"/>
  <c r="AT422" i="1"/>
  <c r="F54" i="1"/>
  <c r="C20" i="1"/>
  <c r="G20" i="1"/>
  <c r="G53" i="1"/>
  <c r="H49" i="1"/>
  <c r="AZ422" i="1"/>
  <c r="BB343" i="1"/>
  <c r="BB36" i="1" s="1"/>
  <c r="BB344" i="1" s="1"/>
  <c r="H51" i="1"/>
  <c r="J44" i="1"/>
  <c r="F172" i="1"/>
  <c r="F184" i="1" s="1"/>
  <c r="AF51" i="1"/>
  <c r="BI167" i="1"/>
  <c r="F46" i="1"/>
  <c r="I45" i="1"/>
  <c r="H45" i="1"/>
  <c r="M181" i="1"/>
  <c r="M133" i="1"/>
  <c r="M260" i="1" s="1"/>
  <c r="I48" i="1"/>
  <c r="K127" i="1"/>
  <c r="K254" i="1" s="1"/>
  <c r="O132" i="1"/>
  <c r="O259" i="1" s="1"/>
  <c r="O180" i="1"/>
  <c r="E135" i="1"/>
  <c r="Q173" i="1"/>
  <c r="Q125" i="1"/>
  <c r="Q252" i="1" s="1"/>
  <c r="J127" i="1"/>
  <c r="J254" i="1" s="1"/>
  <c r="C50" i="1"/>
  <c r="H46" i="1"/>
  <c r="BB34" i="1"/>
  <c r="BB312" i="1" s="1"/>
  <c r="T54" i="1"/>
  <c r="L184" i="1"/>
  <c r="O311" i="1"/>
  <c r="O331" i="1"/>
  <c r="O343" i="1" s="1"/>
  <c r="O36" i="1" s="1"/>
  <c r="BW93" i="1"/>
  <c r="CQ93" i="1"/>
  <c r="J128" i="3"/>
  <c r="K128" i="3" s="1"/>
  <c r="J31" i="3"/>
  <c r="M112" i="3"/>
  <c r="L112" i="3"/>
  <c r="J113" i="2"/>
  <c r="J111" i="2"/>
  <c r="J109" i="2"/>
  <c r="J107" i="2"/>
  <c r="M107" i="2" s="1"/>
  <c r="J112" i="2"/>
  <c r="J108" i="2"/>
  <c r="J106" i="2"/>
  <c r="J110" i="2"/>
  <c r="E255" i="1"/>
  <c r="L55" i="1"/>
  <c r="Q52" i="1"/>
  <c r="BT267" i="1"/>
  <c r="BK60" i="1"/>
  <c r="O52" i="1"/>
  <c r="Y46" i="1"/>
  <c r="M48" i="1"/>
  <c r="D302" i="1"/>
  <c r="D238" i="1"/>
  <c r="D254" i="1" s="1"/>
  <c r="BI291" i="1"/>
  <c r="N110" i="3"/>
  <c r="K28" i="3"/>
  <c r="BK385" i="1"/>
  <c r="BL385" i="1"/>
  <c r="BM385" i="1" s="1"/>
  <c r="BJ369" i="1"/>
  <c r="AY422" i="1"/>
  <c r="M55" i="1"/>
  <c r="H126" i="1"/>
  <c r="J49" i="3"/>
  <c r="M40" i="3"/>
  <c r="S40" i="3" s="1"/>
  <c r="Q40" i="3"/>
  <c r="O40" i="3"/>
  <c r="N40" i="3"/>
  <c r="P40" i="3"/>
  <c r="K65" i="4"/>
  <c r="R104" i="3"/>
  <c r="O58" i="4"/>
  <c r="R58" i="4" s="1"/>
  <c r="M113" i="3"/>
  <c r="J124" i="3"/>
  <c r="J27" i="3"/>
  <c r="Q58" i="4"/>
  <c r="S58" i="4" s="1"/>
  <c r="BN396" i="1"/>
  <c r="BM396" i="1"/>
  <c r="BK396" i="1"/>
  <c r="BL396" i="1"/>
  <c r="BH492" i="1"/>
  <c r="BL507" i="1" s="1"/>
  <c r="BI507" i="1" s="1"/>
  <c r="BG506" i="1"/>
  <c r="N48" i="4"/>
  <c r="BJ490" i="1"/>
  <c r="BK490" i="1" s="1"/>
  <c r="BJ292" i="1"/>
  <c r="M39" i="4"/>
  <c r="P39" i="4" s="1"/>
  <c r="BL382" i="1"/>
  <c r="BK382" i="1"/>
  <c r="BM382" i="1"/>
  <c r="BJ366" i="1"/>
  <c r="BN236" i="1"/>
  <c r="J307" i="1"/>
  <c r="J243" i="1"/>
  <c r="J259" i="1" s="1"/>
  <c r="Q183" i="1"/>
  <c r="Q135" i="1"/>
  <c r="Q262" i="1" s="1"/>
  <c r="BK164" i="1"/>
  <c r="K125" i="1"/>
  <c r="BP151" i="1"/>
  <c r="BN134" i="1"/>
  <c r="BP134" i="1" s="1"/>
  <c r="E258" i="1"/>
  <c r="C133" i="1"/>
  <c r="C260" i="1" s="1"/>
  <c r="BL219" i="1"/>
  <c r="K251" i="1"/>
  <c r="AH48" i="1"/>
  <c r="BM86" i="1"/>
  <c r="BL124" i="1"/>
  <c r="AB54" i="1"/>
  <c r="BQ269" i="1"/>
  <c r="AC53" i="1"/>
  <c r="AD49" i="1"/>
  <c r="BW103" i="1"/>
  <c r="BB311" i="1"/>
  <c r="O47" i="1"/>
  <c r="BL133" i="1"/>
  <c r="AG44" i="1"/>
  <c r="K181" i="1"/>
  <c r="G174" i="1"/>
  <c r="X49" i="1"/>
  <c r="BF15" i="1"/>
  <c r="BF41" i="1" s="1"/>
  <c r="BF18" i="1"/>
  <c r="AH46" i="1"/>
  <c r="K45" i="1"/>
  <c r="AD45" i="1"/>
  <c r="BK6" i="1"/>
  <c r="K126" i="1"/>
  <c r="K253" i="1" s="1"/>
  <c r="AE48" i="1"/>
  <c r="N132" i="1"/>
  <c r="N259" i="1" s="1"/>
  <c r="N180" i="1"/>
  <c r="Q181" i="1"/>
  <c r="Q133" i="1"/>
  <c r="Q260" i="1" s="1"/>
  <c r="E124" i="1"/>
  <c r="S126" i="1"/>
  <c r="S253" i="1" s="1"/>
  <c r="S174" i="1"/>
  <c r="C128" i="1"/>
  <c r="C255" i="1" s="1"/>
  <c r="D53" i="1"/>
  <c r="Y50" i="1"/>
  <c r="U54" i="1"/>
  <c r="BQ128" i="1"/>
  <c r="BL118" i="1"/>
  <c r="BL102" i="1" s="1"/>
  <c r="DL86" i="1"/>
  <c r="L25" i="3"/>
  <c r="BL108" i="1"/>
  <c r="BN108" i="1" s="1"/>
  <c r="F331" i="1"/>
  <c r="F343" i="1" s="1"/>
  <c r="F36" i="1" s="1"/>
  <c r="F311" i="1"/>
  <c r="BP241" i="1"/>
  <c r="BJ225" i="1"/>
  <c r="CR228" i="1" s="1"/>
  <c r="BJ257" i="1"/>
  <c r="N172" i="1"/>
  <c r="N124" i="1"/>
  <c r="N251" i="1" s="1"/>
  <c r="BQ76" i="1"/>
  <c r="G51" i="1"/>
  <c r="L44" i="4"/>
  <c r="P44" i="4" s="1"/>
  <c r="BK159" i="1"/>
  <c r="X46" i="1"/>
  <c r="BM128" i="1"/>
  <c r="BP128" i="1" s="1"/>
  <c r="U51" i="1"/>
  <c r="H180" i="1"/>
  <c r="O58" i="3"/>
  <c r="N58" i="3"/>
  <c r="M58" i="3"/>
  <c r="S58" i="3" s="1"/>
  <c r="L58" i="3"/>
  <c r="R58" i="3" s="1"/>
  <c r="P58" i="3"/>
  <c r="R175" i="1"/>
  <c r="R127" i="1"/>
  <c r="R254" i="1" s="1"/>
  <c r="D134" i="1"/>
  <c r="I135" i="1"/>
  <c r="R43" i="4"/>
  <c r="X54" i="1"/>
  <c r="N111" i="3"/>
  <c r="BR129" i="1"/>
  <c r="BM238" i="1"/>
  <c r="BP238" i="1" s="1"/>
  <c r="BN238" i="1"/>
  <c r="BJ254" i="1"/>
  <c r="BJ222" i="1"/>
  <c r="CR225" i="1" s="1"/>
  <c r="O59" i="4"/>
  <c r="Q59" i="4" s="1"/>
  <c r="S59" i="4" s="1"/>
  <c r="M103" i="3"/>
  <c r="J122" i="3"/>
  <c r="L122" i="3" s="1"/>
  <c r="N106" i="3"/>
  <c r="J25" i="3"/>
  <c r="BJ402" i="1"/>
  <c r="N41" i="4"/>
  <c r="BK384" i="1"/>
  <c r="BL384" i="1"/>
  <c r="BM384" i="1" s="1"/>
  <c r="BJ368" i="1"/>
  <c r="G311" i="1"/>
  <c r="G331" i="1"/>
  <c r="G343" i="1" s="1"/>
  <c r="G36" i="1" s="1"/>
  <c r="BK254" i="1"/>
  <c r="BK222" i="1"/>
  <c r="CS225" i="1" s="1"/>
  <c r="BP149" i="1"/>
  <c r="BO149" i="1"/>
  <c r="AZ263" i="1"/>
  <c r="D256" i="1"/>
  <c r="BN142" i="1"/>
  <c r="F133" i="1"/>
  <c r="F260" i="1" s="1"/>
  <c r="BJ163" i="1"/>
  <c r="R172" i="1"/>
  <c r="R184" i="1" s="1"/>
  <c r="R124" i="1"/>
  <c r="R251" i="1" s="1"/>
  <c r="BO128" i="1"/>
  <c r="R182" i="1"/>
  <c r="R134" i="1"/>
  <c r="R261" i="1" s="1"/>
  <c r="Q178" i="1"/>
  <c r="Q130" i="1"/>
  <c r="Q257" i="1" s="1"/>
  <c r="L48" i="1"/>
  <c r="M47" i="1"/>
  <c r="BP129" i="1"/>
  <c r="BS129" i="1" s="1"/>
  <c r="G54" i="1"/>
  <c r="I254" i="1"/>
  <c r="E253" i="1"/>
  <c r="BL114" i="1"/>
  <c r="DL82" i="1"/>
  <c r="BN82" i="1"/>
  <c r="CY85" i="1"/>
  <c r="BO82" i="1"/>
  <c r="H53" i="1"/>
  <c r="I49" i="1"/>
  <c r="K49" i="1"/>
  <c r="C44" i="1"/>
  <c r="K44" i="1"/>
  <c r="BE296" i="1"/>
  <c r="BK161" i="1"/>
  <c r="BK156" i="1"/>
  <c r="BE169" i="1"/>
  <c r="BE26" i="1"/>
  <c r="BE25" i="1" s="1"/>
  <c r="BK160" i="1"/>
  <c r="J172" i="1"/>
  <c r="J178" i="1"/>
  <c r="BL397" i="1"/>
  <c r="BI166" i="1"/>
  <c r="G46" i="1"/>
  <c r="N45" i="1"/>
  <c r="BB18" i="1"/>
  <c r="BB15" i="1"/>
  <c r="BB41" i="1" s="1"/>
  <c r="M46" i="1"/>
  <c r="J48" i="1"/>
  <c r="C125" i="1"/>
  <c r="C252" i="1" s="1"/>
  <c r="D125" i="1"/>
  <c r="D252" i="1" s="1"/>
  <c r="N173" i="1"/>
  <c r="N125" i="1"/>
  <c r="N252" i="1" s="1"/>
  <c r="C129" i="1"/>
  <c r="S177" i="1"/>
  <c r="S129" i="1"/>
  <c r="S256" i="1" s="1"/>
  <c r="D50" i="1"/>
  <c r="AD54" i="1"/>
  <c r="BJ70" i="1"/>
  <c r="BS132" i="1"/>
  <c r="M15" i="1"/>
  <c r="M18" i="1"/>
  <c r="K50" i="1"/>
  <c r="I310" i="1"/>
  <c r="I342" i="1" s="1"/>
  <c r="I246" i="1"/>
  <c r="I262" i="1" s="1"/>
  <c r="N128" i="1"/>
  <c r="N255" i="1" s="1"/>
  <c r="N176" i="1"/>
  <c r="S51" i="1"/>
  <c r="O48" i="1"/>
  <c r="P127" i="1"/>
  <c r="P254" i="1" s="1"/>
  <c r="P175" i="1"/>
  <c r="BL228" i="1"/>
  <c r="BL260" i="1"/>
  <c r="W46" i="1"/>
  <c r="I174" i="1"/>
  <c r="AC50" i="1"/>
  <c r="M26" i="3"/>
  <c r="BK251" i="1"/>
  <c r="BK219" i="1"/>
  <c r="BL277" i="1"/>
  <c r="BK277" i="1"/>
  <c r="BM277" i="1" s="1"/>
  <c r="BN277" i="1"/>
  <c r="L261" i="1"/>
  <c r="O182" i="1"/>
  <c r="O134" i="1"/>
  <c r="O261" i="1" s="1"/>
  <c r="E128" i="1"/>
  <c r="E130" i="1"/>
  <c r="S178" i="1"/>
  <c r="S130" i="1"/>
  <c r="S257" i="1" s="1"/>
  <c r="BO241" i="1"/>
  <c r="H20" i="1"/>
  <c r="BM275" i="1"/>
  <c r="BL275" i="1"/>
  <c r="BL278" i="1" s="1"/>
  <c r="BK275" i="1"/>
  <c r="BS275" i="1" s="1"/>
  <c r="M179" i="1"/>
  <c r="M131" i="1"/>
  <c r="M258" i="1" s="1"/>
  <c r="BJ404" i="1"/>
  <c r="BI70" i="1"/>
  <c r="J55" i="1"/>
  <c r="W45" i="1"/>
  <c r="R129" i="1"/>
  <c r="R256" i="1" s="1"/>
  <c r="R177" i="1"/>
  <c r="C262" i="1"/>
  <c r="N47" i="1"/>
  <c r="P50" i="1"/>
  <c r="BT274" i="1"/>
  <c r="O55" i="4"/>
  <c r="O108" i="3"/>
  <c r="Q45" i="4"/>
  <c r="P55" i="4"/>
  <c r="BK400" i="1"/>
  <c r="BL400" i="1"/>
  <c r="N62" i="4"/>
  <c r="N42" i="4"/>
  <c r="BP395" i="1"/>
  <c r="BK386" i="1"/>
  <c r="BN246" i="1"/>
  <c r="AM263" i="1"/>
  <c r="BL237" i="1"/>
  <c r="AD263" i="1"/>
  <c r="BE343" i="1"/>
  <c r="BE36" i="1" s="1"/>
  <c r="BE344" i="1" s="1"/>
  <c r="L132" i="1"/>
  <c r="L259" i="1" s="1"/>
  <c r="BH184" i="1"/>
  <c r="K135" i="1"/>
  <c r="K262" i="1" s="1"/>
  <c r="U263" i="1"/>
  <c r="AN26" i="1"/>
  <c r="AN25" i="1" s="1"/>
  <c r="AN169" i="1"/>
  <c r="BK290" i="1"/>
  <c r="Q47" i="1"/>
  <c r="BL141" i="1"/>
  <c r="BN141" i="1" s="1"/>
  <c r="AC54" i="1"/>
  <c r="DL81" i="1"/>
  <c r="BO81" i="1"/>
  <c r="BN81" i="1"/>
  <c r="CY84" i="1"/>
  <c r="BL113" i="1"/>
  <c r="BL97" i="1" s="1"/>
  <c r="AD53" i="1"/>
  <c r="AE49" i="1"/>
  <c r="AF46" i="1"/>
  <c r="BL148" i="1"/>
  <c r="AH44" i="1"/>
  <c r="I173" i="1"/>
  <c r="F175" i="1"/>
  <c r="D177" i="1"/>
  <c r="G177" i="1"/>
  <c r="N15" i="1"/>
  <c r="N18" i="1"/>
  <c r="Q128" i="1"/>
  <c r="Q255" i="1" s="1"/>
  <c r="Q176" i="1"/>
  <c r="C45" i="1"/>
  <c r="M45" i="1"/>
  <c r="AF48" i="1"/>
  <c r="M175" i="1"/>
  <c r="M127" i="1"/>
  <c r="M254" i="1" s="1"/>
  <c r="L126" i="1"/>
  <c r="O174" i="1"/>
  <c r="O126" i="1"/>
  <c r="O253" i="1" s="1"/>
  <c r="J130" i="1"/>
  <c r="J257" i="1" s="1"/>
  <c r="M130" i="1"/>
  <c r="M257" i="1" s="1"/>
  <c r="M178" i="1"/>
  <c r="AX169" i="1"/>
  <c r="AX26" i="1"/>
  <c r="AX25" i="1" s="1"/>
  <c r="M50" i="1"/>
  <c r="Z50" i="1"/>
  <c r="AE54" i="1"/>
  <c r="M311" i="1"/>
  <c r="F251" i="1"/>
  <c r="O179" i="1"/>
  <c r="O131" i="1"/>
  <c r="O258" i="1" s="1"/>
  <c r="DK84" i="1"/>
  <c r="BK116" i="1"/>
  <c r="BK100" i="1" s="1"/>
  <c r="CX87" i="1"/>
  <c r="L53" i="1"/>
  <c r="H54" i="1"/>
  <c r="BG498" i="1"/>
  <c r="BN241" i="1"/>
  <c r="BQ241" i="1" s="1"/>
  <c r="I51" i="1"/>
  <c r="BL6" i="1"/>
  <c r="Q331" i="1"/>
  <c r="Q343" i="1" s="1"/>
  <c r="Q36" i="1" s="1"/>
  <c r="Q311" i="1"/>
  <c r="AG52" i="1"/>
  <c r="BG507" i="1"/>
  <c r="CR222" i="1"/>
  <c r="BK226" i="1"/>
  <c r="CS229" i="1" s="1"/>
  <c r="BK258" i="1"/>
  <c r="P54" i="1"/>
  <c r="M111" i="3"/>
  <c r="O105" i="2"/>
  <c r="O110" i="2"/>
  <c r="Q43" i="4"/>
  <c r="BL505" i="1"/>
  <c r="BI505" i="1" s="1"/>
  <c r="M38" i="4"/>
  <c r="BK287" i="1"/>
  <c r="G261" i="1"/>
  <c r="BJ161" i="1"/>
  <c r="BO236" i="1"/>
  <c r="BG331" i="1"/>
  <c r="BG343" i="1" s="1"/>
  <c r="BG36" i="1" s="1"/>
  <c r="BG344" i="1" s="1"/>
  <c r="BG311" i="1"/>
  <c r="E260" i="1"/>
  <c r="BE311" i="1"/>
  <c r="E181" i="1"/>
  <c r="BP239" i="1"/>
  <c r="R179" i="1"/>
  <c r="R131" i="1"/>
  <c r="R258" i="1" s="1"/>
  <c r="BJ159" i="1"/>
  <c r="BK285" i="1"/>
  <c r="BR132" i="1"/>
  <c r="BM241" i="1"/>
  <c r="Q182" i="1"/>
  <c r="Q134" i="1"/>
  <c r="Q261" i="1" s="1"/>
  <c r="N175" i="1"/>
  <c r="N127" i="1"/>
  <c r="N254" i="1" s="1"/>
  <c r="D181" i="1"/>
  <c r="BK101" i="1"/>
  <c r="BK115" i="1"/>
  <c r="BK99" i="1" s="1"/>
  <c r="CX86" i="1"/>
  <c r="DK83" i="1"/>
  <c r="BP132" i="1"/>
  <c r="BJ100" i="1"/>
  <c r="BM141" i="1"/>
  <c r="N53" i="1"/>
  <c r="J253" i="1"/>
  <c r="I252" i="1"/>
  <c r="I53" i="1"/>
  <c r="J49" i="1"/>
  <c r="D46" i="1"/>
  <c r="BF296" i="1"/>
  <c r="BF169" i="1"/>
  <c r="BF26" i="1"/>
  <c r="L44" i="1"/>
  <c r="F180" i="1"/>
  <c r="AT18" i="1"/>
  <c r="AT15" i="1"/>
  <c r="AT41" i="1" s="1"/>
  <c r="AG46" i="1"/>
  <c r="O45" i="1"/>
  <c r="AW18" i="1"/>
  <c r="AW15" i="1"/>
  <c r="AW41" i="1" s="1"/>
  <c r="BA18" i="1"/>
  <c r="BA15" i="1"/>
  <c r="BA41" i="1" s="1"/>
  <c r="L46" i="1"/>
  <c r="K48" i="1"/>
  <c r="C130" i="1"/>
  <c r="Q127" i="1"/>
  <c r="Q254" i="1" s="1"/>
  <c r="Q175" i="1"/>
  <c r="G130" i="1"/>
  <c r="G257" i="1" s="1"/>
  <c r="F134" i="1"/>
  <c r="F261" i="1" s="1"/>
  <c r="G131" i="1"/>
  <c r="G258" i="1" s="1"/>
  <c r="AH54" i="1"/>
  <c r="L50" i="1"/>
  <c r="H182" i="1"/>
  <c r="J32" i="3"/>
  <c r="J129" i="3"/>
  <c r="K129" i="3" s="1"/>
  <c r="L113" i="3"/>
  <c r="BJ419" i="1"/>
  <c r="S172" i="1"/>
  <c r="S184" i="1" s="1"/>
  <c r="S124" i="1"/>
  <c r="S251" i="1" s="1"/>
  <c r="BJ166" i="1"/>
  <c r="M52" i="1"/>
  <c r="AD52" i="1"/>
  <c r="V47" i="1"/>
  <c r="Z53" i="1"/>
  <c r="AC52" i="1"/>
  <c r="U47" i="1"/>
  <c r="N44" i="1"/>
  <c r="AB52" i="1"/>
  <c r="P47" i="1"/>
  <c r="F47" i="1"/>
  <c r="T52" i="1"/>
  <c r="AA52" i="1"/>
  <c r="L47" i="1"/>
  <c r="AH51" i="1"/>
  <c r="Z52" i="1"/>
  <c r="K47" i="1"/>
  <c r="G44" i="1"/>
  <c r="E51" i="1"/>
  <c r="Y52" i="1"/>
  <c r="J47" i="1"/>
  <c r="AH49" i="1"/>
  <c r="E47" i="1"/>
  <c r="X52" i="1"/>
  <c r="I47" i="1"/>
  <c r="AE44" i="1"/>
  <c r="W52" i="1"/>
  <c r="H47" i="1"/>
  <c r="U52" i="1"/>
  <c r="AH47" i="1"/>
  <c r="V52" i="1"/>
  <c r="G47" i="1"/>
  <c r="D51" i="1"/>
  <c r="AD44" i="1"/>
  <c r="S52" i="1"/>
  <c r="AG47" i="1"/>
  <c r="D47" i="1"/>
  <c r="AA44" i="1"/>
  <c r="I52" i="1"/>
  <c r="AE51" i="1"/>
  <c r="AE47" i="1"/>
  <c r="Y44" i="1"/>
  <c r="R52" i="1"/>
  <c r="AF47" i="1"/>
  <c r="C47" i="1"/>
  <c r="Z44" i="1"/>
  <c r="W53" i="1"/>
  <c r="W49" i="1"/>
  <c r="Y51" i="1"/>
  <c r="AI10" i="1"/>
  <c r="AI11" i="1" s="1"/>
  <c r="AI16" i="1" s="1"/>
  <c r="X51" i="1"/>
  <c r="S53" i="1"/>
  <c r="Y47" i="1"/>
  <c r="O53" i="1"/>
  <c r="AG45" i="1"/>
  <c r="AA51" i="1"/>
  <c r="W51" i="1"/>
  <c r="V49" i="1"/>
  <c r="AA55" i="1"/>
  <c r="X47" i="1"/>
  <c r="U44" i="1"/>
  <c r="AB51" i="1"/>
  <c r="K54" i="1"/>
  <c r="AH55" i="1"/>
  <c r="AE52" i="1"/>
  <c r="U49" i="1"/>
  <c r="V53" i="1"/>
  <c r="S44" i="1"/>
  <c r="AG55" i="1"/>
  <c r="H52" i="1"/>
  <c r="T49" i="1"/>
  <c r="Z47" i="1"/>
  <c r="AC48" i="1"/>
  <c r="E48" i="1"/>
  <c r="AF55" i="1"/>
  <c r="G52" i="1"/>
  <c r="S49" i="1"/>
  <c r="I50" i="1"/>
  <c r="G50" i="1"/>
  <c r="Z45" i="1"/>
  <c r="AE55" i="1"/>
  <c r="F52" i="1"/>
  <c r="R49" i="1"/>
  <c r="AH50" i="1"/>
  <c r="Q53" i="1"/>
  <c r="F50" i="1"/>
  <c r="AD51" i="1"/>
  <c r="C48" i="1"/>
  <c r="AD55" i="1"/>
  <c r="E52" i="1"/>
  <c r="Q49" i="1"/>
  <c r="AC47" i="1"/>
  <c r="X44" i="1"/>
  <c r="R44" i="1"/>
  <c r="L54" i="1"/>
  <c r="Q44" i="1"/>
  <c r="AC55" i="1"/>
  <c r="D52" i="1"/>
  <c r="P49" i="1"/>
  <c r="R53" i="1"/>
  <c r="W47" i="1"/>
  <c r="AC51" i="1"/>
  <c r="AF45" i="1"/>
  <c r="D48" i="1"/>
  <c r="Z51" i="1"/>
  <c r="AB55" i="1"/>
  <c r="C52" i="1"/>
  <c r="O49" i="1"/>
  <c r="AD47" i="1"/>
  <c r="W44" i="1"/>
  <c r="AH45" i="1"/>
  <c r="AE45" i="1"/>
  <c r="P44" i="1"/>
  <c r="C55" i="1"/>
  <c r="U53" i="1"/>
  <c r="AB47" i="1"/>
  <c r="T53" i="1"/>
  <c r="J50" i="1"/>
  <c r="AA47" i="1"/>
  <c r="H50" i="1"/>
  <c r="P53" i="1"/>
  <c r="T44" i="1"/>
  <c r="F48" i="1"/>
  <c r="AB50" i="1"/>
  <c r="O64" i="4"/>
  <c r="M120" i="3"/>
  <c r="M23" i="3"/>
  <c r="M343" i="1"/>
  <c r="M36" i="1" s="1"/>
  <c r="BL273" i="1"/>
  <c r="BS273" i="1" s="1"/>
  <c r="BR273" i="1"/>
  <c r="BM273" i="1"/>
  <c r="BU273" i="1" s="1"/>
  <c r="BQ273" i="1"/>
  <c r="BN273" i="1"/>
  <c r="S128" i="1"/>
  <c r="S255" i="1" s="1"/>
  <c r="S176" i="1"/>
  <c r="S45" i="1"/>
  <c r="BH311" i="1"/>
  <c r="BH310" i="1" s="1"/>
  <c r="BH342" i="1" s="1"/>
  <c r="BH343" i="1" s="1"/>
  <c r="BH36" i="1" s="1"/>
  <c r="BH344" i="1" s="1"/>
  <c r="BH312" i="1"/>
  <c r="L28" i="3"/>
  <c r="I299" i="1"/>
  <c r="I235" i="1"/>
  <c r="I251" i="1" s="1"/>
  <c r="I256" i="1"/>
  <c r="BL83" i="1"/>
  <c r="BJ115" i="1"/>
  <c r="BM115" i="1" s="1"/>
  <c r="CW86" i="1"/>
  <c r="DJ83" i="1"/>
  <c r="BJ20" i="1"/>
  <c r="BK276" i="1"/>
  <c r="BM276" i="1" s="1"/>
  <c r="BT276" i="1"/>
  <c r="BS276" i="1"/>
  <c r="BR276" i="1"/>
  <c r="BN276" i="1"/>
  <c r="BP276" i="1"/>
  <c r="BP278" i="1" s="1"/>
  <c r="BM268" i="1"/>
  <c r="BT268" i="1" s="1"/>
  <c r="BR268" i="1"/>
  <c r="BL268" i="1"/>
  <c r="BN268" i="1" s="1"/>
  <c r="BJ63" i="1"/>
  <c r="Q39" i="3"/>
  <c r="P39" i="3"/>
  <c r="O39" i="3"/>
  <c r="N39" i="3"/>
  <c r="M39" i="3"/>
  <c r="S39" i="3" s="1"/>
  <c r="BL276" i="1"/>
  <c r="BB169" i="1"/>
  <c r="BB26" i="1"/>
  <c r="BB25" i="1" s="1"/>
  <c r="BK286" i="1"/>
  <c r="BI292" i="1"/>
  <c r="D255" i="1"/>
  <c r="N129" i="1"/>
  <c r="N256" i="1" s="1"/>
  <c r="N177" i="1"/>
  <c r="H131" i="1"/>
  <c r="H258" i="1" s="1"/>
  <c r="J129" i="1"/>
  <c r="J256" i="1" s="1"/>
  <c r="BJ286" i="1"/>
  <c r="BL261" i="1"/>
  <c r="BL229" i="1"/>
  <c r="BM242" i="1"/>
  <c r="BN243" i="1"/>
  <c r="BQ276" i="1"/>
  <c r="X48" i="1"/>
  <c r="AF50" i="1"/>
  <c r="E300" i="1"/>
  <c r="E236" i="1"/>
  <c r="E252" i="1" s="1"/>
  <c r="BF343" i="1"/>
  <c r="BF36" i="1" s="1"/>
  <c r="BF344" i="1" s="1"/>
  <c r="AO331" i="1"/>
  <c r="AO343" i="1" s="1"/>
  <c r="AO36" i="1" s="1"/>
  <c r="AO311" i="1"/>
  <c r="Z49" i="1"/>
  <c r="J54" i="1"/>
  <c r="S182" i="1"/>
  <c r="S134" i="1"/>
  <c r="S261" i="1" s="1"/>
  <c r="G301" i="1"/>
  <c r="G333" i="1" s="1"/>
  <c r="G237" i="1"/>
  <c r="BK110" i="1"/>
  <c r="BK94" i="1" s="1"/>
  <c r="DK78" i="1"/>
  <c r="CX81" i="1"/>
  <c r="Q54" i="4"/>
  <c r="V263" i="1"/>
  <c r="BS271" i="1"/>
  <c r="BR271" i="1"/>
  <c r="BN271" i="1"/>
  <c r="BL271" i="1"/>
  <c r="BM271" i="1"/>
  <c r="AA53" i="1"/>
  <c r="BQ267" i="1"/>
  <c r="BK165" i="1"/>
  <c r="O63" i="3"/>
  <c r="N63" i="3"/>
  <c r="M63" i="3"/>
  <c r="S63" i="3" s="1"/>
  <c r="L63" i="3"/>
  <c r="R63" i="3" s="1"/>
  <c r="P63" i="3"/>
  <c r="L26" i="3"/>
  <c r="N108" i="3"/>
  <c r="O56" i="4"/>
  <c r="Q56" i="4" s="1"/>
  <c r="M106" i="3"/>
  <c r="J123" i="3"/>
  <c r="N107" i="3"/>
  <c r="P107" i="3" s="1"/>
  <c r="O107" i="3"/>
  <c r="J26" i="3"/>
  <c r="N39" i="4"/>
  <c r="BJ293" i="1"/>
  <c r="BG503" i="1"/>
  <c r="BJ288" i="1"/>
  <c r="BJ289" i="1"/>
  <c r="BD37" i="1"/>
  <c r="BL378" i="1"/>
  <c r="E238" i="1"/>
  <c r="E254" i="1" s="1"/>
  <c r="E302" i="1"/>
  <c r="E334" i="1" s="1"/>
  <c r="J310" i="1"/>
  <c r="J342" i="1" s="1"/>
  <c r="J246" i="1"/>
  <c r="J262" i="1" s="1"/>
  <c r="L307" i="1"/>
  <c r="L339" i="1" s="1"/>
  <c r="C180" i="1"/>
  <c r="R135" i="1"/>
  <c r="R262" i="1" s="1"/>
  <c r="R183" i="1"/>
  <c r="K255" i="1"/>
  <c r="F129" i="1"/>
  <c r="BM272" i="1"/>
  <c r="BN272" i="1"/>
  <c r="BL272" i="1"/>
  <c r="F125" i="1"/>
  <c r="BK97" i="1"/>
  <c r="BQ129" i="1"/>
  <c r="W55" i="1"/>
  <c r="BQ132" i="1"/>
  <c r="BJ64" i="1"/>
  <c r="S55" i="1"/>
  <c r="BJ117" i="1"/>
  <c r="BL117" i="1" s="1"/>
  <c r="DJ85" i="1"/>
  <c r="BM85" i="1"/>
  <c r="BO85" i="1" s="1"/>
  <c r="CX76" i="1"/>
  <c r="BO126" i="1"/>
  <c r="BJ67" i="1"/>
  <c r="BD13" i="1"/>
  <c r="BD15" i="1" s="1"/>
  <c r="BD41" i="1" s="1"/>
  <c r="BJ69" i="1"/>
  <c r="N51" i="1"/>
  <c r="D20" i="1"/>
  <c r="BM109" i="1"/>
  <c r="AE53" i="1"/>
  <c r="AF49" i="1"/>
  <c r="P55" i="1"/>
  <c r="AN15" i="1"/>
  <c r="AN18" i="1"/>
  <c r="BL135" i="1"/>
  <c r="BL262" i="1" s="1"/>
  <c r="BP140" i="1"/>
  <c r="K172" i="1"/>
  <c r="H183" i="1"/>
  <c r="K182" i="1"/>
  <c r="BM397" i="1"/>
  <c r="H173" i="1"/>
  <c r="BM131" i="1"/>
  <c r="AS18" i="1"/>
  <c r="AS15" i="1"/>
  <c r="AS41" i="1" s="1"/>
  <c r="P45" i="1"/>
  <c r="AZ34" i="1"/>
  <c r="AZ312" i="1" s="1"/>
  <c r="AG48" i="1"/>
  <c r="P132" i="1"/>
  <c r="P259" i="1" s="1"/>
  <c r="P180" i="1"/>
  <c r="D130" i="1"/>
  <c r="D257" i="1" s="1"/>
  <c r="J131" i="1"/>
  <c r="J258" i="1" s="1"/>
  <c r="S135" i="1"/>
  <c r="S262" i="1" s="1"/>
  <c r="S183" i="1"/>
  <c r="R181" i="1"/>
  <c r="R133" i="1"/>
  <c r="R260" i="1" s="1"/>
  <c r="N50" i="1"/>
  <c r="AA50" i="1"/>
  <c r="I46" i="1"/>
  <c r="L27" i="3"/>
  <c r="N44" i="3"/>
  <c r="M44" i="3"/>
  <c r="S44" i="3" s="1"/>
  <c r="L44" i="3"/>
  <c r="R44" i="3" s="1"/>
  <c r="O125" i="1"/>
  <c r="O252" i="1" s="1"/>
  <c r="O173" i="1"/>
  <c r="BO278" i="1"/>
  <c r="P174" i="1"/>
  <c r="P126" i="1"/>
  <c r="P253" i="1" s="1"/>
  <c r="O104" i="3"/>
  <c r="G83" i="4"/>
  <c r="G12" i="4"/>
  <c r="AP169" i="1"/>
  <c r="AP26" i="1"/>
  <c r="AP25" i="1" s="1"/>
  <c r="BK62" i="1"/>
  <c r="BK399" i="1"/>
  <c r="AW343" i="1"/>
  <c r="AW36" i="1" s="1"/>
  <c r="AW344" i="1" s="1"/>
  <c r="BV100" i="1"/>
  <c r="CP100" i="1"/>
  <c r="L331" i="1"/>
  <c r="L343" i="1" s="1"/>
  <c r="L36" i="1" s="1"/>
  <c r="L311" i="1"/>
  <c r="BT277" i="1"/>
  <c r="P183" i="1"/>
  <c r="P135" i="1"/>
  <c r="P262" i="1" s="1"/>
  <c r="BF25" i="1"/>
  <c r="O45" i="3"/>
  <c r="N45" i="3"/>
  <c r="M45" i="3"/>
  <c r="S45" i="3" s="1"/>
  <c r="L45" i="3"/>
  <c r="R45" i="3" s="1"/>
  <c r="P45" i="3"/>
  <c r="BM220" i="1"/>
  <c r="E129" i="1"/>
  <c r="E256" i="1" s="1"/>
  <c r="U55" i="1"/>
  <c r="L49" i="1"/>
  <c r="K114" i="3"/>
  <c r="O111" i="3"/>
  <c r="J24" i="3"/>
  <c r="M105" i="3"/>
  <c r="L105" i="3"/>
  <c r="J121" i="3"/>
  <c r="M126" i="3"/>
  <c r="M29" i="3"/>
  <c r="J125" i="3"/>
  <c r="K125" i="3" s="1"/>
  <c r="L125" i="3" s="1"/>
  <c r="J28" i="3"/>
  <c r="N109" i="3"/>
  <c r="M109" i="3"/>
  <c r="B12" i="2"/>
  <c r="B83" i="2"/>
  <c r="R38" i="3"/>
  <c r="R49" i="3" s="1"/>
  <c r="BJ291" i="1"/>
  <c r="BJ284" i="1"/>
  <c r="BM378" i="1"/>
  <c r="H237" i="1"/>
  <c r="H253" i="1" s="1"/>
  <c r="K309" i="1"/>
  <c r="K341" i="1" s="1"/>
  <c r="K245" i="1"/>
  <c r="N311" i="1"/>
  <c r="N331" i="1"/>
  <c r="N343" i="1" s="1"/>
  <c r="N36" i="1" s="1"/>
  <c r="H260" i="1"/>
  <c r="BK288" i="1"/>
  <c r="BL236" i="1"/>
  <c r="F256" i="1"/>
  <c r="G133" i="1"/>
  <c r="M128" i="1"/>
  <c r="M255" i="1" s="1"/>
  <c r="M176" i="1"/>
  <c r="BJ158" i="1"/>
  <c r="BK260" i="1"/>
  <c r="BK228" i="1"/>
  <c r="CT219" i="1" s="1"/>
  <c r="BO244" i="1"/>
  <c r="BK162" i="1"/>
  <c r="L131" i="1"/>
  <c r="L258" i="1" s="1"/>
  <c r="M172" i="1"/>
  <c r="M124" i="1"/>
  <c r="M251" i="1" s="1"/>
  <c r="BV93" i="1"/>
  <c r="CP93" i="1"/>
  <c r="F135" i="1"/>
  <c r="BM150" i="1"/>
  <c r="K183" i="1"/>
  <c r="P52" i="1"/>
  <c r="T55" i="1"/>
  <c r="AH52" i="1"/>
  <c r="BJ102" i="1"/>
  <c r="BJ89" i="1"/>
  <c r="L135" i="1"/>
  <c r="L262" i="1" s="1"/>
  <c r="K258" i="1"/>
  <c r="I20" i="1"/>
  <c r="J53" i="1"/>
  <c r="H254" i="1"/>
  <c r="AG54" i="1"/>
  <c r="H44" i="1"/>
  <c r="BJ65" i="1"/>
  <c r="BL65" i="1" s="1"/>
  <c r="O51" i="1"/>
  <c r="BJ227" i="1"/>
  <c r="CR230" i="1" s="1"/>
  <c r="BJ259" i="1"/>
  <c r="BK64" i="1"/>
  <c r="H174" i="1"/>
  <c r="F183" i="1"/>
  <c r="G172" i="1"/>
  <c r="AK15" i="1"/>
  <c r="AK18" i="1"/>
  <c r="C175" i="1"/>
  <c r="L45" i="1"/>
  <c r="P48" i="1"/>
  <c r="N48" i="1"/>
  <c r="O178" i="1"/>
  <c r="O130" i="1"/>
  <c r="O257" i="1" s="1"/>
  <c r="F131" i="1"/>
  <c r="F258" i="1" s="1"/>
  <c r="C134" i="1"/>
  <c r="C261" i="1" s="1"/>
  <c r="J124" i="1"/>
  <c r="J251" i="1" s="1"/>
  <c r="N134" i="1"/>
  <c r="N261" i="1" s="1"/>
  <c r="N182" i="1"/>
  <c r="AW169" i="1"/>
  <c r="AW26" i="1"/>
  <c r="AW25" i="1" s="1"/>
  <c r="Q50" i="1"/>
  <c r="BL394" i="1"/>
  <c r="BK394" i="1"/>
  <c r="BJ92" i="1"/>
  <c r="O128" i="1"/>
  <c r="O255" i="1" s="1"/>
  <c r="O176" i="1"/>
  <c r="C301" i="1"/>
  <c r="C333" i="1" s="1"/>
  <c r="C237" i="1"/>
  <c r="C253" i="1" s="1"/>
  <c r="BJ103" i="1"/>
  <c r="BK63" i="1"/>
  <c r="M182" i="1"/>
  <c r="M134" i="1"/>
  <c r="M261" i="1" s="1"/>
  <c r="P178" i="1"/>
  <c r="P130" i="1"/>
  <c r="P257" i="1" s="1"/>
  <c r="AV18" i="1"/>
  <c r="AV15" i="1"/>
  <c r="AV41" i="1" s="1"/>
  <c r="F300" i="1"/>
  <c r="F332" i="1" s="1"/>
  <c r="F236" i="1"/>
  <c r="DL85" i="1"/>
  <c r="U48" i="1"/>
  <c r="I309" i="1"/>
  <c r="I341" i="1" s="1"/>
  <c r="I245" i="1"/>
  <c r="I261" i="1" s="1"/>
  <c r="E251" i="1"/>
  <c r="S48" i="1"/>
  <c r="AX18" i="1"/>
  <c r="AX15" i="1"/>
  <c r="AX41" i="1" s="1"/>
  <c r="AU263" i="1"/>
  <c r="M44" i="1"/>
  <c r="BJ98" i="1"/>
  <c r="G126" i="1"/>
  <c r="M54" i="3"/>
  <c r="Q54" i="3"/>
  <c r="Q65" i="3" s="1"/>
  <c r="P54" i="3"/>
  <c r="P65" i="3" s="1"/>
  <c r="O54" i="3"/>
  <c r="O65" i="3" s="1"/>
  <c r="N54" i="3"/>
  <c r="N65" i="3" s="1"/>
  <c r="AV40" i="1"/>
  <c r="AY343" i="1"/>
  <c r="AY36" i="1" s="1"/>
  <c r="AY344" i="1" s="1"/>
  <c r="BK158" i="1"/>
  <c r="W54" i="1"/>
  <c r="M53" i="1"/>
  <c r="H178" i="1"/>
  <c r="BK61" i="1"/>
  <c r="R132" i="1"/>
  <c r="R259" i="1" s="1"/>
  <c r="R180" i="1"/>
  <c r="P45" i="4"/>
  <c r="R45" i="4" s="1"/>
  <c r="CR93" i="1"/>
  <c r="BX93" i="1"/>
  <c r="L173" i="1"/>
  <c r="BK98" i="1"/>
  <c r="AA46" i="1"/>
  <c r="X45" i="1"/>
  <c r="K20" i="1"/>
  <c r="P129" i="1"/>
  <c r="P256" i="1" s="1"/>
  <c r="P177" i="1"/>
  <c r="K124" i="3"/>
  <c r="L124" i="3" s="1"/>
  <c r="K27" i="3"/>
  <c r="BU268" i="1"/>
  <c r="AU311" i="1"/>
  <c r="D307" i="1"/>
  <c r="D339" i="1" s="1"/>
  <c r="D243" i="1"/>
  <c r="D259" i="1" s="1"/>
  <c r="Q55" i="1"/>
  <c r="N103" i="3"/>
  <c r="O54" i="4"/>
  <c r="S54" i="4" s="1"/>
  <c r="L119" i="3"/>
  <c r="L22" i="3"/>
  <c r="J127" i="3"/>
  <c r="K127" i="3" s="1"/>
  <c r="L127" i="3" s="1"/>
  <c r="J30" i="3"/>
  <c r="N23" i="3"/>
  <c r="L107" i="2"/>
  <c r="L112" i="2"/>
  <c r="L106" i="2"/>
  <c r="L109" i="2"/>
  <c r="L108" i="2"/>
  <c r="L113" i="2"/>
  <c r="L104" i="2"/>
  <c r="N104" i="2" s="1"/>
  <c r="L111" i="2"/>
  <c r="L114" i="2"/>
  <c r="L105" i="2"/>
  <c r="L110" i="2"/>
  <c r="L103" i="2"/>
  <c r="L48" i="4"/>
  <c r="S38" i="3"/>
  <c r="S49" i="3" s="1"/>
  <c r="M49" i="3"/>
  <c r="N38" i="4"/>
  <c r="AS311" i="1"/>
  <c r="AH331" i="1"/>
  <c r="AH343" i="1" s="1"/>
  <c r="AH36" i="1" s="1"/>
  <c r="AH311" i="1"/>
  <c r="BN378" i="1"/>
  <c r="K236" i="1"/>
  <c r="K252" i="1" s="1"/>
  <c r="BN240" i="1"/>
  <c r="BJ290" i="1"/>
  <c r="K244" i="1"/>
  <c r="K260" i="1" s="1"/>
  <c r="K308" i="1"/>
  <c r="K340" i="1" s="1"/>
  <c r="BR277" i="1"/>
  <c r="I259" i="1"/>
  <c r="BK253" i="1"/>
  <c r="AK311" i="1"/>
  <c r="BK284" i="1"/>
  <c r="C257" i="1"/>
  <c r="M132" i="1"/>
  <c r="M259" i="1" s="1"/>
  <c r="M180" i="1"/>
  <c r="E126" i="1"/>
  <c r="O135" i="1"/>
  <c r="O262" i="1" s="1"/>
  <c r="O183" i="1"/>
  <c r="BJ157" i="1"/>
  <c r="R178" i="1"/>
  <c r="R130" i="1"/>
  <c r="R257" i="1" s="1"/>
  <c r="BD311" i="1"/>
  <c r="L134" i="1"/>
  <c r="BK147" i="1"/>
  <c r="BL127" i="1"/>
  <c r="L52" i="1"/>
  <c r="BJ66" i="1"/>
  <c r="BQ134" i="1"/>
  <c r="BK102" i="1"/>
  <c r="N49" i="1"/>
  <c r="F253" i="1"/>
  <c r="AF53" i="1"/>
  <c r="J182" i="1"/>
  <c r="BK87" i="1"/>
  <c r="BP76" i="1"/>
  <c r="BR76" i="1" s="1"/>
  <c r="BM108" i="1"/>
  <c r="P51" i="1"/>
  <c r="K173" i="1"/>
  <c r="G175" i="1"/>
  <c r="O15" i="1"/>
  <c r="O18" i="1"/>
  <c r="AY34" i="1"/>
  <c r="AY312" i="1" s="1"/>
  <c r="Q45" i="1"/>
  <c r="P181" i="1"/>
  <c r="P133" i="1"/>
  <c r="P260" i="1" s="1"/>
  <c r="C178" i="1"/>
  <c r="AF25" i="1"/>
  <c r="BJ68" i="1"/>
  <c r="AZ18" i="1"/>
  <c r="AZ15" i="1"/>
  <c r="AZ41" i="1" s="1"/>
  <c r="G48" i="1"/>
  <c r="I181" i="1"/>
  <c r="I184" i="1" s="1"/>
  <c r="F127" i="1"/>
  <c r="F254" i="1" s="1"/>
  <c r="Q132" i="1"/>
  <c r="Q259" i="1" s="1"/>
  <c r="Q180" i="1"/>
  <c r="G135" i="1"/>
  <c r="R173" i="1"/>
  <c r="R125" i="1"/>
  <c r="R252" i="1" s="1"/>
  <c r="H135" i="1"/>
  <c r="BP144" i="1"/>
  <c r="R50" i="1"/>
  <c r="J46" i="1"/>
  <c r="D12" i="4" l="1"/>
  <c r="BK500" i="1"/>
  <c r="BH500" i="1" s="1"/>
  <c r="BK504" i="1"/>
  <c r="BH504" i="1" s="1"/>
  <c r="BK502" i="1"/>
  <c r="BH502" i="1" s="1"/>
  <c r="BI485" i="1"/>
  <c r="BI493" i="1"/>
  <c r="BJ493" i="1" s="1"/>
  <c r="BI487" i="1"/>
  <c r="E16" i="4"/>
  <c r="E7" i="4"/>
  <c r="BH420" i="1"/>
  <c r="H7" i="4"/>
  <c r="BM283" i="1"/>
  <c r="BO283" i="1" s="1"/>
  <c r="F16" i="4"/>
  <c r="F7" i="4"/>
  <c r="BH15" i="1"/>
  <c r="BH41" i="1" s="1"/>
  <c r="BH18" i="1"/>
  <c r="BK506" i="1"/>
  <c r="BH506" i="1" s="1"/>
  <c r="BJ294" i="1"/>
  <c r="BK503" i="1"/>
  <c r="BH503" i="1" s="1"/>
  <c r="BL503" i="1"/>
  <c r="BI503" i="1" s="1"/>
  <c r="BK498" i="1"/>
  <c r="BH498" i="1" s="1"/>
  <c r="BM285" i="1"/>
  <c r="BO285" i="1" s="1"/>
  <c r="BJ488" i="1"/>
  <c r="BK488" i="1" s="1"/>
  <c r="BI482" i="1"/>
  <c r="BL497" i="1"/>
  <c r="BI497" i="1" s="1"/>
  <c r="BK497" i="1"/>
  <c r="BH497" i="1" s="1"/>
  <c r="P417" i="1"/>
  <c r="P418" i="1" s="1"/>
  <c r="P423" i="1" s="1"/>
  <c r="P422" i="1" s="1"/>
  <c r="BK507" i="1"/>
  <c r="BH507" i="1" s="1"/>
  <c r="S417" i="1"/>
  <c r="S418" i="1" s="1"/>
  <c r="S423" i="1" s="1"/>
  <c r="S422" i="1" s="1"/>
  <c r="BK493" i="1"/>
  <c r="BL493" i="1" s="1"/>
  <c r="BM493" i="1" s="1"/>
  <c r="BM65" i="1"/>
  <c r="BO65" i="1" s="1"/>
  <c r="BN118" i="1"/>
  <c r="BJ99" i="1"/>
  <c r="DJ88" i="1"/>
  <c r="BR244" i="1"/>
  <c r="BN117" i="1"/>
  <c r="BP244" i="1"/>
  <c r="BQ244" i="1"/>
  <c r="BO253" i="1"/>
  <c r="M27" i="4"/>
  <c r="BE422" i="1"/>
  <c r="BE423" i="1" s="1"/>
  <c r="BE424" i="1"/>
  <c r="BF415" i="1" s="1"/>
  <c r="BF418" i="1" s="1"/>
  <c r="N23" i="2"/>
  <c r="P26" i="3"/>
  <c r="BL367" i="1"/>
  <c r="BN383" i="1"/>
  <c r="BO383" i="1"/>
  <c r="M123" i="3"/>
  <c r="BN278" i="1"/>
  <c r="BU267" i="1"/>
  <c r="L120" i="4"/>
  <c r="M120" i="4" s="1"/>
  <c r="L23" i="4"/>
  <c r="L114" i="4"/>
  <c r="L32" i="2"/>
  <c r="I83" i="4"/>
  <c r="I12" i="4"/>
  <c r="J123" i="4"/>
  <c r="K123" i="4" s="1"/>
  <c r="L123" i="4" s="1"/>
  <c r="J26" i="4"/>
  <c r="N107" i="4"/>
  <c r="M107" i="4"/>
  <c r="Q55" i="4"/>
  <c r="S55" i="4" s="1"/>
  <c r="R55" i="4"/>
  <c r="BM111" i="1"/>
  <c r="BM95" i="1" s="1"/>
  <c r="BK371" i="1"/>
  <c r="M30" i="2"/>
  <c r="S111" i="2"/>
  <c r="P184" i="1"/>
  <c r="K26" i="4"/>
  <c r="J31" i="4"/>
  <c r="J128" i="4"/>
  <c r="L112" i="4"/>
  <c r="BT129" i="1"/>
  <c r="N65" i="4"/>
  <c r="M112" i="4"/>
  <c r="BL387" i="1"/>
  <c r="R46" i="4"/>
  <c r="Q46" i="4"/>
  <c r="S46" i="4"/>
  <c r="K124" i="4"/>
  <c r="K27" i="4"/>
  <c r="J125" i="4"/>
  <c r="K125" i="4" s="1"/>
  <c r="J28" i="4"/>
  <c r="N109" i="4"/>
  <c r="M109" i="4"/>
  <c r="BP261" i="1"/>
  <c r="BR245" i="1"/>
  <c r="N27" i="3"/>
  <c r="BP256" i="1"/>
  <c r="AD417" i="1"/>
  <c r="AD418" i="1" s="1"/>
  <c r="AD423" i="1" s="1"/>
  <c r="AD422" i="1" s="1"/>
  <c r="L27" i="2"/>
  <c r="P61" i="4"/>
  <c r="P65" i="4" s="1"/>
  <c r="R61" i="4"/>
  <c r="N120" i="3"/>
  <c r="P120" i="3" s="1"/>
  <c r="BQ143" i="1"/>
  <c r="J131" i="3"/>
  <c r="K121" i="3"/>
  <c r="L121" i="3" s="1"/>
  <c r="E332" i="1"/>
  <c r="E311" i="1"/>
  <c r="BL115" i="1"/>
  <c r="BL99" i="1" s="1"/>
  <c r="CY86" i="1"/>
  <c r="DL83" i="1"/>
  <c r="BO83" i="1"/>
  <c r="BO226" i="1" s="1"/>
  <c r="BN83" i="1"/>
  <c r="BN285" i="1"/>
  <c r="S40" i="4"/>
  <c r="CR224" i="1"/>
  <c r="BJ231" i="1"/>
  <c r="M25" i="4"/>
  <c r="BM110" i="1"/>
  <c r="BM94" i="1" s="1"/>
  <c r="BM87" i="1"/>
  <c r="BM230" i="1" s="1"/>
  <c r="M28" i="2"/>
  <c r="K30" i="4"/>
  <c r="M32" i="4"/>
  <c r="BI120" i="1"/>
  <c r="BI103" i="1"/>
  <c r="BI104" i="1" s="1"/>
  <c r="L30" i="2"/>
  <c r="O111" i="2"/>
  <c r="BM158" i="1"/>
  <c r="BL158" i="1"/>
  <c r="BN158" i="1" s="1"/>
  <c r="BM118" i="1"/>
  <c r="BM102" i="1" s="1"/>
  <c r="BP86" i="1"/>
  <c r="BO86" i="1"/>
  <c r="BM229" i="1"/>
  <c r="N113" i="2"/>
  <c r="P113" i="2" s="1"/>
  <c r="J124" i="4"/>
  <c r="J27" i="4"/>
  <c r="O108" i="4"/>
  <c r="L108" i="4"/>
  <c r="L24" i="3"/>
  <c r="O105" i="3"/>
  <c r="L114" i="3"/>
  <c r="M29" i="4"/>
  <c r="CY81" i="1"/>
  <c r="BL110" i="1"/>
  <c r="BL94" i="1" s="1"/>
  <c r="BO78" i="1"/>
  <c r="DL78" i="1"/>
  <c r="BL87" i="1"/>
  <c r="BN78" i="1"/>
  <c r="M31" i="2"/>
  <c r="O112" i="2"/>
  <c r="R112" i="2" s="1"/>
  <c r="P112" i="2"/>
  <c r="BL293" i="1"/>
  <c r="BK293" i="1"/>
  <c r="K128" i="4"/>
  <c r="K31" i="4"/>
  <c r="K129" i="2"/>
  <c r="K32" i="2"/>
  <c r="R56" i="4"/>
  <c r="BK7" i="1"/>
  <c r="BL7" i="1" s="1"/>
  <c r="BL9" i="1" s="1"/>
  <c r="G184" i="1"/>
  <c r="M24" i="3"/>
  <c r="BU272" i="1"/>
  <c r="BS272" i="1"/>
  <c r="M26" i="2"/>
  <c r="K121" i="4"/>
  <c r="L121" i="4" s="1"/>
  <c r="K24" i="4"/>
  <c r="O105" i="4"/>
  <c r="Q105" i="4"/>
  <c r="N105" i="4"/>
  <c r="BU129" i="1"/>
  <c r="BQ259" i="1"/>
  <c r="P22" i="4"/>
  <c r="P111" i="2"/>
  <c r="BL92" i="1"/>
  <c r="BN124" i="1"/>
  <c r="L24" i="4"/>
  <c r="R104" i="4"/>
  <c r="L28" i="4"/>
  <c r="O27" i="3"/>
  <c r="BU276" i="1"/>
  <c r="BL159" i="1"/>
  <c r="BM159" i="1"/>
  <c r="N105" i="3"/>
  <c r="Q105" i="3" s="1"/>
  <c r="BT272" i="1"/>
  <c r="BU271" i="1"/>
  <c r="BT271" i="1"/>
  <c r="Z417" i="1"/>
  <c r="Z418" i="1" s="1"/>
  <c r="Z423" i="1" s="1"/>
  <c r="Z422" i="1" s="1"/>
  <c r="R111" i="2"/>
  <c r="BO396" i="1"/>
  <c r="BO224" i="1"/>
  <c r="BO256" i="1"/>
  <c r="BM135" i="1"/>
  <c r="BN135" i="1"/>
  <c r="BO135" i="1"/>
  <c r="R63" i="4"/>
  <c r="P63" i="4"/>
  <c r="BP219" i="1"/>
  <c r="Q63" i="4"/>
  <c r="S63" i="4" s="1"/>
  <c r="M105" i="4"/>
  <c r="BJ94" i="1"/>
  <c r="BJ120" i="1"/>
  <c r="K28" i="4"/>
  <c r="Q109" i="4"/>
  <c r="M24" i="2"/>
  <c r="N26" i="2"/>
  <c r="Q108" i="3"/>
  <c r="O29" i="3"/>
  <c r="Q110" i="3"/>
  <c r="BO225" i="1"/>
  <c r="BN362" i="1"/>
  <c r="BP378" i="1"/>
  <c r="BQ378" i="1" s="1"/>
  <c r="M417" i="1"/>
  <c r="M418" i="1" s="1"/>
  <c r="M423" i="1" s="1"/>
  <c r="M422" i="1" s="1"/>
  <c r="R44" i="4"/>
  <c r="L49" i="4"/>
  <c r="N111" i="2"/>
  <c r="CW88" i="1"/>
  <c r="BM363" i="1"/>
  <c r="BN379" i="1"/>
  <c r="BO379" i="1"/>
  <c r="K343" i="1"/>
  <c r="K36" i="1" s="1"/>
  <c r="O29" i="2"/>
  <c r="BM148" i="1"/>
  <c r="BN148" i="1"/>
  <c r="BO148" i="1"/>
  <c r="BP237" i="1"/>
  <c r="BO238" i="1"/>
  <c r="O44" i="4"/>
  <c r="BN385" i="1"/>
  <c r="J129" i="2"/>
  <c r="L129" i="2" s="1"/>
  <c r="J32" i="2"/>
  <c r="M113" i="2"/>
  <c r="O113" i="2"/>
  <c r="BM160" i="1"/>
  <c r="BL160" i="1"/>
  <c r="BQ240" i="1"/>
  <c r="BS240" i="1" s="1"/>
  <c r="M23" i="4"/>
  <c r="S104" i="4"/>
  <c r="BL372" i="1"/>
  <c r="BM388" i="1"/>
  <c r="BL490" i="1"/>
  <c r="BM490" i="1" s="1"/>
  <c r="K311" i="1"/>
  <c r="BQ85" i="1"/>
  <c r="BQ228" i="1" s="1"/>
  <c r="BI484" i="1"/>
  <c r="BJ484" i="1" s="1"/>
  <c r="BK499" i="1"/>
  <c r="BH499" i="1" s="1"/>
  <c r="BL499" i="1"/>
  <c r="BI499" i="1" s="1"/>
  <c r="BQ125" i="1"/>
  <c r="BK367" i="1"/>
  <c r="BM383" i="1"/>
  <c r="Q111" i="2"/>
  <c r="BM164" i="1"/>
  <c r="BL164" i="1"/>
  <c r="BO164" i="1" s="1"/>
  <c r="BN164" i="1"/>
  <c r="K33" i="3"/>
  <c r="K34" i="3" s="1"/>
  <c r="K4" i="3" s="1"/>
  <c r="K6" i="3" s="1"/>
  <c r="K14" i="3" s="1"/>
  <c r="K130" i="3"/>
  <c r="K131" i="3" s="1"/>
  <c r="O24" i="2"/>
  <c r="L128" i="3"/>
  <c r="M128" i="3" s="1"/>
  <c r="L31" i="3"/>
  <c r="BH170" i="1"/>
  <c r="BL68" i="1"/>
  <c r="BK68" i="1"/>
  <c r="BN68" i="1" s="1"/>
  <c r="BN65" i="1"/>
  <c r="N108" i="2"/>
  <c r="BM380" i="1"/>
  <c r="L28" i="2"/>
  <c r="N109" i="2"/>
  <c r="Q109" i="2" s="1"/>
  <c r="L25" i="2"/>
  <c r="N106" i="2"/>
  <c r="BL147" i="1"/>
  <c r="BK152" i="1"/>
  <c r="BK23" i="1" s="1"/>
  <c r="BM394" i="1"/>
  <c r="BN394" i="1"/>
  <c r="O26" i="3"/>
  <c r="BN259" i="1"/>
  <c r="BP243" i="1"/>
  <c r="BO141" i="1"/>
  <c r="BN225" i="1"/>
  <c r="Q38" i="4"/>
  <c r="M31" i="3"/>
  <c r="BL165" i="1"/>
  <c r="BM165" i="1"/>
  <c r="BK365" i="1"/>
  <c r="O109" i="4"/>
  <c r="BK278" i="1"/>
  <c r="K114" i="4"/>
  <c r="BN223" i="1"/>
  <c r="BN162" i="1"/>
  <c r="L33" i="2"/>
  <c r="M28" i="3"/>
  <c r="S109" i="3"/>
  <c r="M125" i="3"/>
  <c r="Q109" i="3"/>
  <c r="P109" i="3"/>
  <c r="O109" i="3"/>
  <c r="N28" i="3"/>
  <c r="N125" i="3"/>
  <c r="BM400" i="1"/>
  <c r="BM253" i="1"/>
  <c r="BM221" i="1"/>
  <c r="BO258" i="1"/>
  <c r="BL292" i="1"/>
  <c r="BK292" i="1"/>
  <c r="BM292" i="1"/>
  <c r="P108" i="3"/>
  <c r="R108" i="3" s="1"/>
  <c r="BL368" i="1"/>
  <c r="BO384" i="1"/>
  <c r="BN384" i="1"/>
  <c r="O107" i="2"/>
  <c r="J339" i="1"/>
  <c r="J311" i="1"/>
  <c r="N112" i="3"/>
  <c r="P112" i="3" s="1"/>
  <c r="BM156" i="1"/>
  <c r="BL156" i="1"/>
  <c r="BJ167" i="1"/>
  <c r="BL381" i="1"/>
  <c r="O417" i="1"/>
  <c r="O418" i="1" s="1"/>
  <c r="O423" i="1" s="1"/>
  <c r="O422" i="1" s="1"/>
  <c r="K120" i="4"/>
  <c r="K23" i="4"/>
  <c r="P104" i="4"/>
  <c r="N104" i="4"/>
  <c r="N31" i="2"/>
  <c r="L23" i="2"/>
  <c r="O104" i="2"/>
  <c r="P104" i="2"/>
  <c r="R104" i="2" s="1"/>
  <c r="BL251" i="1"/>
  <c r="J127" i="4"/>
  <c r="K127" i="4" s="1"/>
  <c r="J30" i="4"/>
  <c r="N111" i="4"/>
  <c r="M111" i="4"/>
  <c r="L111" i="4"/>
  <c r="O111" i="4" s="1"/>
  <c r="BR143" i="1"/>
  <c r="BP255" i="1"/>
  <c r="BM222" i="1"/>
  <c r="BM254" i="1"/>
  <c r="BR238" i="1"/>
  <c r="BN146" i="1"/>
  <c r="BQ146" i="1" s="1"/>
  <c r="BO146" i="1"/>
  <c r="BP146" i="1"/>
  <c r="BJ487" i="1"/>
  <c r="BK487" i="1" s="1"/>
  <c r="N26" i="3"/>
  <c r="R107" i="3"/>
  <c r="Q107" i="3"/>
  <c r="T107" i="3" s="1"/>
  <c r="O109" i="2"/>
  <c r="BQ395" i="1"/>
  <c r="N30" i="3"/>
  <c r="Q111" i="3"/>
  <c r="P111" i="3"/>
  <c r="S111" i="3" s="1"/>
  <c r="BT236" i="1"/>
  <c r="BN252" i="1"/>
  <c r="BN220" i="1"/>
  <c r="BQ236" i="1"/>
  <c r="Q104" i="4"/>
  <c r="O112" i="3"/>
  <c r="BI170" i="1"/>
  <c r="C343" i="1"/>
  <c r="C36" i="1" s="1"/>
  <c r="BS134" i="1"/>
  <c r="BU134" i="1" s="1"/>
  <c r="BR134" i="1"/>
  <c r="N32" i="3"/>
  <c r="DL84" i="1"/>
  <c r="BL116" i="1"/>
  <c r="BL100" i="1" s="1"/>
  <c r="BO84" i="1"/>
  <c r="CY87" i="1"/>
  <c r="BN84" i="1"/>
  <c r="BQ126" i="1"/>
  <c r="BO228" i="1"/>
  <c r="BS244" i="1"/>
  <c r="BU244" i="1" s="1"/>
  <c r="Q44" i="4"/>
  <c r="S44" i="4" s="1"/>
  <c r="O23" i="3"/>
  <c r="O120" i="3"/>
  <c r="Q104" i="3"/>
  <c r="K123" i="3"/>
  <c r="L123" i="3"/>
  <c r="N123" i="3" s="1"/>
  <c r="O123" i="3" s="1"/>
  <c r="AC417" i="1"/>
  <c r="AC418" i="1" s="1"/>
  <c r="AC423" i="1" s="1"/>
  <c r="AC422" i="1" s="1"/>
  <c r="D334" i="1"/>
  <c r="D311" i="1"/>
  <c r="O22" i="4"/>
  <c r="C311" i="1"/>
  <c r="BO398" i="1"/>
  <c r="BR128" i="1"/>
  <c r="BT128" i="1" s="1"/>
  <c r="BM116" i="1"/>
  <c r="BM100" i="1" s="1"/>
  <c r="BS243" i="1"/>
  <c r="BT273" i="1"/>
  <c r="R23" i="3"/>
  <c r="BN275" i="1"/>
  <c r="BU275" i="1" s="1"/>
  <c r="L26" i="4"/>
  <c r="Q40" i="4"/>
  <c r="Q113" i="2"/>
  <c r="N22" i="2"/>
  <c r="CY82" i="1"/>
  <c r="BL111" i="1"/>
  <c r="BL95" i="1" s="1"/>
  <c r="DL79" i="1"/>
  <c r="BO79" i="1"/>
  <c r="BL222" i="1"/>
  <c r="CT225" i="1" s="1"/>
  <c r="BN79" i="1"/>
  <c r="BP79" i="1" s="1"/>
  <c r="L29" i="4"/>
  <c r="O110" i="4"/>
  <c r="N110" i="4"/>
  <c r="Q110" i="4"/>
  <c r="BM287" i="1"/>
  <c r="BL287" i="1"/>
  <c r="BR241" i="1"/>
  <c r="BT241" i="1" s="1"/>
  <c r="BL399" i="1"/>
  <c r="BK20" i="1"/>
  <c r="M122" i="3"/>
  <c r="N122" i="3" s="1"/>
  <c r="M25" i="3"/>
  <c r="O106" i="3"/>
  <c r="T106" i="3" s="1"/>
  <c r="Q106" i="3"/>
  <c r="P106" i="3"/>
  <c r="R106" i="3"/>
  <c r="BN113" i="1"/>
  <c r="BN97" i="1" s="1"/>
  <c r="BQ81" i="1"/>
  <c r="BP81" i="1"/>
  <c r="BR81" i="1" s="1"/>
  <c r="P62" i="4"/>
  <c r="R62" i="4" s="1"/>
  <c r="Q62" i="4"/>
  <c r="S62" i="4" s="1"/>
  <c r="BM366" i="1"/>
  <c r="BN382" i="1"/>
  <c r="BO382" i="1"/>
  <c r="M124" i="3"/>
  <c r="O104" i="4"/>
  <c r="BT76" i="1"/>
  <c r="BI373" i="1"/>
  <c r="BI374" i="1" s="1"/>
  <c r="BL98" i="1"/>
  <c r="BO130" i="1"/>
  <c r="BO257" i="1" s="1"/>
  <c r="L31" i="2"/>
  <c r="O57" i="4"/>
  <c r="O41" i="4"/>
  <c r="Q41" i="4" s="1"/>
  <c r="H184" i="1"/>
  <c r="BM262" i="1"/>
  <c r="BJ371" i="1"/>
  <c r="L113" i="4"/>
  <c r="BM228" i="1"/>
  <c r="K122" i="4"/>
  <c r="K25" i="4"/>
  <c r="J25" i="4"/>
  <c r="J122" i="4"/>
  <c r="BM290" i="1"/>
  <c r="BL290" i="1"/>
  <c r="BN290" i="1" s="1"/>
  <c r="L26" i="2"/>
  <c r="J34" i="3"/>
  <c r="J4" i="3" s="1"/>
  <c r="J6" i="3" s="1"/>
  <c r="J14" i="3" s="1"/>
  <c r="AF417" i="1"/>
  <c r="AF418" i="1" s="1"/>
  <c r="AF423" i="1" s="1"/>
  <c r="AF422" i="1" s="1"/>
  <c r="Q110" i="2"/>
  <c r="BR140" i="1"/>
  <c r="BR144" i="1"/>
  <c r="BP384" i="1"/>
  <c r="BK368" i="1"/>
  <c r="N184" i="1"/>
  <c r="BK366" i="1"/>
  <c r="BM278" i="1"/>
  <c r="K259" i="1"/>
  <c r="W417" i="1"/>
  <c r="W418" i="1" s="1"/>
  <c r="W423" i="1" s="1"/>
  <c r="W422" i="1" s="1"/>
  <c r="BS268" i="1"/>
  <c r="L22" i="4"/>
  <c r="BM92" i="1"/>
  <c r="BT244" i="1"/>
  <c r="BN228" i="1"/>
  <c r="K29" i="4"/>
  <c r="J126" i="4"/>
  <c r="J29" i="4"/>
  <c r="K126" i="2"/>
  <c r="L126" i="2" s="1"/>
  <c r="K29" i="2"/>
  <c r="BL257" i="1"/>
  <c r="BT275" i="1"/>
  <c r="K32" i="4"/>
  <c r="BN127" i="1"/>
  <c r="BO127" i="1"/>
  <c r="BN224" i="1"/>
  <c r="BN256" i="1"/>
  <c r="BR236" i="1"/>
  <c r="BL252" i="1"/>
  <c r="BL220" i="1"/>
  <c r="CT223" i="1" s="1"/>
  <c r="O30" i="3"/>
  <c r="AH417" i="1"/>
  <c r="AH418" i="1" s="1"/>
  <c r="AH423" i="1" s="1"/>
  <c r="AH422" i="1" s="1"/>
  <c r="Q112" i="2"/>
  <c r="S112" i="2" s="1"/>
  <c r="CT222" i="1"/>
  <c r="BL366" i="1"/>
  <c r="N47" i="4"/>
  <c r="U417" i="1"/>
  <c r="U418" i="1" s="1"/>
  <c r="U423" i="1" s="1"/>
  <c r="U422" i="1" s="1"/>
  <c r="BN270" i="1"/>
  <c r="BU270" i="1" s="1"/>
  <c r="L106" i="4"/>
  <c r="BL66" i="1"/>
  <c r="BK66" i="1"/>
  <c r="BL60" i="1"/>
  <c r="BN60" i="1" s="1"/>
  <c r="BM60" i="1"/>
  <c r="BJ71" i="1"/>
  <c r="BJ420" i="1" s="1"/>
  <c r="O184" i="1"/>
  <c r="J114" i="4"/>
  <c r="K30" i="2"/>
  <c r="BI71" i="1"/>
  <c r="BI420" i="1" s="1"/>
  <c r="BN253" i="1"/>
  <c r="J129" i="4"/>
  <c r="K129" i="4" s="1"/>
  <c r="J32" i="4"/>
  <c r="BM5" i="1"/>
  <c r="BN5" i="1"/>
  <c r="Q103" i="4"/>
  <c r="S103" i="4" s="1"/>
  <c r="BK405" i="1"/>
  <c r="L32" i="3"/>
  <c r="L129" i="3"/>
  <c r="BL221" i="1"/>
  <c r="CT224" i="1" s="1"/>
  <c r="BL253" i="1"/>
  <c r="BQ237" i="1"/>
  <c r="BO114" i="1"/>
  <c r="R103" i="4"/>
  <c r="BR235" i="1"/>
  <c r="Q39" i="4"/>
  <c r="S39" i="4" s="1"/>
  <c r="C184" i="1"/>
  <c r="BO255" i="1"/>
  <c r="BQ239" i="1"/>
  <c r="BP236" i="1"/>
  <c r="BS236" i="1" s="1"/>
  <c r="M22" i="4"/>
  <c r="BL363" i="1"/>
  <c r="BM61" i="1"/>
  <c r="BL61" i="1"/>
  <c r="BT132" i="1"/>
  <c r="BM98" i="1"/>
  <c r="K119" i="4"/>
  <c r="K22" i="4"/>
  <c r="BM62" i="1"/>
  <c r="BL62" i="1"/>
  <c r="BN62" i="1" s="1"/>
  <c r="K120" i="2"/>
  <c r="K23" i="2"/>
  <c r="S45" i="4"/>
  <c r="BN150" i="1"/>
  <c r="BO150" i="1"/>
  <c r="BM117" i="1"/>
  <c r="BM101" i="1" s="1"/>
  <c r="BP85" i="1"/>
  <c r="BR85" i="1" s="1"/>
  <c r="AB417" i="1"/>
  <c r="AB418" i="1" s="1"/>
  <c r="AB423" i="1" s="1"/>
  <c r="AB422" i="1" s="1"/>
  <c r="BK402" i="1"/>
  <c r="BL380" i="1"/>
  <c r="BT126" i="1"/>
  <c r="BS126" i="1"/>
  <c r="Q64" i="4"/>
  <c r="M65" i="3"/>
  <c r="S54" i="3"/>
  <c r="S65" i="3" s="1"/>
  <c r="G253" i="1"/>
  <c r="I311" i="1"/>
  <c r="I331" i="1"/>
  <c r="I343" i="1" s="1"/>
  <c r="I36" i="1" s="1"/>
  <c r="BM161" i="1"/>
  <c r="BL161" i="1"/>
  <c r="M127" i="3"/>
  <c r="N127" i="3" s="1"/>
  <c r="O127" i="3" s="1"/>
  <c r="M30" i="3"/>
  <c r="R41" i="4"/>
  <c r="BK362" i="1"/>
  <c r="BK404" i="1"/>
  <c r="BM404" i="1" s="1"/>
  <c r="BN102" i="1"/>
  <c r="BT134" i="1"/>
  <c r="J29" i="2"/>
  <c r="J126" i="2"/>
  <c r="BL226" i="1"/>
  <c r="CT229" i="1" s="1"/>
  <c r="BL258" i="1"/>
  <c r="BN242" i="1"/>
  <c r="H83" i="4"/>
  <c r="H12" i="4"/>
  <c r="BJ372" i="1"/>
  <c r="BK401" i="1"/>
  <c r="E343" i="1"/>
  <c r="E36" i="1" s="1"/>
  <c r="BO109" i="1"/>
  <c r="BR77" i="1"/>
  <c r="BO142" i="1"/>
  <c r="BP379" i="1"/>
  <c r="BK363" i="1"/>
  <c r="BL69" i="1"/>
  <c r="BK69" i="1"/>
  <c r="BM69" i="1" s="1"/>
  <c r="K28" i="2"/>
  <c r="BM162" i="1"/>
  <c r="BO162" i="1" s="1"/>
  <c r="BM258" i="1"/>
  <c r="BM226" i="1"/>
  <c r="BM163" i="1"/>
  <c r="BL163" i="1"/>
  <c r="BE15" i="1"/>
  <c r="BE41" i="1" s="1"/>
  <c r="BE18" i="1"/>
  <c r="BK364" i="1"/>
  <c r="DL80" i="1"/>
  <c r="BO80" i="1"/>
  <c r="BO223" i="1" s="1"/>
  <c r="CY83" i="1"/>
  <c r="BL112" i="1"/>
  <c r="BL96" i="1" s="1"/>
  <c r="BL223" i="1"/>
  <c r="CT226" i="1" s="1"/>
  <c r="K27" i="2"/>
  <c r="BJ405" i="1"/>
  <c r="K261" i="1"/>
  <c r="BK389" i="1"/>
  <c r="BL404" i="1"/>
  <c r="BL402" i="1"/>
  <c r="BO385" i="1"/>
  <c r="BP385" i="1" s="1"/>
  <c r="J25" i="2"/>
  <c r="J122" i="2"/>
  <c r="E257" i="1"/>
  <c r="BM93" i="1"/>
  <c r="M29" i="2"/>
  <c r="BK67" i="1"/>
  <c r="BL67" i="1"/>
  <c r="K119" i="2"/>
  <c r="K22" i="2"/>
  <c r="BJ485" i="1"/>
  <c r="P113" i="3"/>
  <c r="BK70" i="1"/>
  <c r="BL70" i="1"/>
  <c r="BN70" i="1"/>
  <c r="BM70" i="1"/>
  <c r="BN114" i="1"/>
  <c r="BQ82" i="1"/>
  <c r="BQ225" i="1" s="1"/>
  <c r="BP82" i="1"/>
  <c r="BP225" i="1" s="1"/>
  <c r="BM99" i="1"/>
  <c r="BO131" i="1"/>
  <c r="BM157" i="1"/>
  <c r="BL157" i="1"/>
  <c r="BN157" i="1" s="1"/>
  <c r="BP131" i="1"/>
  <c r="BS131" i="1" s="1"/>
  <c r="BM252" i="1"/>
  <c r="BM286" i="1"/>
  <c r="BL286" i="1"/>
  <c r="BN286" i="1" s="1"/>
  <c r="BP286" i="1" s="1"/>
  <c r="BQ131" i="1"/>
  <c r="M119" i="3"/>
  <c r="M22" i="3"/>
  <c r="M114" i="3"/>
  <c r="P103" i="3"/>
  <c r="Y417" i="1"/>
  <c r="Y418" i="1" s="1"/>
  <c r="Y423" i="1" s="1"/>
  <c r="Y422" i="1" s="1"/>
  <c r="BK369" i="1"/>
  <c r="J124" i="2"/>
  <c r="K124" i="2" s="1"/>
  <c r="J27" i="2"/>
  <c r="BO261" i="1"/>
  <c r="BU245" i="1"/>
  <c r="B83" i="4"/>
  <c r="B12" i="4"/>
  <c r="BM251" i="1"/>
  <c r="BM219" i="1"/>
  <c r="BO235" i="1"/>
  <c r="BQ235" i="1" s="1"/>
  <c r="BT269" i="1"/>
  <c r="BT278" i="1" s="1"/>
  <c r="BU269" i="1"/>
  <c r="M106" i="2"/>
  <c r="BR126" i="1"/>
  <c r="K114" i="2"/>
  <c r="D343" i="1"/>
  <c r="D36" i="1" s="1"/>
  <c r="J343" i="1"/>
  <c r="J36" i="1" s="1"/>
  <c r="BQ261" i="1"/>
  <c r="K24" i="2"/>
  <c r="K121" i="2"/>
  <c r="O65" i="4"/>
  <c r="BP130" i="1"/>
  <c r="BP257" i="1" s="1"/>
  <c r="Q417" i="1"/>
  <c r="Q418" i="1" s="1"/>
  <c r="Q423" i="1" s="1"/>
  <c r="Q422" i="1" s="1"/>
  <c r="BL386" i="1"/>
  <c r="BL166" i="1"/>
  <c r="BK166" i="1"/>
  <c r="BK167" i="1" s="1"/>
  <c r="O103" i="3"/>
  <c r="BQ151" i="1"/>
  <c r="BI492" i="1"/>
  <c r="J114" i="2"/>
  <c r="BT245" i="1"/>
  <c r="BN229" i="1"/>
  <c r="BN261" i="1"/>
  <c r="BO125" i="1"/>
  <c r="BK230" i="1"/>
  <c r="CT221" i="1" s="1"/>
  <c r="BK262" i="1"/>
  <c r="R60" i="4"/>
  <c r="BQ127" i="1"/>
  <c r="T417" i="1"/>
  <c r="T418" i="1" s="1"/>
  <c r="T423" i="1" s="1"/>
  <c r="T422" i="1" s="1"/>
  <c r="BO259" i="1"/>
  <c r="K25" i="2"/>
  <c r="CX88" i="1"/>
  <c r="N25" i="3"/>
  <c r="F252" i="1"/>
  <c r="N119" i="3"/>
  <c r="N22" i="3"/>
  <c r="BM362" i="1"/>
  <c r="R38" i="4"/>
  <c r="K184" i="1"/>
  <c r="BL362" i="1"/>
  <c r="BO378" i="1"/>
  <c r="BL63" i="1"/>
  <c r="BM63" i="1"/>
  <c r="BJ389" i="1"/>
  <c r="BJ373" i="1" s="1"/>
  <c r="BQ141" i="1"/>
  <c r="CS222" i="1"/>
  <c r="CS231" i="1" s="1"/>
  <c r="BL101" i="1"/>
  <c r="J128" i="2"/>
  <c r="J31" i="2"/>
  <c r="G262" i="1"/>
  <c r="V417" i="1"/>
  <c r="V418" i="1" s="1"/>
  <c r="V423" i="1" s="1"/>
  <c r="V422" i="1" s="1"/>
  <c r="BP125" i="1"/>
  <c r="BI483" i="1"/>
  <c r="BN109" i="1"/>
  <c r="BN93" i="1" s="1"/>
  <c r="BQ77" i="1"/>
  <c r="BS77" i="1" s="1"/>
  <c r="M103" i="2"/>
  <c r="S56" i="4"/>
  <c r="K31" i="2"/>
  <c r="P41" i="4"/>
  <c r="BN130" i="1"/>
  <c r="BN257" i="1" s="1"/>
  <c r="BL254" i="1"/>
  <c r="R54" i="4"/>
  <c r="BO252" i="1"/>
  <c r="BO220" i="1"/>
  <c r="BU277" i="1"/>
  <c r="BN145" i="1"/>
  <c r="BS76" i="1"/>
  <c r="BU76" i="1" s="1"/>
  <c r="BP108" i="1"/>
  <c r="L119" i="2"/>
  <c r="L22" i="2"/>
  <c r="L34" i="2" s="1"/>
  <c r="L4" i="2" s="1"/>
  <c r="M184" i="1"/>
  <c r="BM284" i="1"/>
  <c r="BL284" i="1"/>
  <c r="BL64" i="1"/>
  <c r="BN64" i="1" s="1"/>
  <c r="BM64" i="1"/>
  <c r="BD40" i="1"/>
  <c r="BD34" i="1"/>
  <c r="BD312" i="1" s="1"/>
  <c r="S38" i="4"/>
  <c r="M49" i="4"/>
  <c r="BQ149" i="1"/>
  <c r="BR149" i="1" s="1"/>
  <c r="M129" i="3"/>
  <c r="N129" i="3" s="1"/>
  <c r="M32" i="3"/>
  <c r="J26" i="2"/>
  <c r="J123" i="2"/>
  <c r="N110" i="2"/>
  <c r="BI231" i="1"/>
  <c r="CR221" i="1"/>
  <c r="BL489" i="1"/>
  <c r="BM489" i="1" s="1"/>
  <c r="BJ101" i="1"/>
  <c r="BN255" i="1"/>
  <c r="BM256" i="1"/>
  <c r="BM224" i="1"/>
  <c r="M104" i="2"/>
  <c r="Q104" i="2" s="1"/>
  <c r="Q184" i="1"/>
  <c r="AE417" i="1"/>
  <c r="AE418" i="1" s="1"/>
  <c r="AE423" i="1" s="1"/>
  <c r="AE422" i="1" s="1"/>
  <c r="K26" i="2"/>
  <c r="K123" i="2"/>
  <c r="BU132" i="1"/>
  <c r="P64" i="4"/>
  <c r="R64" i="4" s="1"/>
  <c r="BO113" i="1"/>
  <c r="BO97" i="1" s="1"/>
  <c r="AA417" i="1"/>
  <c r="AA418" i="1" s="1"/>
  <c r="AA423" i="1" s="1"/>
  <c r="AA422" i="1" s="1"/>
  <c r="BM289" i="1"/>
  <c r="BL289" i="1"/>
  <c r="BN289" i="1" s="1"/>
  <c r="BN397" i="1"/>
  <c r="J184" i="1"/>
  <c r="O113" i="3"/>
  <c r="R113" i="3" s="1"/>
  <c r="N29" i="3"/>
  <c r="N126" i="3"/>
  <c r="O126" i="3" s="1"/>
  <c r="P110" i="3"/>
  <c r="S110" i="3"/>
  <c r="J125" i="2"/>
  <c r="K125" i="2" s="1"/>
  <c r="L125" i="2" s="1"/>
  <c r="J28" i="2"/>
  <c r="X417" i="1"/>
  <c r="X418" i="1" s="1"/>
  <c r="X423" i="1" s="1"/>
  <c r="X422" i="1" s="1"/>
  <c r="BO246" i="1"/>
  <c r="Q42" i="4"/>
  <c r="BN133" i="1"/>
  <c r="BN260" i="1" s="1"/>
  <c r="BK403" i="1"/>
  <c r="BL501" i="1"/>
  <c r="BI501" i="1" s="1"/>
  <c r="BI486" i="1"/>
  <c r="BK501" i="1"/>
  <c r="BH501" i="1" s="1"/>
  <c r="M108" i="2"/>
  <c r="BN283" i="1"/>
  <c r="AG417" i="1"/>
  <c r="AG418" i="1" s="1"/>
  <c r="AG423" i="1" s="1"/>
  <c r="AG422" i="1" s="1"/>
  <c r="P38" i="4"/>
  <c r="P42" i="4"/>
  <c r="R42" i="4" s="1"/>
  <c r="N22" i="4"/>
  <c r="H311" i="1"/>
  <c r="H331" i="1"/>
  <c r="H343" i="1" s="1"/>
  <c r="H36" i="1" s="1"/>
  <c r="R417" i="1"/>
  <c r="R418" i="1" s="1"/>
  <c r="R423" i="1" s="1"/>
  <c r="R422" i="1" s="1"/>
  <c r="BP80" i="1"/>
  <c r="BM112" i="1"/>
  <c r="BM96" i="1" s="1"/>
  <c r="BK119" i="1"/>
  <c r="BK103" i="1" s="1"/>
  <c r="BK104" i="1" s="1"/>
  <c r="CY78" i="1"/>
  <c r="CY88" i="1" s="1"/>
  <c r="DK87" i="1"/>
  <c r="DK88" i="1" s="1"/>
  <c r="L29" i="2"/>
  <c r="L24" i="2"/>
  <c r="P48" i="4"/>
  <c r="S48" i="4" s="1"/>
  <c r="N417" i="1"/>
  <c r="N418" i="1" s="1"/>
  <c r="N423" i="1" s="1"/>
  <c r="N422" i="1" s="1"/>
  <c r="BM288" i="1"/>
  <c r="BL288" i="1"/>
  <c r="BO288" i="1" s="1"/>
  <c r="BQ278" i="1"/>
  <c r="AI15" i="1"/>
  <c r="AI18" i="1"/>
  <c r="BS241" i="1"/>
  <c r="BU241" i="1" s="1"/>
  <c r="BM225" i="1"/>
  <c r="BM257" i="1"/>
  <c r="P107" i="2"/>
  <c r="BJ370" i="1"/>
  <c r="BJ374" i="1" s="1"/>
  <c r="BR275" i="1"/>
  <c r="BR278" i="1" s="1"/>
  <c r="BP141" i="1"/>
  <c r="BN254" i="1"/>
  <c r="BS128" i="1"/>
  <c r="BP396" i="1"/>
  <c r="BQ396" i="1" s="1"/>
  <c r="BL291" i="1"/>
  <c r="BK291" i="1"/>
  <c r="BI294" i="1"/>
  <c r="J127" i="2"/>
  <c r="J30" i="2"/>
  <c r="N105" i="2"/>
  <c r="N114" i="2" s="1"/>
  <c r="O47" i="4"/>
  <c r="BN251" i="1"/>
  <c r="BN219" i="1"/>
  <c r="BO133" i="1"/>
  <c r="BO260" i="1" s="1"/>
  <c r="BR240" i="1"/>
  <c r="BO108" i="1"/>
  <c r="BQ108" i="1" s="1"/>
  <c r="BR125" i="1"/>
  <c r="BI491" i="1"/>
  <c r="BJ491" i="1" s="1"/>
  <c r="O39" i="4"/>
  <c r="O49" i="4" s="1"/>
  <c r="BQ140" i="1"/>
  <c r="BP283" i="1" l="1"/>
  <c r="BR283" i="1" s="1"/>
  <c r="BL488" i="1"/>
  <c r="BM488" i="1" s="1"/>
  <c r="E12" i="4"/>
  <c r="E83" i="4"/>
  <c r="BJ482" i="1"/>
  <c r="BK482" i="1" s="1"/>
  <c r="BL482" i="1" s="1"/>
  <c r="BM482" i="1" s="1"/>
  <c r="BP289" i="1"/>
  <c r="BO290" i="1"/>
  <c r="BQ290" i="1" s="1"/>
  <c r="BO284" i="1"/>
  <c r="BO289" i="1"/>
  <c r="BR289" i="1" s="1"/>
  <c r="BO61" i="1"/>
  <c r="BP164" i="1"/>
  <c r="BR164" i="1" s="1"/>
  <c r="BQ164" i="1"/>
  <c r="BO64" i="1"/>
  <c r="BN67" i="1"/>
  <c r="F83" i="4"/>
  <c r="F12" i="4"/>
  <c r="BL487" i="1"/>
  <c r="BM487" i="1" s="1"/>
  <c r="BP65" i="1"/>
  <c r="BR65" i="1" s="1"/>
  <c r="BM67" i="1"/>
  <c r="BP67" i="1" s="1"/>
  <c r="BO286" i="1"/>
  <c r="BQ286" i="1" s="1"/>
  <c r="BS286" i="1" s="1"/>
  <c r="BO163" i="1"/>
  <c r="BN69" i="1"/>
  <c r="BP69" i="1" s="1"/>
  <c r="BO60" i="1"/>
  <c r="BQ60" i="1" s="1"/>
  <c r="BP70" i="1"/>
  <c r="BN284" i="1"/>
  <c r="BO158" i="1"/>
  <c r="BR82" i="1"/>
  <c r="BT82" i="1" s="1"/>
  <c r="BT225" i="1" s="1"/>
  <c r="BK231" i="1"/>
  <c r="BK31" i="1" s="1"/>
  <c r="BK33" i="1" s="1"/>
  <c r="BK38" i="1" s="1"/>
  <c r="BK34" i="1" s="1"/>
  <c r="BK311" i="1" s="1"/>
  <c r="BJ104" i="1"/>
  <c r="BJ136" i="1" s="1"/>
  <c r="BP224" i="1"/>
  <c r="BN112" i="1"/>
  <c r="BN96" i="1" s="1"/>
  <c r="BN222" i="1"/>
  <c r="CR231" i="1"/>
  <c r="CT231" i="1"/>
  <c r="BM20" i="1"/>
  <c r="BI136" i="1"/>
  <c r="Q23" i="2"/>
  <c r="Q24" i="3"/>
  <c r="R32" i="3"/>
  <c r="BP60" i="1"/>
  <c r="R23" i="2"/>
  <c r="BL484" i="1"/>
  <c r="S57" i="4"/>
  <c r="S65" i="4" s="1"/>
  <c r="S30" i="3"/>
  <c r="S31" i="2"/>
  <c r="BO404" i="1"/>
  <c r="BS220" i="1"/>
  <c r="BQ158" i="1"/>
  <c r="BR242" i="1"/>
  <c r="P123" i="3"/>
  <c r="R123" i="3" s="1"/>
  <c r="BR398" i="1"/>
  <c r="BS398" i="1" s="1"/>
  <c r="P32" i="2"/>
  <c r="O30" i="4"/>
  <c r="L126" i="4"/>
  <c r="Q28" i="2"/>
  <c r="O124" i="3"/>
  <c r="P124" i="3" s="1"/>
  <c r="S110" i="4"/>
  <c r="BS256" i="1"/>
  <c r="P31" i="3"/>
  <c r="R112" i="3"/>
  <c r="Q111" i="4"/>
  <c r="R27" i="3"/>
  <c r="T108" i="3"/>
  <c r="S22" i="4"/>
  <c r="BT246" i="1"/>
  <c r="BQ219" i="1"/>
  <c r="BS235" i="1"/>
  <c r="BT235" i="1"/>
  <c r="N33" i="2"/>
  <c r="R31" i="2"/>
  <c r="BR228" i="1"/>
  <c r="M122" i="4"/>
  <c r="Q28" i="4"/>
  <c r="BT239" i="1"/>
  <c r="R25" i="3"/>
  <c r="BO287" i="1"/>
  <c r="BS108" i="1"/>
  <c r="BM291" i="1"/>
  <c r="BN115" i="1"/>
  <c r="BN99" i="1" s="1"/>
  <c r="BQ83" i="1"/>
  <c r="BP83" i="1"/>
  <c r="BN291" i="1"/>
  <c r="N114" i="3"/>
  <c r="BQ246" i="1"/>
  <c r="P32" i="3"/>
  <c r="BN163" i="1"/>
  <c r="BQ163" i="1" s="1"/>
  <c r="BR255" i="1"/>
  <c r="BR86" i="1"/>
  <c r="BR229" i="1" s="1"/>
  <c r="BO118" i="1"/>
  <c r="BO102" i="1" s="1"/>
  <c r="BQ86" i="1"/>
  <c r="BS86" i="1" s="1"/>
  <c r="BO115" i="1"/>
  <c r="BO99" i="1" s="1"/>
  <c r="M128" i="4"/>
  <c r="M31" i="4"/>
  <c r="P29" i="3"/>
  <c r="P126" i="3"/>
  <c r="BM386" i="1"/>
  <c r="Q103" i="3"/>
  <c r="BK373" i="1"/>
  <c r="BS246" i="1"/>
  <c r="BR395" i="1"/>
  <c r="BS395" i="1" s="1"/>
  <c r="O23" i="2"/>
  <c r="BS239" i="1"/>
  <c r="BU239" i="1" s="1"/>
  <c r="BT85" i="1"/>
  <c r="BT228" i="1" s="1"/>
  <c r="BP109" i="1"/>
  <c r="BR109" i="1" s="1"/>
  <c r="BR93" i="1" s="1"/>
  <c r="R110" i="3"/>
  <c r="BN92" i="1"/>
  <c r="BP118" i="1"/>
  <c r="M125" i="2"/>
  <c r="BO92" i="1"/>
  <c r="BR256" i="1"/>
  <c r="BR224" i="1"/>
  <c r="BI247" i="1"/>
  <c r="BI263" i="1" s="1"/>
  <c r="BI31" i="1"/>
  <c r="BI33" i="1" s="1"/>
  <c r="BI38" i="1" s="1"/>
  <c r="BI34" i="1" s="1"/>
  <c r="BI311" i="1" s="1"/>
  <c r="BU236" i="1"/>
  <c r="BL152" i="1"/>
  <c r="BL23" i="1" s="1"/>
  <c r="R48" i="4"/>
  <c r="K130" i="2"/>
  <c r="K33" i="2"/>
  <c r="K34" i="2" s="1"/>
  <c r="K4" i="2" s="1"/>
  <c r="R103" i="3"/>
  <c r="T103" i="3" s="1"/>
  <c r="T103" i="4"/>
  <c r="BK120" i="1"/>
  <c r="BK136" i="1" s="1"/>
  <c r="R22" i="4"/>
  <c r="BT240" i="1"/>
  <c r="L123" i="2"/>
  <c r="M123" i="2" s="1"/>
  <c r="O23" i="4"/>
  <c r="P110" i="4"/>
  <c r="R110" i="4" s="1"/>
  <c r="L120" i="2"/>
  <c r="BS237" i="1"/>
  <c r="BQ80" i="1"/>
  <c r="BN400" i="1"/>
  <c r="BN160" i="1"/>
  <c r="BP160" i="1" s="1"/>
  <c r="Q29" i="3"/>
  <c r="Q126" i="3"/>
  <c r="BP124" i="1"/>
  <c r="BS124" i="1" s="1"/>
  <c r="BS92" i="1" s="1"/>
  <c r="BM368" i="1"/>
  <c r="BR151" i="1"/>
  <c r="BS151" i="1"/>
  <c r="P127" i="3"/>
  <c r="P30" i="3"/>
  <c r="K126" i="4"/>
  <c r="K131" i="4" s="1"/>
  <c r="L124" i="2"/>
  <c r="M124" i="2" s="1"/>
  <c r="BO145" i="1"/>
  <c r="S106" i="3"/>
  <c r="R111" i="3"/>
  <c r="BM166" i="1"/>
  <c r="BM167" i="1" s="1"/>
  <c r="BL401" i="1"/>
  <c r="L122" i="4"/>
  <c r="L25" i="4"/>
  <c r="N106" i="4"/>
  <c r="R106" i="4"/>
  <c r="BT395" i="1"/>
  <c r="BJ483" i="1"/>
  <c r="BN166" i="1"/>
  <c r="BO161" i="1"/>
  <c r="BR219" i="1"/>
  <c r="BQ130" i="1"/>
  <c r="BO93" i="1"/>
  <c r="BT125" i="1"/>
  <c r="BN404" i="1"/>
  <c r="P22" i="3"/>
  <c r="BO157" i="1"/>
  <c r="BQ157" i="1" s="1"/>
  <c r="K131" i="2"/>
  <c r="BS85" i="1"/>
  <c r="BS228" i="1" s="1"/>
  <c r="BP117" i="1"/>
  <c r="BN61" i="1"/>
  <c r="BP61" i="1" s="1"/>
  <c r="BN221" i="1"/>
  <c r="O28" i="2"/>
  <c r="K130" i="4"/>
  <c r="K33" i="4"/>
  <c r="K34" i="4" s="1"/>
  <c r="K4" i="4" s="1"/>
  <c r="K6" i="4" s="1"/>
  <c r="K14" i="4" s="1"/>
  <c r="K16" i="4" s="1"/>
  <c r="BM147" i="1"/>
  <c r="BS164" i="1"/>
  <c r="BO117" i="1"/>
  <c r="BO101" i="1" s="1"/>
  <c r="BO160" i="1"/>
  <c r="BS144" i="1"/>
  <c r="BN159" i="1"/>
  <c r="BP159" i="1" s="1"/>
  <c r="BQ124" i="1"/>
  <c r="BQ92" i="1" s="1"/>
  <c r="R39" i="4"/>
  <c r="BM401" i="1"/>
  <c r="BM405" i="1" s="1"/>
  <c r="BM119" i="1"/>
  <c r="BM120" i="1" s="1"/>
  <c r="S108" i="3"/>
  <c r="Q24" i="4"/>
  <c r="DL87" i="1"/>
  <c r="DL88" i="1" s="1"/>
  <c r="BL119" i="1"/>
  <c r="BL230" i="1"/>
  <c r="BL231" i="1" s="1"/>
  <c r="T104" i="2"/>
  <c r="P113" i="4"/>
  <c r="R26" i="3"/>
  <c r="BK294" i="1"/>
  <c r="M34" i="3"/>
  <c r="M4" i="3" s="1"/>
  <c r="M6" i="3" s="1"/>
  <c r="M14" i="3" s="1"/>
  <c r="BQ150" i="1"/>
  <c r="BQ253" i="1"/>
  <c r="K127" i="2"/>
  <c r="L127" i="2" s="1"/>
  <c r="BP398" i="1"/>
  <c r="BS278" i="1"/>
  <c r="S41" i="4"/>
  <c r="S107" i="3"/>
  <c r="BR385" i="1"/>
  <c r="BP242" i="1"/>
  <c r="BN363" i="1"/>
  <c r="BP135" i="1"/>
  <c r="BO159" i="1"/>
  <c r="P30" i="2"/>
  <c r="S105" i="3"/>
  <c r="L130" i="3"/>
  <c r="L131" i="3" s="1"/>
  <c r="L33" i="3"/>
  <c r="L34" i="3" s="1"/>
  <c r="L4" i="3" s="1"/>
  <c r="L6" i="3" s="1"/>
  <c r="L14" i="3" s="1"/>
  <c r="N124" i="3"/>
  <c r="L31" i="4"/>
  <c r="L128" i="4"/>
  <c r="N26" i="4"/>
  <c r="S28" i="3"/>
  <c r="L130" i="4"/>
  <c r="L33" i="4"/>
  <c r="M119" i="2"/>
  <c r="M22" i="2"/>
  <c r="P103" i="2"/>
  <c r="M114" i="2"/>
  <c r="BP363" i="1"/>
  <c r="BT77" i="1"/>
  <c r="BQ109" i="1"/>
  <c r="BQ93" i="1" s="1"/>
  <c r="BL364" i="1"/>
  <c r="BK71" i="1"/>
  <c r="M121" i="4"/>
  <c r="N121" i="4" s="1"/>
  <c r="O121" i="4" s="1"/>
  <c r="M24" i="4"/>
  <c r="S105" i="4"/>
  <c r="M114" i="4"/>
  <c r="BU278" i="1"/>
  <c r="BO366" i="1"/>
  <c r="Q27" i="3"/>
  <c r="M26" i="4"/>
  <c r="M123" i="4"/>
  <c r="N123" i="4" s="1"/>
  <c r="BJ486" i="1"/>
  <c r="BK486" i="1" s="1"/>
  <c r="R65" i="4"/>
  <c r="BN63" i="1"/>
  <c r="BO251" i="1"/>
  <c r="BO219" i="1"/>
  <c r="BP150" i="1"/>
  <c r="S42" i="4"/>
  <c r="BM399" i="1"/>
  <c r="BO111" i="1"/>
  <c r="BO95" i="1" s="1"/>
  <c r="BR79" i="1"/>
  <c r="BR222" i="1" s="1"/>
  <c r="Q30" i="2"/>
  <c r="M129" i="2"/>
  <c r="M32" i="2"/>
  <c r="S113" i="2"/>
  <c r="M121" i="3"/>
  <c r="M131" i="3" s="1"/>
  <c r="O24" i="3"/>
  <c r="BP158" i="1"/>
  <c r="N112" i="4"/>
  <c r="P107" i="4"/>
  <c r="BF422" i="1"/>
  <c r="BF423" i="1" s="1"/>
  <c r="BF424" i="1" s="1"/>
  <c r="BG415" i="1" s="1"/>
  <c r="BG418" i="1" s="1"/>
  <c r="BM372" i="1"/>
  <c r="J131" i="2"/>
  <c r="BR130" i="1"/>
  <c r="J34" i="2"/>
  <c r="J4" i="2" s="1"/>
  <c r="BM66" i="1"/>
  <c r="BO66" i="1" s="1"/>
  <c r="Q32" i="2"/>
  <c r="L125" i="4"/>
  <c r="O125" i="4" s="1"/>
  <c r="BL294" i="1"/>
  <c r="BP142" i="1"/>
  <c r="BN94" i="1"/>
  <c r="R23" i="4"/>
  <c r="O122" i="3"/>
  <c r="O25" i="3"/>
  <c r="BQ383" i="1"/>
  <c r="BR383" i="1" s="1"/>
  <c r="BN116" i="1"/>
  <c r="BN100" i="1" s="1"/>
  <c r="BQ84" i="1"/>
  <c r="S29" i="3"/>
  <c r="BL20" i="1"/>
  <c r="L119" i="4"/>
  <c r="BM402" i="1"/>
  <c r="O26" i="2"/>
  <c r="BN147" i="1"/>
  <c r="BO147" i="1" s="1"/>
  <c r="BO363" i="1"/>
  <c r="BO397" i="1"/>
  <c r="N29" i="2"/>
  <c r="P110" i="2"/>
  <c r="S110" i="2" s="1"/>
  <c r="BO63" i="1"/>
  <c r="BT261" i="1"/>
  <c r="BM231" i="1"/>
  <c r="BO67" i="1"/>
  <c r="N49" i="4"/>
  <c r="BQ64" i="1"/>
  <c r="BQ379" i="1"/>
  <c r="BQ363" i="1" s="1"/>
  <c r="J130" i="4"/>
  <c r="J33" i="4"/>
  <c r="J34" i="4" s="1"/>
  <c r="J4" i="4" s="1"/>
  <c r="J6" i="4" s="1"/>
  <c r="J14" i="4" s="1"/>
  <c r="J16" i="4" s="1"/>
  <c r="BP290" i="1"/>
  <c r="BR290" i="1" s="1"/>
  <c r="Q57" i="4"/>
  <c r="Q65" i="4" s="1"/>
  <c r="R57" i="4"/>
  <c r="BS259" i="1"/>
  <c r="Q23" i="3"/>
  <c r="Q120" i="3"/>
  <c r="R120" i="3" s="1"/>
  <c r="BT141" i="1"/>
  <c r="T112" i="2"/>
  <c r="BQ135" i="1"/>
  <c r="BM293" i="1"/>
  <c r="BO293" i="1" s="1"/>
  <c r="O30" i="2"/>
  <c r="BR261" i="1"/>
  <c r="O112" i="4"/>
  <c r="N125" i="2"/>
  <c r="O125" i="2" s="1"/>
  <c r="N28" i="2"/>
  <c r="P109" i="2"/>
  <c r="S30" i="2"/>
  <c r="BN287" i="1"/>
  <c r="BQ287" i="1" s="1"/>
  <c r="N30" i="4"/>
  <c r="T111" i="4"/>
  <c r="O24" i="4"/>
  <c r="BK491" i="1"/>
  <c r="BL491" i="1" s="1"/>
  <c r="BM491" i="1" s="1"/>
  <c r="BP285" i="1"/>
  <c r="BR285" i="1" s="1"/>
  <c r="T111" i="3"/>
  <c r="BO394" i="1"/>
  <c r="BO70" i="1"/>
  <c r="BR252" i="1"/>
  <c r="BR220" i="1"/>
  <c r="N31" i="3"/>
  <c r="N128" i="3"/>
  <c r="S109" i="2"/>
  <c r="M25" i="2"/>
  <c r="P106" i="2"/>
  <c r="BP157" i="1"/>
  <c r="BP127" i="1"/>
  <c r="BP64" i="1"/>
  <c r="O32" i="2"/>
  <c r="P105" i="3"/>
  <c r="L121" i="2"/>
  <c r="P105" i="2"/>
  <c r="P106" i="4"/>
  <c r="BN98" i="1"/>
  <c r="J130" i="2"/>
  <c r="J33" i="2"/>
  <c r="BR237" i="1"/>
  <c r="BT237" i="1" s="1"/>
  <c r="Q106" i="4"/>
  <c r="T104" i="3"/>
  <c r="N120" i="4"/>
  <c r="N23" i="4"/>
  <c r="T104" i="4"/>
  <c r="N25" i="2"/>
  <c r="BS261" i="1"/>
  <c r="BP228" i="1"/>
  <c r="BU240" i="1"/>
  <c r="BN293" i="1"/>
  <c r="BJ247" i="1"/>
  <c r="BJ31" i="1"/>
  <c r="BJ33" i="1" s="1"/>
  <c r="BJ38" i="1" s="1"/>
  <c r="BJ34" i="1" s="1"/>
  <c r="BJ311" i="1" s="1"/>
  <c r="BS143" i="1"/>
  <c r="BP229" i="1"/>
  <c r="BO98" i="1"/>
  <c r="M127" i="4"/>
  <c r="N127" i="4" s="1"/>
  <c r="M30" i="4"/>
  <c r="S111" i="4"/>
  <c r="BN110" i="1"/>
  <c r="BQ78" i="1"/>
  <c r="BQ221" i="1" s="1"/>
  <c r="BN87" i="1"/>
  <c r="BL167" i="1"/>
  <c r="BO165" i="1"/>
  <c r="BR378" i="1"/>
  <c r="BS378" i="1" s="1"/>
  <c r="Q29" i="2"/>
  <c r="BU77" i="1"/>
  <c r="BN66" i="1"/>
  <c r="BQ148" i="1"/>
  <c r="BK484" i="1"/>
  <c r="BM6" i="1"/>
  <c r="BL371" i="1"/>
  <c r="BO116" i="1"/>
  <c r="BO100" i="1" s="1"/>
  <c r="BQ283" i="1"/>
  <c r="BT283" i="1" s="1"/>
  <c r="S103" i="3"/>
  <c r="BN226" i="1"/>
  <c r="BN258" i="1"/>
  <c r="BR146" i="1"/>
  <c r="M27" i="2"/>
  <c r="BQ385" i="1"/>
  <c r="BS385" i="1" s="1"/>
  <c r="BN366" i="1"/>
  <c r="BO362" i="1"/>
  <c r="BK485" i="1"/>
  <c r="BL485" i="1" s="1"/>
  <c r="BJ492" i="1"/>
  <c r="BQ242" i="1"/>
  <c r="BT242" i="1" s="1"/>
  <c r="BK370" i="1"/>
  <c r="BK374" i="1" s="1"/>
  <c r="BR131" i="1"/>
  <c r="M126" i="2"/>
  <c r="N126" i="2" s="1"/>
  <c r="BN262" i="1"/>
  <c r="Q113" i="3"/>
  <c r="BQ382" i="1"/>
  <c r="BQ366" i="1" s="1"/>
  <c r="BU128" i="1"/>
  <c r="S104" i="3"/>
  <c r="O31" i="3"/>
  <c r="P23" i="4"/>
  <c r="BQ384" i="1"/>
  <c r="O28" i="3"/>
  <c r="O125" i="3"/>
  <c r="O28" i="4"/>
  <c r="BR141" i="1"/>
  <c r="BS141" i="1" s="1"/>
  <c r="BM68" i="1"/>
  <c r="BM71" i="1" s="1"/>
  <c r="BS149" i="1"/>
  <c r="O103" i="2"/>
  <c r="P31" i="2"/>
  <c r="BT252" i="1"/>
  <c r="BT220" i="1"/>
  <c r="BT149" i="1"/>
  <c r="BU149" i="1" s="1"/>
  <c r="Q127" i="3"/>
  <c r="Q30" i="3"/>
  <c r="BN156" i="1"/>
  <c r="BM364" i="1"/>
  <c r="BM7" i="1"/>
  <c r="BM9" i="1" s="1"/>
  <c r="N27" i="2"/>
  <c r="N32" i="2"/>
  <c r="O29" i="4"/>
  <c r="Q47" i="4"/>
  <c r="Q49" i="4" s="1"/>
  <c r="P47" i="4"/>
  <c r="P49" i="4" s="1"/>
  <c r="Q123" i="3"/>
  <c r="Q26" i="3"/>
  <c r="BQ162" i="1"/>
  <c r="M130" i="3"/>
  <c r="M33" i="3"/>
  <c r="BN111" i="1"/>
  <c r="BN95" i="1" s="1"/>
  <c r="BQ79" i="1"/>
  <c r="BS79" i="1" s="1"/>
  <c r="BS140" i="1"/>
  <c r="K128" i="2"/>
  <c r="L128" i="2" s="1"/>
  <c r="K122" i="2"/>
  <c r="BQ65" i="1"/>
  <c r="BP382" i="1"/>
  <c r="BR382" i="1" s="1"/>
  <c r="BR366" i="1" s="1"/>
  <c r="O108" i="2"/>
  <c r="S108" i="2" s="1"/>
  <c r="BS81" i="1"/>
  <c r="BS224" i="1" s="1"/>
  <c r="BP113" i="1"/>
  <c r="BP97" i="1" s="1"/>
  <c r="P108" i="2"/>
  <c r="BP84" i="1"/>
  <c r="BR84" i="1" s="1"/>
  <c r="Q23" i="4"/>
  <c r="P27" i="3"/>
  <c r="P28" i="3"/>
  <c r="BP259" i="1"/>
  <c r="O106" i="2"/>
  <c r="Q107" i="2"/>
  <c r="N30" i="2"/>
  <c r="T111" i="2"/>
  <c r="O31" i="2"/>
  <c r="BI22" i="1"/>
  <c r="BI24" i="1" s="1"/>
  <c r="BI27" i="1" s="1"/>
  <c r="BI25" i="1" s="1"/>
  <c r="BI184" i="1" s="1"/>
  <c r="M28" i="4"/>
  <c r="M125" i="4"/>
  <c r="Q107" i="4"/>
  <c r="Q25" i="3"/>
  <c r="BU151" i="1"/>
  <c r="O129" i="3"/>
  <c r="P129" i="3" s="1"/>
  <c r="O32" i="3"/>
  <c r="BL370" i="1"/>
  <c r="P26" i="2"/>
  <c r="M23" i="2"/>
  <c r="S104" i="2"/>
  <c r="S113" i="3"/>
  <c r="BL389" i="1"/>
  <c r="BN402" i="1"/>
  <c r="BN380" i="1"/>
  <c r="BP102" i="1"/>
  <c r="BQ252" i="1"/>
  <c r="BQ220" i="1"/>
  <c r="BP223" i="1"/>
  <c r="R109" i="3"/>
  <c r="BR243" i="1"/>
  <c r="BM367" i="1"/>
  <c r="BN388" i="1"/>
  <c r="BO254" i="1"/>
  <c r="BO222" i="1"/>
  <c r="Q108" i="2"/>
  <c r="N28" i="4"/>
  <c r="N125" i="4"/>
  <c r="R107" i="2"/>
  <c r="BO221" i="1"/>
  <c r="BN101" i="1"/>
  <c r="BQ133" i="1"/>
  <c r="BP133" i="1"/>
  <c r="BQ255" i="1"/>
  <c r="O27" i="4"/>
  <c r="BP148" i="1"/>
  <c r="BU246" i="1"/>
  <c r="BO262" i="1"/>
  <c r="BR246" i="1"/>
  <c r="Q22" i="4"/>
  <c r="P25" i="3"/>
  <c r="P111" i="4"/>
  <c r="BO292" i="1"/>
  <c r="BN165" i="1"/>
  <c r="BP165" i="1" s="1"/>
  <c r="BR133" i="1"/>
  <c r="L129" i="4"/>
  <c r="M129" i="4" s="1"/>
  <c r="L32" i="4"/>
  <c r="O113" i="4"/>
  <c r="N113" i="4"/>
  <c r="R113" i="4" s="1"/>
  <c r="BQ285" i="1"/>
  <c r="BN288" i="1"/>
  <c r="BQ288" i="1" s="1"/>
  <c r="BN6" i="1"/>
  <c r="Q29" i="4"/>
  <c r="N29" i="4"/>
  <c r="BP78" i="1"/>
  <c r="BM387" i="1"/>
  <c r="BT151" i="1"/>
  <c r="N24" i="2"/>
  <c r="N34" i="2" s="1"/>
  <c r="N4" i="2" s="1"/>
  <c r="R105" i="2"/>
  <c r="Q105" i="2"/>
  <c r="T105" i="2" s="1"/>
  <c r="BQ142" i="1"/>
  <c r="O106" i="4"/>
  <c r="BO227" i="1"/>
  <c r="BO229" i="1"/>
  <c r="BP114" i="1"/>
  <c r="BP98" i="1" s="1"/>
  <c r="BS82" i="1"/>
  <c r="BO69" i="1"/>
  <c r="BQ398" i="1"/>
  <c r="BT398" i="1" s="1"/>
  <c r="BL71" i="1"/>
  <c r="BQ113" i="1"/>
  <c r="BQ97" i="1" s="1"/>
  <c r="BT81" i="1"/>
  <c r="BR108" i="1"/>
  <c r="BT108" i="1" s="1"/>
  <c r="Q28" i="3"/>
  <c r="O107" i="4"/>
  <c r="BP383" i="1"/>
  <c r="BS383" i="1" s="1"/>
  <c r="BR396" i="1"/>
  <c r="BS396" i="1" s="1"/>
  <c r="N24" i="4"/>
  <c r="BK9" i="1"/>
  <c r="BJ416" i="1" s="1"/>
  <c r="L124" i="4"/>
  <c r="M124" i="4" s="1"/>
  <c r="L27" i="4"/>
  <c r="R113" i="2"/>
  <c r="P109" i="4"/>
  <c r="BP222" i="1"/>
  <c r="O119" i="3"/>
  <c r="P119" i="3" s="1"/>
  <c r="O22" i="3"/>
  <c r="O114" i="3"/>
  <c r="BO62" i="1"/>
  <c r="S23" i="4"/>
  <c r="BP62" i="1"/>
  <c r="BO156" i="1"/>
  <c r="BO110" i="1"/>
  <c r="BO94" i="1" s="1"/>
  <c r="BO87" i="1"/>
  <c r="BO230" i="1" s="1"/>
  <c r="N121" i="3"/>
  <c r="N24" i="3"/>
  <c r="P23" i="2"/>
  <c r="BQ256" i="1"/>
  <c r="BQ224" i="1"/>
  <c r="BN161" i="1"/>
  <c r="BM403" i="1"/>
  <c r="BN403" i="1"/>
  <c r="BL403" i="1"/>
  <c r="S64" i="4"/>
  <c r="BU261" i="1"/>
  <c r="BQ114" i="1"/>
  <c r="BS125" i="1"/>
  <c r="BO112" i="1"/>
  <c r="BO96" i="1" s="1"/>
  <c r="BR80" i="1"/>
  <c r="BP404" i="1"/>
  <c r="BK372" i="1"/>
  <c r="BP252" i="1"/>
  <c r="BP220" i="1"/>
  <c r="Q31" i="2"/>
  <c r="J131" i="4"/>
  <c r="BP162" i="1"/>
  <c r="L127" i="4"/>
  <c r="O127" i="4" s="1"/>
  <c r="L30" i="4"/>
  <c r="R111" i="4"/>
  <c r="BL365" i="1"/>
  <c r="BM381" i="1"/>
  <c r="BN381" i="1"/>
  <c r="BN292" i="1"/>
  <c r="BN227" i="1"/>
  <c r="R109" i="2"/>
  <c r="Q112" i="3"/>
  <c r="S112" i="3" s="1"/>
  <c r="BP253" i="1"/>
  <c r="R30" i="2"/>
  <c r="P105" i="4"/>
  <c r="N108" i="4"/>
  <c r="BU126" i="1"/>
  <c r="BQ238" i="1"/>
  <c r="S61" i="4"/>
  <c r="BR64" i="1" l="1"/>
  <c r="BQ289" i="1"/>
  <c r="BS289" i="1" s="1"/>
  <c r="BR157" i="1"/>
  <c r="BS60" i="1"/>
  <c r="BR62" i="1"/>
  <c r="BR286" i="1"/>
  <c r="BR69" i="1"/>
  <c r="BQ63" i="1"/>
  <c r="BP66" i="1"/>
  <c r="BR66" i="1" s="1"/>
  <c r="BP288" i="1"/>
  <c r="BR70" i="1"/>
  <c r="BR158" i="1"/>
  <c r="BT158" i="1" s="1"/>
  <c r="BR165" i="1"/>
  <c r="BR60" i="1"/>
  <c r="BU60" i="1" s="1"/>
  <c r="BS162" i="1"/>
  <c r="BU164" i="1"/>
  <c r="BU289" i="1"/>
  <c r="BQ165" i="1"/>
  <c r="BS165" i="1" s="1"/>
  <c r="BU165" i="1" s="1"/>
  <c r="L34" i="4"/>
  <c r="L4" i="4" s="1"/>
  <c r="L6" i="4" s="1"/>
  <c r="L14" i="4" s="1"/>
  <c r="L16" i="4" s="1"/>
  <c r="BQ70" i="1"/>
  <c r="BT70" i="1" s="1"/>
  <c r="BP163" i="1"/>
  <c r="BS163" i="1" s="1"/>
  <c r="BM485" i="1"/>
  <c r="BO68" i="1"/>
  <c r="BQ68" i="1" s="1"/>
  <c r="BS157" i="1"/>
  <c r="BQ284" i="1"/>
  <c r="BQ62" i="1"/>
  <c r="BS62" i="1" s="1"/>
  <c r="BS290" i="1"/>
  <c r="BU290" i="1" s="1"/>
  <c r="BT286" i="1"/>
  <c r="BT64" i="1"/>
  <c r="BP68" i="1"/>
  <c r="BT65" i="1"/>
  <c r="BM484" i="1"/>
  <c r="BQ293" i="1"/>
  <c r="BR162" i="1"/>
  <c r="BT162" i="1" s="1"/>
  <c r="BP284" i="1"/>
  <c r="BQ69" i="1"/>
  <c r="BS69" i="1" s="1"/>
  <c r="BR159" i="1"/>
  <c r="BU82" i="1"/>
  <c r="BR225" i="1"/>
  <c r="BP227" i="1"/>
  <c r="BR114" i="1"/>
  <c r="BR98" i="1" s="1"/>
  <c r="BU81" i="1"/>
  <c r="BK247" i="1"/>
  <c r="BK263" i="1" s="1"/>
  <c r="BJ22" i="1"/>
  <c r="BJ24" i="1" s="1"/>
  <c r="BJ27" i="1" s="1"/>
  <c r="BJ25" i="1" s="1"/>
  <c r="BJ184" i="1" s="1"/>
  <c r="BS225" i="1"/>
  <c r="BR113" i="1"/>
  <c r="BR97" i="1" s="1"/>
  <c r="BP112" i="1"/>
  <c r="BP96" i="1" s="1"/>
  <c r="BP111" i="1"/>
  <c r="BJ263" i="1"/>
  <c r="BJ174" i="1"/>
  <c r="BO119" i="1"/>
  <c r="BO103" i="1" s="1"/>
  <c r="BO104" i="1" s="1"/>
  <c r="BJ173" i="1"/>
  <c r="BJ178" i="1"/>
  <c r="BQ117" i="1"/>
  <c r="BQ101" i="1" s="1"/>
  <c r="BM103" i="1"/>
  <c r="BM104" i="1" s="1"/>
  <c r="BM22" i="1" s="1"/>
  <c r="BU255" i="1"/>
  <c r="BT258" i="1"/>
  <c r="O126" i="2"/>
  <c r="BT290" i="1"/>
  <c r="N121" i="2"/>
  <c r="BU385" i="1"/>
  <c r="BL247" i="1"/>
  <c r="BL31" i="1"/>
  <c r="BL33" i="1" s="1"/>
  <c r="BL38" i="1" s="1"/>
  <c r="BL34" i="1" s="1"/>
  <c r="BL311" i="1" s="1"/>
  <c r="M128" i="2"/>
  <c r="Q125" i="2"/>
  <c r="R49" i="4"/>
  <c r="R112" i="4"/>
  <c r="T108" i="2"/>
  <c r="M127" i="2"/>
  <c r="S31" i="3"/>
  <c r="R29" i="4"/>
  <c r="T123" i="3"/>
  <c r="BU396" i="1"/>
  <c r="BT396" i="1"/>
  <c r="BT378" i="1"/>
  <c r="O123" i="2"/>
  <c r="R32" i="4"/>
  <c r="P120" i="4"/>
  <c r="P128" i="3"/>
  <c r="BS229" i="1"/>
  <c r="S29" i="2"/>
  <c r="BT253" i="1"/>
  <c r="O124" i="4"/>
  <c r="BS142" i="1"/>
  <c r="S27" i="2"/>
  <c r="R28" i="2"/>
  <c r="BR83" i="1"/>
  <c r="BR226" i="1" s="1"/>
  <c r="BS253" i="1"/>
  <c r="BR61" i="1"/>
  <c r="BS64" i="1"/>
  <c r="BU64" i="1" s="1"/>
  <c r="BT285" i="1"/>
  <c r="S23" i="2"/>
  <c r="S23" i="3"/>
  <c r="S120" i="3"/>
  <c r="BU79" i="1"/>
  <c r="R30" i="4"/>
  <c r="BP110" i="1"/>
  <c r="BS78" i="1"/>
  <c r="BS221" i="1" s="1"/>
  <c r="BP87" i="1"/>
  <c r="BP20" i="1" s="1"/>
  <c r="BN372" i="1"/>
  <c r="BU108" i="1"/>
  <c r="BU143" i="1"/>
  <c r="L131" i="4"/>
  <c r="BQ160" i="1"/>
  <c r="BS160" i="1" s="1"/>
  <c r="BU160" i="1" s="1"/>
  <c r="BQ61" i="1"/>
  <c r="BM152" i="1"/>
  <c r="BM23" i="1" s="1"/>
  <c r="R25" i="4"/>
  <c r="BI309" i="1"/>
  <c r="BJ309" i="1" s="1"/>
  <c r="BJ341" i="1" s="1"/>
  <c r="BI302" i="1"/>
  <c r="BI334" i="1" s="1"/>
  <c r="BI306" i="1"/>
  <c r="BI338" i="1" s="1"/>
  <c r="BI307" i="1"/>
  <c r="BI339" i="1" s="1"/>
  <c r="BI304" i="1"/>
  <c r="BI336" i="1" s="1"/>
  <c r="BI301" i="1"/>
  <c r="BI333" i="1" s="1"/>
  <c r="BI305" i="1"/>
  <c r="BI337" i="1" s="1"/>
  <c r="BI300" i="1"/>
  <c r="BI332" i="1" s="1"/>
  <c r="BI303" i="1"/>
  <c r="BI335" i="1" s="1"/>
  <c r="BI299" i="1"/>
  <c r="BI331" i="1" s="1"/>
  <c r="BI308" i="1"/>
  <c r="BI340" i="1" s="1"/>
  <c r="BR160" i="1"/>
  <c r="BT143" i="1"/>
  <c r="M121" i="2"/>
  <c r="BP71" i="1"/>
  <c r="BM369" i="1"/>
  <c r="BN364" i="1"/>
  <c r="BP380" i="1"/>
  <c r="P22" i="2"/>
  <c r="P114" i="2"/>
  <c r="BN368" i="1"/>
  <c r="BP262" i="1"/>
  <c r="BR135" i="1"/>
  <c r="N119" i="2"/>
  <c r="O119" i="2" s="1"/>
  <c r="BR223" i="1"/>
  <c r="BU85" i="1"/>
  <c r="BR260" i="1"/>
  <c r="P125" i="3"/>
  <c r="BQ147" i="1"/>
  <c r="R32" i="2"/>
  <c r="BM371" i="1"/>
  <c r="S22" i="3"/>
  <c r="S114" i="3"/>
  <c r="BP394" i="1"/>
  <c r="BQ394" i="1" s="1"/>
  <c r="BP145" i="1"/>
  <c r="BG422" i="1"/>
  <c r="BG423" i="1" s="1"/>
  <c r="BG424" i="1" s="1"/>
  <c r="BH415" i="1" s="1"/>
  <c r="BH418" i="1" s="1"/>
  <c r="BR288" i="1"/>
  <c r="BT288" i="1" s="1"/>
  <c r="BO400" i="1"/>
  <c r="BP400" i="1" s="1"/>
  <c r="BR148" i="1"/>
  <c r="BS148" i="1" s="1"/>
  <c r="O120" i="4"/>
  <c r="BU237" i="1"/>
  <c r="BR78" i="1"/>
  <c r="BR221" i="1" s="1"/>
  <c r="M120" i="2"/>
  <c r="Q26" i="4"/>
  <c r="L130" i="2"/>
  <c r="P125" i="2"/>
  <c r="R125" i="2" s="1"/>
  <c r="P28" i="2"/>
  <c r="BT385" i="1"/>
  <c r="P26" i="4"/>
  <c r="S107" i="4"/>
  <c r="BP287" i="1"/>
  <c r="BO402" i="1"/>
  <c r="BL103" i="1"/>
  <c r="BL104" i="1" s="1"/>
  <c r="BL120" i="1"/>
  <c r="N122" i="4"/>
  <c r="O122" i="4" s="1"/>
  <c r="N25" i="4"/>
  <c r="T106" i="4"/>
  <c r="N114" i="4"/>
  <c r="S106" i="4"/>
  <c r="N123" i="2"/>
  <c r="M130" i="2"/>
  <c r="N130" i="2" s="1"/>
  <c r="M33" i="2"/>
  <c r="M34" i="2" s="1"/>
  <c r="M4" i="2" s="1"/>
  <c r="S25" i="3"/>
  <c r="BS83" i="1"/>
  <c r="BP115" i="1"/>
  <c r="BP99" i="1" s="1"/>
  <c r="O32" i="4"/>
  <c r="S103" i="2"/>
  <c r="S24" i="4"/>
  <c r="BS135" i="1"/>
  <c r="BP63" i="1"/>
  <c r="Q129" i="3"/>
  <c r="R129" i="3" s="1"/>
  <c r="Q32" i="3"/>
  <c r="BS382" i="1"/>
  <c r="BS366" i="1" s="1"/>
  <c r="BN294" i="1"/>
  <c r="BP254" i="1"/>
  <c r="BO380" i="1"/>
  <c r="BS146" i="1"/>
  <c r="BT146" i="1" s="1"/>
  <c r="BU146" i="1" s="1"/>
  <c r="BS114" i="1"/>
  <c r="P127" i="4"/>
  <c r="P30" i="4"/>
  <c r="BR259" i="1"/>
  <c r="BR227" i="1"/>
  <c r="BU243" i="1"/>
  <c r="BT243" i="1"/>
  <c r="P123" i="2"/>
  <c r="BS84" i="1"/>
  <c r="BU84" i="1" s="1"/>
  <c r="BP116" i="1"/>
  <c r="BR116" i="1" s="1"/>
  <c r="BR100" i="1" s="1"/>
  <c r="M119" i="4"/>
  <c r="BR127" i="1"/>
  <c r="BT127" i="1" s="1"/>
  <c r="BP293" i="1"/>
  <c r="BR293" i="1" s="1"/>
  <c r="BT130" i="1"/>
  <c r="BS127" i="1"/>
  <c r="O121" i="3"/>
  <c r="BR150" i="1"/>
  <c r="BS150" i="1" s="1"/>
  <c r="P112" i="4"/>
  <c r="S123" i="3"/>
  <c r="S26" i="3"/>
  <c r="BQ98" i="1"/>
  <c r="BQ257" i="1"/>
  <c r="BS130" i="1"/>
  <c r="BU130" i="1" s="1"/>
  <c r="BT144" i="1"/>
  <c r="BU144" i="1" s="1"/>
  <c r="BQ258" i="1"/>
  <c r="BQ226" i="1"/>
  <c r="N32" i="4"/>
  <c r="N129" i="4"/>
  <c r="O129" i="4" s="1"/>
  <c r="T113" i="4"/>
  <c r="S113" i="4"/>
  <c r="BT164" i="1"/>
  <c r="BN365" i="1"/>
  <c r="BM365" i="1"/>
  <c r="BM389" i="1"/>
  <c r="BM373" i="1" s="1"/>
  <c r="BR117" i="1"/>
  <c r="BR101" i="1" s="1"/>
  <c r="BQ111" i="1"/>
  <c r="BQ95" i="1" s="1"/>
  <c r="BT79" i="1"/>
  <c r="BP226" i="1"/>
  <c r="BP258" i="1"/>
  <c r="BU242" i="1"/>
  <c r="BP147" i="1"/>
  <c r="BQ254" i="1"/>
  <c r="BQ222" i="1"/>
  <c r="BS238" i="1"/>
  <c r="BT238" i="1"/>
  <c r="BU286" i="1"/>
  <c r="T113" i="2"/>
  <c r="P29" i="2"/>
  <c r="R110" i="2"/>
  <c r="BU125" i="1"/>
  <c r="BU252" i="1" s="1"/>
  <c r="BT60" i="1"/>
  <c r="N124" i="4"/>
  <c r="N27" i="4"/>
  <c r="Q108" i="4"/>
  <c r="P108" i="4"/>
  <c r="BQ404" i="1"/>
  <c r="BR404" i="1" s="1"/>
  <c r="R28" i="3"/>
  <c r="N128" i="2"/>
  <c r="BI182" i="1"/>
  <c r="BI180" i="1"/>
  <c r="BI181" i="1"/>
  <c r="BJ181" i="1" s="1"/>
  <c r="BI179" i="1"/>
  <c r="P27" i="2"/>
  <c r="N129" i="2"/>
  <c r="BU256" i="1"/>
  <c r="BU224" i="1"/>
  <c r="O31" i="4"/>
  <c r="T110" i="2"/>
  <c r="Q124" i="3"/>
  <c r="BU141" i="1"/>
  <c r="BL369" i="1"/>
  <c r="BL374" i="1" s="1"/>
  <c r="BO401" i="1"/>
  <c r="BQ401" i="1" s="1"/>
  <c r="BQ369" i="1" s="1"/>
  <c r="BL405" i="1"/>
  <c r="BL373" i="1" s="1"/>
  <c r="BS262" i="1"/>
  <c r="BT255" i="1"/>
  <c r="R47" i="4"/>
  <c r="BQ112" i="1"/>
  <c r="BQ96" i="1" s="1"/>
  <c r="BT80" i="1"/>
  <c r="BT223" i="1" s="1"/>
  <c r="M130" i="4"/>
  <c r="M33" i="4"/>
  <c r="M34" i="4" s="1"/>
  <c r="M4" i="4" s="1"/>
  <c r="M6" i="4" s="1"/>
  <c r="M14" i="4" s="1"/>
  <c r="M16" i="4" s="1"/>
  <c r="P28" i="4"/>
  <c r="P125" i="4"/>
  <c r="R109" i="4"/>
  <c r="N128" i="4"/>
  <c r="O128" i="4" s="1"/>
  <c r="N31" i="4"/>
  <c r="T112" i="4"/>
  <c r="BN71" i="1"/>
  <c r="L122" i="2"/>
  <c r="M122" i="2" s="1"/>
  <c r="BP101" i="1"/>
  <c r="BP260" i="1"/>
  <c r="BS158" i="1"/>
  <c r="BU158" i="1" s="1"/>
  <c r="O22" i="2"/>
  <c r="O114" i="2"/>
  <c r="BQ292" i="1"/>
  <c r="BT383" i="1"/>
  <c r="BN399" i="1"/>
  <c r="Q121" i="4"/>
  <c r="T113" i="3"/>
  <c r="BP401" i="1"/>
  <c r="BS283" i="1"/>
  <c r="BP156" i="1"/>
  <c r="BR156" i="1" s="1"/>
  <c r="BR142" i="1"/>
  <c r="BQ161" i="1"/>
  <c r="BU395" i="1"/>
  <c r="BS251" i="1"/>
  <c r="BS219" i="1"/>
  <c r="Q24" i="2"/>
  <c r="O33" i="3"/>
  <c r="O34" i="3" s="1"/>
  <c r="O4" i="3" s="1"/>
  <c r="O6" i="3" s="1"/>
  <c r="O14" i="3" s="1"/>
  <c r="P121" i="3"/>
  <c r="P24" i="3"/>
  <c r="BQ251" i="1"/>
  <c r="BK492" i="1"/>
  <c r="BT262" i="1"/>
  <c r="O128" i="3"/>
  <c r="BM294" i="1"/>
  <c r="BR258" i="1"/>
  <c r="BT256" i="1"/>
  <c r="BT224" i="1"/>
  <c r="Q113" i="4"/>
  <c r="BS285" i="1"/>
  <c r="BU285" i="1" s="1"/>
  <c r="P121" i="4"/>
  <c r="P24" i="4"/>
  <c r="R105" i="4"/>
  <c r="T105" i="4" s="1"/>
  <c r="P122" i="3"/>
  <c r="BS133" i="1"/>
  <c r="O128" i="2"/>
  <c r="P128" i="2" s="1"/>
  <c r="BS113" i="1"/>
  <c r="BS97" i="1" s="1"/>
  <c r="N124" i="2"/>
  <c r="BS288" i="1"/>
  <c r="P25" i="4"/>
  <c r="BQ67" i="1"/>
  <c r="BT67" i="1" s="1"/>
  <c r="BT109" i="1"/>
  <c r="BT93" i="1" s="1"/>
  <c r="BO166" i="1"/>
  <c r="BP166" i="1"/>
  <c r="Q119" i="3"/>
  <c r="Q22" i="3"/>
  <c r="Q114" i="3"/>
  <c r="Q125" i="4"/>
  <c r="Q127" i="4"/>
  <c r="Q30" i="4"/>
  <c r="BR384" i="1"/>
  <c r="R24" i="2"/>
  <c r="BQ115" i="1"/>
  <c r="BQ99" i="1" s="1"/>
  <c r="S29" i="4"/>
  <c r="Q25" i="4"/>
  <c r="BR67" i="1"/>
  <c r="BS255" i="1"/>
  <c r="BU86" i="1"/>
  <c r="BR118" i="1"/>
  <c r="BR102" i="1" s="1"/>
  <c r="BS109" i="1"/>
  <c r="BS93" i="1" s="1"/>
  <c r="S109" i="4"/>
  <c r="P25" i="2"/>
  <c r="BQ397" i="1"/>
  <c r="BT397" i="1" s="1"/>
  <c r="BR397" i="1"/>
  <c r="BP93" i="1"/>
  <c r="BM370" i="1"/>
  <c r="BN386" i="1"/>
  <c r="BP291" i="1"/>
  <c r="Q121" i="3"/>
  <c r="T112" i="3"/>
  <c r="BM247" i="1"/>
  <c r="BM31" i="1"/>
  <c r="BM33" i="1" s="1"/>
  <c r="BM38" i="1" s="1"/>
  <c r="BM34" i="1" s="1"/>
  <c r="BM311" i="1" s="1"/>
  <c r="BT86" i="1"/>
  <c r="BQ118" i="1"/>
  <c r="BQ102" i="1" s="1"/>
  <c r="BQ229" i="1"/>
  <c r="P114" i="3"/>
  <c r="BO381" i="1"/>
  <c r="P29" i="4"/>
  <c r="T110" i="4"/>
  <c r="N120" i="2"/>
  <c r="BQ223" i="1"/>
  <c r="BT289" i="1"/>
  <c r="BQ260" i="1"/>
  <c r="O27" i="2"/>
  <c r="O124" i="2"/>
  <c r="P124" i="2" s="1"/>
  <c r="R108" i="2"/>
  <c r="BO403" i="1"/>
  <c r="BO291" i="1"/>
  <c r="BO388" i="1"/>
  <c r="BT133" i="1"/>
  <c r="BP366" i="1"/>
  <c r="BN7" i="1"/>
  <c r="R106" i="2"/>
  <c r="BT131" i="1"/>
  <c r="P24" i="2"/>
  <c r="BP397" i="1"/>
  <c r="BR379" i="1"/>
  <c r="BT140" i="1"/>
  <c r="R127" i="3"/>
  <c r="R30" i="3"/>
  <c r="M126" i="4"/>
  <c r="BP161" i="1"/>
  <c r="BR161" i="1" s="1"/>
  <c r="Q112" i="4"/>
  <c r="S112" i="4" s="1"/>
  <c r="BQ262" i="1"/>
  <c r="BK22" i="1"/>
  <c r="BK24" i="1" s="1"/>
  <c r="BK27" i="1" s="1"/>
  <c r="BK25" i="1" s="1"/>
  <c r="BK184" i="1" s="1"/>
  <c r="BJ172" i="1"/>
  <c r="S30" i="4"/>
  <c r="BR257" i="1"/>
  <c r="S105" i="2"/>
  <c r="Q27" i="2"/>
  <c r="O25" i="2"/>
  <c r="BO152" i="1"/>
  <c r="BO23" i="1" s="1"/>
  <c r="BQ159" i="1"/>
  <c r="BS159" i="1" s="1"/>
  <c r="BU159" i="1" s="1"/>
  <c r="Q106" i="2"/>
  <c r="BT157" i="1"/>
  <c r="BR253" i="1"/>
  <c r="T109" i="2"/>
  <c r="BQ87" i="1"/>
  <c r="BN119" i="1"/>
  <c r="BN120" i="1" s="1"/>
  <c r="BN230" i="1"/>
  <c r="BN231" i="1" s="1"/>
  <c r="BN20" i="1"/>
  <c r="BL486" i="1"/>
  <c r="BM486" i="1" s="1"/>
  <c r="R105" i="3"/>
  <c r="T105" i="3" s="1"/>
  <c r="BS397" i="1"/>
  <c r="BQ116" i="1"/>
  <c r="BQ100" i="1" s="1"/>
  <c r="BT84" i="1"/>
  <c r="BQ227" i="1"/>
  <c r="S32" i="2"/>
  <c r="BO231" i="1"/>
  <c r="BU398" i="1"/>
  <c r="S27" i="3"/>
  <c r="BP92" i="1"/>
  <c r="BR124" i="1"/>
  <c r="BU124" i="1" s="1"/>
  <c r="BU92" i="1" s="1"/>
  <c r="BP251" i="1"/>
  <c r="BK483" i="1"/>
  <c r="R31" i="3"/>
  <c r="BN387" i="1"/>
  <c r="BS252" i="1"/>
  <c r="BJ177" i="1"/>
  <c r="Q31" i="3"/>
  <c r="Q128" i="3"/>
  <c r="Q123" i="2"/>
  <c r="R123" i="2" s="1"/>
  <c r="Q26" i="2"/>
  <c r="S107" i="2"/>
  <c r="S47" i="4"/>
  <c r="S49" i="4" s="1"/>
  <c r="R103" i="2"/>
  <c r="BN401" i="1"/>
  <c r="BR401" i="1" s="1"/>
  <c r="BR369" i="1" s="1"/>
  <c r="BS80" i="1"/>
  <c r="BU80" i="1" s="1"/>
  <c r="BU225" i="1"/>
  <c r="BN152" i="1"/>
  <c r="BN23" i="1" s="1"/>
  <c r="BP221" i="1"/>
  <c r="O26" i="4"/>
  <c r="O123" i="4"/>
  <c r="R107" i="4"/>
  <c r="T107" i="4" s="1"/>
  <c r="O25" i="4"/>
  <c r="BS65" i="1"/>
  <c r="BU65" i="1" s="1"/>
  <c r="BU131" i="1"/>
  <c r="BO5" i="1"/>
  <c r="BP5" i="1"/>
  <c r="BQ110" i="1"/>
  <c r="BT124" i="1"/>
  <c r="BT92" i="1" s="1"/>
  <c r="O114" i="4"/>
  <c r="BJ176" i="1"/>
  <c r="S24" i="3"/>
  <c r="P32" i="4"/>
  <c r="BQ66" i="1"/>
  <c r="BS66" i="1" s="1"/>
  <c r="R22" i="3"/>
  <c r="R119" i="3"/>
  <c r="T120" i="3"/>
  <c r="S32" i="3"/>
  <c r="BU220" i="1"/>
  <c r="BU378" i="1"/>
  <c r="BR262" i="1"/>
  <c r="R26" i="2"/>
  <c r="BN167" i="1"/>
  <c r="BQ156" i="1"/>
  <c r="S28" i="2"/>
  <c r="BT135" i="1"/>
  <c r="BU235" i="1"/>
  <c r="Q103" i="2"/>
  <c r="T103" i="2" s="1"/>
  <c r="BS242" i="1"/>
  <c r="BO20" i="1"/>
  <c r="R29" i="3"/>
  <c r="R126" i="3"/>
  <c r="S126" i="3" s="1"/>
  <c r="T110" i="3"/>
  <c r="N33" i="3"/>
  <c r="N34" i="3" s="1"/>
  <c r="N4" i="3" s="1"/>
  <c r="N6" i="3" s="1"/>
  <c r="N14" i="3" s="1"/>
  <c r="N130" i="3"/>
  <c r="N131" i="3" s="1"/>
  <c r="T109" i="3"/>
  <c r="BT251" i="1"/>
  <c r="BT219" i="1"/>
  <c r="BJ175" i="1"/>
  <c r="BP292" i="1"/>
  <c r="T107" i="2"/>
  <c r="BU162" i="1" l="1"/>
  <c r="BS63" i="1"/>
  <c r="BS67" i="1"/>
  <c r="BU67" i="1" s="1"/>
  <c r="BU157" i="1"/>
  <c r="BJ302" i="1"/>
  <c r="BJ334" i="1" s="1"/>
  <c r="BJ307" i="1"/>
  <c r="BJ339" i="1" s="1"/>
  <c r="BU288" i="1"/>
  <c r="BT165" i="1"/>
  <c r="BJ304" i="1"/>
  <c r="BJ336" i="1" s="1"/>
  <c r="BU69" i="1"/>
  <c r="BR163" i="1"/>
  <c r="BT163" i="1" s="1"/>
  <c r="BT62" i="1"/>
  <c r="BJ308" i="1"/>
  <c r="BJ340" i="1" s="1"/>
  <c r="BO71" i="1"/>
  <c r="BS70" i="1"/>
  <c r="BU70" i="1" s="1"/>
  <c r="BU163" i="1"/>
  <c r="BL483" i="1"/>
  <c r="BM483" i="1" s="1"/>
  <c r="BR291" i="1"/>
  <c r="BJ299" i="1"/>
  <c r="BJ331" i="1" s="1"/>
  <c r="BT66" i="1"/>
  <c r="BR68" i="1"/>
  <c r="BT68" i="1" s="1"/>
  <c r="BT160" i="1"/>
  <c r="BT61" i="1"/>
  <c r="BT69" i="1"/>
  <c r="BS284" i="1"/>
  <c r="BS68" i="1"/>
  <c r="BS61" i="1"/>
  <c r="BU61" i="1" s="1"/>
  <c r="BU62" i="1"/>
  <c r="BR284" i="1"/>
  <c r="BT284" i="1" s="1"/>
  <c r="BS111" i="1"/>
  <c r="BU113" i="1"/>
  <c r="BU97" i="1" s="1"/>
  <c r="BQ20" i="1"/>
  <c r="BT114" i="1"/>
  <c r="BT83" i="1"/>
  <c r="BT226" i="1" s="1"/>
  <c r="BU114" i="1"/>
  <c r="BU98" i="1" s="1"/>
  <c r="BT113" i="1"/>
  <c r="BT97" i="1" s="1"/>
  <c r="BP95" i="1"/>
  <c r="BR111" i="1"/>
  <c r="BT111" i="1" s="1"/>
  <c r="BT95" i="1" s="1"/>
  <c r="BT78" i="1"/>
  <c r="BT221" i="1" s="1"/>
  <c r="BS118" i="1"/>
  <c r="BS102" i="1" s="1"/>
  <c r="BS117" i="1"/>
  <c r="BU117" i="1" s="1"/>
  <c r="BP100" i="1"/>
  <c r="BR112" i="1"/>
  <c r="BR96" i="1" s="1"/>
  <c r="BS223" i="1"/>
  <c r="BQ230" i="1"/>
  <c r="BQ231" i="1" s="1"/>
  <c r="BQ247" i="1" s="1"/>
  <c r="BO120" i="1"/>
  <c r="BO22" i="1" s="1"/>
  <c r="BO24" i="1" s="1"/>
  <c r="BO27" i="1" s="1"/>
  <c r="BO25" i="1" s="1"/>
  <c r="BO184" i="1" s="1"/>
  <c r="BN103" i="1"/>
  <c r="BN104" i="1" s="1"/>
  <c r="BN22" i="1" s="1"/>
  <c r="BN24" i="1" s="1"/>
  <c r="BN27" i="1" s="1"/>
  <c r="BN25" i="1" s="1"/>
  <c r="BN184" i="1" s="1"/>
  <c r="BM136" i="1"/>
  <c r="BM263" i="1" s="1"/>
  <c r="BM24" i="1"/>
  <c r="BM27" i="1" s="1"/>
  <c r="BM25" i="1" s="1"/>
  <c r="BM184" i="1" s="1"/>
  <c r="BT117" i="1"/>
  <c r="BT101" i="1" s="1"/>
  <c r="BL136" i="1"/>
  <c r="BL263" i="1" s="1"/>
  <c r="T114" i="3"/>
  <c r="BN247" i="1"/>
  <c r="BN31" i="1"/>
  <c r="BN33" i="1" s="1"/>
  <c r="BN38" i="1" s="1"/>
  <c r="BN34" i="1" s="1"/>
  <c r="BN311" i="1" s="1"/>
  <c r="S125" i="2"/>
  <c r="T125" i="2" s="1"/>
  <c r="Q124" i="2"/>
  <c r="R124" i="2" s="1"/>
  <c r="T127" i="3"/>
  <c r="S121" i="4"/>
  <c r="P34" i="3"/>
  <c r="P4" i="3" s="1"/>
  <c r="P6" i="3" s="1"/>
  <c r="P14" i="3" s="1"/>
  <c r="P119" i="2"/>
  <c r="BQ362" i="1"/>
  <c r="Q123" i="4"/>
  <c r="BU223" i="1"/>
  <c r="S128" i="3"/>
  <c r="BU150" i="1"/>
  <c r="BT150" i="1"/>
  <c r="S31" i="4"/>
  <c r="BT148" i="1"/>
  <c r="BU148" i="1" s="1"/>
  <c r="N122" i="2"/>
  <c r="M131" i="2"/>
  <c r="O122" i="2"/>
  <c r="BP368" i="1"/>
  <c r="BQ400" i="1"/>
  <c r="BQ368" i="1" s="1"/>
  <c r="BU257" i="1"/>
  <c r="BH422" i="1"/>
  <c r="BH423" i="1" s="1"/>
  <c r="BH424" i="1" s="1"/>
  <c r="BI415" i="1" s="1"/>
  <c r="BU109" i="1"/>
  <c r="BU93" i="1" s="1"/>
  <c r="BP369" i="1"/>
  <c r="BT293" i="1"/>
  <c r="P34" i="2"/>
  <c r="P4" i="2" s="1"/>
  <c r="BR292" i="1"/>
  <c r="BT292" i="1" s="1"/>
  <c r="O121" i="2"/>
  <c r="Q124" i="4"/>
  <c r="Q27" i="4"/>
  <c r="R128" i="3"/>
  <c r="BO399" i="1"/>
  <c r="BP119" i="1"/>
  <c r="BP120" i="1" s="1"/>
  <c r="BP230" i="1"/>
  <c r="BP231" i="1" s="1"/>
  <c r="Q120" i="4"/>
  <c r="BS292" i="1"/>
  <c r="BU259" i="1"/>
  <c r="BU227" i="1"/>
  <c r="S33" i="3"/>
  <c r="S34" i="3" s="1"/>
  <c r="S4" i="3" s="1"/>
  <c r="S6" i="3" s="1"/>
  <c r="S14" i="3" s="1"/>
  <c r="BP94" i="1"/>
  <c r="BS260" i="1"/>
  <c r="BL22" i="1"/>
  <c r="BL24" i="1" s="1"/>
  <c r="BL27" i="1" s="1"/>
  <c r="BL25" i="1" s="1"/>
  <c r="BL184" i="1" s="1"/>
  <c r="BT260" i="1"/>
  <c r="BO372" i="1"/>
  <c r="BP388" i="1"/>
  <c r="BQ388" i="1"/>
  <c r="BQ372" i="1" s="1"/>
  <c r="BR388" i="1"/>
  <c r="BR372" i="1" s="1"/>
  <c r="BL492" i="1"/>
  <c r="BM492" i="1" s="1"/>
  <c r="BJ305" i="1"/>
  <c r="BJ337" i="1" s="1"/>
  <c r="BQ94" i="1"/>
  <c r="R24" i="3"/>
  <c r="R121" i="3"/>
  <c r="BP403" i="1"/>
  <c r="BT259" i="1"/>
  <c r="BT227" i="1"/>
  <c r="BI341" i="1"/>
  <c r="BI357" i="1"/>
  <c r="BR363" i="1"/>
  <c r="BT379" i="1"/>
  <c r="BT363" i="1" s="1"/>
  <c r="BS379" i="1"/>
  <c r="T126" i="3"/>
  <c r="BP6" i="1"/>
  <c r="BU397" i="1"/>
  <c r="BU133" i="1"/>
  <c r="Q129" i="4"/>
  <c r="Q32" i="4"/>
  <c r="O130" i="3"/>
  <c r="O131" i="3" s="1"/>
  <c r="P123" i="4"/>
  <c r="BS110" i="1"/>
  <c r="BS94" i="1" s="1"/>
  <c r="BS87" i="1"/>
  <c r="BS20" i="1" s="1"/>
  <c r="L131" i="2"/>
  <c r="S127" i="3"/>
  <c r="Q31" i="4"/>
  <c r="BR95" i="1"/>
  <c r="BR254" i="1"/>
  <c r="P124" i="4"/>
  <c r="P27" i="4"/>
  <c r="R108" i="4"/>
  <c r="P114" i="4"/>
  <c r="R31" i="4"/>
  <c r="BP152" i="1"/>
  <c r="BP23" i="1" s="1"/>
  <c r="P129" i="4"/>
  <c r="BN371" i="1"/>
  <c r="BT159" i="1"/>
  <c r="BO294" i="1"/>
  <c r="BT98" i="1"/>
  <c r="BT257" i="1"/>
  <c r="Q25" i="2"/>
  <c r="S26" i="4"/>
  <c r="R27" i="2"/>
  <c r="R127" i="4"/>
  <c r="S127" i="4" s="1"/>
  <c r="T127" i="4" s="1"/>
  <c r="Q122" i="3"/>
  <c r="R122" i="3" s="1"/>
  <c r="S122" i="3" s="1"/>
  <c r="T122" i="3" s="1"/>
  <c r="BS258" i="1"/>
  <c r="BS226" i="1"/>
  <c r="O33" i="4"/>
  <c r="O34" i="4" s="1"/>
  <c r="O4" i="4" s="1"/>
  <c r="O6" i="4" s="1"/>
  <c r="O14" i="4" s="1"/>
  <c r="O16" i="4" s="1"/>
  <c r="P122" i="4"/>
  <c r="R122" i="4" s="1"/>
  <c r="BT161" i="1"/>
  <c r="BR147" i="1"/>
  <c r="BS147" i="1" s="1"/>
  <c r="O120" i="2"/>
  <c r="R124" i="3"/>
  <c r="S124" i="3" s="1"/>
  <c r="BT116" i="1"/>
  <c r="BT100" i="1"/>
  <c r="BR394" i="1"/>
  <c r="BP362" i="1"/>
  <c r="BU140" i="1"/>
  <c r="BS98" i="1"/>
  <c r="BS257" i="1"/>
  <c r="Q122" i="4"/>
  <c r="BS404" i="1"/>
  <c r="BT404" i="1" s="1"/>
  <c r="BS401" i="1"/>
  <c r="BS369" i="1" s="1"/>
  <c r="BN369" i="1"/>
  <c r="T106" i="2"/>
  <c r="T114" i="2" s="1"/>
  <c r="O33" i="2"/>
  <c r="O130" i="2"/>
  <c r="P130" i="2" s="1"/>
  <c r="CR99" i="1"/>
  <c r="BX99" i="1"/>
  <c r="BJ179" i="1"/>
  <c r="BK179" i="1" s="1"/>
  <c r="R29" i="2"/>
  <c r="BQ71" i="1"/>
  <c r="BR63" i="1"/>
  <c r="BT63" i="1" s="1"/>
  <c r="BU111" i="1"/>
  <c r="BR115" i="1"/>
  <c r="BR99" i="1" s="1"/>
  <c r="BU83" i="1"/>
  <c r="BU226" i="1" s="1"/>
  <c r="BO368" i="1"/>
  <c r="BU118" i="1"/>
  <c r="BU102" i="1" s="1"/>
  <c r="BU229" i="1"/>
  <c r="N126" i="4"/>
  <c r="O126" i="4" s="1"/>
  <c r="BN370" i="1"/>
  <c r="BO386" i="1"/>
  <c r="BP386" i="1" s="1"/>
  <c r="T108" i="4"/>
  <c r="T114" i="4" s="1"/>
  <c r="BS388" i="1"/>
  <c r="BS372" i="1" s="1"/>
  <c r="S24" i="2"/>
  <c r="BR92" i="1"/>
  <c r="BR251" i="1"/>
  <c r="Q22" i="2"/>
  <c r="Q114" i="2"/>
  <c r="BP402" i="1"/>
  <c r="BQ291" i="1"/>
  <c r="BQ294" i="1" s="1"/>
  <c r="BQ166" i="1"/>
  <c r="BS166" i="1" s="1"/>
  <c r="O34" i="2"/>
  <c r="O4" i="2" s="1"/>
  <c r="P126" i="2"/>
  <c r="Q126" i="2" s="1"/>
  <c r="P128" i="4"/>
  <c r="P31" i="4"/>
  <c r="BP387" i="1"/>
  <c r="BQ387" i="1" s="1"/>
  <c r="BQ145" i="1"/>
  <c r="BQ152" i="1" s="1"/>
  <c r="BQ23" i="1" s="1"/>
  <c r="Q114" i="4"/>
  <c r="BO369" i="1"/>
  <c r="BS116" i="1"/>
  <c r="BS100" i="1" s="1"/>
  <c r="BS227" i="1"/>
  <c r="BS115" i="1"/>
  <c r="BS99" i="1"/>
  <c r="BJ301" i="1"/>
  <c r="O129" i="2"/>
  <c r="P129" i="2"/>
  <c r="Q129" i="2" s="1"/>
  <c r="BK309" i="1"/>
  <c r="BK341" i="1" s="1"/>
  <c r="BX100" i="1"/>
  <c r="CR100" i="1"/>
  <c r="BJ180" i="1"/>
  <c r="BK180" i="1" s="1"/>
  <c r="BR110" i="1"/>
  <c r="BR94" i="1" s="1"/>
  <c r="BU78" i="1"/>
  <c r="BU221" i="1" s="1"/>
  <c r="BR87" i="1"/>
  <c r="BR20" i="1" s="1"/>
  <c r="BO387" i="1"/>
  <c r="Q128" i="2"/>
  <c r="R128" i="2" s="1"/>
  <c r="BS293" i="1"/>
  <c r="BU293" i="1" s="1"/>
  <c r="BU258" i="1"/>
  <c r="Q34" i="3"/>
  <c r="Q4" i="3" s="1"/>
  <c r="Q6" i="3" s="1"/>
  <c r="Q14" i="3" s="1"/>
  <c r="S108" i="4"/>
  <c r="Q125" i="3"/>
  <c r="R125" i="3" s="1"/>
  <c r="BO365" i="1"/>
  <c r="BP381" i="1"/>
  <c r="BQ381" i="1" s="1"/>
  <c r="BN405" i="1"/>
  <c r="BN367" i="1"/>
  <c r="P33" i="3"/>
  <c r="S119" i="3"/>
  <c r="T119" i="3" s="1"/>
  <c r="BS112" i="1"/>
  <c r="BU251" i="1"/>
  <c r="BU219" i="1"/>
  <c r="BU127" i="1"/>
  <c r="BU383" i="1"/>
  <c r="BU66" i="1"/>
  <c r="R22" i="2"/>
  <c r="R114" i="2"/>
  <c r="BQ119" i="1"/>
  <c r="BQ103" i="1" s="1"/>
  <c r="BI198" i="1"/>
  <c r="BJ182" i="1"/>
  <c r="BK182" i="1" s="1"/>
  <c r="S25" i="4"/>
  <c r="N127" i="2"/>
  <c r="O127" i="2" s="1"/>
  <c r="BO247" i="1"/>
  <c r="BO31" i="1"/>
  <c r="BO33" i="1" s="1"/>
  <c r="BO38" i="1" s="1"/>
  <c r="BO34" i="1" s="1"/>
  <c r="BO311" i="1" s="1"/>
  <c r="P33" i="2"/>
  <c r="M131" i="4"/>
  <c r="BS161" i="1"/>
  <c r="BU161" i="1" s="1"/>
  <c r="Q33" i="3"/>
  <c r="R121" i="4"/>
  <c r="T121" i="4" s="1"/>
  <c r="R24" i="4"/>
  <c r="BS384" i="1"/>
  <c r="BT118" i="1"/>
  <c r="BT102" i="1" s="1"/>
  <c r="BT229" i="1"/>
  <c r="BO6" i="1"/>
  <c r="BU135" i="1"/>
  <c r="S129" i="3"/>
  <c r="T129" i="3" s="1"/>
  <c r="BR145" i="1"/>
  <c r="BT145" i="1" s="1"/>
  <c r="BO167" i="1"/>
  <c r="R25" i="2"/>
  <c r="BI183" i="1"/>
  <c r="BR166" i="1"/>
  <c r="BR167" i="1" s="1"/>
  <c r="BO364" i="1"/>
  <c r="N130" i="4"/>
  <c r="O130" i="4" s="1"/>
  <c r="N33" i="4"/>
  <c r="N34" i="4" s="1"/>
  <c r="N4" i="4" s="1"/>
  <c r="N6" i="4" s="1"/>
  <c r="N14" i="4" s="1"/>
  <c r="N16" i="4" s="1"/>
  <c r="BJ303" i="1"/>
  <c r="BJ335" i="1" s="1"/>
  <c r="BU253" i="1"/>
  <c r="BS145" i="1"/>
  <c r="BT142" i="1"/>
  <c r="BU142" i="1" s="1"/>
  <c r="S106" i="2"/>
  <c r="BT156" i="1"/>
  <c r="BN389" i="1"/>
  <c r="BN373" i="1" s="1"/>
  <c r="BN374" i="1" s="1"/>
  <c r="R28" i="4"/>
  <c r="R125" i="4"/>
  <c r="S125" i="4" s="1"/>
  <c r="T109" i="4"/>
  <c r="BS287" i="1"/>
  <c r="BP294" i="1"/>
  <c r="BP364" i="1"/>
  <c r="BU228" i="1"/>
  <c r="BQ380" i="1"/>
  <c r="BM374" i="1"/>
  <c r="BK178" i="1"/>
  <c r="BK177" i="1"/>
  <c r="BK181" i="1"/>
  <c r="BK174" i="1"/>
  <c r="BK175" i="1"/>
  <c r="BK176" i="1"/>
  <c r="BK173" i="1"/>
  <c r="BK172" i="1"/>
  <c r="BN9" i="1"/>
  <c r="BO7" i="1"/>
  <c r="BP7" i="1" s="1"/>
  <c r="BQ7" i="1" s="1"/>
  <c r="BR400" i="1"/>
  <c r="BR368" i="1" s="1"/>
  <c r="BP167" i="1"/>
  <c r="BS156" i="1"/>
  <c r="BT254" i="1"/>
  <c r="BT222" i="1"/>
  <c r="BP399" i="1"/>
  <c r="BJ300" i="1"/>
  <c r="BI310" i="1"/>
  <c r="BI342" i="1" s="1"/>
  <c r="O119" i="4"/>
  <c r="S22" i="2"/>
  <c r="S114" i="2"/>
  <c r="S32" i="4"/>
  <c r="R26" i="4"/>
  <c r="R114" i="3"/>
  <c r="S123" i="2"/>
  <c r="T123" i="2" s="1"/>
  <c r="S26" i="2"/>
  <c r="BT382" i="1"/>
  <c r="BR287" i="1"/>
  <c r="T128" i="3"/>
  <c r="S28" i="4"/>
  <c r="BU283" i="1"/>
  <c r="BS254" i="1"/>
  <c r="BS222" i="1"/>
  <c r="BU238" i="1"/>
  <c r="BS95" i="1"/>
  <c r="BJ306" i="1"/>
  <c r="BJ338" i="1" s="1"/>
  <c r="N119" i="4"/>
  <c r="BK302" i="1" l="1"/>
  <c r="BK334" i="1" s="1"/>
  <c r="BK307" i="1"/>
  <c r="BK339" i="1" s="1"/>
  <c r="BK308" i="1"/>
  <c r="BK340" i="1" s="1"/>
  <c r="BK304" i="1"/>
  <c r="BK336" i="1" s="1"/>
  <c r="BU284" i="1"/>
  <c r="BI343" i="1"/>
  <c r="BI36" i="1" s="1"/>
  <c r="BI344" i="1" s="1"/>
  <c r="BU68" i="1"/>
  <c r="BT71" i="1"/>
  <c r="BS71" i="1"/>
  <c r="BU166" i="1"/>
  <c r="BU287" i="1"/>
  <c r="BK299" i="1"/>
  <c r="BL299" i="1" s="1"/>
  <c r="BL331" i="1" s="1"/>
  <c r="BQ167" i="1"/>
  <c r="BU292" i="1"/>
  <c r="BT112" i="1"/>
  <c r="BT96" i="1" s="1"/>
  <c r="BP9" i="1"/>
  <c r="BS101" i="1"/>
  <c r="BT87" i="1"/>
  <c r="BT20" i="1" s="1"/>
  <c r="BT110" i="1"/>
  <c r="BT94" i="1" s="1"/>
  <c r="BL308" i="1"/>
  <c r="BL340" i="1" s="1"/>
  <c r="BU116" i="1"/>
  <c r="BU100" i="1" s="1"/>
  <c r="BS96" i="1"/>
  <c r="BL302" i="1"/>
  <c r="BL334" i="1" s="1"/>
  <c r="BK306" i="1"/>
  <c r="BK338" i="1" s="1"/>
  <c r="BL307" i="1"/>
  <c r="BL339" i="1" s="1"/>
  <c r="BK305" i="1"/>
  <c r="BK337" i="1" s="1"/>
  <c r="BO136" i="1"/>
  <c r="BO263" i="1" s="1"/>
  <c r="BQ31" i="1"/>
  <c r="BQ33" i="1" s="1"/>
  <c r="BQ38" i="1" s="1"/>
  <c r="BQ34" i="1" s="1"/>
  <c r="BQ311" i="1" s="1"/>
  <c r="BN136" i="1"/>
  <c r="BN263" i="1" s="1"/>
  <c r="BQ120" i="1"/>
  <c r="BP103" i="1"/>
  <c r="BP104" i="1" s="1"/>
  <c r="BP22" i="1" s="1"/>
  <c r="BP24" i="1" s="1"/>
  <c r="BP27" i="1" s="1"/>
  <c r="BP25" i="1" s="1"/>
  <c r="BP184" i="1" s="1"/>
  <c r="BJ183" i="1"/>
  <c r="BQ104" i="1"/>
  <c r="T122" i="4"/>
  <c r="BT152" i="1"/>
  <c r="BT23" i="1" s="1"/>
  <c r="BQ365" i="1"/>
  <c r="BR381" i="1"/>
  <c r="BR365" i="1" s="1"/>
  <c r="S128" i="2"/>
  <c r="T128" i="2" s="1"/>
  <c r="R121" i="2"/>
  <c r="S124" i="2"/>
  <c r="T124" i="2" s="1"/>
  <c r="BS152" i="1"/>
  <c r="BS23" i="1" s="1"/>
  <c r="BR7" i="1"/>
  <c r="BS7" i="1" s="1"/>
  <c r="BP370" i="1"/>
  <c r="BP389" i="1"/>
  <c r="BP373" i="1" s="1"/>
  <c r="R34" i="3"/>
  <c r="R4" i="3" s="1"/>
  <c r="R6" i="3" s="1"/>
  <c r="R14" i="3" s="1"/>
  <c r="BS380" i="1"/>
  <c r="BS364" i="1" s="1"/>
  <c r="BT394" i="1"/>
  <c r="BU394" i="1" s="1"/>
  <c r="R124" i="4"/>
  <c r="R27" i="4"/>
  <c r="BU63" i="1"/>
  <c r="BT115" i="1"/>
  <c r="BT99" i="1" s="1"/>
  <c r="BT147" i="1"/>
  <c r="BU147" i="1" s="1"/>
  <c r="BU152" i="1" s="1"/>
  <c r="BU23" i="1" s="1"/>
  <c r="Q120" i="2"/>
  <c r="S27" i="4"/>
  <c r="S114" i="4"/>
  <c r="P130" i="4"/>
  <c r="P33" i="4"/>
  <c r="P34" i="4" s="1"/>
  <c r="P4" i="4" s="1"/>
  <c r="P6" i="4" s="1"/>
  <c r="P14" i="4" s="1"/>
  <c r="P16" i="4" s="1"/>
  <c r="P122" i="2"/>
  <c r="BP367" i="1"/>
  <c r="O131" i="2"/>
  <c r="BK331" i="1"/>
  <c r="BS368" i="1"/>
  <c r="BU404" i="1"/>
  <c r="P126" i="4"/>
  <c r="P121" i="2"/>
  <c r="BR403" i="1"/>
  <c r="BT366" i="1"/>
  <c r="BU382" i="1"/>
  <c r="BU366" i="1" s="1"/>
  <c r="BO370" i="1"/>
  <c r="R129" i="2"/>
  <c r="T129" i="2" s="1"/>
  <c r="S129" i="2"/>
  <c r="BK183" i="1"/>
  <c r="BT166" i="1"/>
  <c r="BT167" i="1" s="1"/>
  <c r="BS167" i="1"/>
  <c r="BR362" i="1"/>
  <c r="BK303" i="1"/>
  <c r="BK335" i="1" s="1"/>
  <c r="BR380" i="1"/>
  <c r="BP371" i="1"/>
  <c r="P120" i="2"/>
  <c r="R120" i="2" s="1"/>
  <c r="R126" i="2"/>
  <c r="S126" i="2" s="1"/>
  <c r="BU156" i="1"/>
  <c r="BU167" i="1" s="1"/>
  <c r="BS394" i="1"/>
  <c r="BU254" i="1"/>
  <c r="BU222" i="1"/>
  <c r="R123" i="4"/>
  <c r="S123" i="4" s="1"/>
  <c r="BS291" i="1"/>
  <c r="BS294" i="1" s="1"/>
  <c r="BL304" i="1"/>
  <c r="BL336" i="1" s="1"/>
  <c r="BR152" i="1"/>
  <c r="BR23" i="1" s="1"/>
  <c r="S122" i="4"/>
  <c r="BP405" i="1"/>
  <c r="BU388" i="1"/>
  <c r="BP372" i="1"/>
  <c r="BR71" i="1"/>
  <c r="O131" i="4"/>
  <c r="BO389" i="1"/>
  <c r="P127" i="2"/>
  <c r="R127" i="2" s="1"/>
  <c r="S127" i="2" s="1"/>
  <c r="Q127" i="2"/>
  <c r="P130" i="3"/>
  <c r="P131" i="3" s="1"/>
  <c r="S125" i="3"/>
  <c r="T125" i="3" s="1"/>
  <c r="BT401" i="1"/>
  <c r="BT369" i="1" s="1"/>
  <c r="Q33" i="2"/>
  <c r="Q34" i="2" s="1"/>
  <c r="Q4" i="2" s="1"/>
  <c r="Q130" i="2"/>
  <c r="BS119" i="1"/>
  <c r="BS103" i="1" s="1"/>
  <c r="BS230" i="1"/>
  <c r="BS231" i="1" s="1"/>
  <c r="BS363" i="1"/>
  <c r="BU379" i="1"/>
  <c r="BT388" i="1"/>
  <c r="BT372" i="1" s="1"/>
  <c r="R120" i="4"/>
  <c r="BR294" i="1"/>
  <c r="BT287" i="1"/>
  <c r="Q122" i="2"/>
  <c r="BQ399" i="1"/>
  <c r="BQ386" i="1"/>
  <c r="BQ370" i="1" s="1"/>
  <c r="Q121" i="2"/>
  <c r="T121" i="2" s="1"/>
  <c r="BJ333" i="1"/>
  <c r="BK301" i="1"/>
  <c r="BK333" i="1" s="1"/>
  <c r="Q128" i="4"/>
  <c r="T124" i="3"/>
  <c r="BO371" i="1"/>
  <c r="Q130" i="4"/>
  <c r="Q33" i="4"/>
  <c r="Q34" i="4" s="1"/>
  <c r="Q4" i="4" s="1"/>
  <c r="Q6" i="4" s="1"/>
  <c r="Q14" i="4" s="1"/>
  <c r="Q16" i="4" s="1"/>
  <c r="Q119" i="2"/>
  <c r="BU145" i="1"/>
  <c r="T125" i="4"/>
  <c r="BR387" i="1"/>
  <c r="BR371" i="1" s="1"/>
  <c r="BU95" i="1"/>
  <c r="P119" i="4"/>
  <c r="R33" i="3"/>
  <c r="N131" i="4"/>
  <c r="BL309" i="1"/>
  <c r="BL341" i="1" s="1"/>
  <c r="BI358" i="1"/>
  <c r="BJ347" i="1" s="1"/>
  <c r="BJ348" i="1" s="1"/>
  <c r="BJ349" i="1" s="1"/>
  <c r="BJ350" i="1" s="1"/>
  <c r="BJ351" i="1" s="1"/>
  <c r="BJ352" i="1" s="1"/>
  <c r="BJ353" i="1" s="1"/>
  <c r="BJ354" i="1" s="1"/>
  <c r="BJ355" i="1" s="1"/>
  <c r="BJ356" i="1" s="1"/>
  <c r="BJ357" i="1" s="1"/>
  <c r="BP247" i="1"/>
  <c r="BP31" i="1"/>
  <c r="BP33" i="1" s="1"/>
  <c r="BP38" i="1" s="1"/>
  <c r="BP34" i="1" s="1"/>
  <c r="BP311" i="1" s="1"/>
  <c r="BU112" i="1"/>
  <c r="BU96" i="1" s="1"/>
  <c r="R129" i="4"/>
  <c r="P131" i="2"/>
  <c r="S25" i="2"/>
  <c r="BU262" i="1"/>
  <c r="R33" i="2"/>
  <c r="BS399" i="1"/>
  <c r="BS367" i="1" s="1"/>
  <c r="BR119" i="1"/>
  <c r="BR103" i="1" s="1"/>
  <c r="BR104" i="1" s="1"/>
  <c r="BR230" i="1"/>
  <c r="BR231" i="1" s="1"/>
  <c r="S121" i="3"/>
  <c r="BT384" i="1"/>
  <c r="BJ332" i="1"/>
  <c r="BJ310" i="1"/>
  <c r="BJ342" i="1" s="1"/>
  <c r="BK300" i="1"/>
  <c r="BK332" i="1" s="1"/>
  <c r="BU101" i="1"/>
  <c r="BU260" i="1"/>
  <c r="N131" i="2"/>
  <c r="BQ364" i="1"/>
  <c r="BQ389" i="1"/>
  <c r="BQ403" i="1"/>
  <c r="BS403" i="1" s="1"/>
  <c r="BT403" i="1" s="1"/>
  <c r="BI199" i="1"/>
  <c r="BX102" i="1"/>
  <c r="CR102" i="1"/>
  <c r="BR5" i="1"/>
  <c r="BQ5" i="1"/>
  <c r="R119" i="2"/>
  <c r="BP365" i="1"/>
  <c r="BP374" i="1" s="1"/>
  <c r="BU110" i="1"/>
  <c r="BU87" i="1"/>
  <c r="BQ402" i="1"/>
  <c r="BL178" i="1"/>
  <c r="BM178" i="1" s="1"/>
  <c r="BL177" i="1"/>
  <c r="BL181" i="1"/>
  <c r="BM181" i="1" s="1"/>
  <c r="BL174" i="1"/>
  <c r="BM174" i="1" s="1"/>
  <c r="BL175" i="1"/>
  <c r="BM175" i="1" s="1"/>
  <c r="BL182" i="1"/>
  <c r="BL179" i="1"/>
  <c r="BM179" i="1" s="1"/>
  <c r="BL176" i="1"/>
  <c r="BM176" i="1" s="1"/>
  <c r="BL173" i="1"/>
  <c r="BL172" i="1"/>
  <c r="BL180" i="1"/>
  <c r="BT399" i="1"/>
  <c r="BT367" i="1" s="1"/>
  <c r="BO367" i="1"/>
  <c r="BO405" i="1"/>
  <c r="Q119" i="4"/>
  <c r="BR386" i="1"/>
  <c r="R114" i="4"/>
  <c r="S33" i="2"/>
  <c r="S34" i="2" s="1"/>
  <c r="S4" i="2" s="1"/>
  <c r="BT291" i="1"/>
  <c r="BS400" i="1"/>
  <c r="BT400" i="1" s="1"/>
  <c r="BO9" i="1"/>
  <c r="R34" i="2"/>
  <c r="R4" i="2" s="1"/>
  <c r="S121" i="2"/>
  <c r="BU115" i="1"/>
  <c r="BU99" i="1" s="1"/>
  <c r="BR399" i="1"/>
  <c r="BR367" i="1" s="1"/>
  <c r="BU71" i="1" l="1"/>
  <c r="BM299" i="1"/>
  <c r="BN299" i="1" s="1"/>
  <c r="BN331" i="1" s="1"/>
  <c r="BT294" i="1"/>
  <c r="BT230" i="1"/>
  <c r="BT231" i="1" s="1"/>
  <c r="BT31" i="1" s="1"/>
  <c r="BT33" i="1" s="1"/>
  <c r="BT38" i="1" s="1"/>
  <c r="BT34" i="1" s="1"/>
  <c r="BT311" i="1" s="1"/>
  <c r="BM308" i="1"/>
  <c r="BM340" i="1" s="1"/>
  <c r="BS104" i="1"/>
  <c r="BS120" i="1"/>
  <c r="BS136" i="1" s="1"/>
  <c r="BL306" i="1"/>
  <c r="BL338" i="1" s="1"/>
  <c r="BM307" i="1"/>
  <c r="BM339" i="1" s="1"/>
  <c r="BL305" i="1"/>
  <c r="BL337" i="1" s="1"/>
  <c r="BM302" i="1"/>
  <c r="BM334" i="1" s="1"/>
  <c r="BL303" i="1"/>
  <c r="BL335" i="1" s="1"/>
  <c r="BQ136" i="1"/>
  <c r="BQ263" i="1" s="1"/>
  <c r="BQ22" i="1"/>
  <c r="BQ24" i="1" s="1"/>
  <c r="BQ27" i="1" s="1"/>
  <c r="BQ25" i="1" s="1"/>
  <c r="BQ184" i="1" s="1"/>
  <c r="BR120" i="1"/>
  <c r="BR136" i="1" s="1"/>
  <c r="BL183" i="1"/>
  <c r="BO299" i="1"/>
  <c r="BO331" i="1" s="1"/>
  <c r="BM304" i="1"/>
  <c r="BM336" i="1" s="1"/>
  <c r="BP136" i="1"/>
  <c r="BP263" i="1" s="1"/>
  <c r="BT247" i="1"/>
  <c r="BT386" i="1"/>
  <c r="T130" i="4"/>
  <c r="BO374" i="1"/>
  <c r="BU362" i="1"/>
  <c r="BS247" i="1"/>
  <c r="BS31" i="1"/>
  <c r="BS33" i="1" s="1"/>
  <c r="BS38" i="1" s="1"/>
  <c r="BS34" i="1" s="1"/>
  <c r="BS311" i="1" s="1"/>
  <c r="Q131" i="4"/>
  <c r="BK310" i="1"/>
  <c r="BK342" i="1" s="1"/>
  <c r="BK343" i="1" s="1"/>
  <c r="BK36" i="1" s="1"/>
  <c r="BK344" i="1" s="1"/>
  <c r="BS362" i="1"/>
  <c r="S120" i="2"/>
  <c r="T120" i="2" s="1"/>
  <c r="T121" i="3"/>
  <c r="T123" i="4"/>
  <c r="BN175" i="1"/>
  <c r="R128" i="4"/>
  <c r="BT380" i="1"/>
  <c r="BU380" i="1" s="1"/>
  <c r="R119" i="4"/>
  <c r="BX366" i="1"/>
  <c r="BN181" i="1"/>
  <c r="BU403" i="1"/>
  <c r="BU401" i="1"/>
  <c r="BU369" i="1" s="1"/>
  <c r="R122" i="2"/>
  <c r="S122" i="2" s="1"/>
  <c r="T122" i="2" s="1"/>
  <c r="BL301" i="1"/>
  <c r="BJ358" i="1"/>
  <c r="BK347" i="1" s="1"/>
  <c r="BK348" i="1" s="1"/>
  <c r="BK349" i="1" s="1"/>
  <c r="BK350" i="1" s="1"/>
  <c r="BK351" i="1" s="1"/>
  <c r="BK352" i="1" s="1"/>
  <c r="BK353" i="1" s="1"/>
  <c r="BK354" i="1" s="1"/>
  <c r="BK355" i="1" s="1"/>
  <c r="BK356" i="1" s="1"/>
  <c r="BK357" i="1" s="1"/>
  <c r="S129" i="4"/>
  <c r="T129" i="4" s="1"/>
  <c r="BR247" i="1"/>
  <c r="BR31" i="1"/>
  <c r="BR33" i="1" s="1"/>
  <c r="BR38" i="1" s="1"/>
  <c r="BR34" i="1" s="1"/>
  <c r="BR311" i="1" s="1"/>
  <c r="BM182" i="1"/>
  <c r="BM180" i="1"/>
  <c r="BN180" i="1" s="1"/>
  <c r="BN178" i="1"/>
  <c r="BS381" i="1"/>
  <c r="BT381" i="1" s="1"/>
  <c r="BT365" i="1" s="1"/>
  <c r="BJ343" i="1"/>
  <c r="BJ36" i="1" s="1"/>
  <c r="BJ344" i="1" s="1"/>
  <c r="BU400" i="1"/>
  <c r="BT368" i="1"/>
  <c r="BU384" i="1"/>
  <c r="BU368" i="1" s="1"/>
  <c r="BM173" i="1"/>
  <c r="BQ371" i="1"/>
  <c r="BR6" i="1"/>
  <c r="BR9" i="1"/>
  <c r="BT7" i="1"/>
  <c r="BU7" i="1" s="1"/>
  <c r="Q130" i="3"/>
  <c r="Q131" i="3" s="1"/>
  <c r="BR364" i="1"/>
  <c r="BR389" i="1"/>
  <c r="BN176" i="1"/>
  <c r="S120" i="4"/>
  <c r="T120" i="4" s="1"/>
  <c r="T127" i="2"/>
  <c r="S128" i="4"/>
  <c r="T128" i="4" s="1"/>
  <c r="R130" i="2"/>
  <c r="R130" i="4"/>
  <c r="R33" i="4"/>
  <c r="R34" i="4" s="1"/>
  <c r="R4" i="4" s="1"/>
  <c r="R6" i="4" s="1"/>
  <c r="R14" i="4" s="1"/>
  <c r="R16" i="4" s="1"/>
  <c r="BT119" i="1"/>
  <c r="BT103" i="1" s="1"/>
  <c r="BT104" i="1" s="1"/>
  <c r="S130" i="4"/>
  <c r="S33" i="4"/>
  <c r="S34" i="4" s="1"/>
  <c r="S4" i="4" s="1"/>
  <c r="S6" i="4" s="1"/>
  <c r="S14" i="4" s="1"/>
  <c r="S16" i="4" s="1"/>
  <c r="BQ9" i="1"/>
  <c r="BQ6" i="1"/>
  <c r="BS387" i="1"/>
  <c r="R130" i="3"/>
  <c r="R131" i="3" s="1"/>
  <c r="BQ367" i="1"/>
  <c r="BQ405" i="1"/>
  <c r="BQ373" i="1" s="1"/>
  <c r="BQ374" i="1" s="1"/>
  <c r="BO373" i="1"/>
  <c r="BM172" i="1"/>
  <c r="BJ188" i="1"/>
  <c r="BX103" i="1"/>
  <c r="CR103" i="1"/>
  <c r="BN174" i="1"/>
  <c r="BL300" i="1"/>
  <c r="BS386" i="1"/>
  <c r="BU363" i="1"/>
  <c r="R126" i="4"/>
  <c r="BT362" i="1"/>
  <c r="T126" i="2"/>
  <c r="BU291" i="1"/>
  <c r="BU294" i="1" s="1"/>
  <c r="BU119" i="1"/>
  <c r="BU103" i="1" s="1"/>
  <c r="BU230" i="1"/>
  <c r="BU231" i="1" s="1"/>
  <c r="BS389" i="1"/>
  <c r="BR405" i="1"/>
  <c r="BU399" i="1"/>
  <c r="BU367" i="1" s="1"/>
  <c r="BR402" i="1"/>
  <c r="Q126" i="4"/>
  <c r="BR370" i="1"/>
  <c r="S119" i="2"/>
  <c r="S124" i="4"/>
  <c r="T124" i="4" s="1"/>
  <c r="BM331" i="1"/>
  <c r="S119" i="4"/>
  <c r="BU372" i="1"/>
  <c r="BU20" i="1"/>
  <c r="BU94" i="1"/>
  <c r="P131" i="4"/>
  <c r="Q131" i="2"/>
  <c r="BM309" i="1"/>
  <c r="BM177" i="1"/>
  <c r="BN177" i="1" s="1"/>
  <c r="BN179" i="1"/>
  <c r="BO179" i="1" s="1"/>
  <c r="BM306" i="1" l="1"/>
  <c r="BN306" i="1" s="1"/>
  <c r="BN338" i="1" s="1"/>
  <c r="BN308" i="1"/>
  <c r="BN340" i="1" s="1"/>
  <c r="BU104" i="1"/>
  <c r="BU120" i="1"/>
  <c r="BS22" i="1"/>
  <c r="BS24" i="1" s="1"/>
  <c r="BS27" i="1" s="1"/>
  <c r="BS25" i="1" s="1"/>
  <c r="BS184" i="1" s="1"/>
  <c r="BT120" i="1"/>
  <c r="BN307" i="1"/>
  <c r="BN339" i="1" s="1"/>
  <c r="BM305" i="1"/>
  <c r="BM337" i="1" s="1"/>
  <c r="BS263" i="1"/>
  <c r="BN302" i="1"/>
  <c r="BN334" i="1" s="1"/>
  <c r="BP299" i="1"/>
  <c r="BP331" i="1" s="1"/>
  <c r="BM303" i="1"/>
  <c r="BM335" i="1" s="1"/>
  <c r="BR263" i="1"/>
  <c r="BN304" i="1"/>
  <c r="BN336" i="1" s="1"/>
  <c r="BO180" i="1"/>
  <c r="BP180" i="1" s="1"/>
  <c r="BQ180" i="1" s="1"/>
  <c r="BR22" i="1"/>
  <c r="BR24" i="1" s="1"/>
  <c r="BR27" i="1" s="1"/>
  <c r="BR25" i="1" s="1"/>
  <c r="BR184" i="1" s="1"/>
  <c r="T126" i="4"/>
  <c r="BU364" i="1"/>
  <c r="BL333" i="1"/>
  <c r="BM301" i="1"/>
  <c r="BY362" i="1"/>
  <c r="BZ362" i="1" s="1"/>
  <c r="BN172" i="1"/>
  <c r="BO172" i="1" s="1"/>
  <c r="BN182" i="1"/>
  <c r="BL332" i="1"/>
  <c r="BL310" i="1"/>
  <c r="BL342" i="1" s="1"/>
  <c r="BS373" i="1"/>
  <c r="BU247" i="1"/>
  <c r="BU31" i="1"/>
  <c r="BU33" i="1" s="1"/>
  <c r="BU38" i="1" s="1"/>
  <c r="BU34" i="1" s="1"/>
  <c r="BU311" i="1" s="1"/>
  <c r="S131" i="4"/>
  <c r="BT5" i="1"/>
  <c r="BS5" i="1"/>
  <c r="S126" i="4"/>
  <c r="BO178" i="1"/>
  <c r="BP178" i="1" s="1"/>
  <c r="BO176" i="1"/>
  <c r="BP176" i="1" s="1"/>
  <c r="R131" i="4"/>
  <c r="T119" i="4"/>
  <c r="S130" i="3"/>
  <c r="S131" i="3" s="1"/>
  <c r="BO174" i="1"/>
  <c r="BP174" i="1" s="1"/>
  <c r="R131" i="2"/>
  <c r="S130" i="2"/>
  <c r="T130" i="2" s="1"/>
  <c r="BX367" i="1"/>
  <c r="BY366" i="1"/>
  <c r="BX372" i="1"/>
  <c r="BY372" i="1" s="1"/>
  <c r="BX368" i="1"/>
  <c r="BS365" i="1"/>
  <c r="BS374" i="1" s="1"/>
  <c r="BU381" i="1"/>
  <c r="BU365" i="1" s="1"/>
  <c r="BM183" i="1"/>
  <c r="BP179" i="1"/>
  <c r="BZ363" i="1"/>
  <c r="BY363" i="1"/>
  <c r="BS371" i="1"/>
  <c r="BT387" i="1"/>
  <c r="BT371" i="1" s="1"/>
  <c r="BJ189" i="1"/>
  <c r="BY92" i="1"/>
  <c r="CS92" i="1"/>
  <c r="S131" i="2"/>
  <c r="T119" i="2"/>
  <c r="BS402" i="1"/>
  <c r="BS405" i="1" s="1"/>
  <c r="BO175" i="1"/>
  <c r="BX369" i="1"/>
  <c r="BR373" i="1"/>
  <c r="BR374" i="1" s="1"/>
  <c r="BK358" i="1"/>
  <c r="BL347" i="1" s="1"/>
  <c r="BL348" i="1" s="1"/>
  <c r="BL349" i="1" s="1"/>
  <c r="BL350" i="1" s="1"/>
  <c r="BL351" i="1" s="1"/>
  <c r="BL352" i="1" s="1"/>
  <c r="BL353" i="1" s="1"/>
  <c r="BL354" i="1" s="1"/>
  <c r="BL355" i="1" s="1"/>
  <c r="BL356" i="1" s="1"/>
  <c r="BL357" i="1" s="1"/>
  <c r="BO177" i="1"/>
  <c r="BM341" i="1"/>
  <c r="BN309" i="1"/>
  <c r="BN341" i="1" s="1"/>
  <c r="BS370" i="1"/>
  <c r="BN173" i="1"/>
  <c r="BU386" i="1"/>
  <c r="BM300" i="1"/>
  <c r="BO181" i="1"/>
  <c r="T130" i="3"/>
  <c r="BT364" i="1"/>
  <c r="BT402" i="1"/>
  <c r="BT405" i="1" s="1"/>
  <c r="T131" i="3"/>
  <c r="BO306" i="1" l="1"/>
  <c r="BO338" i="1" s="1"/>
  <c r="BM338" i="1"/>
  <c r="BO308" i="1"/>
  <c r="BO340" i="1" s="1"/>
  <c r="BU22" i="1"/>
  <c r="BU24" i="1" s="1"/>
  <c r="BU27" i="1" s="1"/>
  <c r="BU25" i="1" s="1"/>
  <c r="BU184" i="1" s="1"/>
  <c r="BU136" i="1"/>
  <c r="BU263" i="1" s="1"/>
  <c r="BT22" i="1"/>
  <c r="BT24" i="1" s="1"/>
  <c r="BT27" i="1" s="1"/>
  <c r="BT25" i="1" s="1"/>
  <c r="BT184" i="1" s="1"/>
  <c r="BT136" i="1"/>
  <c r="BT263" i="1" s="1"/>
  <c r="BO307" i="1"/>
  <c r="BP307" i="1" s="1"/>
  <c r="BP339" i="1" s="1"/>
  <c r="BN305" i="1"/>
  <c r="BN337" i="1" s="1"/>
  <c r="BQ299" i="1"/>
  <c r="BQ331" i="1" s="1"/>
  <c r="BO302" i="1"/>
  <c r="BO334" i="1" s="1"/>
  <c r="BO304" i="1"/>
  <c r="BO336" i="1" s="1"/>
  <c r="BN303" i="1"/>
  <c r="BO303" i="1" s="1"/>
  <c r="BL358" i="1"/>
  <c r="BM347" i="1" s="1"/>
  <c r="BM348" i="1" s="1"/>
  <c r="BM349" i="1" s="1"/>
  <c r="BM350" i="1" s="1"/>
  <c r="BM351" i="1" s="1"/>
  <c r="BM352" i="1" s="1"/>
  <c r="BM353" i="1" s="1"/>
  <c r="BM354" i="1" s="1"/>
  <c r="BM355" i="1" s="1"/>
  <c r="BM356" i="1" s="1"/>
  <c r="BM357" i="1" s="1"/>
  <c r="BO309" i="1"/>
  <c r="BP306" i="1"/>
  <c r="BP338" i="1" s="1"/>
  <c r="BQ179" i="1"/>
  <c r="BR180" i="1"/>
  <c r="BS180" i="1" s="1"/>
  <c r="BP181" i="1"/>
  <c r="BQ181" i="1" s="1"/>
  <c r="T131" i="2"/>
  <c r="BZ366" i="1"/>
  <c r="BJ190" i="1"/>
  <c r="CS93" i="1"/>
  <c r="BY93" i="1"/>
  <c r="BM333" i="1"/>
  <c r="BM332" i="1"/>
  <c r="BM310" i="1"/>
  <c r="BM342" i="1" s="1"/>
  <c r="BY367" i="1"/>
  <c r="BT389" i="1"/>
  <c r="BT373" i="1" s="1"/>
  <c r="CA363" i="1"/>
  <c r="CB363" i="1"/>
  <c r="BQ178" i="1"/>
  <c r="BT9" i="1"/>
  <c r="BT6" i="1"/>
  <c r="BU387" i="1"/>
  <c r="BU371" i="1" s="1"/>
  <c r="BZ365" i="1"/>
  <c r="BN301" i="1"/>
  <c r="BY368" i="1"/>
  <c r="CA362" i="1"/>
  <c r="CB362" i="1"/>
  <c r="CC362" i="1" s="1"/>
  <c r="BQ176" i="1"/>
  <c r="BR176" i="1" s="1"/>
  <c r="BZ372" i="1"/>
  <c r="BS9" i="1"/>
  <c r="BS6" i="1"/>
  <c r="BU5" i="1" s="1"/>
  <c r="BO173" i="1"/>
  <c r="BZ368" i="1"/>
  <c r="T131" i="4"/>
  <c r="BX365" i="1"/>
  <c r="BQ174" i="1"/>
  <c r="BR174" i="1" s="1"/>
  <c r="BS174" i="1" s="1"/>
  <c r="BY369" i="1"/>
  <c r="BY365" i="1"/>
  <c r="BU370" i="1"/>
  <c r="BP175" i="1"/>
  <c r="BO182" i="1"/>
  <c r="BP182" i="1" s="1"/>
  <c r="BP177" i="1"/>
  <c r="BQ177" i="1" s="1"/>
  <c r="BT370" i="1"/>
  <c r="BX364" i="1"/>
  <c r="BN300" i="1"/>
  <c r="BO300" i="1" s="1"/>
  <c r="BN183" i="1"/>
  <c r="BP172" i="1"/>
  <c r="BQ172" i="1" s="1"/>
  <c r="CA366" i="1"/>
  <c r="BU402" i="1"/>
  <c r="BU405" i="1" s="1"/>
  <c r="BL343" i="1"/>
  <c r="BL36" i="1" s="1"/>
  <c r="BL344" i="1" s="1"/>
  <c r="BP308" i="1" l="1"/>
  <c r="BP340" i="1" s="1"/>
  <c r="BN335" i="1"/>
  <c r="BQ307" i="1"/>
  <c r="BQ339" i="1" s="1"/>
  <c r="BO339" i="1"/>
  <c r="BM358" i="1"/>
  <c r="BN347" i="1" s="1"/>
  <c r="BN348" i="1" s="1"/>
  <c r="BN349" i="1" s="1"/>
  <c r="BN350" i="1" s="1"/>
  <c r="BN351" i="1" s="1"/>
  <c r="BN352" i="1" s="1"/>
  <c r="BN353" i="1" s="1"/>
  <c r="BN354" i="1" s="1"/>
  <c r="BN355" i="1" s="1"/>
  <c r="BN356" i="1" s="1"/>
  <c r="BN357" i="1" s="1"/>
  <c r="BO305" i="1"/>
  <c r="BO337" i="1" s="1"/>
  <c r="BP304" i="1"/>
  <c r="BP336" i="1" s="1"/>
  <c r="BP302" i="1"/>
  <c r="BQ302" i="1" s="1"/>
  <c r="BR299" i="1"/>
  <c r="BR331" i="1" s="1"/>
  <c r="BR178" i="1"/>
  <c r="BS178" i="1" s="1"/>
  <c r="BP300" i="1"/>
  <c r="BQ300" i="1" s="1"/>
  <c r="BQ332" i="1" s="1"/>
  <c r="BQ306" i="1"/>
  <c r="BQ338" i="1" s="1"/>
  <c r="BR179" i="1"/>
  <c r="BS179" i="1" s="1"/>
  <c r="BT179" i="1" s="1"/>
  <c r="BQ182" i="1"/>
  <c r="BR182" i="1" s="1"/>
  <c r="BS182" i="1" s="1"/>
  <c r="BO341" i="1"/>
  <c r="BP309" i="1"/>
  <c r="BO183" i="1"/>
  <c r="BR177" i="1"/>
  <c r="BS177" i="1" s="1"/>
  <c r="BT177" i="1" s="1"/>
  <c r="BP173" i="1"/>
  <c r="BQ173" i="1" s="1"/>
  <c r="BO335" i="1"/>
  <c r="BP303" i="1"/>
  <c r="BS176" i="1"/>
  <c r="BT176" i="1" s="1"/>
  <c r="BZ371" i="1"/>
  <c r="CA368" i="1"/>
  <c r="BN333" i="1"/>
  <c r="BJ191" i="1"/>
  <c r="BY94" i="1"/>
  <c r="CS94" i="1"/>
  <c r="BT180" i="1"/>
  <c r="BU180" i="1" s="1"/>
  <c r="BO332" i="1"/>
  <c r="CD363" i="1"/>
  <c r="CA367" i="1"/>
  <c r="BU389" i="1"/>
  <c r="BU373" i="1" s="1"/>
  <c r="BU374" i="1" s="1"/>
  <c r="CC363" i="1"/>
  <c r="BZ367" i="1"/>
  <c r="BN332" i="1"/>
  <c r="BN310" i="1"/>
  <c r="BN342" i="1" s="1"/>
  <c r="BQ175" i="1"/>
  <c r="BR175" i="1" s="1"/>
  <c r="BR172" i="1"/>
  <c r="BS172" i="1" s="1"/>
  <c r="BX370" i="1"/>
  <c r="BZ370" i="1" s="1"/>
  <c r="BY364" i="1"/>
  <c r="BY370" i="1"/>
  <c r="BT374" i="1"/>
  <c r="CF362" i="1"/>
  <c r="CA365" i="1"/>
  <c r="CD362" i="1"/>
  <c r="BM343" i="1"/>
  <c r="BM36" i="1" s="1"/>
  <c r="BM344" i="1" s="1"/>
  <c r="BU9" i="1"/>
  <c r="BU6" i="1"/>
  <c r="BZ369" i="1"/>
  <c r="CA372" i="1"/>
  <c r="CB372" i="1"/>
  <c r="BR181" i="1"/>
  <c r="BS181" i="1" s="1"/>
  <c r="BX371" i="1"/>
  <c r="CE362" i="1"/>
  <c r="BY371" i="1"/>
  <c r="CA369" i="1"/>
  <c r="CC372" i="1"/>
  <c r="BT174" i="1"/>
  <c r="BU174" i="1" s="1"/>
  <c r="CB366" i="1"/>
  <c r="BO301" i="1"/>
  <c r="BQ308" i="1" l="1"/>
  <c r="BQ340" i="1" s="1"/>
  <c r="BR307" i="1"/>
  <c r="BR339" i="1" s="1"/>
  <c r="BO310" i="1"/>
  <c r="BO342" i="1" s="1"/>
  <c r="BP305" i="1"/>
  <c r="BP337" i="1" s="1"/>
  <c r="BQ304" i="1"/>
  <c r="BQ336" i="1" s="1"/>
  <c r="BS299" i="1"/>
  <c r="BT299" i="1" s="1"/>
  <c r="BT331" i="1" s="1"/>
  <c r="BP334" i="1"/>
  <c r="BU176" i="1"/>
  <c r="BR300" i="1"/>
  <c r="BR332" i="1" s="1"/>
  <c r="BQ334" i="1"/>
  <c r="BR302" i="1"/>
  <c r="BP183" i="1"/>
  <c r="BT178" i="1"/>
  <c r="BU178" i="1" s="1"/>
  <c r="BP301" i="1"/>
  <c r="BQ183" i="1"/>
  <c r="BP332" i="1"/>
  <c r="BN358" i="1"/>
  <c r="BO347" i="1" s="1"/>
  <c r="BO348" i="1" s="1"/>
  <c r="BO349" i="1" s="1"/>
  <c r="BO350" i="1" s="1"/>
  <c r="BO351" i="1" s="1"/>
  <c r="BO352" i="1" s="1"/>
  <c r="BO353" i="1" s="1"/>
  <c r="BO354" i="1" s="1"/>
  <c r="BO355" i="1" s="1"/>
  <c r="BO356" i="1" s="1"/>
  <c r="BO357" i="1" s="1"/>
  <c r="BO358" i="1" s="1"/>
  <c r="BP347" i="1" s="1"/>
  <c r="BP348" i="1" s="1"/>
  <c r="BP341" i="1"/>
  <c r="BQ309" i="1"/>
  <c r="BU179" i="1"/>
  <c r="BQ305" i="1"/>
  <c r="BT182" i="1"/>
  <c r="BU182" i="1" s="1"/>
  <c r="BQ303" i="1"/>
  <c r="BQ335" i="1" s="1"/>
  <c r="BP335" i="1"/>
  <c r="BR306" i="1"/>
  <c r="BR338" i="1" s="1"/>
  <c r="BS175" i="1"/>
  <c r="BT175" i="1" s="1"/>
  <c r="BN343" i="1"/>
  <c r="BN36" i="1" s="1"/>
  <c r="BN344" i="1" s="1"/>
  <c r="BZ364" i="1"/>
  <c r="BT181" i="1"/>
  <c r="BU181" i="1" s="1"/>
  <c r="BR173" i="1"/>
  <c r="BR183" i="1" s="1"/>
  <c r="BT172" i="1"/>
  <c r="CD366" i="1"/>
  <c r="CG362" i="1"/>
  <c r="CE363" i="1"/>
  <c r="CB367" i="1"/>
  <c r="CB369" i="1"/>
  <c r="CA371" i="1"/>
  <c r="CB371" i="1"/>
  <c r="CB368" i="1"/>
  <c r="CC369" i="1"/>
  <c r="CD369" i="1" s="1"/>
  <c r="BJ192" i="1"/>
  <c r="CS95" i="1"/>
  <c r="BY95" i="1"/>
  <c r="BX373" i="1"/>
  <c r="CD372" i="1"/>
  <c r="CC366" i="1"/>
  <c r="CE366" i="1" s="1"/>
  <c r="CA370" i="1"/>
  <c r="CB370" i="1"/>
  <c r="BO333" i="1"/>
  <c r="CB365" i="1"/>
  <c r="BU177" i="1"/>
  <c r="BR308" i="1" l="1"/>
  <c r="BR340" i="1" s="1"/>
  <c r="BS307" i="1"/>
  <c r="BS339" i="1" s="1"/>
  <c r="BO343" i="1"/>
  <c r="BO36" i="1" s="1"/>
  <c r="BO344" i="1" s="1"/>
  <c r="BU172" i="1"/>
  <c r="BS331" i="1"/>
  <c r="BP310" i="1"/>
  <c r="BP342" i="1" s="1"/>
  <c r="BR304" i="1"/>
  <c r="BR336" i="1" s="1"/>
  <c r="BU299" i="1"/>
  <c r="BU331" i="1" s="1"/>
  <c r="BS300" i="1"/>
  <c r="BT300" i="1" s="1"/>
  <c r="BP349" i="1"/>
  <c r="BP350" i="1" s="1"/>
  <c r="BP351" i="1" s="1"/>
  <c r="BP352" i="1" s="1"/>
  <c r="BP353" i="1" s="1"/>
  <c r="BP354" i="1" s="1"/>
  <c r="BP355" i="1" s="1"/>
  <c r="BP356" i="1" s="1"/>
  <c r="BP357" i="1" s="1"/>
  <c r="BQ301" i="1"/>
  <c r="BQ310" i="1" s="1"/>
  <c r="BQ342" i="1" s="1"/>
  <c r="BS302" i="1"/>
  <c r="BT302" i="1" s="1"/>
  <c r="BT334" i="1" s="1"/>
  <c r="BR334" i="1"/>
  <c r="BP333" i="1"/>
  <c r="BS306" i="1"/>
  <c r="BQ337" i="1"/>
  <c r="BR305" i="1"/>
  <c r="BR309" i="1"/>
  <c r="BS309" i="1" s="1"/>
  <c r="BS341" i="1" s="1"/>
  <c r="BQ341" i="1"/>
  <c r="BU175" i="1"/>
  <c r="BR303" i="1"/>
  <c r="CC368" i="1"/>
  <c r="BY373" i="1"/>
  <c r="CF363" i="1"/>
  <c r="CF366" i="1"/>
  <c r="BJ193" i="1"/>
  <c r="BY96" i="1"/>
  <c r="CS96" i="1"/>
  <c r="CE372" i="1"/>
  <c r="CC371" i="1"/>
  <c r="CD365" i="1"/>
  <c r="CE365" i="1"/>
  <c r="CC365" i="1"/>
  <c r="CH362" i="1"/>
  <c r="CK362" i="1" s="1"/>
  <c r="BX374" i="1"/>
  <c r="CC367" i="1"/>
  <c r="CD367" i="1"/>
  <c r="CJ362" i="1"/>
  <c r="BS173" i="1"/>
  <c r="CC370" i="1"/>
  <c r="CA364" i="1"/>
  <c r="CE369" i="1"/>
  <c r="CI362" i="1"/>
  <c r="BS308" i="1" l="1"/>
  <c r="BS340" i="1" s="1"/>
  <c r="BP343" i="1"/>
  <c r="BP36" i="1" s="1"/>
  <c r="BP344" i="1" s="1"/>
  <c r="BT307" i="1"/>
  <c r="BT339" i="1" s="1"/>
  <c r="BT173" i="1"/>
  <c r="BT183" i="1" s="1"/>
  <c r="BS183" i="1"/>
  <c r="BP358" i="1"/>
  <c r="BQ347" i="1" s="1"/>
  <c r="BQ348" i="1" s="1"/>
  <c r="BQ349" i="1" s="1"/>
  <c r="BQ350" i="1" s="1"/>
  <c r="BQ351" i="1" s="1"/>
  <c r="BQ352" i="1" s="1"/>
  <c r="BQ353" i="1" s="1"/>
  <c r="BQ354" i="1" s="1"/>
  <c r="BQ355" i="1" s="1"/>
  <c r="BQ356" i="1" s="1"/>
  <c r="BQ357" i="1" s="1"/>
  <c r="BQ358" i="1" s="1"/>
  <c r="BR347" i="1" s="1"/>
  <c r="BR348" i="1" s="1"/>
  <c r="BS304" i="1"/>
  <c r="BS332" i="1"/>
  <c r="BR301" i="1"/>
  <c r="BS301" i="1" s="1"/>
  <c r="BS333" i="1" s="1"/>
  <c r="BQ333" i="1"/>
  <c r="BQ343" i="1" s="1"/>
  <c r="BQ36" i="1" s="1"/>
  <c r="BQ344" i="1" s="1"/>
  <c r="BS334" i="1"/>
  <c r="BU302" i="1"/>
  <c r="BU334" i="1" s="1"/>
  <c r="BU307" i="1"/>
  <c r="BU339" i="1" s="1"/>
  <c r="BR335" i="1"/>
  <c r="BS303" i="1"/>
  <c r="BT303" i="1" s="1"/>
  <c r="BT335" i="1" s="1"/>
  <c r="BR337" i="1"/>
  <c r="BS305" i="1"/>
  <c r="BR341" i="1"/>
  <c r="BT309" i="1"/>
  <c r="BS338" i="1"/>
  <c r="BT306" i="1"/>
  <c r="CH363" i="1"/>
  <c r="CD370" i="1"/>
  <c r="CF372" i="1"/>
  <c r="CE367" i="1"/>
  <c r="CA374" i="1"/>
  <c r="CB364" i="1"/>
  <c r="BY374" i="1"/>
  <c r="BJ194" i="1"/>
  <c r="BY97" i="1"/>
  <c r="CS97" i="1"/>
  <c r="CG363" i="1"/>
  <c r="BT332" i="1"/>
  <c r="CA373" i="1"/>
  <c r="BU300" i="1"/>
  <c r="CB373" i="1"/>
  <c r="CC373" i="1" s="1"/>
  <c r="CD371" i="1"/>
  <c r="BZ373" i="1"/>
  <c r="CG366" i="1"/>
  <c r="CH366" i="1"/>
  <c r="CE368" i="1"/>
  <c r="CF368" i="1"/>
  <c r="CL362" i="1"/>
  <c r="CD368" i="1"/>
  <c r="CF365" i="1"/>
  <c r="CG365" i="1" s="1"/>
  <c r="CF369" i="1"/>
  <c r="BT308" i="1" l="1"/>
  <c r="BT340" i="1" s="1"/>
  <c r="BU308" i="1"/>
  <c r="BU340" i="1" s="1"/>
  <c r="BU173" i="1"/>
  <c r="BU183" i="1" s="1"/>
  <c r="BS336" i="1"/>
  <c r="BT304" i="1"/>
  <c r="BR349" i="1"/>
  <c r="BR350" i="1" s="1"/>
  <c r="BR351" i="1" s="1"/>
  <c r="BR352" i="1" s="1"/>
  <c r="BR353" i="1" s="1"/>
  <c r="BR354" i="1" s="1"/>
  <c r="BR355" i="1" s="1"/>
  <c r="BR356" i="1" s="1"/>
  <c r="BR357" i="1" s="1"/>
  <c r="BT301" i="1"/>
  <c r="BT333" i="1" s="1"/>
  <c r="BR310" i="1"/>
  <c r="BR342" i="1" s="1"/>
  <c r="BR333" i="1"/>
  <c r="BT338" i="1"/>
  <c r="BU306" i="1"/>
  <c r="BU338" i="1" s="1"/>
  <c r="BS335" i="1"/>
  <c r="BU303" i="1"/>
  <c r="BU335" i="1" s="1"/>
  <c r="BS310" i="1"/>
  <c r="BS342" i="1" s="1"/>
  <c r="BU309" i="1"/>
  <c r="BU341" i="1" s="1"/>
  <c r="BT341" i="1"/>
  <c r="BS337" i="1"/>
  <c r="BT305" i="1"/>
  <c r="CD373" i="1"/>
  <c r="CI365" i="1"/>
  <c r="CJ365" i="1" s="1"/>
  <c r="CK365" i="1" s="1"/>
  <c r="CB374" i="1"/>
  <c r="CC364" i="1"/>
  <c r="CF367" i="1"/>
  <c r="CG367" i="1"/>
  <c r="CH365" i="1"/>
  <c r="CL365" i="1" s="1"/>
  <c r="BU332" i="1"/>
  <c r="CM362" i="1"/>
  <c r="CG369" i="1"/>
  <c r="CI363" i="1"/>
  <c r="CE370" i="1"/>
  <c r="CI366" i="1"/>
  <c r="CE373" i="1"/>
  <c r="BZ374" i="1"/>
  <c r="BJ195" i="1"/>
  <c r="CS98" i="1"/>
  <c r="BY98" i="1"/>
  <c r="CG372" i="1"/>
  <c r="CF373" i="1"/>
  <c r="CG368" i="1"/>
  <c r="CE371" i="1"/>
  <c r="BT336" i="1" l="1"/>
  <c r="BU304" i="1"/>
  <c r="BU336" i="1" s="1"/>
  <c r="BU301" i="1"/>
  <c r="BU333" i="1" s="1"/>
  <c r="BR343" i="1"/>
  <c r="BR36" i="1" s="1"/>
  <c r="BR344" i="1" s="1"/>
  <c r="BR358" i="1"/>
  <c r="BS347" i="1" s="1"/>
  <c r="BS348" i="1" s="1"/>
  <c r="BS349" i="1" s="1"/>
  <c r="BS350" i="1" s="1"/>
  <c r="BS351" i="1" s="1"/>
  <c r="BS352" i="1" s="1"/>
  <c r="BS353" i="1" s="1"/>
  <c r="BS354" i="1" s="1"/>
  <c r="BS355" i="1" s="1"/>
  <c r="BS356" i="1" s="1"/>
  <c r="BS357" i="1" s="1"/>
  <c r="BS358" i="1" s="1"/>
  <c r="BT347" i="1" s="1"/>
  <c r="BT348" i="1" s="1"/>
  <c r="BT349" i="1" s="1"/>
  <c r="BT350" i="1" s="1"/>
  <c r="BT351" i="1" s="1"/>
  <c r="BT352" i="1" s="1"/>
  <c r="BT353" i="1" s="1"/>
  <c r="BT354" i="1" s="1"/>
  <c r="BT355" i="1" s="1"/>
  <c r="BT356" i="1" s="1"/>
  <c r="BT357" i="1" s="1"/>
  <c r="BT358" i="1" s="1"/>
  <c r="BU347" i="1" s="1"/>
  <c r="BU348" i="1" s="1"/>
  <c r="BU349" i="1" s="1"/>
  <c r="BU350" i="1" s="1"/>
  <c r="BU351" i="1" s="1"/>
  <c r="BU352" i="1" s="1"/>
  <c r="BU353" i="1" s="1"/>
  <c r="BU354" i="1" s="1"/>
  <c r="BU355" i="1" s="1"/>
  <c r="BU356" i="1" s="1"/>
  <c r="BU357" i="1" s="1"/>
  <c r="BS343" i="1"/>
  <c r="BS36" i="1" s="1"/>
  <c r="BS344" i="1" s="1"/>
  <c r="BT337" i="1"/>
  <c r="BU305" i="1"/>
  <c r="BU337" i="1" s="1"/>
  <c r="BT310" i="1"/>
  <c r="BT342" i="1" s="1"/>
  <c r="CF371" i="1"/>
  <c r="CC374" i="1"/>
  <c r="CH369" i="1"/>
  <c r="CG373" i="1"/>
  <c r="CH373" i="1" s="1"/>
  <c r="CH368" i="1"/>
  <c r="CN362" i="1"/>
  <c r="CD364" i="1"/>
  <c r="BJ196" i="1"/>
  <c r="BY99" i="1"/>
  <c r="CS99" i="1"/>
  <c r="CH372" i="1"/>
  <c r="CI367" i="1"/>
  <c r="CK366" i="1"/>
  <c r="CF370" i="1"/>
  <c r="CM365" i="1"/>
  <c r="CN365" i="1" s="1"/>
  <c r="CH367" i="1"/>
  <c r="CJ366" i="1"/>
  <c r="CJ363" i="1"/>
  <c r="BU310" i="1" l="1"/>
  <c r="BU342" i="1" s="1"/>
  <c r="BU343" i="1" s="1"/>
  <c r="BU36" i="1" s="1"/>
  <c r="BU344" i="1" s="1"/>
  <c r="BT343" i="1"/>
  <c r="BT36" i="1" s="1"/>
  <c r="BT344" i="1" s="1"/>
  <c r="CG370" i="1"/>
  <c r="BJ197" i="1"/>
  <c r="CS100" i="1"/>
  <c r="BY100" i="1"/>
  <c r="CI368" i="1"/>
  <c r="CD374" i="1"/>
  <c r="CE364" i="1"/>
  <c r="CF364" i="1"/>
  <c r="CK363" i="1"/>
  <c r="CL363" i="1"/>
  <c r="CM363" i="1" s="1"/>
  <c r="CJ367" i="1"/>
  <c r="CK367" i="1"/>
  <c r="CH371" i="1"/>
  <c r="CI369" i="1"/>
  <c r="CL366" i="1"/>
  <c r="CJ373" i="1"/>
  <c r="CK373" i="1" s="1"/>
  <c r="CG371" i="1"/>
  <c r="CI372" i="1"/>
  <c r="CI373" i="1"/>
  <c r="BU358" i="1" l="1"/>
  <c r="CN363" i="1"/>
  <c r="CJ370" i="1"/>
  <c r="CM366" i="1"/>
  <c r="CN366" i="1" s="1"/>
  <c r="BJ198" i="1"/>
  <c r="BY101" i="1"/>
  <c r="CS101" i="1"/>
  <c r="CL373" i="1"/>
  <c r="CM373" i="1" s="1"/>
  <c r="CN373" i="1" s="1"/>
  <c r="CI371" i="1"/>
  <c r="CJ369" i="1"/>
  <c r="CE374" i="1"/>
  <c r="CG364" i="1"/>
  <c r="CJ368" i="1"/>
  <c r="CK368" i="1" s="1"/>
  <c r="CL368" i="1" s="1"/>
  <c r="CM368" i="1" s="1"/>
  <c r="CL367" i="1"/>
  <c r="CJ372" i="1"/>
  <c r="CF374" i="1"/>
  <c r="CH370" i="1"/>
  <c r="CI370" i="1"/>
  <c r="CK369" i="1" l="1"/>
  <c r="CN369" i="1" s="1"/>
  <c r="BJ199" i="1"/>
  <c r="BY102" i="1"/>
  <c r="CS102" i="1"/>
  <c r="CL369" i="1"/>
  <c r="CK372" i="1"/>
  <c r="CM369" i="1"/>
  <c r="CN368" i="1"/>
  <c r="CG374" i="1"/>
  <c r="CM367" i="1"/>
  <c r="CN367" i="1" s="1"/>
  <c r="CJ371" i="1"/>
  <c r="CH364" i="1"/>
  <c r="CK370" i="1"/>
  <c r="CL370" i="1" s="1"/>
  <c r="CH374" i="1" l="1"/>
  <c r="CI364" i="1"/>
  <c r="CL372" i="1"/>
  <c r="CM372" i="1" s="1"/>
  <c r="CN372" i="1" s="1"/>
  <c r="BK188" i="1"/>
  <c r="BY103" i="1"/>
  <c r="CS103" i="1"/>
  <c r="CK371" i="1"/>
  <c r="CL371" i="1" s="1"/>
  <c r="CM370" i="1"/>
  <c r="CN370" i="1" s="1"/>
  <c r="BK189" i="1" l="1"/>
  <c r="BZ92" i="1"/>
  <c r="CT92" i="1"/>
  <c r="CM371" i="1"/>
  <c r="CN371" i="1"/>
  <c r="CI374" i="1"/>
  <c r="CJ364" i="1"/>
  <c r="CJ374" i="1" s="1"/>
  <c r="BK190" i="1" l="1"/>
  <c r="BZ93" i="1"/>
  <c r="CT93" i="1"/>
  <c r="CK364" i="1"/>
  <c r="CK374" i="1" s="1"/>
  <c r="CL364" i="1" l="1"/>
  <c r="CL374" i="1" s="1"/>
  <c r="BK191" i="1"/>
  <c r="BZ94" i="1"/>
  <c r="CT94" i="1"/>
  <c r="BK192" i="1" l="1"/>
  <c r="BZ95" i="1"/>
  <c r="CT95" i="1"/>
  <c r="CM364" i="1"/>
  <c r="CM374" i="1" l="1"/>
  <c r="CN364" i="1"/>
  <c r="CN374" i="1" s="1"/>
  <c r="BK193" i="1"/>
  <c r="BZ96" i="1"/>
  <c r="CT96" i="1"/>
  <c r="BK194" i="1" l="1"/>
  <c r="BZ97" i="1"/>
  <c r="CT97" i="1"/>
  <c r="BK195" i="1" l="1"/>
  <c r="CT98" i="1"/>
  <c r="BZ98" i="1"/>
  <c r="BK196" i="1" l="1"/>
  <c r="BZ99" i="1"/>
  <c r="CT99" i="1"/>
  <c r="BK197" i="1" l="1"/>
  <c r="CT100" i="1"/>
  <c r="BZ100" i="1"/>
  <c r="BK198" i="1" l="1"/>
  <c r="CT101" i="1"/>
  <c r="BZ101" i="1"/>
  <c r="BK199" i="1" l="1"/>
  <c r="BZ102" i="1"/>
  <c r="CT102" i="1"/>
  <c r="CT103" i="1" l="1"/>
  <c r="BZ103" i="1"/>
  <c r="BL188" i="1"/>
  <c r="BL189" i="1" l="1"/>
  <c r="CA92" i="1"/>
  <c r="CA93" i="1" l="1"/>
  <c r="BL190" i="1"/>
  <c r="BL191" i="1" l="1"/>
  <c r="CA94" i="1"/>
  <c r="BL192" i="1" l="1"/>
  <c r="CA95" i="1"/>
  <c r="BL193" i="1" l="1"/>
  <c r="CA96" i="1"/>
  <c r="CA97" i="1" l="1"/>
  <c r="BL194" i="1"/>
  <c r="BL195" i="1" l="1"/>
  <c r="CA98" i="1"/>
  <c r="BL196" i="1" l="1"/>
  <c r="CA99" i="1"/>
  <c r="BL197" i="1" l="1"/>
  <c r="CA100" i="1"/>
  <c r="BL198" i="1" l="1"/>
  <c r="CA101" i="1"/>
  <c r="BL199" i="1" l="1"/>
  <c r="CA102" i="1"/>
  <c r="CA103" i="1" l="1"/>
  <c r="BM188" i="1"/>
  <c r="BM189" i="1" l="1"/>
  <c r="CB92" i="1"/>
  <c r="CB93" i="1" l="1"/>
  <c r="BM190" i="1"/>
  <c r="BM191" i="1" l="1"/>
  <c r="CB94" i="1"/>
  <c r="BM192" i="1" l="1"/>
  <c r="CB95" i="1"/>
  <c r="BM193" i="1" l="1"/>
  <c r="CB96" i="1"/>
  <c r="CB97" i="1" l="1"/>
  <c r="BM194" i="1"/>
  <c r="BM195" i="1" l="1"/>
  <c r="CB98" i="1"/>
  <c r="BM196" i="1" l="1"/>
  <c r="CB99" i="1"/>
  <c r="BM197" i="1" l="1"/>
  <c r="CB100" i="1"/>
  <c r="BM198" i="1" l="1"/>
  <c r="CB101" i="1"/>
  <c r="BM199" i="1" l="1"/>
  <c r="CB102" i="1"/>
  <c r="BN188" i="1" l="1"/>
  <c r="BN189" i="1" s="1"/>
  <c r="BN190" i="1" s="1"/>
  <c r="BN191" i="1" s="1"/>
  <c r="BN192" i="1" s="1"/>
  <c r="BN193" i="1" s="1"/>
  <c r="BN194" i="1" s="1"/>
  <c r="BN195" i="1" s="1"/>
  <c r="BN196" i="1" s="1"/>
  <c r="BN197" i="1" s="1"/>
  <c r="BN198" i="1" s="1"/>
  <c r="BN199" i="1" s="1"/>
  <c r="BO188" i="1" s="1"/>
  <c r="BO189" i="1" s="1"/>
  <c r="BO190" i="1" s="1"/>
  <c r="BO191" i="1" s="1"/>
  <c r="BO192" i="1" s="1"/>
  <c r="BO193" i="1" s="1"/>
  <c r="BO194" i="1" s="1"/>
  <c r="BO195" i="1" s="1"/>
  <c r="BO196" i="1" s="1"/>
  <c r="BO197" i="1" s="1"/>
  <c r="BO198" i="1" s="1"/>
  <c r="BO199" i="1" s="1"/>
  <c r="BP188" i="1" s="1"/>
  <c r="CB103" i="1"/>
  <c r="BP189" i="1" l="1"/>
  <c r="CC92" i="1"/>
  <c r="CC93" i="1" l="1"/>
  <c r="BP190" i="1"/>
  <c r="BP191" i="1" l="1"/>
  <c r="CC94" i="1"/>
  <c r="BP192" i="1" l="1"/>
  <c r="CC95" i="1"/>
  <c r="CC96" i="1" l="1"/>
  <c r="BP193" i="1"/>
  <c r="CC97" i="1" l="1"/>
  <c r="BP194" i="1"/>
  <c r="CC98" i="1" l="1"/>
  <c r="BP195" i="1"/>
  <c r="BP196" i="1" l="1"/>
  <c r="CC99" i="1"/>
  <c r="BP197" i="1" l="1"/>
  <c r="CC100" i="1"/>
  <c r="BP198" i="1" l="1"/>
  <c r="CC101" i="1"/>
  <c r="CC102" i="1" l="1"/>
  <c r="BP199" i="1"/>
  <c r="BQ188" i="1" l="1"/>
  <c r="CC103" i="1"/>
  <c r="BQ189" i="1" l="1"/>
  <c r="CD92" i="1"/>
  <c r="CD93" i="1" l="1"/>
  <c r="BQ190" i="1"/>
  <c r="BQ191" i="1" l="1"/>
  <c r="CD94" i="1"/>
  <c r="BQ192" i="1" l="1"/>
  <c r="CD95" i="1"/>
  <c r="CD96" i="1" l="1"/>
  <c r="BQ193" i="1"/>
  <c r="CD97" i="1" l="1"/>
  <c r="BQ194" i="1"/>
  <c r="CD98" i="1" l="1"/>
  <c r="BQ195" i="1"/>
  <c r="BQ196" i="1" l="1"/>
  <c r="CD99" i="1"/>
  <c r="BQ197" i="1" l="1"/>
  <c r="CD100" i="1"/>
  <c r="BQ198" i="1" l="1"/>
  <c r="CD101" i="1"/>
  <c r="CD102" i="1" l="1"/>
  <c r="BQ199" i="1"/>
  <c r="BR188" i="1" l="1"/>
  <c r="CD103" i="1"/>
  <c r="BR189" i="1" l="1"/>
  <c r="CE92" i="1"/>
  <c r="BR190" i="1" l="1"/>
  <c r="CE93" i="1"/>
  <c r="BR191" i="1" l="1"/>
  <c r="CE94" i="1"/>
  <c r="BR192" i="1" l="1"/>
  <c r="CE95" i="1"/>
  <c r="BR193" i="1" l="1"/>
  <c r="CE96" i="1"/>
  <c r="CE97" i="1" l="1"/>
  <c r="BR194" i="1"/>
  <c r="BR195" i="1" l="1"/>
  <c r="CE98" i="1"/>
  <c r="BR196" i="1" l="1"/>
  <c r="CE99" i="1"/>
  <c r="BR197" i="1" l="1"/>
  <c r="CE100" i="1"/>
  <c r="BR198" i="1" l="1"/>
  <c r="CE101" i="1"/>
  <c r="BR199" i="1" l="1"/>
  <c r="CE102" i="1"/>
  <c r="BS188" i="1" l="1"/>
  <c r="CE103" i="1"/>
  <c r="BS189" i="1" l="1"/>
  <c r="CF92" i="1"/>
  <c r="BS190" i="1" l="1"/>
  <c r="CF93" i="1"/>
  <c r="BS191" i="1" l="1"/>
  <c r="CF94" i="1"/>
  <c r="BS192" i="1" l="1"/>
  <c r="CF95" i="1"/>
  <c r="BS193" i="1" l="1"/>
  <c r="CF96" i="1"/>
  <c r="CF97" i="1" l="1"/>
  <c r="BS194" i="1"/>
  <c r="BS195" i="1" l="1"/>
  <c r="CF98" i="1"/>
  <c r="BS196" i="1" l="1"/>
  <c r="CF99" i="1"/>
  <c r="BS197" i="1" l="1"/>
  <c r="CF100" i="1"/>
  <c r="CF101" i="1" l="1"/>
  <c r="BS198" i="1"/>
  <c r="BS199" i="1" l="1"/>
  <c r="CF102" i="1"/>
  <c r="BT188" i="1" l="1"/>
  <c r="CF103" i="1"/>
  <c r="BT189" i="1" l="1"/>
  <c r="CG92" i="1"/>
  <c r="BT190" i="1" l="1"/>
  <c r="CG93" i="1"/>
  <c r="BT191" i="1" l="1"/>
  <c r="CG94" i="1"/>
  <c r="BT192" i="1" l="1"/>
  <c r="CG95" i="1"/>
  <c r="BT193" i="1" l="1"/>
  <c r="CG96" i="1"/>
  <c r="CG97" i="1" l="1"/>
  <c r="BT194" i="1"/>
  <c r="BT195" i="1" l="1"/>
  <c r="CG98" i="1"/>
  <c r="CG99" i="1" l="1"/>
  <c r="BT196" i="1"/>
  <c r="BT197" i="1" l="1"/>
  <c r="CG100" i="1"/>
  <c r="CG101" i="1" l="1"/>
  <c r="BT198" i="1"/>
  <c r="CG102" i="1" l="1"/>
  <c r="BT199" i="1"/>
  <c r="BU188" i="1" l="1"/>
  <c r="CG103" i="1"/>
  <c r="BU189" i="1" l="1"/>
  <c r="CH92" i="1"/>
  <c r="BU190" i="1" l="1"/>
  <c r="CH93" i="1"/>
  <c r="BU191" i="1" l="1"/>
  <c r="CH94" i="1"/>
  <c r="BU192" i="1" l="1"/>
  <c r="CH95" i="1"/>
  <c r="BU193" i="1" l="1"/>
  <c r="CH96" i="1"/>
  <c r="BU194" i="1" l="1"/>
  <c r="CH97" i="1"/>
  <c r="BU195" i="1" l="1"/>
  <c r="CH98" i="1"/>
  <c r="CH99" i="1" l="1"/>
  <c r="BU196" i="1"/>
  <c r="BU197" i="1" l="1"/>
  <c r="CH100" i="1"/>
  <c r="CH101" i="1" l="1"/>
  <c r="BU198" i="1"/>
  <c r="CH102" i="1" l="1"/>
  <c r="BU199" i="1"/>
  <c r="CH103" i="1" s="1"/>
  <c r="BI17" i="1" l="1"/>
  <c r="BI56" i="1"/>
  <c r="BJ45" i="1" s="1"/>
  <c r="BI41" i="1" l="1"/>
  <c r="BK45" i="1"/>
  <c r="BL45" i="1" s="1"/>
  <c r="BM45" i="1" s="1"/>
  <c r="BJ8" i="1"/>
  <c r="BJ11" i="1" s="1"/>
  <c r="BI18" i="1"/>
  <c r="BJ50" i="1"/>
  <c r="BJ46" i="1"/>
  <c r="BJ51" i="1"/>
  <c r="BJ52" i="1"/>
  <c r="BJ49" i="1"/>
  <c r="BI54" i="1"/>
  <c r="BJ47" i="1"/>
  <c r="BJ44" i="1"/>
  <c r="BI53" i="1"/>
  <c r="BI55" i="1" s="1"/>
  <c r="BJ48" i="1"/>
  <c r="BJ54" i="1" l="1"/>
  <c r="BK54" i="1"/>
  <c r="BL54" i="1" s="1"/>
  <c r="BK50" i="1"/>
  <c r="BK51" i="1"/>
  <c r="BL51" i="1" s="1"/>
  <c r="BK44" i="1"/>
  <c r="BL44" i="1"/>
  <c r="BM44" i="1" s="1"/>
  <c r="BN44" i="1" s="1"/>
  <c r="BK47" i="1"/>
  <c r="BJ17" i="1"/>
  <c r="BJ41" i="1"/>
  <c r="BK49" i="1"/>
  <c r="BK52" i="1"/>
  <c r="BN45" i="1"/>
  <c r="BO45" i="1" s="1"/>
  <c r="BP45" i="1" s="1"/>
  <c r="BK48" i="1"/>
  <c r="BJ53" i="1"/>
  <c r="BI417" i="1"/>
  <c r="BI418" i="1" s="1"/>
  <c r="BK46" i="1"/>
  <c r="BL48" i="1" l="1"/>
  <c r="BM48" i="1" s="1"/>
  <c r="BL52" i="1"/>
  <c r="BM52" i="1" s="1"/>
  <c r="BL50" i="1"/>
  <c r="BK8" i="1"/>
  <c r="BK11" i="1" s="1"/>
  <c r="BJ18" i="1"/>
  <c r="BL47" i="1"/>
  <c r="BM47" i="1" s="1"/>
  <c r="BK53" i="1"/>
  <c r="BK55" i="1" s="1"/>
  <c r="BO44" i="1"/>
  <c r="BM54" i="1"/>
  <c r="BI422" i="1"/>
  <c r="BI423" i="1" s="1"/>
  <c r="BI424" i="1" s="1"/>
  <c r="BJ415" i="1" s="1"/>
  <c r="BL46" i="1"/>
  <c r="BM46" i="1" s="1"/>
  <c r="BN46" i="1" s="1"/>
  <c r="BJ55" i="1"/>
  <c r="BJ417" i="1" s="1"/>
  <c r="BL49" i="1"/>
  <c r="BQ45" i="1"/>
  <c r="BR45" i="1" s="1"/>
  <c r="BM51" i="1"/>
  <c r="BN51" i="1" s="1"/>
  <c r="BM50" i="1"/>
  <c r="BN50" i="1" s="1"/>
  <c r="BJ418" i="1" l="1"/>
  <c r="BN48" i="1"/>
  <c r="BN47" i="1"/>
  <c r="BO47" i="1"/>
  <c r="BJ422" i="1"/>
  <c r="BJ423" i="1" s="1"/>
  <c r="BJ424" i="1" s="1"/>
  <c r="BS45" i="1"/>
  <c r="BT45" i="1" s="1"/>
  <c r="BO51" i="1"/>
  <c r="BP51" i="1"/>
  <c r="BO48" i="1"/>
  <c r="BM49" i="1"/>
  <c r="BL53" i="1"/>
  <c r="BK41" i="1"/>
  <c r="BK17" i="1"/>
  <c r="BO46" i="1"/>
  <c r="BO50" i="1"/>
  <c r="BP44" i="1"/>
  <c r="BP47" i="1"/>
  <c r="BQ47" i="1" s="1"/>
  <c r="BN54" i="1"/>
  <c r="BL55" i="1"/>
  <c r="BN52" i="1"/>
  <c r="BU45" i="1" l="1"/>
  <c r="BQ51" i="1"/>
  <c r="BN49" i="1"/>
  <c r="BO49" i="1" s="1"/>
  <c r="BO54" i="1"/>
  <c r="BM53" i="1"/>
  <c r="BM55" i="1" s="1"/>
  <c r="BP46" i="1"/>
  <c r="BR51" i="1"/>
  <c r="BP48" i="1"/>
  <c r="BP50" i="1"/>
  <c r="BQ50" i="1" s="1"/>
  <c r="BR50" i="1" s="1"/>
  <c r="BL8" i="1"/>
  <c r="BL11" i="1" s="1"/>
  <c r="BK18" i="1"/>
  <c r="BO52" i="1"/>
  <c r="BQ44" i="1"/>
  <c r="BP54" i="1"/>
  <c r="BQ54" i="1" s="1"/>
  <c r="BR47" i="1"/>
  <c r="BN53" i="1" l="1"/>
  <c r="BO53" i="1" s="1"/>
  <c r="BP53" i="1" s="1"/>
  <c r="BS47" i="1"/>
  <c r="BT47" i="1" s="1"/>
  <c r="BQ53" i="1"/>
  <c r="BO55" i="1"/>
  <c r="BS50" i="1"/>
  <c r="BT50" i="1"/>
  <c r="BQ48" i="1"/>
  <c r="BP49" i="1"/>
  <c r="BL17" i="1"/>
  <c r="BL41" i="1"/>
  <c r="BN55" i="1"/>
  <c r="BR54" i="1"/>
  <c r="BS54" i="1" s="1"/>
  <c r="BQ46" i="1"/>
  <c r="BP52" i="1"/>
  <c r="BS51" i="1"/>
  <c r="BR44" i="1"/>
  <c r="BS44" i="1" s="1"/>
  <c r="BR53" i="1"/>
  <c r="BU50" i="1" l="1"/>
  <c r="BT44" i="1"/>
  <c r="BT51" i="1"/>
  <c r="BU51" i="1" s="1"/>
  <c r="BU47" i="1"/>
  <c r="BQ52" i="1"/>
  <c r="BR52" i="1"/>
  <c r="BP55" i="1"/>
  <c r="BL18" i="1"/>
  <c r="BM8" i="1"/>
  <c r="BM11" i="1" s="1"/>
  <c r="BR46" i="1"/>
  <c r="BS46" i="1" s="1"/>
  <c r="BT54" i="1"/>
  <c r="BU54" i="1" s="1"/>
  <c r="BR48" i="1"/>
  <c r="BS48" i="1" s="1"/>
  <c r="BT48" i="1" s="1"/>
  <c r="BU44" i="1"/>
  <c r="BS53" i="1"/>
  <c r="BT53" i="1" s="1"/>
  <c r="BQ49" i="1"/>
  <c r="BR49" i="1" s="1"/>
  <c r="BR55" i="1" l="1"/>
  <c r="BS49" i="1"/>
  <c r="BT49" i="1" s="1"/>
  <c r="BU49" i="1" s="1"/>
  <c r="BS52" i="1"/>
  <c r="BS55" i="1" s="1"/>
  <c r="BU48" i="1"/>
  <c r="BM17" i="1"/>
  <c r="BM41" i="1"/>
  <c r="BT52" i="1"/>
  <c r="BU52" i="1" s="1"/>
  <c r="BQ55" i="1"/>
  <c r="BT46" i="1"/>
  <c r="BU53" i="1"/>
  <c r="BT55" i="1" l="1"/>
  <c r="BU46" i="1"/>
  <c r="BU55" i="1" s="1"/>
  <c r="BM18" i="1"/>
  <c r="BN8" i="1"/>
  <c r="BN11" i="1" s="1"/>
  <c r="BN41" i="1" l="1"/>
  <c r="BN17" i="1"/>
  <c r="BO8" i="1" l="1"/>
  <c r="BO11" i="1" s="1"/>
  <c r="BN18" i="1"/>
  <c r="BO17" i="1" l="1"/>
  <c r="BO41" i="1"/>
  <c r="BO18" i="1" l="1"/>
  <c r="BP8" i="1"/>
  <c r="BP11" i="1" s="1"/>
  <c r="BP17" i="1" l="1"/>
  <c r="BP41" i="1"/>
  <c r="BQ8" i="1" l="1"/>
  <c r="BQ11" i="1" s="1"/>
  <c r="BP18" i="1"/>
  <c r="BQ41" i="1" l="1"/>
  <c r="BQ17" i="1"/>
  <c r="BR8" i="1" l="1"/>
  <c r="BR11" i="1" s="1"/>
  <c r="BQ18" i="1"/>
  <c r="BR17" i="1" l="1"/>
  <c r="BR41" i="1"/>
  <c r="BR18" i="1" l="1"/>
  <c r="BS8" i="1"/>
  <c r="BS11" i="1" s="1"/>
  <c r="BS41" i="1" l="1"/>
  <c r="BS17" i="1"/>
  <c r="BT8" i="1" l="1"/>
  <c r="BT11" i="1" s="1"/>
  <c r="BS18" i="1"/>
  <c r="BT41" i="1" l="1"/>
  <c r="BT17" i="1"/>
  <c r="BT18" i="1" l="1"/>
  <c r="BU8" i="1"/>
  <c r="BU11" i="1" s="1"/>
  <c r="BU41" i="1" l="1"/>
  <c r="BU17" i="1"/>
  <c r="BU18" i="1" s="1"/>
</calcChain>
</file>

<file path=xl/sharedStrings.xml><?xml version="1.0" encoding="utf-8"?>
<sst xmlns="http://schemas.openxmlformats.org/spreadsheetml/2006/main" count="2152" uniqueCount="211">
  <si>
    <t>ARGENTINA SOYBEAN COMPLEX</t>
  </si>
  <si>
    <t xml:space="preserve">64/65 </t>
  </si>
  <si>
    <t xml:space="preserve">65/66 </t>
  </si>
  <si>
    <t xml:space="preserve">66/67 </t>
  </si>
  <si>
    <t xml:space="preserve">67/68 </t>
  </si>
  <si>
    <t xml:space="preserve">68/69 </t>
  </si>
  <si>
    <t xml:space="preserve">69/70 </t>
  </si>
  <si>
    <t xml:space="preserve">70/71 </t>
  </si>
  <si>
    <t xml:space="preserve">71/72 </t>
  </si>
  <si>
    <t xml:space="preserve">72/73 </t>
  </si>
  <si>
    <t xml:space="preserve">73/74 </t>
  </si>
  <si>
    <t xml:space="preserve">74/75 </t>
  </si>
  <si>
    <t xml:space="preserve">75/76 </t>
  </si>
  <si>
    <t xml:space="preserve">76/77 </t>
  </si>
  <si>
    <t xml:space="preserve">77/78 </t>
  </si>
  <si>
    <t xml:space="preserve">78/79 </t>
  </si>
  <si>
    <t xml:space="preserve">79/80 </t>
  </si>
  <si>
    <t xml:space="preserve">80/81 </t>
  </si>
  <si>
    <t xml:space="preserve">81/82 </t>
  </si>
  <si>
    <t xml:space="preserve">82/83 </t>
  </si>
  <si>
    <t xml:space="preserve">83/84 </t>
  </si>
  <si>
    <t xml:space="preserve">84/85 </t>
  </si>
  <si>
    <t xml:space="preserve">85/86 </t>
  </si>
  <si>
    <t xml:space="preserve">86/87 </t>
  </si>
  <si>
    <t xml:space="preserve">87/88 </t>
  </si>
  <si>
    <t xml:space="preserve">88/89 </t>
  </si>
  <si>
    <t xml:space="preserve">89/90 </t>
  </si>
  <si>
    <t xml:space="preserve">90/91 </t>
  </si>
  <si>
    <t xml:space="preserve">91/92 </t>
  </si>
  <si>
    <t xml:space="preserve">92/93 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</si>
  <si>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</si>
  <si>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</si>
  <si>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</si>
  <si>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</si>
  <si>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</si>
  <si>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</si>
  <si>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</si>
  <si>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</si>
  <si>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</si>
  <si>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</si>
  <si>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</si>
  <si>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</si>
  <si>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</si>
  <si>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</si>
  <si>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</si>
  <si>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</si>
  <si>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</si>
  <si>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</si>
  <si>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</si>
  <si>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</si>
  <si>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</si>
  <si>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</si>
  <si>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</si>
  <si>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</si>
  <si>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</si>
  <si>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</si>
  <si>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>19/20</t>
  </si>
  <si>
    <t>20/21</t>
  </si>
  <si>
    <t>21/22</t>
  </si>
  <si>
    <t>22/23</t>
  </si>
  <si>
    <t>23/24</t>
  </si>
  <si>
    <t>24/25</t>
  </si>
  <si>
    <t>25/26</t>
  </si>
  <si>
    <t>26/27</t>
  </si>
  <si>
    <t>27/28</t>
  </si>
  <si>
    <t>28/29</t>
  </si>
  <si>
    <t>29/30</t>
  </si>
  <si>
    <t>30/31</t>
  </si>
  <si>
    <t>31/32</t>
  </si>
  <si>
    <t>32/33</t>
  </si>
  <si>
    <t>33/34</t>
  </si>
  <si>
    <t>34/35</t>
  </si>
  <si>
    <r>
      <t xml:space="preserve">ARGENTINA SOYBEAN SUPPLY AND DEMAND </t>
    </r>
    <r>
      <rPr>
        <b/>
        <sz val="8"/>
        <color theme="0"/>
        <rFont val="Helvetica"/>
        <family val="2"/>
      </rPr>
      <t>(1,000 Hectares/1,000 Tonnes)</t>
    </r>
  </si>
  <si>
    <t>Planted Area</t>
  </si>
  <si>
    <t>Ag Ministry Grain Production Report</t>
  </si>
  <si>
    <t>Harvested Area</t>
  </si>
  <si>
    <t>Update year after production, use attache annual in April prior to official Ag Ministry data</t>
  </si>
  <si>
    <t>Harvested/Planted Area</t>
  </si>
  <si>
    <t>Yield</t>
  </si>
  <si>
    <r>
      <t xml:space="preserve">Beginning Stocks </t>
    </r>
    <r>
      <rPr>
        <sz val="8"/>
        <color theme="1"/>
        <rFont val="Arial"/>
        <family val="2"/>
      </rPr>
      <t>(April 1)</t>
    </r>
  </si>
  <si>
    <t>Production</t>
  </si>
  <si>
    <t>Imports</t>
  </si>
  <si>
    <t xml:space="preserve">    Total Supply</t>
  </si>
  <si>
    <t>Crush</t>
  </si>
  <si>
    <t>Exports</t>
  </si>
  <si>
    <t>Seed</t>
  </si>
  <si>
    <t>Residual</t>
  </si>
  <si>
    <t xml:space="preserve">    Total Use</t>
  </si>
  <si>
    <r>
      <t xml:space="preserve">Ending Stocks </t>
    </r>
    <r>
      <rPr>
        <sz val="8"/>
        <color theme="1"/>
        <rFont val="Arial"/>
        <family val="2"/>
      </rPr>
      <t>(March 31)</t>
    </r>
  </si>
  <si>
    <t>Ag Ministry Grain Stocks Report</t>
  </si>
  <si>
    <t>Stocks/Use</t>
  </si>
  <si>
    <r>
      <t xml:space="preserve">ARGENTINA SOYBEAN MEAL SUPPLY AND DEMAND </t>
    </r>
    <r>
      <rPr>
        <b/>
        <sz val="8"/>
        <color theme="0"/>
        <rFont val="Helvetica"/>
        <family val="2"/>
      </rPr>
      <t>(1,000 Tons)</t>
    </r>
  </si>
  <si>
    <r>
      <t xml:space="preserve">Crush </t>
    </r>
    <r>
      <rPr>
        <sz val="8"/>
        <color theme="1"/>
        <rFont val="Arial"/>
        <family val="2"/>
      </rPr>
      <t>(October - September)</t>
    </r>
  </si>
  <si>
    <t>Domestic Usage</t>
  </si>
  <si>
    <t>ARGENTINA SOYBEAN OIL SUPPLY AND DEMAND (1,000 Tonnes)</t>
  </si>
  <si>
    <t>Domestic Use</t>
  </si>
  <si>
    <t xml:space="preserve">    Biodiesel Production</t>
  </si>
  <si>
    <t xml:space="preserve">    Non-Biodiesel Usage</t>
  </si>
  <si>
    <t>Bold numbers are Jacobsen Estimates and Forecasts</t>
  </si>
  <si>
    <t>SOYBEAN IMPORTS (1,000 Tonnes)</t>
  </si>
  <si>
    <t>April</t>
  </si>
  <si>
    <t xml:space="preserve"> 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</si>
  <si>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</si>
  <si>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</si>
  <si>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</si>
  <si>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</si>
  <si>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</si>
  <si>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</si>
  <si>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</si>
  <si>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</si>
  <si>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</si>
  <si>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</si>
  <si>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</si>
  <si>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 xml:space="preserve">    Total</t>
  </si>
  <si>
    <t>SOYBEAN EXPORTS (1,000 Tonnes)</t>
  </si>
  <si>
    <t xml:space="preserve">China 17/18 </t>
  </si>
  <si>
    <t xml:space="preserve">China 18/19 </t>
  </si>
  <si>
    <t/>
  </si>
  <si>
    <t>Daily Average Crush</t>
  </si>
  <si>
    <t>5-Yr Avg.</t>
  </si>
  <si>
    <t>5-Year Average</t>
  </si>
  <si>
    <t>Jan</t>
  </si>
  <si>
    <t>Apr</t>
  </si>
  <si>
    <t>Feb</t>
  </si>
  <si>
    <t>Mar</t>
  </si>
  <si>
    <t>Jun</t>
  </si>
  <si>
    <t>Jul</t>
  </si>
  <si>
    <t>Aug</t>
  </si>
  <si>
    <t>Sep</t>
  </si>
  <si>
    <t>Oct</t>
  </si>
  <si>
    <t>Nov</t>
  </si>
  <si>
    <t>Dec</t>
  </si>
  <si>
    <t xml:space="preserve">  Total</t>
  </si>
  <si>
    <t>SOYBEAN MEAL PRODUCTION (Pellets, 1,000 Short Tonnes)</t>
  </si>
  <si>
    <t>SBM Stocks as percent of next month's demand</t>
  </si>
  <si>
    <t>Months ending on a weekend in red and filled cells are realized data</t>
  </si>
  <si>
    <t>SOYBEAN MEAL PRODUCTION (Expeller, 1,000 Short Tonnes)</t>
  </si>
  <si>
    <t>SOYBEAN MEAL YIELD</t>
  </si>
  <si>
    <t xml:space="preserve">    Marketing-Year Average</t>
  </si>
  <si>
    <t>SOYBEAN MEAL AND HULLS IMPORTS (1,000 Short Tonnes)</t>
  </si>
  <si>
    <t>HS Codes:</t>
  </si>
  <si>
    <t>2304, 120810, 23025</t>
  </si>
  <si>
    <t>SOYBEAN MEAL AND HULLS EXPORTS (1,000 Short Tonnes)</t>
  </si>
  <si>
    <t>SOYBEAN MEAL AND HULLS DOMESTIC USE (1,000 Short Tonnes)</t>
  </si>
  <si>
    <t>SOYBEAN MEAL AND HULLS END-OF-MONTH STOCKS (1,000 Short Tonnes)</t>
  </si>
  <si>
    <t>DECATUR SOYBEAN MEAL (48%, Rail, $/Short Ton)</t>
  </si>
  <si>
    <t>SOYBEAN OIL PRODUCTION (1,000 Tonnes)</t>
  </si>
  <si>
    <t>SOYBEAN OIL YIELD (Pounds/Bu.)</t>
  </si>
  <si>
    <t>SOYBEAN MEAL, HULL AND OIL YIELD (Pounds/Bushel)</t>
  </si>
  <si>
    <t>SOYBEAN OIL IMPORTS (1,000 Tonnes)</t>
  </si>
  <si>
    <t>15071, 15079</t>
  </si>
  <si>
    <t>SOYBEAN OIL EXPORTS (1,000 Tonnes)</t>
  </si>
  <si>
    <t>SOYBEAN OIL DOMESTIC USE (1,000 Tonnes)</t>
  </si>
  <si>
    <t>SOYBEAN OIL BIODIESEL USE (1,000 Tonnes)</t>
  </si>
  <si>
    <t>SOYBEAN OIL NON-BIODIESEL USE (1,000 Tonnes)</t>
  </si>
  <si>
    <t>SOYBEAN OIL END-OF-MONTH STOCKS (1,000 Tonnes)</t>
  </si>
  <si>
    <t>BIODIESEL PRODUCTION (1,000 Tonnes)</t>
  </si>
  <si>
    <t>BIODIESEL DOMESTIC USAGE (1,000 Tonnes)</t>
  </si>
  <si>
    <t>BIODIESEL EXPORTS (1,000 Tonnes)</t>
  </si>
  <si>
    <t>Table 9: ARGENTINA SOYBEAN COMPLEX</t>
  </si>
  <si>
    <t>ARGENTINA SOYBEAN SUPPLY AND DEMAND (1,000 Hectares/1,000 Tonnes)</t>
  </si>
  <si>
    <r>
      <t xml:space="preserve">Beginning Stocks </t>
    </r>
    <r>
      <rPr>
        <sz val="8"/>
        <color theme="1"/>
        <rFont val="Helvetica"/>
        <family val="2"/>
      </rPr>
      <t>(October 1)</t>
    </r>
  </si>
  <si>
    <r>
      <t xml:space="preserve">Ending Stocks </t>
    </r>
    <r>
      <rPr>
        <sz val="8"/>
        <color theme="1"/>
        <rFont val="Helvetica"/>
        <family val="2"/>
      </rPr>
      <t>(September 30)</t>
    </r>
  </si>
  <si>
    <t>ARGENTINA SOYBEAN MEAL SUPPLY AND DEMAND (1,000 Tonnes)</t>
  </si>
  <si>
    <r>
      <t xml:space="preserve">Crush </t>
    </r>
    <r>
      <rPr>
        <sz val="8"/>
        <color theme="1"/>
        <rFont val="Helvetica"/>
        <family val="2"/>
      </rPr>
      <t>(October - September)</t>
    </r>
  </si>
  <si>
    <r>
      <t xml:space="preserve">Beginning Stocks </t>
    </r>
    <r>
      <rPr>
        <sz val="8"/>
        <color theme="1"/>
        <rFont val="Helvetica"/>
        <family val="2"/>
      </rPr>
      <t>(February 1)</t>
    </r>
  </si>
  <si>
    <r>
      <t xml:space="preserve">Ending Stocks </t>
    </r>
    <r>
      <rPr>
        <sz val="8"/>
        <color theme="1"/>
        <rFont val="Helvetica"/>
        <family val="2"/>
      </rPr>
      <t>(January 31)</t>
    </r>
  </si>
  <si>
    <t xml:space="preserve">    Non-Biodiesel Production</t>
  </si>
  <si>
    <t>Argentina UpRiver</t>
  </si>
  <si>
    <t xml:space="preserve">  Marketing-Year Average</t>
  </si>
  <si>
    <t>SBO Futures - Argentina UpRiver</t>
  </si>
  <si>
    <t>Argentina UpRiver Forecast</t>
  </si>
  <si>
    <t>Forecast</t>
  </si>
  <si>
    <t>High</t>
  </si>
  <si>
    <t>Low</t>
  </si>
  <si>
    <r>
      <rPr>
        <b/>
        <sz val="11"/>
        <color theme="0"/>
        <rFont val="Helvetica-Normal"/>
      </rPr>
      <t>ARG INEDIBLE TALLOW SUPPLY AND DEMAND</t>
    </r>
    <r>
      <rPr>
        <sz val="9"/>
        <color theme="0"/>
        <rFont val="Helvetica-Normal"/>
      </rPr>
      <t xml:space="preserve"> (1000 Tons)</t>
    </r>
  </si>
  <si>
    <r>
      <t xml:space="preserve">Carryin </t>
    </r>
    <r>
      <rPr>
        <sz val="9"/>
        <color theme="1"/>
        <rFont val="Arial"/>
        <family val="2"/>
      </rPr>
      <t>(October 1)</t>
    </r>
  </si>
  <si>
    <t xml:space="preserve">  Biomas-Based Diesel</t>
  </si>
  <si>
    <t xml:space="preserve">    Biodiesel</t>
  </si>
  <si>
    <t xml:space="preserve">    Renewable Biodiesel</t>
  </si>
  <si>
    <t xml:space="preserve">    Co-Processing</t>
  </si>
  <si>
    <t xml:space="preserve">  Non-Biodiesel</t>
  </si>
  <si>
    <r>
      <t xml:space="preserve">Carryout </t>
    </r>
    <r>
      <rPr>
        <sz val="9"/>
        <color theme="1"/>
        <rFont val="Arial"/>
        <family val="2"/>
      </rPr>
      <t>(September 30)</t>
    </r>
  </si>
  <si>
    <t>Stocks-to-Usage</t>
  </si>
  <si>
    <r>
      <t xml:space="preserve">Average Price </t>
    </r>
    <r>
      <rPr>
        <sz val="9"/>
        <color theme="1"/>
        <rFont val="Arial"/>
        <family val="2"/>
      </rPr>
      <t>(cents per pound)</t>
    </r>
  </si>
  <si>
    <t>Bold Numbers are The Jacobsen Estimates and Forecasts</t>
  </si>
  <si>
    <r>
      <t xml:space="preserve">INEDIBLE TALLOW PRODUCTION </t>
    </r>
    <r>
      <rPr>
        <sz val="9"/>
        <color theme="1"/>
        <rFont val="Helvetica-Normal"/>
      </rPr>
      <t>(1000 tons)</t>
    </r>
  </si>
  <si>
    <r>
      <t xml:space="preserve">INEDIBLE TALLOW IMPORTS </t>
    </r>
    <r>
      <rPr>
        <sz val="9"/>
        <color theme="1"/>
        <rFont val="Helvetica-Normal"/>
      </rPr>
      <t>(1000 Tons)</t>
    </r>
  </si>
  <si>
    <r>
      <t xml:space="preserve">INEDIBLE TALLOW EXPORTS </t>
    </r>
    <r>
      <rPr>
        <sz val="9"/>
        <color theme="1"/>
        <rFont val="Helvetica-Normal"/>
      </rPr>
      <t>(1000 Tons)</t>
    </r>
  </si>
  <si>
    <r>
      <t xml:space="preserve">INEDIBLE TALLOW DOMESTIC USAGE </t>
    </r>
    <r>
      <rPr>
        <sz val="9"/>
        <color theme="1"/>
        <rFont val="Helvetica-Normal"/>
      </rPr>
      <t>(1000 Tons)</t>
    </r>
  </si>
  <si>
    <r>
      <t xml:space="preserve">INEDIBLE TALLOW BIODIESEL USAGE </t>
    </r>
    <r>
      <rPr>
        <sz val="9"/>
        <color theme="1"/>
        <rFont val="Helvetica-Normal"/>
      </rPr>
      <t>(1000 tons)</t>
    </r>
  </si>
  <si>
    <r>
      <t xml:space="preserve">COMMERCIAL CATTLE SLAUGHTER </t>
    </r>
    <r>
      <rPr>
        <sz val="9"/>
        <color theme="1"/>
        <rFont val="Helvetica-Normal"/>
      </rPr>
      <t>(1,000 Head)</t>
    </r>
  </si>
  <si>
    <t>Carcass weight (tons)</t>
  </si>
  <si>
    <t>INEDIBLE TALLOW YIELD (Kg per Head)</t>
  </si>
  <si>
    <t>ARG POULTRY FAT SUPPLY AND DEMAND (1000 tons)</t>
  </si>
  <si>
    <t>}</t>
  </si>
  <si>
    <t>POULTRY FAT PRODUCTION (1000 tons)</t>
  </si>
  <si>
    <t>POULTRY FAT IMPORTS (1000 tons)</t>
  </si>
  <si>
    <t>POULTRY FAT EXPORTS (1000 tons)</t>
  </si>
  <si>
    <t>POULTRY FAT DOMESTIC USAGE (1000 tons)</t>
  </si>
  <si>
    <t>POULTRY FAT BIODIESEL USAGE (1000 tons)</t>
  </si>
  <si>
    <t>POULTRY FAT YIELD (Kg per Head) - Miva</t>
  </si>
  <si>
    <t>ARG CHOICE WHITE GREASE SUPPLY AND DEMAND (1000 tons)</t>
  </si>
  <si>
    <t>CHOICE WHITE GREASE PRODUCTION (1000 tons)</t>
  </si>
  <si>
    <t>CHOICE WHITE GREASE IMPORTS (1000 tons)</t>
  </si>
  <si>
    <t>CHOICE WHITE GREASE EXPORTS (1000 tons)</t>
  </si>
  <si>
    <t>CHOICE WHITE GREASE DOMESTIC USAGE (1000 tons)</t>
  </si>
  <si>
    <t>CHOICE WHITE GREASE BIODIESEL USAGE (1000 tons)</t>
  </si>
  <si>
    <t>CHOICE WHITE GREASE YIELD (Kg per Head) - Miva</t>
  </si>
  <si>
    <t xml:space="preserve">SOYBEAN CRUSH (1,000 Tonnes) </t>
  </si>
  <si>
    <t>https://www.magyp.gob.ar/sitio/areas/ss_mercados_agropecuarios/areas/granos/_archivos/000058_Estad%C3%ADsticas/000032_Evolucion%20de%20la%20Molienda%20(Cereales%20y%20Oleaginosas)/000002_Evoluci%C3%B3n%20de%20la%20Molienda%20Mensual%20-%20Oleaginosas/000002_Evoluci%C3%B3n%20de%20la%20Molienda%20Mensual%20-%20Oleaginosas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</si>
</sst>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%"/>
    <numFmt numFmtId="165" formatCode="0.00_);[Red]\(0.00\)"/>
    <numFmt numFmtId="166" formatCode="#,##0.0_);[Red]\(#,##0.0\)"/>
    <numFmt numFmtId="167" formatCode="0.000"/>
    <numFmt numFmtId="168" formatCode="0.000_);[Red]\(0.000\)"/>
    <numFmt numFmtId="169" formatCode="#,##0.000_);[Red]\(#,##0.000\)"/>
    <numFmt numFmtId="170" formatCode="0_);[Red]\(0\)"/>
    <numFmt numFmtId="171" formatCode="[$-409]mmm\-yy;@"/>
    <numFmt numFmtId="172" formatCode="#,##0.0"/>
    <numFmt numFmtId="173" formatCode="#,##0_ ;[Red]\-#,##0\ "/>
    <numFmt numFmtId="174" formatCode="0.0"/>
    <numFmt numFmtId="175" formatCode="#,##0.0;[Red]\-#,##0.0"/>
  </numFmts>
  <fonts count="5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Helvetica"/>
      <family val="2"/>
    </font>
    <font>
      <sz val="11"/>
      <color theme="1"/>
      <name val="Helvetica"/>
      <family val="2"/>
    </font>
    <font>
      <sz val="11"/>
      <color theme="1"/>
      <name val="Arial"/>
      <family val="2"/>
    </font>
    <font>
      <b/>
      <sz val="11"/>
      <color theme="1"/>
      <name val="Helvetica"/>
      <family val="2"/>
    </font>
    <font>
      <sz val="10"/>
      <name val="MS Sans Serif"/>
      <family val="2"/>
    </font>
    <font>
      <b/>
      <sz val="11"/>
      <name val="Helvetica"/>
      <family val="2"/>
    </font>
    <font>
      <b/>
      <sz val="10"/>
      <color theme="0"/>
      <name val="Helvetica"/>
      <family val="2"/>
    </font>
    <font>
      <b/>
      <sz val="8"/>
      <color theme="0"/>
      <name val="Helvetica"/>
      <family val="2"/>
    </font>
    <font>
      <sz val="10"/>
      <color theme="1"/>
      <name val="Helvetica"/>
      <family val="2"/>
    </font>
    <font>
      <b/>
      <sz val="10"/>
      <color theme="1"/>
      <name val="Helvetica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u/>
      <sz val="8"/>
      <color theme="10"/>
      <name val="Arial Narrow"/>
      <family val="2"/>
    </font>
    <font>
      <sz val="8"/>
      <name val="Arial Narrow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color rgb="FF305165"/>
      <name val="Arial Narrow"/>
      <family val="2"/>
    </font>
    <font>
      <b/>
      <sz val="10"/>
      <name val="Arial Narrow"/>
      <family val="2"/>
    </font>
    <font>
      <b/>
      <sz val="10"/>
      <color theme="4" tint="-0.249977111117893"/>
      <name val="Arial Narrow"/>
      <family val="2"/>
    </font>
    <font>
      <b/>
      <sz val="10"/>
      <name val="Arial"/>
      <family val="2"/>
    </font>
    <font>
      <b/>
      <sz val="10"/>
      <color theme="3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8"/>
      <color theme="1"/>
      <name val="Helvetica"/>
      <family val="2"/>
    </font>
    <font>
      <b/>
      <sz val="9"/>
      <color theme="1"/>
      <name val="Helvetica"/>
      <family val="2"/>
    </font>
    <font>
      <sz val="11"/>
      <color theme="0"/>
      <name val="Helvetica-Normal"/>
    </font>
    <font>
      <b/>
      <sz val="11"/>
      <color theme="0"/>
      <name val="Helvetica-Normal"/>
    </font>
    <font>
      <sz val="9"/>
      <color theme="0"/>
      <name val="Helvetica-Normal"/>
    </font>
    <font>
      <sz val="9"/>
      <color theme="1"/>
      <name val="Arial"/>
      <family val="2"/>
    </font>
    <font>
      <b/>
      <sz val="11"/>
      <color theme="1"/>
      <name val="Arial Narrow"/>
      <family val="2"/>
    </font>
    <font>
      <sz val="11"/>
      <color indexed="8"/>
      <name val="Aptos Narrow"/>
      <family val="2"/>
      <scheme val="minor"/>
    </font>
    <font>
      <b/>
      <sz val="9"/>
      <color theme="1"/>
      <name val="Helvetica-Normal"/>
    </font>
    <font>
      <sz val="10"/>
      <color theme="1"/>
      <name val="Helvetica-Normal"/>
    </font>
    <font>
      <sz val="9"/>
      <color theme="1"/>
      <name val="Helvetica-Normal"/>
    </font>
    <font>
      <b/>
      <sz val="10"/>
      <color rgb="FF8E9A44"/>
      <name val="Arial Narrow"/>
      <family val="2"/>
    </font>
    <font>
      <u/>
      <sz val="9"/>
      <color theme="10"/>
      <name val="Brown"/>
    </font>
    <font>
      <sz val="9"/>
      <color theme="1"/>
      <name val="Brown"/>
    </font>
  </fonts>
  <fills count="9">
    <fill>
      <patternFill patternType="none"/>
    </fill>
    <fill>
      <patternFill patternType="gray125"/>
    </fill>
    <fill>
      <patternFill patternType="solid">
        <fgColor rgb="FF8C8C8C"/>
        <bgColor rgb="FF8E9A4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E9A44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6F0791"/>
      </top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medium">
        <color rgb="FF6F0791"/>
      </bottom>
      <diagonal/>
    </border>
    <border>
      <left/>
      <right/>
      <top style="thin">
        <color rgb="FF6F0791"/>
      </top>
      <bottom style="medium">
        <color rgb="FF6F0791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8E9A44"/>
      </top>
      <bottom/>
      <diagonal/>
    </border>
    <border>
      <left/>
      <right/>
      <top/>
      <bottom style="thin">
        <color rgb="FF8E9A44"/>
      </bottom>
      <diagonal/>
    </border>
    <border>
      <left/>
      <right/>
      <top style="thin">
        <color rgb="FF8E9A44"/>
      </top>
      <bottom style="thin">
        <color rgb="FF8E9A44"/>
      </bottom>
      <diagonal/>
    </border>
    <border>
      <left/>
      <right/>
      <top style="thin">
        <color theme="3"/>
      </top>
      <bottom/>
      <diagonal/>
    </border>
    <border>
      <left/>
      <right/>
      <top style="medium">
        <color rgb="FF8E9A44"/>
      </top>
      <bottom/>
      <diagonal/>
    </border>
    <border>
      <left/>
      <right/>
      <top style="medium">
        <color rgb="FF323232"/>
      </top>
      <bottom style="medium">
        <color rgb="FF323232"/>
      </bottom>
      <diagonal/>
    </border>
    <border>
      <left/>
      <right/>
      <top style="medium">
        <color rgb="FF323232"/>
      </top>
      <bottom/>
      <diagonal/>
    </border>
    <border>
      <left/>
      <right/>
      <top style="medium">
        <color rgb="FF6F0791"/>
      </top>
      <bottom style="medium">
        <color rgb="FF8C8C8C"/>
      </bottom>
      <diagonal/>
    </border>
    <border>
      <left/>
      <right/>
      <top style="medium">
        <color rgb="FF8C8C8C"/>
      </top>
      <bottom/>
      <diagonal/>
    </border>
    <border>
      <left/>
      <right/>
      <top style="medium">
        <color rgb="FF335163"/>
      </top>
      <bottom/>
      <diagonal/>
    </border>
    <border>
      <left/>
      <right/>
      <top style="medium">
        <color rgb="FF335163"/>
      </top>
      <bottom style="medium">
        <color rgb="FF335163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40" fontId="10" fillId="0" borderId="0" applyFont="0" applyFill="0" applyBorder="0" applyAlignment="0" applyProtection="0"/>
    <xf numFmtId="0" fontId="45" fillId="0" borderId="0"/>
  </cellStyleXfs>
  <cellXfs count="210">
    <xf numFmtId="0" fontId="0" fillId="0" borderId="0" xfId="0"/>
    <xf numFmtId="0" fontId="6" fillId="2" borderId="0" xfId="0" applyFont="1" applyFill="1"/>
    <xf numFmtId="0" fontId="0" fillId="2" borderId="0" xfId="0" applyFill="1"/>
    <xf numFmtId="0" fontId="7" fillId="3" borderId="0" xfId="0" applyFont="1" applyFill="1"/>
    <xf numFmtId="0" fontId="8" fillId="0" borderId="0" xfId="0" applyFont="1"/>
    <xf numFmtId="0" fontId="9" fillId="3" borderId="0" xfId="0" applyFont="1" applyFill="1" applyAlignment="1">
      <alignment horizontal="right"/>
    </xf>
    <xf numFmtId="38" fontId="11" fillId="3" borderId="0" xfId="4" quotePrefix="1" applyNumberFormat="1" applyFont="1" applyFill="1" applyAlignment="1">
      <alignment horizontal="right"/>
    </xf>
    <xf numFmtId="0" fontId="12" fillId="4" borderId="1" xfId="0" applyFont="1" applyFill="1" applyBorder="1"/>
    <xf numFmtId="0" fontId="0" fillId="4" borderId="1" xfId="0" applyFill="1" applyBorder="1"/>
    <xf numFmtId="0" fontId="8" fillId="3" borderId="0" xfId="0" applyFont="1" applyFill="1"/>
    <xf numFmtId="38" fontId="14" fillId="3" borderId="0" xfId="0" applyNumberFormat="1" applyFont="1" applyFill="1"/>
    <xf numFmtId="38" fontId="15" fillId="3" borderId="0" xfId="0" applyNumberFormat="1" applyFont="1" applyFill="1"/>
    <xf numFmtId="38" fontId="16" fillId="3" borderId="0" xfId="0" applyNumberFormat="1" applyFont="1" applyFill="1"/>
    <xf numFmtId="38" fontId="17" fillId="3" borderId="0" xfId="0" applyNumberFormat="1" applyFont="1" applyFill="1"/>
    <xf numFmtId="38" fontId="0" fillId="0" borderId="0" xfId="0" applyNumberFormat="1"/>
    <xf numFmtId="0" fontId="18" fillId="0" borderId="0" xfId="3" applyFont="1"/>
    <xf numFmtId="164" fontId="0" fillId="0" borderId="0" xfId="2" applyNumberFormat="1" applyFont="1"/>
    <xf numFmtId="0" fontId="19" fillId="0" borderId="0" xfId="3" applyFont="1"/>
    <xf numFmtId="0" fontId="20" fillId="3" borderId="0" xfId="0" applyFont="1" applyFill="1"/>
    <xf numFmtId="0" fontId="14" fillId="3" borderId="0" xfId="0" applyFont="1" applyFill="1"/>
    <xf numFmtId="164" fontId="14" fillId="3" borderId="0" xfId="2" applyNumberFormat="1" applyFont="1" applyFill="1"/>
    <xf numFmtId="164" fontId="16" fillId="3" borderId="0" xfId="2" applyNumberFormat="1" applyFont="1" applyFill="1"/>
    <xf numFmtId="164" fontId="17" fillId="3" borderId="0" xfId="2" applyNumberFormat="1" applyFont="1" applyFill="1"/>
    <xf numFmtId="165" fontId="0" fillId="0" borderId="0" xfId="0" applyNumberFormat="1"/>
    <xf numFmtId="165" fontId="14" fillId="3" borderId="0" xfId="0" applyNumberFormat="1" applyFont="1" applyFill="1"/>
    <xf numFmtId="165" fontId="16" fillId="3" borderId="0" xfId="0" applyNumberFormat="1" applyFont="1" applyFill="1"/>
    <xf numFmtId="165" fontId="17" fillId="3" borderId="0" xfId="0" applyNumberFormat="1" applyFont="1" applyFill="1"/>
    <xf numFmtId="0" fontId="8" fillId="3" borderId="2" xfId="0" applyFont="1" applyFill="1" applyBorder="1"/>
    <xf numFmtId="38" fontId="14" fillId="3" borderId="2" xfId="0" applyNumberFormat="1" applyFont="1" applyFill="1" applyBorder="1"/>
    <xf numFmtId="38" fontId="16" fillId="3" borderId="2" xfId="0" applyNumberFormat="1" applyFont="1" applyFill="1" applyBorder="1"/>
    <xf numFmtId="38" fontId="17" fillId="3" borderId="2" xfId="0" applyNumberFormat="1" applyFont="1" applyFill="1" applyBorder="1"/>
    <xf numFmtId="164" fontId="14" fillId="3" borderId="0" xfId="2" applyNumberFormat="1" applyFont="1" applyFill="1" applyBorder="1"/>
    <xf numFmtId="164" fontId="16" fillId="3" borderId="0" xfId="2" applyNumberFormat="1" applyFont="1" applyFill="1" applyBorder="1"/>
    <xf numFmtId="164" fontId="17" fillId="3" borderId="3" xfId="2" applyNumberFormat="1" applyFont="1" applyFill="1" applyBorder="1"/>
    <xf numFmtId="164" fontId="17" fillId="3" borderId="0" xfId="2" applyNumberFormat="1" applyFont="1" applyFill="1" applyBorder="1"/>
    <xf numFmtId="0" fontId="12" fillId="5" borderId="1" xfId="0" applyFont="1" applyFill="1" applyBorder="1"/>
    <xf numFmtId="0" fontId="14" fillId="5" borderId="1" xfId="0" applyFont="1" applyFill="1" applyBorder="1"/>
    <xf numFmtId="0" fontId="16" fillId="5" borderId="1" xfId="0" applyFont="1" applyFill="1" applyBorder="1"/>
    <xf numFmtId="0" fontId="17" fillId="5" borderId="1" xfId="0" applyFont="1" applyFill="1" applyBorder="1"/>
    <xf numFmtId="0" fontId="17" fillId="5" borderId="0" xfId="0" applyFont="1" applyFill="1"/>
    <xf numFmtId="0" fontId="8" fillId="3" borderId="4" xfId="0" applyFont="1" applyFill="1" applyBorder="1"/>
    <xf numFmtId="0" fontId="14" fillId="3" borderId="4" xfId="0" applyFont="1" applyFill="1" applyBorder="1"/>
    <xf numFmtId="38" fontId="14" fillId="3" borderId="4" xfId="0" applyNumberFormat="1" applyFont="1" applyFill="1" applyBorder="1"/>
    <xf numFmtId="38" fontId="16" fillId="3" borderId="4" xfId="0" applyNumberFormat="1" applyFont="1" applyFill="1" applyBorder="1"/>
    <xf numFmtId="38" fontId="17" fillId="0" borderId="4" xfId="0" applyNumberFormat="1" applyFont="1" applyBorder="1"/>
    <xf numFmtId="38" fontId="17" fillId="3" borderId="4" xfId="0" applyNumberFormat="1" applyFont="1" applyFill="1" applyBorder="1"/>
    <xf numFmtId="0" fontId="14" fillId="3" borderId="2" xfId="0" applyFont="1" applyFill="1" applyBorder="1"/>
    <xf numFmtId="0" fontId="22" fillId="5" borderId="3" xfId="0" applyFont="1" applyFill="1" applyBorder="1"/>
    <xf numFmtId="0" fontId="14" fillId="5" borderId="3" xfId="0" applyFont="1" applyFill="1" applyBorder="1"/>
    <xf numFmtId="0" fontId="16" fillId="5" borderId="3" xfId="0" applyFont="1" applyFill="1" applyBorder="1"/>
    <xf numFmtId="0" fontId="17" fillId="5" borderId="3" xfId="0" applyFont="1" applyFill="1" applyBorder="1"/>
    <xf numFmtId="0" fontId="23" fillId="3" borderId="0" xfId="0" applyFont="1" applyFill="1"/>
    <xf numFmtId="9" fontId="16" fillId="3" borderId="0" xfId="2" applyFont="1" applyFill="1"/>
    <xf numFmtId="0" fontId="24" fillId="0" borderId="0" xfId="0" applyFont="1"/>
    <xf numFmtId="0" fontId="8" fillId="0" borderId="5" xfId="0" applyFont="1" applyBorder="1"/>
    <xf numFmtId="38" fontId="25" fillId="0" borderId="5" xfId="4" quotePrefix="1" applyNumberFormat="1" applyFont="1" applyBorder="1" applyAlignment="1">
      <alignment horizontal="right"/>
    </xf>
    <xf numFmtId="38" fontId="20" fillId="0" borderId="0" xfId="0" applyNumberFormat="1" applyFont="1"/>
    <xf numFmtId="38" fontId="26" fillId="0" borderId="0" xfId="0" applyNumberFormat="1" applyFont="1"/>
    <xf numFmtId="38" fontId="17" fillId="0" borderId="0" xfId="0" applyNumberFormat="1" applyFont="1"/>
    <xf numFmtId="38" fontId="16" fillId="0" borderId="0" xfId="0" applyNumberFormat="1" applyFont="1"/>
    <xf numFmtId="0" fontId="8" fillId="0" borderId="6" xfId="0" applyFont="1" applyBorder="1"/>
    <xf numFmtId="0" fontId="0" fillId="0" borderId="6" xfId="0" applyBorder="1"/>
    <xf numFmtId="38" fontId="0" fillId="0" borderId="6" xfId="0" applyNumberFormat="1" applyBorder="1"/>
    <xf numFmtId="0" fontId="24" fillId="0" borderId="5" xfId="0" applyFont="1" applyBorder="1" applyAlignment="1">
      <alignment horizontal="right"/>
    </xf>
    <xf numFmtId="3" fontId="0" fillId="0" borderId="0" xfId="0" applyNumberFormat="1"/>
    <xf numFmtId="38" fontId="27" fillId="0" borderId="0" xfId="0" applyNumberFormat="1" applyFont="1"/>
    <xf numFmtId="38" fontId="28" fillId="0" borderId="0" xfId="0" applyNumberFormat="1" applyFont="1"/>
    <xf numFmtId="38" fontId="8" fillId="0" borderId="0" xfId="0" applyNumberFormat="1" applyFont="1"/>
    <xf numFmtId="38" fontId="3" fillId="0" borderId="0" xfId="0" applyNumberFormat="1" applyFont="1"/>
    <xf numFmtId="38" fontId="29" fillId="0" borderId="0" xfId="4" applyNumberFormat="1" applyFont="1" applyAlignment="1">
      <alignment horizontal="right"/>
    </xf>
    <xf numFmtId="38" fontId="30" fillId="0" borderId="0" xfId="4" applyNumberFormat="1" applyFont="1" applyAlignment="1">
      <alignment horizontal="right"/>
    </xf>
    <xf numFmtId="38" fontId="30" fillId="0" borderId="0" xfId="4" applyNumberFormat="1" applyFont="1"/>
    <xf numFmtId="38" fontId="31" fillId="0" borderId="0" xfId="4" applyNumberFormat="1" applyFont="1"/>
    <xf numFmtId="38" fontId="32" fillId="0" borderId="0" xfId="4" applyNumberFormat="1" applyFont="1"/>
    <xf numFmtId="166" fontId="16" fillId="0" borderId="0" xfId="0" applyNumberFormat="1" applyFont="1"/>
    <xf numFmtId="166" fontId="17" fillId="0" borderId="0" xfId="0" applyNumberFormat="1" applyFont="1"/>
    <xf numFmtId="164" fontId="16" fillId="0" borderId="0" xfId="2" applyNumberFormat="1" applyFont="1"/>
    <xf numFmtId="38" fontId="31" fillId="0" borderId="0" xfId="4" applyNumberFormat="1" applyFont="1" applyAlignment="1">
      <alignment horizontal="right"/>
    </xf>
    <xf numFmtId="9" fontId="16" fillId="0" borderId="0" xfId="2" applyFont="1"/>
    <xf numFmtId="9" fontId="33" fillId="6" borderId="0" xfId="2" applyFont="1" applyFill="1" applyBorder="1"/>
    <xf numFmtId="9" fontId="16" fillId="6" borderId="0" xfId="2" applyFont="1" applyFill="1"/>
    <xf numFmtId="9" fontId="33" fillId="0" borderId="0" xfId="2" applyFont="1" applyBorder="1"/>
    <xf numFmtId="38" fontId="29" fillId="0" borderId="0" xfId="4" quotePrefix="1" applyNumberFormat="1" applyFont="1" applyAlignment="1">
      <alignment horizontal="right"/>
    </xf>
    <xf numFmtId="38" fontId="30" fillId="0" borderId="0" xfId="4" quotePrefix="1" applyNumberFormat="1" applyFont="1" applyAlignment="1">
      <alignment horizontal="right"/>
    </xf>
    <xf numFmtId="38" fontId="34" fillId="0" borderId="0" xfId="4" applyNumberFormat="1" applyFont="1" applyAlignment="1">
      <alignment horizontal="right"/>
    </xf>
    <xf numFmtId="0" fontId="0" fillId="6" borderId="0" xfId="0" applyFill="1"/>
    <xf numFmtId="167" fontId="0" fillId="0" borderId="6" xfId="0" applyNumberFormat="1" applyBorder="1"/>
    <xf numFmtId="168" fontId="0" fillId="0" borderId="6" xfId="0" applyNumberFormat="1" applyBorder="1"/>
    <xf numFmtId="168" fontId="20" fillId="0" borderId="0" xfId="0" applyNumberFormat="1" applyFont="1"/>
    <xf numFmtId="168" fontId="26" fillId="0" borderId="0" xfId="0" applyNumberFormat="1" applyFont="1"/>
    <xf numFmtId="168" fontId="16" fillId="0" borderId="0" xfId="0" applyNumberFormat="1" applyFont="1"/>
    <xf numFmtId="168" fontId="17" fillId="0" borderId="0" xfId="0" applyNumberFormat="1" applyFont="1"/>
    <xf numFmtId="169" fontId="20" fillId="0" borderId="0" xfId="0" applyNumberFormat="1" applyFont="1"/>
    <xf numFmtId="169" fontId="16" fillId="0" borderId="0" xfId="0" applyNumberFormat="1" applyFont="1"/>
    <xf numFmtId="169" fontId="30" fillId="0" borderId="0" xfId="4" applyNumberFormat="1" applyFont="1" applyAlignment="1">
      <alignment horizontal="right"/>
    </xf>
    <xf numFmtId="169" fontId="30" fillId="0" borderId="0" xfId="4" applyNumberFormat="1" applyFont="1"/>
    <xf numFmtId="169" fontId="32" fillId="0" borderId="0" xfId="4" applyNumberFormat="1" applyFont="1"/>
    <xf numFmtId="0" fontId="20" fillId="0" borderId="0" xfId="0" applyFont="1"/>
    <xf numFmtId="169" fontId="30" fillId="0" borderId="0" xfId="4" quotePrefix="1" applyNumberFormat="1" applyFont="1" applyAlignment="1">
      <alignment horizontal="right"/>
    </xf>
    <xf numFmtId="0" fontId="16" fillId="0" borderId="0" xfId="0" applyFont="1"/>
    <xf numFmtId="169" fontId="30" fillId="0" borderId="7" xfId="4" applyNumberFormat="1" applyFont="1" applyBorder="1" applyAlignment="1">
      <alignment horizontal="right"/>
    </xf>
    <xf numFmtId="169" fontId="32" fillId="0" borderId="7" xfId="4" applyNumberFormat="1" applyFont="1" applyBorder="1" applyAlignment="1">
      <alignment horizontal="right"/>
    </xf>
    <xf numFmtId="164" fontId="0" fillId="0" borderId="6" xfId="2" applyNumberFormat="1" applyFont="1" applyBorder="1"/>
    <xf numFmtId="38" fontId="30" fillId="0" borderId="0" xfId="0" applyNumberFormat="1" applyFont="1"/>
    <xf numFmtId="38" fontId="29" fillId="0" borderId="7" xfId="4" applyNumberFormat="1" applyFont="1" applyBorder="1" applyAlignment="1">
      <alignment horizontal="right"/>
    </xf>
    <xf numFmtId="38" fontId="34" fillId="0" borderId="7" xfId="4" applyNumberFormat="1" applyFont="1" applyBorder="1" applyAlignment="1">
      <alignment horizontal="right"/>
    </xf>
    <xf numFmtId="38" fontId="30" fillId="0" borderId="7" xfId="4" applyNumberFormat="1" applyFont="1" applyBorder="1" applyAlignment="1">
      <alignment horizontal="right"/>
    </xf>
    <xf numFmtId="38" fontId="32" fillId="0" borderId="7" xfId="4" applyNumberFormat="1" applyFont="1" applyBorder="1" applyAlignment="1">
      <alignment horizontal="right"/>
    </xf>
    <xf numFmtId="0" fontId="24" fillId="0" borderId="7" xfId="0" applyFont="1" applyBorder="1"/>
    <xf numFmtId="169" fontId="17" fillId="0" borderId="0" xfId="0" applyNumberFormat="1" applyFont="1"/>
    <xf numFmtId="9" fontId="0" fillId="0" borderId="6" xfId="2" applyFont="1" applyBorder="1"/>
    <xf numFmtId="3" fontId="20" fillId="0" borderId="0" xfId="0" applyNumberFormat="1" applyFont="1"/>
    <xf numFmtId="3" fontId="16" fillId="0" borderId="0" xfId="0" applyNumberFormat="1" applyFont="1"/>
    <xf numFmtId="3" fontId="35" fillId="0" borderId="0" xfId="0" applyNumberFormat="1" applyFont="1"/>
    <xf numFmtId="3" fontId="17" fillId="0" borderId="0" xfId="0" applyNumberFormat="1" applyFont="1"/>
    <xf numFmtId="169" fontId="0" fillId="0" borderId="0" xfId="0" applyNumberFormat="1"/>
    <xf numFmtId="1" fontId="17" fillId="0" borderId="0" xfId="0" applyNumberFormat="1" applyFont="1"/>
    <xf numFmtId="164" fontId="17" fillId="0" borderId="0" xfId="2" applyNumberFormat="1" applyFont="1"/>
    <xf numFmtId="38" fontId="36" fillId="0" borderId="0" xfId="0" applyNumberFormat="1" applyFont="1"/>
    <xf numFmtId="38" fontId="37" fillId="0" borderId="0" xfId="0" applyNumberFormat="1" applyFont="1"/>
    <xf numFmtId="9" fontId="16" fillId="0" borderId="6" xfId="2" applyFont="1" applyBorder="1"/>
    <xf numFmtId="170" fontId="25" fillId="0" borderId="5" xfId="4" quotePrefix="1" applyNumberFormat="1" applyFont="1" applyBorder="1" applyAlignment="1">
      <alignment horizontal="right"/>
    </xf>
    <xf numFmtId="0" fontId="6" fillId="7" borderId="0" xfId="0" applyFont="1" applyFill="1"/>
    <xf numFmtId="0" fontId="0" fillId="7" borderId="0" xfId="0" applyFill="1"/>
    <xf numFmtId="0" fontId="7" fillId="0" borderId="0" xfId="0" applyFont="1"/>
    <xf numFmtId="0" fontId="9" fillId="0" borderId="0" xfId="0" applyFont="1" applyAlignment="1">
      <alignment horizontal="right"/>
    </xf>
    <xf numFmtId="38" fontId="11" fillId="0" borderId="0" xfId="4" quotePrefix="1" applyNumberFormat="1" applyFont="1" applyAlignment="1">
      <alignment horizontal="right"/>
    </xf>
    <xf numFmtId="0" fontId="12" fillId="7" borderId="0" xfId="0" applyFont="1" applyFill="1"/>
    <xf numFmtId="0" fontId="7" fillId="0" borderId="8" xfId="0" applyFont="1" applyBorder="1"/>
    <xf numFmtId="38" fontId="7" fillId="0" borderId="8" xfId="0" applyNumberFormat="1" applyFont="1" applyBorder="1"/>
    <xf numFmtId="0" fontId="0" fillId="0" borderId="8" xfId="0" applyBorder="1"/>
    <xf numFmtId="38" fontId="0" fillId="0" borderId="8" xfId="0" applyNumberFormat="1" applyBorder="1"/>
    <xf numFmtId="38" fontId="7" fillId="0" borderId="0" xfId="0" applyNumberFormat="1" applyFont="1"/>
    <xf numFmtId="38" fontId="7" fillId="0" borderId="9" xfId="0" applyNumberFormat="1" applyFont="1" applyBorder="1"/>
    <xf numFmtId="0" fontId="0" fillId="0" borderId="9" xfId="0" applyBorder="1"/>
    <xf numFmtId="38" fontId="0" fillId="0" borderId="9" xfId="0" applyNumberForma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39" fillId="0" borderId="12" xfId="0" applyFont="1" applyBorder="1"/>
    <xf numFmtId="0" fontId="0" fillId="0" borderId="12" xfId="0" applyBorder="1"/>
    <xf numFmtId="170" fontId="25" fillId="0" borderId="13" xfId="4" quotePrefix="1" applyNumberFormat="1" applyFont="1" applyBorder="1" applyAlignment="1">
      <alignment horizontal="right"/>
    </xf>
    <xf numFmtId="170" fontId="25" fillId="0" borderId="0" xfId="4" quotePrefix="1" applyNumberFormat="1" applyFont="1" applyBorder="1" applyAlignment="1">
      <alignment horizontal="right"/>
    </xf>
    <xf numFmtId="40" fontId="3" fillId="0" borderId="0" xfId="0" applyNumberFormat="1" applyFont="1"/>
    <xf numFmtId="165" fontId="3" fillId="0" borderId="0" xfId="0" applyNumberFormat="1" applyFont="1"/>
    <xf numFmtId="0" fontId="0" fillId="0" borderId="14" xfId="0" applyBorder="1"/>
    <xf numFmtId="40" fontId="0" fillId="0" borderId="0" xfId="0" applyNumberFormat="1"/>
    <xf numFmtId="0" fontId="0" fillId="0" borderId="0" xfId="0" applyAlignment="1">
      <alignment horizontal="right"/>
    </xf>
    <xf numFmtId="0" fontId="40" fillId="5" borderId="0" xfId="0" applyFont="1" applyFill="1"/>
    <xf numFmtId="0" fontId="4" fillId="5" borderId="0" xfId="0" applyFont="1" applyFill="1"/>
    <xf numFmtId="0" fontId="0" fillId="3" borderId="15" xfId="0" applyFill="1" applyBorder="1"/>
    <xf numFmtId="0" fontId="34" fillId="3" borderId="15" xfId="1" quotePrefix="1" applyNumberFormat="1" applyFont="1" applyFill="1" applyBorder="1" applyAlignment="1">
      <alignment horizontal="right"/>
    </xf>
    <xf numFmtId="38" fontId="34" fillId="3" borderId="15" xfId="1" quotePrefix="1" applyNumberFormat="1" applyFont="1" applyFill="1" applyBorder="1" applyAlignment="1">
      <alignment horizontal="right"/>
    </xf>
    <xf numFmtId="38" fontId="34" fillId="0" borderId="0" xfId="1" quotePrefix="1" applyNumberFormat="1" applyFont="1" applyBorder="1" applyAlignment="1">
      <alignment horizontal="right"/>
    </xf>
    <xf numFmtId="38" fontId="27" fillId="3" borderId="0" xfId="0" applyNumberFormat="1" applyFont="1" applyFill="1"/>
    <xf numFmtId="38" fontId="44" fillId="3" borderId="0" xfId="0" applyNumberFormat="1" applyFont="1" applyFill="1"/>
    <xf numFmtId="38" fontId="44" fillId="0" borderId="0" xfId="0" applyNumberFormat="1" applyFont="1"/>
    <xf numFmtId="164" fontId="44" fillId="3" borderId="0" xfId="2" applyNumberFormat="1" applyFont="1" applyFill="1"/>
    <xf numFmtId="0" fontId="8" fillId="8" borderId="0" xfId="0" applyFont="1" applyFill="1"/>
    <xf numFmtId="1" fontId="0" fillId="0" borderId="0" xfId="0" applyNumberFormat="1"/>
    <xf numFmtId="38" fontId="27" fillId="3" borderId="2" xfId="0" applyNumberFormat="1" applyFont="1" applyFill="1" applyBorder="1"/>
    <xf numFmtId="38" fontId="44" fillId="3" borderId="2" xfId="0" applyNumberFormat="1" applyFont="1" applyFill="1" applyBorder="1"/>
    <xf numFmtId="1" fontId="45" fillId="0" borderId="0" xfId="5" applyNumberFormat="1"/>
    <xf numFmtId="164" fontId="27" fillId="3" borderId="0" xfId="2" applyNumberFormat="1" applyFont="1" applyFill="1"/>
    <xf numFmtId="164" fontId="44" fillId="0" borderId="0" xfId="2" applyNumberFormat="1" applyFont="1"/>
    <xf numFmtId="40" fontId="27" fillId="3" borderId="0" xfId="0" applyNumberFormat="1" applyFont="1" applyFill="1"/>
    <xf numFmtId="40" fontId="44" fillId="3" borderId="0" xfId="0" applyNumberFormat="1" applyFont="1" applyFill="1"/>
    <xf numFmtId="40" fontId="44" fillId="0" borderId="0" xfId="0" applyNumberFormat="1" applyFont="1"/>
    <xf numFmtId="0" fontId="46" fillId="3" borderId="16" xfId="0" applyFont="1" applyFill="1" applyBorder="1"/>
    <xf numFmtId="0" fontId="0" fillId="3" borderId="16" xfId="0" applyFill="1" applyBorder="1"/>
    <xf numFmtId="0" fontId="0" fillId="3" borderId="17" xfId="0" applyFill="1" applyBorder="1"/>
    <xf numFmtId="9" fontId="0" fillId="0" borderId="0" xfId="2" applyFont="1"/>
    <xf numFmtId="0" fontId="47" fillId="0" borderId="0" xfId="0" applyFont="1"/>
    <xf numFmtId="164" fontId="0" fillId="3" borderId="16" xfId="2" applyNumberFormat="1" applyFont="1" applyFill="1" applyBorder="1"/>
    <xf numFmtId="0" fontId="34" fillId="0" borderId="18" xfId="1" quotePrefix="1" applyNumberFormat="1" applyFont="1" applyBorder="1" applyAlignment="1">
      <alignment horizontal="right"/>
    </xf>
    <xf numFmtId="0" fontId="34" fillId="0" borderId="0" xfId="1" quotePrefix="1" applyNumberFormat="1" applyFont="1" applyBorder="1" applyAlignment="1">
      <alignment horizontal="right"/>
    </xf>
    <xf numFmtId="38" fontId="49" fillId="0" borderId="0" xfId="0" applyNumberFormat="1" applyFont="1"/>
    <xf numFmtId="38" fontId="34" fillId="0" borderId="0" xfId="1" applyNumberFormat="1" applyFont="1" applyAlignment="1">
      <alignment horizontal="right"/>
    </xf>
    <xf numFmtId="0" fontId="0" fillId="0" borderId="17" xfId="0" applyBorder="1"/>
    <xf numFmtId="164" fontId="0" fillId="0" borderId="17" xfId="2" applyNumberFormat="1" applyFont="1" applyBorder="1"/>
    <xf numFmtId="0" fontId="21" fillId="0" borderId="0" xfId="0" applyFont="1"/>
    <xf numFmtId="38" fontId="0" fillId="0" borderId="17" xfId="0" applyNumberFormat="1" applyBorder="1"/>
    <xf numFmtId="9" fontId="0" fillId="0" borderId="17" xfId="2" applyFont="1" applyBorder="1"/>
    <xf numFmtId="171" fontId="0" fillId="0" borderId="0" xfId="0" applyNumberFormat="1"/>
    <xf numFmtId="0" fontId="27" fillId="0" borderId="0" xfId="0" applyFont="1"/>
    <xf numFmtId="38" fontId="34" fillId="0" borderId="18" xfId="1" quotePrefix="1" applyNumberFormat="1" applyFont="1" applyBorder="1" applyAlignment="1">
      <alignment horizontal="right"/>
    </xf>
    <xf numFmtId="172" fontId="16" fillId="0" borderId="0" xfId="0" applyNumberFormat="1" applyFont="1"/>
    <xf numFmtId="10" fontId="32" fillId="0" borderId="0" xfId="2" applyNumberFormat="1" applyFont="1" applyAlignment="1">
      <alignment horizontal="right"/>
    </xf>
    <xf numFmtId="173" fontId="16" fillId="0" borderId="0" xfId="0" applyNumberFormat="1" applyFont="1"/>
    <xf numFmtId="0" fontId="50" fillId="0" borderId="0" xfId="3" applyNumberFormat="1" applyFont="1"/>
    <xf numFmtId="0" fontId="51" fillId="0" borderId="0" xfId="0" applyFont="1"/>
    <xf numFmtId="38" fontId="32" fillId="0" borderId="0" xfId="1" applyNumberFormat="1" applyFont="1" applyAlignment="1">
      <alignment horizontal="right"/>
    </xf>
    <xf numFmtId="38" fontId="30" fillId="0" borderId="0" xfId="1" applyNumberFormat="1" applyFont="1" applyAlignment="1">
      <alignment horizontal="right"/>
    </xf>
    <xf numFmtId="174" fontId="0" fillId="0" borderId="0" xfId="0" applyNumberFormat="1"/>
    <xf numFmtId="174" fontId="3" fillId="0" borderId="0" xfId="0" applyNumberFormat="1" applyFont="1"/>
    <xf numFmtId="2" fontId="0" fillId="0" borderId="0" xfId="0" applyNumberFormat="1"/>
    <xf numFmtId="0" fontId="2" fillId="5" borderId="0" xfId="0" applyFont="1" applyFill="1"/>
    <xf numFmtId="0" fontId="3" fillId="3" borderId="16" xfId="0" applyFont="1" applyFill="1" applyBorder="1"/>
    <xf numFmtId="0" fontId="3" fillId="0" borderId="0" xfId="0" applyFont="1"/>
    <xf numFmtId="0" fontId="3" fillId="0" borderId="17" xfId="0" applyFont="1" applyBorder="1"/>
    <xf numFmtId="175" fontId="16" fillId="0" borderId="0" xfId="0" applyNumberFormat="1" applyFont="1"/>
    <xf numFmtId="175" fontId="17" fillId="0" borderId="0" xfId="0" applyNumberFormat="1" applyFont="1"/>
    <xf numFmtId="38" fontId="3" fillId="0" borderId="17" xfId="0" applyNumberFormat="1" applyFont="1" applyBorder="1"/>
    <xf numFmtId="0" fontId="44" fillId="0" borderId="0" xfId="0" applyFont="1"/>
    <xf numFmtId="0" fontId="17" fillId="0" borderId="0" xfId="0" applyFont="1"/>
    <xf numFmtId="4" fontId="16" fillId="0" borderId="0" xfId="0" applyNumberFormat="1" applyFont="1"/>
    <xf numFmtId="3" fontId="16" fillId="0" borderId="0" xfId="0" applyNumberFormat="1" applyFont="1" applyAlignment="1">
      <alignment horizontal="right"/>
    </xf>
    <xf numFmtId="174" fontId="16" fillId="0" borderId="17" xfId="0" applyNumberFormat="1" applyFont="1" applyBorder="1"/>
    <xf numFmtId="1" fontId="16" fillId="0" borderId="0" xfId="0" applyNumberFormat="1" applyFont="1"/>
    <xf numFmtId="0" fontId="5" fillId="0" borderId="5" xfId="3" applyBorder="1"/>
  </cellXfs>
  <cellStyles count="6">
    <cellStyle name="Comma" xfId="1" builtinId="3"/>
    <cellStyle name="Comma 9" xfId="4" xr:uid="{7AF95530-FDB6-4DA5-8BC9-55DCBF029CFA}"/>
    <cellStyle name="Hyperlink" xfId="3" builtinId="8"/>
    <cellStyle name="Normal" xfId="0" builtinId="0"/>
    <cellStyle name="Normal 2" xfId="5" xr:uid="{FBF6D30E-9938-48BB-B3E4-39FCE98D15C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'Argentina Soy Complex'!$AF$2:$BJ$2</c:f>
              <c:strCache>
                <c:ptCount val="31"/>
                <c:pt idx="0">
                  <c:v>94/95 </c:v>
                </c:pt>
                <c:pt idx="1">
                  <c:v>95/96 </c:v>
                </c:pt>
                <c:pt idx="2">
                  <c:v>96/97 </c:v>
                </c:pt>
                <c:pt idx="3">
                  <c:v>97/98 </c:v>
                </c:pt>
                <c:pt idx="4">
                  <c:v>98/99 </c:v>
                </c:pt>
                <c:pt idx="5">
                  <c:v>99/00 </c:v>
                </c:pt>
                <c:pt idx="6">
                  <c:v>00/01 </c:v>
                </c:pt>
                <c:pt idx="7">
                  <c:v>01/02 </c:v>
                </c:pt>
                <c:pt idx="8">
                  <c:v>02/03 </c:v>
                </c:pt>
                <c:pt idx="9">
                  <c:v>03/04 </c:v>
                </c:pt>
                <c:pt idx="10">
                  <c:v>04/05 </c:v>
                </c:pt>
                <c:pt idx="11">
                  <c:v>05/06 </c:v>
                </c:pt>
                <c:pt idx="12">
                  <c:v>06/07 </c:v>
                </c:pt>
                <c:pt idx="13">
                  <c:v>07/08 </c:v>
                </c:pt>
                <c:pt idx="14">
                  <c:v>08/09 </c:v>
                </c:pt>
                <c:pt idx="15">
                  <c:v>09/10 </c:v>
                </c:pt>
                <c:pt idx="16">
                  <c:v>10/11 </c:v>
                </c:pt>
                <c:pt idx="17">
                  <c:v>11/12 </c:v>
                </c:pt>
                <c:pt idx="18">
                  <c:v>12/13 </c:v>
                </c:pt>
                <c:pt idx="19">
                  <c:v>13/14 </c:v>
                </c:pt>
                <c:pt idx="20">
                  <c:v>14/15 </c:v>
                </c:pt>
                <c:pt idx="21">
                  <c:v>15/16 </c:v>
                </c:pt>
                <c:pt idx="22">
                  <c:v>16/17 </c:v>
                </c:pt>
                <c:pt idx="23">
                  <c:v>17/18 </c:v>
                </c:pt>
                <c:pt idx="24">
                  <c:v>18/19 </c:v>
                </c:pt>
                <c:pt idx="25">
                  <c:v>19/20</c:v>
                </c:pt>
                <c:pt idx="26">
                  <c:v>20/21</c:v>
                </c:pt>
                <c:pt idx="27">
                  <c:v>21/22</c:v>
                </c:pt>
                <c:pt idx="28">
                  <c:v>22/23</c:v>
                </c:pt>
                <c:pt idx="29">
                  <c:v>23/24</c:v>
                </c:pt>
                <c:pt idx="30">
                  <c:v>24/25</c:v>
                </c:pt>
              </c:strCache>
            </c:strRef>
          </c:cat>
          <c:val>
            <c:numRef>
              <c:f>'Argentina Soy Complex'!$AE$7:$BI$7</c:f>
              <c:numCache>
                <c:formatCode>0.00_);[Red]\(0.00\)</c:formatCode>
                <c:ptCount val="31"/>
                <c:pt idx="0">
                  <c:v>2.0386299315870313</c:v>
                </c:pt>
                <c:pt idx="1">
                  <c:v>2.0446027744449089</c:v>
                </c:pt>
                <c:pt idx="2">
                  <c:v>2.1050780302075873</c:v>
                </c:pt>
                <c:pt idx="3">
                  <c:v>1.7211868409610591</c:v>
                </c:pt>
                <c:pt idx="4">
                  <c:v>2.6936797179226128</c:v>
                </c:pt>
                <c:pt idx="5">
                  <c:v>2.4449877750611249</c:v>
                </c:pt>
                <c:pt idx="6">
                  <c:v>2.3312061367735559</c:v>
                </c:pt>
                <c:pt idx="7">
                  <c:v>2.5691630924762929</c:v>
                </c:pt>
                <c:pt idx="8">
                  <c:v>2.6298972071628262</c:v>
                </c:pt>
                <c:pt idx="9">
                  <c:v>2.8034270545197484</c:v>
                </c:pt>
                <c:pt idx="10">
                  <c:v>2.2074637987285013</c:v>
                </c:pt>
                <c:pt idx="11">
                  <c:v>2.7283165538465748</c:v>
                </c:pt>
                <c:pt idx="12">
                  <c:v>2.6792641234608929</c:v>
                </c:pt>
                <c:pt idx="13">
                  <c:v>2.9711532222261505</c:v>
                </c:pt>
                <c:pt idx="14">
                  <c:v>1.8529964078649985</c:v>
                </c:pt>
                <c:pt idx="15">
                  <c:v>2.9228002176098302</c:v>
                </c:pt>
                <c:pt idx="16">
                  <c:v>2.6074016297214349</c:v>
                </c:pt>
                <c:pt idx="17">
                  <c:v>2.2817421789402963</c:v>
                </c:pt>
                <c:pt idx="18">
                  <c:v>2.5466886508137119</c:v>
                </c:pt>
                <c:pt idx="19">
                  <c:v>2.7735341572554693</c:v>
                </c:pt>
                <c:pt idx="20">
                  <c:v>3.1755131067294577</c:v>
                </c:pt>
                <c:pt idx="21">
                  <c:v>3.0164685378204981</c:v>
                </c:pt>
                <c:pt idx="22">
                  <c:v>3.1710662861178798</c:v>
                </c:pt>
                <c:pt idx="23">
                  <c:v>2.315589414427941</c:v>
                </c:pt>
                <c:pt idx="24">
                  <c:v>3.3339929863180178</c:v>
                </c:pt>
                <c:pt idx="25">
                  <c:v>2.918212049404405</c:v>
                </c:pt>
                <c:pt idx="26">
                  <c:v>2.8067476607658333</c:v>
                </c:pt>
                <c:pt idx="27">
                  <c:v>2.7630295473189124</c:v>
                </c:pt>
                <c:pt idx="28">
                  <c:v>1.7444531990278695</c:v>
                </c:pt>
                <c:pt idx="29">
                  <c:v>2.9450212029215153</c:v>
                </c:pt>
                <c:pt idx="30">
                  <c:v>2.9736507296758377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5A-4DE6-8E70-126F67EE4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376344"/>
        <c:axId val="1054374048"/>
      </c:lineChart>
      <c:catAx>
        <c:axId val="105437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4374048"/>
        <c:crosses val="autoZero"/>
        <c:auto val="1"/>
        <c:lblAlgn val="ctr"/>
        <c:lblOffset val="100"/>
        <c:noMultiLvlLbl val="0"/>
      </c:catAx>
      <c:valAx>
        <c:axId val="105437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4376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Argentina Soybean Crush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'Argentina Soy Complex'!$DA$75</c:f>
              <c:strCache>
                <c:ptCount val="1"/>
                <c:pt idx="0">
                  <c:v>5-Yr Avg.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'Argentina Soy Complex'!$A$76:$A$87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'Argentina Soy Complex'!$DA$76:$DA$87</c:f>
              <c:numCache>
                <c:formatCode>#,##0.0_);[Red]\(#,##0.0\)</c:formatCode>
                <c:ptCount val="12"/>
                <c:pt idx="0">
                  <c:v>74.234526666666667</c:v>
                </c:pt>
                <c:pt idx="1">
                  <c:v>78.585799999999992</c:v>
                </c:pt>
                <c:pt idx="2">
                  <c:v>76.612026666666665</c:v>
                </c:pt>
                <c:pt idx="3">
                  <c:v>78.771303225806463</c:v>
                </c:pt>
                <c:pt idx="4">
                  <c:v>70.663141935483878</c:v>
                </c:pt>
                <c:pt idx="5">
                  <c:v>75.601700000000008</c:v>
                </c:pt>
                <c:pt idx="6">
                  <c:v>76.747261896774191</c:v>
                </c:pt>
                <c:pt idx="7">
                  <c:v>130.36016666666666</c:v>
                </c:pt>
                <c:pt idx="8">
                  <c:v>125.85860462636087</c:v>
                </c:pt>
                <c:pt idx="9">
                  <c:v>140.75301281535013</c:v>
                </c:pt>
                <c:pt idx="10">
                  <c:v>51.920206650246314</c:v>
                </c:pt>
                <c:pt idx="11">
                  <c:v>56.213780645161293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5-4A2A-A35C-AE282D5113EF}"/>
            </c:ext>
          </c:extLst>
        </c:ser>
        <c:ser>
          <c:idx val="2"/>
          <c:order val="2"/>
          <c:tx>
            <c:strRef>
              <c:f>'Argentina Soy Complex'!$DG$75</c:f>
              <c:strCache>
                <c:ptCount val="1"/>
                <c:pt idx="0">
                  <c:v>0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'Argentina Soy Complex'!$A$76:$A$87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'Argentina Soy Complex'!$DG$76:$DG$87</c:f>
              <c:numCache>
                <c:formatCode>#,##0.0_);[Red]\(#,##0.0\)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5-4A2A-A35C-AE282D5113EF}"/>
            </c:ext>
          </c:extLst>
        </c:ser>
        <c:ser>
          <c:idx val="3"/>
          <c:order val="3"/>
          <c:tx>
            <c:strRef>
              <c:f>'Argentina Soy Complex'!$DH$75</c:f>
              <c:strCache>
                <c:ptCount val="1"/>
                <c:pt idx="0">
                  <c:v>0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'Argentina Soy Complex'!$DH$76:$DH$87</c:f>
              <c:numCache>
                <c:formatCode>#,##0.0_);[Red]\(#,##0.0\)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5-4A2A-A35C-AE282D511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609304"/>
        <c:axId val="162860602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'Argentina Soy Complex'!$DF$75</c15:sqref>
                        </c15:formulaRef>
                      </c:ext>
                    </c:extLst>
                    <c:strCache>
                      <c:ptCount val="1"/>
                      <c:pt idx="0">
                        <c:v>0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'Argentina Soy Complex'!$A$76:$A$87</c15:sqref>
                        </c15:formulaRef>
                      </c:ext>
                    </c:extLst>
                    <c:strCache>
                      <c:ptCount val="12"/>
                      <c:pt idx="0">
                        <c:v>April</c:v>
                      </c:pt>
                      <c:pt idx="1">
                        <c:v>May</c:v>
                      </c:pt>
                      <c:pt idx="2">
                        <c:v>June</c:v>
                      </c:pt>
                      <c:pt idx="3">
                        <c:v>July</c:v>
                      </c:pt>
                      <c:pt idx="4">
                        <c:v>August</c:v>
                      </c:pt>
                      <c:pt idx="5">
                        <c:v>September</c:v>
                      </c:pt>
                      <c:pt idx="6">
                        <c:v>October</c:v>
                      </c:pt>
                      <c:pt idx="7">
                        <c:v>November</c:v>
                      </c:pt>
                      <c:pt idx="8">
                        <c:v>December</c:v>
                      </c:pt>
                      <c:pt idx="9">
                        <c:v>January</c:v>
                      </c:pt>
                      <c:pt idx="10">
                        <c:v>February</c:v>
                      </c:pt>
                      <c:pt idx="11">
                        <c:v>March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'Argentina Soy Complex'!$DF$76:$DF$87</c15:sqref>
                        </c15:formulaRef>
                      </c:ext>
                    </c:extLst>
                    <c:numCache>
                      <c:formatCode>#,##0.0_);[Red]\(#,##0.0\)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67.5</c:v>
                      </c:pt>
                      <c:pt idx="6">
                        <c:v>34.489244967741939</c:v>
                      </c:pt>
                      <c:pt idx="7">
                        <c:v>336.56666666666666</c:v>
                      </c:pt>
                      <c:pt idx="8">
                        <c:v>391.79208764793344</c:v>
                      </c:pt>
                      <c:pt idx="9">
                        <c:v>460.01480601223449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885-4A2A-A35C-AE282D5113EF}"/>
                  </c:ext>
                </c:extLst>
              </c15:ser>
            </c15:filteredLineSeries>
          </c:ext>
        </c:extLst>
      </c:lineChart>
      <c:catAx>
        <c:axId val="162860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8606024"/>
        <c:crosses val="autoZero"/>
        <c:auto val="1"/>
        <c:lblAlgn val="ctr"/>
        <c:lblOffset val="100"/>
        <c:noMultiLvlLbl val="0"/>
      </c:catAx>
      <c:valAx>
        <c:axId val="16286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860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Argentina</a:t>
            </a:r>
            <a:r>
              <a:rPr lang="en-US" baseline="0"/>
              <a:t> UpRiver Soybean Oil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'Argentina Soy Complex'!$BG$496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'Argentina Soy Complex'!$BF$497:$BF$508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'Argentina Soy Complex'!$BG$497:$BG$508</c:f>
              <c:numCache>
                <c:formatCode>#,##0_);[Red]\(#,##0\)</c:formatCode>
                <c:ptCount val="12"/>
                <c:pt idx="0">
                  <c:v>1281.842521341169</c:v>
                </c:pt>
                <c:pt idx="1">
                  <c:v>1372.693254712146</c:v>
                </c:pt>
                <c:pt idx="2">
                  <c:v>1219.3146833286946</c:v>
                </c:pt>
                <c:pt idx="3">
                  <c:v>1224.0715153391998</c:v>
                </c:pt>
                <c:pt idx="4">
                  <c:v>1167.5415426495649</c:v>
                </c:pt>
                <c:pt idx="5">
                  <c:v>1129.5548703295999</c:v>
                </c:pt>
                <c:pt idx="6">
                  <c:v>1089.8098767512001</c:v>
                </c:pt>
                <c:pt idx="7">
                  <c:v>1212.877429211276</c:v>
                </c:pt>
                <c:pt idx="8">
                  <c:v>1425.4579526043995</c:v>
                </c:pt>
                <c:pt idx="9">
                  <c:v>1409.6571535052694</c:v>
                </c:pt>
                <c:pt idx="10">
                  <c:v>1323.0244444223395</c:v>
                </c:pt>
                <c:pt idx="11">
                  <c:v>1331.8067720205131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B-450C-8EC4-E8422C24A570}"/>
            </c:ext>
          </c:extLst>
        </c:ser>
        <c:ser>
          <c:idx val="1"/>
          <c:order val="1"/>
          <c:tx>
            <c:v>Fastmarkets Forecast Range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'Argentina Soy Complex'!$BF$497:$BF$508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'Argentina Soy Complex'!$BH$497:$BH$508</c:f>
              <c:numCache>
                <c:formatCode>#,##0_);[Red]\(#,##0\)</c:formatCode>
                <c:ptCount val="12"/>
                <c:pt idx="0">
                  <c:v>1331.4464713411692</c:v>
                </c:pt>
                <c:pt idx="1">
                  <c:v>1444.3434047121459</c:v>
                </c:pt>
                <c:pt idx="2">
                  <c:v>1301.9879333286945</c:v>
                </c:pt>
                <c:pt idx="3">
                  <c:v>1328.7909653391998</c:v>
                </c:pt>
                <c:pt idx="4">
                  <c:v>1244.703242649565</c:v>
                </c:pt>
                <c:pt idx="5">
                  <c:v>1217.7396703295999</c:v>
                </c:pt>
                <c:pt idx="6">
                  <c:v>1166.9715767512</c:v>
                </c:pt>
                <c:pt idx="7">
                  <c:v>1279.016029211276</c:v>
                </c:pt>
                <c:pt idx="8">
                  <c:v>1508.1312026043993</c:v>
                </c:pt>
                <c:pt idx="9">
                  <c:v>1508.8650535052695</c:v>
                </c:pt>
                <c:pt idx="10">
                  <c:v>1378.1399444223393</c:v>
                </c:pt>
                <c:pt idx="11">
                  <c:v>1392.4338220205132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B-450C-8EC4-E8422C24A570}"/>
            </c:ext>
          </c:extLst>
        </c:ser>
        <c:ser>
          <c:idx val="2"/>
          <c:order val="2"/>
          <c:tx>
            <c:strRef>
              <c:f>'Argentina Soy Complex'!$BI$496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'Argentina Soy Complex'!$BF$497:$BF$508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'Argentina Soy Complex'!$BI$497:$BI$508</c:f>
              <c:numCache>
                <c:formatCode>#,##0_);[Red]\(#,##0\)</c:formatCode>
                <c:ptCount val="12"/>
                <c:pt idx="0">
                  <c:v>1232.2385713411691</c:v>
                </c:pt>
                <c:pt idx="1">
                  <c:v>1301.0431047121458</c:v>
                </c:pt>
                <c:pt idx="2">
                  <c:v>1136.6414333286946</c:v>
                </c:pt>
                <c:pt idx="3">
                  <c:v>1119.3520653391997</c:v>
                </c:pt>
                <c:pt idx="4">
                  <c:v>1090.379842649565</c:v>
                </c:pt>
                <c:pt idx="5">
                  <c:v>1041.3700703295999</c:v>
                </c:pt>
                <c:pt idx="6">
                  <c:v>1012.6481767512</c:v>
                </c:pt>
                <c:pt idx="7">
                  <c:v>1146.738829211276</c:v>
                </c:pt>
                <c:pt idx="8">
                  <c:v>1342.7847026043994</c:v>
                </c:pt>
                <c:pt idx="9">
                  <c:v>1310.4492535052693</c:v>
                </c:pt>
                <c:pt idx="10">
                  <c:v>1267.9089444223393</c:v>
                </c:pt>
                <c:pt idx="11">
                  <c:v>1271.1797220205131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B-450C-8EC4-E8422C24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086295"/>
        <c:axId val="392085967"/>
      </c:lineChart>
      <c:catAx>
        <c:axId val="392086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085967"/>
        <c:crosses val="autoZero"/>
        <c:auto val="1"/>
        <c:lblAlgn val="ctr"/>
        <c:lblOffset val="100"/>
        <c:noMultiLvlLbl val="0"/>
      </c:catAx>
      <c:valAx>
        <c:axId val="392085967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($/tonne)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08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'Argentina Soy Complex'!$D$2:$BN$2</c:f>
              <c:strCache>
                <c:ptCount val="63"/>
                <c:pt idx="0">
                  <c:v>66/67 </c:v>
                </c:pt>
                <c:pt idx="1">
                  <c:v>67/68 </c:v>
                </c:pt>
                <c:pt idx="2">
                  <c:v>68/69 </c:v>
                </c:pt>
                <c:pt idx="3">
                  <c:v>69/70 </c:v>
                </c:pt>
                <c:pt idx="4">
                  <c:v>70/71 </c:v>
                </c:pt>
                <c:pt idx="5">
                  <c:v>71/72 </c:v>
                </c:pt>
                <c:pt idx="6">
                  <c:v>72/73 </c:v>
                </c:pt>
                <c:pt idx="7">
                  <c:v>73/74 </c:v>
                </c:pt>
                <c:pt idx="8">
                  <c:v>74/75 </c:v>
                </c:pt>
                <c:pt idx="9">
                  <c:v>75/76 </c:v>
                </c:pt>
                <c:pt idx="10">
                  <c:v>76/77 </c:v>
                </c:pt>
                <c:pt idx="11">
                  <c:v>77/78 </c:v>
                </c:pt>
                <c:pt idx="12">
                  <c:v>78/79 </c:v>
                </c:pt>
                <c:pt idx="13">
                  <c:v>79/80 </c:v>
                </c:pt>
                <c:pt idx="14">
                  <c:v>80/81 </c:v>
                </c:pt>
                <c:pt idx="15">
                  <c:v>81/82 </c:v>
                </c:pt>
                <c:pt idx="16">
                  <c:v>82/83 </c:v>
                </c:pt>
                <c:pt idx="17">
                  <c:v>83/84 </c:v>
                </c:pt>
                <c:pt idx="18">
                  <c:v>84/85 </c:v>
                </c:pt>
                <c:pt idx="19">
                  <c:v>85/86 </c:v>
                </c:pt>
                <c:pt idx="20">
                  <c:v>86/87 </c:v>
                </c:pt>
                <c:pt idx="21">
                  <c:v>87/88 </c:v>
                </c:pt>
                <c:pt idx="22">
                  <c:v>88/89 </c:v>
                </c:pt>
                <c:pt idx="23">
                  <c:v>89/90 </c:v>
                </c:pt>
                <c:pt idx="24">
                  <c:v>90/91 </c:v>
                </c:pt>
                <c:pt idx="25">
                  <c:v>91/92 </c:v>
                </c:pt>
                <c:pt idx="26">
                  <c:v>92/93 </c:v>
                </c:pt>
                <c:pt idx="27">
                  <c:v>93/94 </c:v>
                </c:pt>
                <c:pt idx="28">
                  <c:v>94/95 </c:v>
                </c:pt>
                <c:pt idx="29">
                  <c:v>95/96 </c:v>
                </c:pt>
                <c:pt idx="30">
                  <c:v>96/97 </c:v>
                </c:pt>
                <c:pt idx="31">
                  <c:v>97/98 </c:v>
                </c:pt>
                <c:pt idx="32">
                  <c:v>98/99 </c:v>
                </c:pt>
                <c:pt idx="33">
                  <c:v>99/00 </c:v>
                </c:pt>
                <c:pt idx="34">
                  <c:v>00/01 </c:v>
                </c:pt>
                <c:pt idx="35">
                  <c:v>01/02 </c:v>
                </c:pt>
                <c:pt idx="36">
                  <c:v>02/03 </c:v>
                </c:pt>
                <c:pt idx="37">
                  <c:v>03/04 </c:v>
                </c:pt>
                <c:pt idx="38">
                  <c:v>04/05 </c:v>
                </c:pt>
                <c:pt idx="39">
                  <c:v>05/06 </c:v>
                </c:pt>
                <c:pt idx="40">
                  <c:v>06/07 </c:v>
                </c:pt>
                <c:pt idx="41">
                  <c:v>07/08 </c:v>
                </c:pt>
                <c:pt idx="42">
                  <c:v>08/09 </c:v>
                </c:pt>
                <c:pt idx="43">
                  <c:v>09/10 </c:v>
                </c:pt>
                <c:pt idx="44">
                  <c:v>10/11 </c:v>
                </c:pt>
                <c:pt idx="45">
                  <c:v>11/12 </c:v>
                </c:pt>
                <c:pt idx="46">
                  <c:v>12/13 </c:v>
                </c:pt>
                <c:pt idx="47">
                  <c:v>13/14 </c:v>
                </c:pt>
                <c:pt idx="48">
                  <c:v>14/15 </c:v>
                </c:pt>
                <c:pt idx="49">
                  <c:v>15/16 </c:v>
                </c:pt>
                <c:pt idx="50">
                  <c:v>16/17 </c:v>
                </c:pt>
                <c:pt idx="51">
                  <c:v>17/18 </c:v>
                </c:pt>
                <c:pt idx="52">
                  <c:v>18/19 </c:v>
                </c:pt>
                <c:pt idx="53">
                  <c:v>19/20</c:v>
                </c:pt>
                <c:pt idx="54">
                  <c:v>20/21</c:v>
                </c:pt>
                <c:pt idx="55">
                  <c:v>21/22</c:v>
                </c:pt>
                <c:pt idx="56">
                  <c:v>22/23</c:v>
                </c:pt>
                <c:pt idx="57">
                  <c:v>23/24</c:v>
                </c:pt>
                <c:pt idx="58">
                  <c:v>24/25</c:v>
                </c:pt>
                <c:pt idx="59">
                  <c:v>25/26</c:v>
                </c:pt>
                <c:pt idx="60">
                  <c:v>26/27</c:v>
                </c:pt>
                <c:pt idx="61">
                  <c:v>27/28</c:v>
                </c:pt>
                <c:pt idx="62">
                  <c:v>28/29</c:v>
                </c:pt>
              </c:strCache>
            </c:strRef>
          </c:cat>
          <c:val>
            <c:numRef>
              <c:f>'Argentina Soy Complex'!$C$7:$BM$7</c:f>
              <c:numCache>
                <c:formatCode>0.00_);[Red]\(0.00\)</c:formatCode>
                <c:ptCount val="63"/>
                <c:pt idx="0">
                  <c:v>1.125</c:v>
                </c:pt>
                <c:pt idx="1">
                  <c:v>1.2352941176470589</c:v>
                </c:pt>
                <c:pt idx="2">
                  <c:v>1.1000000000000001</c:v>
                </c:pt>
                <c:pt idx="3">
                  <c:v>1.1428571428571428</c:v>
                </c:pt>
                <c:pt idx="4">
                  <c:v>1.0319599537928379</c:v>
                </c:pt>
                <c:pt idx="5">
                  <c:v>1.6240022020368843</c:v>
                </c:pt>
                <c:pt idx="6">
                  <c:v>1.1470588235294117</c:v>
                </c:pt>
                <c:pt idx="7">
                  <c:v>1.7324243389614529</c:v>
                </c:pt>
                <c:pt idx="8">
                  <c:v>1.4400882848347565</c:v>
                </c:pt>
                <c:pt idx="9">
                  <c:v>1.3625892004270383</c:v>
                </c:pt>
                <c:pt idx="10">
                  <c:v>1.6032295271049597</c:v>
                </c:pt>
                <c:pt idx="11">
                  <c:v>2.1212121212121211</c:v>
                </c:pt>
                <c:pt idx="12">
                  <c:v>2.1739130434782608</c:v>
                </c:pt>
                <c:pt idx="13">
                  <c:v>2.3125</c:v>
                </c:pt>
                <c:pt idx="14">
                  <c:v>1.7241379310344827</c:v>
                </c:pt>
                <c:pt idx="15">
                  <c:v>2.0053191489361701</c:v>
                </c:pt>
                <c:pt idx="16">
                  <c:v>2.0900483481063659</c:v>
                </c:pt>
                <c:pt idx="17">
                  <c:v>1.7538475029596179</c:v>
                </c:pt>
                <c:pt idx="18">
                  <c:v>2.4054982817869415</c:v>
                </c:pt>
                <c:pt idx="19">
                  <c:v>1.9883756500458856</c:v>
                </c:pt>
                <c:pt idx="20">
                  <c:v>2.1411338962605551</c:v>
                </c:pt>
                <c:pt idx="21">
                  <c:v>1.895667751979867</c:v>
                </c:pt>
                <c:pt idx="22">
                  <c:v>2.2637885301381142</c:v>
                </c:pt>
                <c:pt idx="23">
                  <c:v>1.6534181240063592</c:v>
                </c:pt>
                <c:pt idx="24">
                  <c:v>2.1565623992260559</c:v>
                </c:pt>
                <c:pt idx="25">
                  <c:v>2.275025659286567</c:v>
                </c:pt>
                <c:pt idx="26">
                  <c:v>2.2914965317813651</c:v>
                </c:pt>
                <c:pt idx="27">
                  <c:v>2.158986605305679</c:v>
                </c:pt>
                <c:pt idx="28">
                  <c:v>2.0386299315870313</c:v>
                </c:pt>
                <c:pt idx="29">
                  <c:v>2.0446027744449089</c:v>
                </c:pt>
                <c:pt idx="30">
                  <c:v>2.1050780302075873</c:v>
                </c:pt>
                <c:pt idx="31">
                  <c:v>1.7211868409610591</c:v>
                </c:pt>
                <c:pt idx="32">
                  <c:v>2.6936797179226128</c:v>
                </c:pt>
                <c:pt idx="33">
                  <c:v>2.4449877750611249</c:v>
                </c:pt>
                <c:pt idx="34">
                  <c:v>2.3312061367735559</c:v>
                </c:pt>
                <c:pt idx="35">
                  <c:v>2.5691630924762929</c:v>
                </c:pt>
                <c:pt idx="36">
                  <c:v>2.6298972071628262</c:v>
                </c:pt>
                <c:pt idx="37">
                  <c:v>2.8034270545197484</c:v>
                </c:pt>
                <c:pt idx="38">
                  <c:v>2.2074637987285013</c:v>
                </c:pt>
                <c:pt idx="39">
                  <c:v>2.7283165538465748</c:v>
                </c:pt>
                <c:pt idx="40">
                  <c:v>2.6792641234608929</c:v>
                </c:pt>
                <c:pt idx="41">
                  <c:v>2.9711532222261505</c:v>
                </c:pt>
                <c:pt idx="42">
                  <c:v>1.8529964078649985</c:v>
                </c:pt>
                <c:pt idx="43">
                  <c:v>2.9228002176098302</c:v>
                </c:pt>
                <c:pt idx="44">
                  <c:v>2.6074016297214349</c:v>
                </c:pt>
                <c:pt idx="45">
                  <c:v>2.2817421789402963</c:v>
                </c:pt>
                <c:pt idx="46">
                  <c:v>2.5466886508137119</c:v>
                </c:pt>
                <c:pt idx="47">
                  <c:v>2.7735341572554693</c:v>
                </c:pt>
                <c:pt idx="48">
                  <c:v>3.1755131067294577</c:v>
                </c:pt>
                <c:pt idx="49">
                  <c:v>3.0164685378204981</c:v>
                </c:pt>
                <c:pt idx="50">
                  <c:v>3.1710662861178798</c:v>
                </c:pt>
                <c:pt idx="51">
                  <c:v>2.315589414427941</c:v>
                </c:pt>
                <c:pt idx="52">
                  <c:v>3.3339929863180178</c:v>
                </c:pt>
                <c:pt idx="53">
                  <c:v>2.918212049404405</c:v>
                </c:pt>
                <c:pt idx="54">
                  <c:v>2.8067476607658333</c:v>
                </c:pt>
                <c:pt idx="55">
                  <c:v>2.7630295473189124</c:v>
                </c:pt>
                <c:pt idx="56">
                  <c:v>1.7444531990278695</c:v>
                </c:pt>
                <c:pt idx="57">
                  <c:v>2.9450212029215153</c:v>
                </c:pt>
                <c:pt idx="58">
                  <c:v>2.9736507296758377</c:v>
                </c:pt>
                <c:pt idx="59">
                  <c:v>2.9676773328805317</c:v>
                </c:pt>
                <c:pt idx="60">
                  <c:v>3.0028132090872108</c:v>
                </c:pt>
                <c:pt idx="61">
                  <c:v>3.1119268084296139</c:v>
                </c:pt>
                <c:pt idx="62">
                  <c:v>2.972775553527037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6-411F-80BF-B633415D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00479"/>
        <c:axId val="185995887"/>
      </c:lineChart>
      <c:catAx>
        <c:axId val="18600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95887"/>
        <c:crosses val="autoZero"/>
        <c:auto val="1"/>
        <c:lblAlgn val="ctr"/>
        <c:lblOffset val="100"/>
        <c:noMultiLvlLbl val="0"/>
      </c:catAx>
      <c:valAx>
        <c:axId val="18599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00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898381452318458"/>
                  <c:y val="-3.26053514144065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('Inedible Tallow Complex'!$E$16:$R$16,'Inedible Tallow Complex'!$W$16:$Y$16)</c:f>
              <c:numCache>
                <c:formatCode>0.0%</c:formatCode>
                <c:ptCount val="17"/>
              </c:numCache>
            </c:numRef>
          </c:xVal>
          <c:yVal>
            <c:numRef>
              <c:f>('Inedible Tallow Complex'!$E$17:$R$17,'Inedible Tallow Complex'!$W$17:$Y$17)</c:f>
              <c:numCache>
                <c:formatCode>#,##0.00_);[Red]\(#,##0.00\)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D2-4182-BA69-AEB4841C5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42560"/>
        <c:axId val="541044096"/>
      </c:scatterChart>
      <c:valAx>
        <c:axId val="54104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4096"/>
        <c:crosses val="autoZero"/>
        <c:crossBetween val="midCat"/>
      </c:valAx>
      <c:valAx>
        <c:axId val="541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898381452318458"/>
                  <c:y val="-3.26053514144065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('Poultry Fat Complex'!$E$16:$R$16,'Poultry Fat Complex'!$W$16:$Y$16)</c:f>
              <c:numCache>
                <c:formatCode>0.0%</c:formatCode>
                <c:ptCount val="17"/>
              </c:numCache>
            </c:numRef>
          </c:xVal>
          <c:yVal>
            <c:numRef>
              <c:f>('Poultry Fat Complex'!$E$17:$R$17,'Poultry Fat Complex'!$W$17:$Y$17)</c:f>
              <c:numCache>
                <c:formatCode>#,##0.00_);[Red]\(#,##0.00\)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AE-48D3-B117-838EFC76F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42560"/>
        <c:axId val="541044096"/>
      </c:scatterChart>
      <c:valAx>
        <c:axId val="54104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4096"/>
        <c:crosses val="autoZero"/>
        <c:crossBetween val="midCat"/>
      </c:valAx>
      <c:valAx>
        <c:axId val="541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898381452318458"/>
                  <c:y val="-3.26053514144065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('Choice White Grease Complex'!$E$16:$R$16,'Choice White Grease Complex'!$W$16:$Y$16)</c:f>
              <c:numCache>
                <c:formatCode>0.0%</c:formatCode>
                <c:ptCount val="17"/>
                <c:pt idx="0">
                  <c:v>1.8036207340676238</c:v>
                </c:pt>
                <c:pt idx="1">
                  <c:v>1.811030091700591</c:v>
                </c:pt>
                <c:pt idx="2">
                  <c:v>1.6840462587532643</c:v>
                </c:pt>
                <c:pt idx="3">
                  <c:v>1.6014696825804648</c:v>
                </c:pt>
                <c:pt idx="4">
                  <c:v>1788.1410485657661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xVal>
          <c:yVal>
            <c:numRef>
              <c:f>('Choice White Grease Complex'!$E$17:$R$17,'Choice White Grease Complex'!$W$17:$Y$17)</c:f>
              <c:numCache>
                <c:formatCode>#,##0.00_);[Red]\(#,##0.00\)</c:formatCode>
                <c:ptCount val="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13-4797-A583-A51814FF4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042560"/>
        <c:axId val="541044096"/>
      </c:scatterChart>
      <c:valAx>
        <c:axId val="54104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4096"/>
        <c:crosses val="autoZero"/>
        <c:crossBetween val="midCat"/>
      </c:valAx>
      <c:valAx>
        <c:axId val="5410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0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408641</xdr:colOff>
      <xdr:row>7</xdr:row>
      <xdr:rowOff>148290</xdr:rowOff>
    </xdr:from>
    <xdr:to>
      <xdr:col>83</xdr:col>
      <xdr:colOff>160617</xdr:colOff>
      <xdr:row>20</xdr:row>
      <xdr:rowOff>117287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A1ECF-DD0E-4B7B-8EDE-B268649BE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88</xdr:col>
      <xdr:colOff>33337</xdr:colOff>
      <xdr:row>58</xdr:row>
      <xdr:rowOff>161925</xdr:rowOff>
    </xdr:from>
    <xdr:to>
      <xdr:col>95</xdr:col>
      <xdr:colOff>471487</xdr:colOff>
      <xdr:row>71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F7AB6-3A96-4C98-866E-281A25A8F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64</xdr:col>
      <xdr:colOff>609600</xdr:colOff>
      <xdr:row>495</xdr:row>
      <xdr:rowOff>9525</xdr:rowOff>
    </xdr:from>
    <xdr:to>
      <xdr:col>93</xdr:col>
      <xdr:colOff>428625</xdr:colOff>
      <xdr:row>509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2FB8E9-DD69-453D-AC90-BB4D38A26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90</xdr:col>
      <xdr:colOff>228600</xdr:colOff>
      <xdr:row>5</xdr:row>
      <xdr:rowOff>66675</xdr:rowOff>
    </xdr:from>
    <xdr:to>
      <xdr:col>98</xdr:col>
      <xdr:colOff>76200</xdr:colOff>
      <xdr:row>18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536E82-72C8-4B64-B74E-9B96A33E5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168648</xdr:colOff>
      <xdr:row>1</xdr:row>
      <xdr:rowOff>195261</xdr:rowOff>
    </xdr:from>
    <xdr:to>
      <xdr:col>60</xdr:col>
      <xdr:colOff>457759</xdr:colOff>
      <xdr:row>17</xdr:row>
      <xdr:rowOff>199744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27D2D-6ED7-4B33-BB22-F5A3CD088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168648</xdr:colOff>
      <xdr:row>1</xdr:row>
      <xdr:rowOff>195261</xdr:rowOff>
    </xdr:from>
    <xdr:to>
      <xdr:col>60</xdr:col>
      <xdr:colOff>457759</xdr:colOff>
      <xdr:row>17</xdr:row>
      <xdr:rowOff>199744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CA7FB-D608-486F-8F63-8FDFA7F36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168648</xdr:colOff>
      <xdr:row>1</xdr:row>
      <xdr:rowOff>195261</xdr:rowOff>
    </xdr:from>
    <xdr:to>
      <xdr:col>60</xdr:col>
      <xdr:colOff>457759</xdr:colOff>
      <xdr:row>17</xdr:row>
      <xdr:rowOff>199744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1FEC98-F493-46A6-9609-44A99B005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soytrade%20-%20HOBO.xlsx" TargetMode="External"/><Relationship Id="rId1" Type="http://schemas.openxmlformats.org/officeDocument/2006/relationships/externalLinkPath" Target="/Users/torem/Dropbox/FM%20Files/HOBO/Biofuel%20Model/wldsoytrade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soybal%20-%20HOBO.xlsx" TargetMode="External"/><Relationship Id="rId1" Type="http://schemas.openxmlformats.org/officeDocument/2006/relationships/externalLinkPath" Target="/Users/torem/Dropbox/FM%20Files/HOBO/Biofuel%20Model/wldsoybal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soycashprices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vegoilspreads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SM Imports"/>
      <sheetName val="World SM Exports"/>
      <sheetName val="Chart3"/>
      <sheetName val="Chart4"/>
      <sheetName val="China Soybean Imports"/>
      <sheetName val="China Soybean Exports"/>
      <sheetName val="China Soybean Meal Imports"/>
      <sheetName val="China Soybean Meal Exports"/>
      <sheetName val="China Soybean Oil Imports"/>
      <sheetName val="China Soybean Oil Exports"/>
      <sheetName val="Brazil Soybean Imports"/>
      <sheetName val="Brazil Soybean Exports"/>
      <sheetName val="Brazil Soybean Meal Imports"/>
      <sheetName val="Brazil Soybean Meal Exports"/>
      <sheetName val="Brazil Soybean Oil Imports"/>
      <sheetName val="Brazil Soybean Oil Exports"/>
      <sheetName val="Argentina Soybean Imports"/>
      <sheetName val="Argentina Soybean Exports"/>
      <sheetName val="Argentina Soybean Meal Exports"/>
      <sheetName val="Argentina Soybean Oil Exports"/>
      <sheetName val="Paraguay Soybean Imports"/>
      <sheetName val="Paraguay Soybean Exports"/>
      <sheetName val="Paraguay Soybean Meal Exports"/>
      <sheetName val="Paraguay Soybean Oil Exports"/>
      <sheetName val="Uruguay Soybean Imports"/>
      <sheetName val="Uruguay Soybean Exports"/>
      <sheetName val="Uruguay Soybean Meal Imports"/>
      <sheetName val="Uruguay Soybean Meal Exports"/>
      <sheetName val="Uruguay Soybean OIl Imports"/>
      <sheetName val="Uruguay Soybean Oil Exports"/>
      <sheetName val="EU Soybean Exports"/>
      <sheetName val="EU Soybean Imports"/>
      <sheetName val="EU Soybean Meal Imports"/>
      <sheetName val="EU Soybean Meal Exports"/>
      <sheetName val="EU Soybean Oil Imports"/>
      <sheetName val="EU Soybean Oil Exports"/>
      <sheetName val="Canada Soybean Imports"/>
      <sheetName val="Canada Soybean Exports"/>
      <sheetName val="Canada Soybean Meal Imports"/>
      <sheetName val="Canada Soybean Meal Exports"/>
      <sheetName val="Canada Soybean Oil Imports"/>
      <sheetName val="Canada Soybean Oil Exports"/>
      <sheetName val="Ukraine Soybean Imports"/>
      <sheetName val="Ukraine Soybean Exports"/>
      <sheetName val="Ukraine Soybean Meal Imports"/>
      <sheetName val="Ukraine Soybean Meal Exports"/>
      <sheetName val="Ukraine Soybean Oil Imports"/>
      <sheetName val="Ukraine Soybean Oil Exports"/>
      <sheetName val="Russia Soybean Imports"/>
      <sheetName val="Russia Soybean Exports"/>
      <sheetName val="Russia Soybean Meal Imports"/>
      <sheetName val="Russia Soybean Meal Exports"/>
      <sheetName val="Russia Soybean Oil Imports"/>
      <sheetName val="Russia Soybean Oil Exports"/>
      <sheetName val="India Soybean Imports"/>
      <sheetName val="India Soybean Exports"/>
      <sheetName val="India Soybean Meal Imports"/>
      <sheetName val="India Soybean Meal Exports"/>
      <sheetName val="India Soybean Oil Imports"/>
      <sheetName val="India Soybean Oil Exports"/>
      <sheetName val="Japan Soybean Imports"/>
      <sheetName val="Japan Soybean Exports"/>
      <sheetName val="Japan Soybean Meal Imports"/>
      <sheetName val="Japan Soybean Meal Exports"/>
      <sheetName val="Japan Soybean Oil Imports"/>
      <sheetName val="Japan Soybean Oil Exports"/>
      <sheetName val="Mexico Soybean Imports"/>
      <sheetName val="Mexico Soybean Exports"/>
      <sheetName val="Mexico Soybean Meal Imports"/>
      <sheetName val="Mexico Soybean Meal Exports"/>
      <sheetName val="Mexico Soybean Oil Imports"/>
      <sheetName val="Mexico Soybean Oil Exports"/>
      <sheetName val="Template"/>
      <sheetName val="Conversions"/>
      <sheetName val="wldsoytrade - HOBO"/>
    </sheetNames>
    <sheetDataSet>
      <sheetData sheetId="0"/>
      <sheetData sheetId="1"/>
      <sheetData sheetId="2"/>
      <sheetData sheetId="3"/>
      <sheetData sheetId="4">
        <row r="290">
          <cell r="AV290">
            <v>0</v>
          </cell>
        </row>
      </sheetData>
      <sheetData sheetId="5">
        <row r="290">
          <cell r="AT290"/>
        </row>
      </sheetData>
      <sheetData sheetId="6">
        <row r="290">
          <cell r="BE290">
            <v>0.47599999999999998</v>
          </cell>
        </row>
      </sheetData>
      <sheetData sheetId="7">
        <row r="290">
          <cell r="BG290">
            <v>3.8490000000000002</v>
          </cell>
        </row>
      </sheetData>
      <sheetData sheetId="8">
        <row r="290">
          <cell r="BG290">
            <v>97.630097000000006</v>
          </cell>
        </row>
      </sheetData>
      <sheetData sheetId="9">
        <row r="290">
          <cell r="BG290">
            <v>5.1925800000000004</v>
          </cell>
        </row>
      </sheetData>
      <sheetData sheetId="10">
        <row r="290">
          <cell r="AI290">
            <v>3.6</v>
          </cell>
        </row>
      </sheetData>
      <sheetData sheetId="11">
        <row r="4">
          <cell r="B4">
            <v>4391.0041650000003</v>
          </cell>
        </row>
      </sheetData>
      <sheetData sheetId="12">
        <row r="290">
          <cell r="AI290">
            <v>0</v>
          </cell>
        </row>
      </sheetData>
      <sheetData sheetId="13">
        <row r="4">
          <cell r="AE4">
            <v>10283.110839000001</v>
          </cell>
        </row>
      </sheetData>
      <sheetData sheetId="14">
        <row r="290">
          <cell r="AI290">
            <v>5.9772889999999999</v>
          </cell>
        </row>
      </sheetData>
      <sheetData sheetId="15">
        <row r="4">
          <cell r="B4">
            <v>213.30837700000001</v>
          </cell>
        </row>
      </sheetData>
      <sheetData sheetId="16">
        <row r="290">
          <cell r="H290"/>
          <cell r="BW290">
            <v>0.21</v>
          </cell>
          <cell r="BX290">
            <v>4.0000000000000001E-3</v>
          </cell>
          <cell r="BY290">
            <v>4.4999999999999998E-2</v>
          </cell>
          <cell r="BZ290">
            <v>22.645</v>
          </cell>
          <cell r="CA290">
            <v>20.515000000000001</v>
          </cell>
          <cell r="CB290">
            <v>48.929000000000002</v>
          </cell>
          <cell r="CC290">
            <v>62.216000000000001</v>
          </cell>
          <cell r="CD290">
            <v>90.411000000000001</v>
          </cell>
          <cell r="CE290">
            <v>48.707999999999998</v>
          </cell>
          <cell r="CF290">
            <v>21.36</v>
          </cell>
          <cell r="CG290">
            <v>225.47300000000001</v>
          </cell>
          <cell r="CH290">
            <v>239.416</v>
          </cell>
          <cell r="CI290">
            <v>164.89500000000001</v>
          </cell>
          <cell r="CJ290">
            <v>2.6120000000000001</v>
          </cell>
          <cell r="CK290">
            <v>49.945</v>
          </cell>
          <cell r="CL290">
            <v>113.871</v>
          </cell>
          <cell r="CM290">
            <v>67.944999999999993</v>
          </cell>
          <cell r="CN290">
            <v>22.274999999999999</v>
          </cell>
          <cell r="CO290">
            <v>16.02</v>
          </cell>
          <cell r="CP290">
            <v>24.123000000000001</v>
          </cell>
          <cell r="CQ290">
            <v>0.193</v>
          </cell>
          <cell r="CR290">
            <v>6.6000000000000003E-2</v>
          </cell>
          <cell r="CS290">
            <v>0.42699999999999999</v>
          </cell>
          <cell r="CT290">
            <v>0.55600000000000005</v>
          </cell>
          <cell r="CU290">
            <v>0.03</v>
          </cell>
          <cell r="CV290">
            <v>0</v>
          </cell>
          <cell r="CW290">
            <v>43.238</v>
          </cell>
          <cell r="CX290">
            <v>108.86</v>
          </cell>
          <cell r="CY290">
            <v>38.049999999999997</v>
          </cell>
          <cell r="CZ290">
            <v>2.1000000000000001E-2</v>
          </cell>
          <cell r="DA290">
            <v>8.81</v>
          </cell>
          <cell r="DB290">
            <v>49.625999999999998</v>
          </cell>
          <cell r="DC290">
            <v>24.975999999999999</v>
          </cell>
          <cell r="DD290">
            <v>9.5280000000000005</v>
          </cell>
          <cell r="DE290">
            <v>0.26400000000000001</v>
          </cell>
          <cell r="DF290">
            <v>10.702999999999999</v>
          </cell>
          <cell r="DG290">
            <v>0.26500000000000001</v>
          </cell>
          <cell r="DH290">
            <v>5.0000000000000001E-3</v>
          </cell>
          <cell r="DI290">
            <v>0</v>
          </cell>
          <cell r="DJ290">
            <v>41.206000000000003</v>
          </cell>
          <cell r="DK290">
            <v>53.533999999999999</v>
          </cell>
          <cell r="DL290">
            <v>91.721999999999994</v>
          </cell>
          <cell r="DM290">
            <v>0</v>
          </cell>
          <cell r="DN290">
            <v>0</v>
          </cell>
          <cell r="DO290">
            <v>10.471</v>
          </cell>
          <cell r="DP290">
            <v>5.069</v>
          </cell>
          <cell r="DQ290">
            <v>0.317</v>
          </cell>
          <cell r="DR290">
            <v>35.715000000000003</v>
          </cell>
          <cell r="DS290">
            <v>45.529000000000003</v>
          </cell>
          <cell r="DT290">
            <v>2.0219999999999998</v>
          </cell>
          <cell r="DU290">
            <v>15.585000000000001</v>
          </cell>
          <cell r="DV290">
            <v>69.054000000000002</v>
          </cell>
          <cell r="DW290">
            <v>11.252000000000001</v>
          </cell>
          <cell r="DX290">
            <v>20.989000000000001</v>
          </cell>
          <cell r="DY290">
            <v>43.246000000000002</v>
          </cell>
          <cell r="DZ290">
            <v>51.145000000000003</v>
          </cell>
          <cell r="EA290">
            <v>20.215</v>
          </cell>
          <cell r="EB290">
            <v>47.706000000000003</v>
          </cell>
          <cell r="EC290">
            <v>1.7849999999999999</v>
          </cell>
          <cell r="ED290">
            <v>6.6000000000000003E-2</v>
          </cell>
          <cell r="EE290">
            <v>0</v>
          </cell>
          <cell r="EF290">
            <v>1.1000000000000001</v>
          </cell>
          <cell r="EG290">
            <v>24.42</v>
          </cell>
          <cell r="EH290">
            <v>43.506999999999998</v>
          </cell>
          <cell r="EI290">
            <v>46.04</v>
          </cell>
          <cell r="EJ290">
            <v>15.263</v>
          </cell>
          <cell r="EK290">
            <v>43.543999999999997</v>
          </cell>
          <cell r="EL290">
            <v>1.1399999999999999</v>
          </cell>
          <cell r="EM290">
            <v>26.728000000000002</v>
          </cell>
          <cell r="EN290">
            <v>30.893999999999998</v>
          </cell>
          <cell r="EO290">
            <v>0.58699999999999997</v>
          </cell>
          <cell r="EP290">
            <v>27.45</v>
          </cell>
          <cell r="EQ290">
            <v>2.1056520000000001</v>
          </cell>
          <cell r="ER290">
            <v>3.9999999999999998E-6</v>
          </cell>
          <cell r="ES290">
            <v>59.326120000000003</v>
          </cell>
          <cell r="ET290">
            <v>62.837148999999997</v>
          </cell>
          <cell r="EU290">
            <v>35.658839999999998</v>
          </cell>
          <cell r="EV290">
            <v>48.408138999999998</v>
          </cell>
          <cell r="EW290">
            <v>42.921588</v>
          </cell>
          <cell r="EX290">
            <v>30.319662000000001</v>
          </cell>
          <cell r="EY290">
            <v>42.048687000000001</v>
          </cell>
          <cell r="EZ290">
            <v>1.1313040000000001</v>
          </cell>
          <cell r="FA290">
            <v>4.3035129999999997</v>
          </cell>
          <cell r="FB290">
            <v>9.0160789999999995</v>
          </cell>
          <cell r="FC290">
            <v>5.082192</v>
          </cell>
          <cell r="FD290">
            <v>40.403649999999999</v>
          </cell>
          <cell r="FE290">
            <v>55.094114000000005</v>
          </cell>
          <cell r="FF290">
            <v>59.112068000000008</v>
          </cell>
          <cell r="FG290">
            <v>52.480677999999997</v>
          </cell>
          <cell r="FH290">
            <v>59.658033000000003</v>
          </cell>
          <cell r="FI290">
            <v>62.725434999999997</v>
          </cell>
          <cell r="FJ290">
            <v>120.027209</v>
          </cell>
          <cell r="FK290">
            <v>68.022544999999994</v>
          </cell>
          <cell r="FL290">
            <v>10.257974000000001</v>
          </cell>
          <cell r="FM290">
            <v>22.876134999999998</v>
          </cell>
          <cell r="FN290">
            <v>3.6978800000000001</v>
          </cell>
          <cell r="FO290">
            <v>31.140307</v>
          </cell>
          <cell r="FP290">
            <v>122.42149200000001</v>
          </cell>
          <cell r="FQ290">
            <v>106.43180500000001</v>
          </cell>
          <cell r="FR290">
            <v>112.32764</v>
          </cell>
          <cell r="FS290">
            <v>43.833978999999999</v>
          </cell>
          <cell r="FT290">
            <v>71.978895000000009</v>
          </cell>
          <cell r="FU290">
            <v>81.235438000000016</v>
          </cell>
          <cell r="FV290">
            <v>26.210976000000002</v>
          </cell>
          <cell r="FW290">
            <v>59.554000000000002</v>
          </cell>
          <cell r="FX290">
            <v>33.579000000000001</v>
          </cell>
          <cell r="FY290">
            <v>31.550999999999998</v>
          </cell>
          <cell r="FZ290">
            <v>27.468</v>
          </cell>
          <cell r="GA290">
            <v>11.388999999999999</v>
          </cell>
          <cell r="GB290">
            <v>137.19</v>
          </cell>
          <cell r="GC290">
            <v>72.465000000000003</v>
          </cell>
          <cell r="GD290">
            <v>13.835000000000001</v>
          </cell>
          <cell r="GE290">
            <v>36.698</v>
          </cell>
          <cell r="GF290">
            <v>60.918999999999997</v>
          </cell>
          <cell r="GG290">
            <v>55.802999999999997</v>
          </cell>
          <cell r="GH290">
            <v>56.078000000000003</v>
          </cell>
          <cell r="GI290">
            <v>47.383000000000003</v>
          </cell>
          <cell r="GJ290">
            <v>94.775999999999996</v>
          </cell>
          <cell r="GK290">
            <v>63.128</v>
          </cell>
          <cell r="GL290">
            <v>62.776000000000003</v>
          </cell>
          <cell r="GM290">
            <v>121.16800000000001</v>
          </cell>
          <cell r="GN290">
            <v>180.35599999999999</v>
          </cell>
          <cell r="GO290">
            <v>219.63300000000001</v>
          </cell>
          <cell r="GP290">
            <v>232.005</v>
          </cell>
          <cell r="GQ290">
            <v>231.31700000000001</v>
          </cell>
          <cell r="GR290">
            <v>203.99199999999999</v>
          </cell>
          <cell r="GS290">
            <v>204.09399999999999</v>
          </cell>
          <cell r="GT290">
            <v>228.29900000000001</v>
          </cell>
          <cell r="GU290">
            <v>144.72900000000001</v>
          </cell>
          <cell r="GV290">
            <v>78.317999999999998</v>
          </cell>
          <cell r="GW290">
            <v>228.32900000000001</v>
          </cell>
          <cell r="GX290">
            <v>173.15</v>
          </cell>
          <cell r="GY290">
            <v>203.61199999999999</v>
          </cell>
          <cell r="GZ290">
            <v>178.828</v>
          </cell>
          <cell r="HA290">
            <v>229.08500000000001</v>
          </cell>
          <cell r="HB290">
            <v>359.91800000000001</v>
          </cell>
          <cell r="HC290">
            <v>294.87900000000002</v>
          </cell>
          <cell r="HD290">
            <v>344.471</v>
          </cell>
          <cell r="HE290">
            <v>484.43799999999999</v>
          </cell>
          <cell r="HF290">
            <v>210.15199999999999</v>
          </cell>
          <cell r="HG290">
            <v>169.11199999999999</v>
          </cell>
          <cell r="HH290">
            <v>186.404</v>
          </cell>
          <cell r="HI290">
            <v>109.601</v>
          </cell>
          <cell r="HJ290">
            <v>121.27</v>
          </cell>
          <cell r="HL290">
            <v>279.57499999999999</v>
          </cell>
          <cell r="HM290">
            <v>359.08199999999999</v>
          </cell>
          <cell r="HN290">
            <v>141.65</v>
          </cell>
          <cell r="HO290">
            <v>6.0629999999999997</v>
          </cell>
          <cell r="HP290">
            <v>8.375</v>
          </cell>
          <cell r="HQ290">
            <v>0</v>
          </cell>
          <cell r="HR290">
            <v>0</v>
          </cell>
          <cell r="HS290">
            <v>2E-3</v>
          </cell>
          <cell r="HT290">
            <v>8.0000000000000002E-3</v>
          </cell>
          <cell r="HU290">
            <v>0.16900000000000001</v>
          </cell>
          <cell r="HV290">
            <v>0.42099999999999999</v>
          </cell>
          <cell r="HW290">
            <v>1.7999999999999999E-2</v>
          </cell>
          <cell r="HX290">
            <v>5.0000000000000001E-3</v>
          </cell>
          <cell r="HY290">
            <v>0</v>
          </cell>
          <cell r="HZ290">
            <v>0</v>
          </cell>
          <cell r="IA290">
            <v>0</v>
          </cell>
          <cell r="IB290">
            <v>0</v>
          </cell>
          <cell r="IC290">
            <v>0</v>
          </cell>
          <cell r="ID290">
            <v>0</v>
          </cell>
          <cell r="IE290">
            <v>0</v>
          </cell>
          <cell r="IF290">
            <v>0.01</v>
          </cell>
          <cell r="IG290">
            <v>7.6999999999999999E-2</v>
          </cell>
          <cell r="IH290">
            <v>0.08</v>
          </cell>
          <cell r="II290">
            <v>3.3000000000000002E-2</v>
          </cell>
          <cell r="IJ290">
            <v>0</v>
          </cell>
          <cell r="IK290">
            <v>0</v>
          </cell>
          <cell r="IL290">
            <v>0</v>
          </cell>
          <cell r="IM290">
            <v>0</v>
          </cell>
          <cell r="IN290">
            <v>3.9929999999999999</v>
          </cell>
          <cell r="IO290">
            <v>1E-3</v>
          </cell>
          <cell r="IP290">
            <v>5.266</v>
          </cell>
          <cell r="IQ290">
            <v>3.2770000000000001</v>
          </cell>
          <cell r="IR290">
            <v>6.0000000000000001E-3</v>
          </cell>
          <cell r="IS290">
            <v>0.23699999999999999</v>
          </cell>
          <cell r="IT290">
            <v>4.8000000000000001E-2</v>
          </cell>
          <cell r="IU290">
            <v>5.8999999999999997E-2</v>
          </cell>
          <cell r="IV290">
            <v>0</v>
          </cell>
          <cell r="IW290">
            <v>0</v>
          </cell>
          <cell r="IX290">
            <v>0</v>
          </cell>
          <cell r="IY290">
            <v>0</v>
          </cell>
          <cell r="IZ290">
            <v>0</v>
          </cell>
          <cell r="JA290">
            <v>2E-3</v>
          </cell>
          <cell r="JC290">
            <v>1E-3</v>
          </cell>
          <cell r="JD290">
            <v>0.01</v>
          </cell>
          <cell r="JE290">
            <v>0.81699999999999995</v>
          </cell>
          <cell r="JF290">
            <v>0.54</v>
          </cell>
          <cell r="JG290">
            <v>0.17299999999999999</v>
          </cell>
          <cell r="JH290">
            <v>9.4E-2</v>
          </cell>
          <cell r="JI290">
            <v>0.41399999999999998</v>
          </cell>
          <cell r="JJ290">
            <v>0.114</v>
          </cell>
          <cell r="JK290">
            <v>9.6000000000000002E-2</v>
          </cell>
          <cell r="JL290">
            <v>0</v>
          </cell>
          <cell r="JM290">
            <v>7.0000000000000001E-3</v>
          </cell>
          <cell r="JN290">
            <v>0</v>
          </cell>
          <cell r="JO290">
            <v>0</v>
          </cell>
          <cell r="JP290">
            <v>0.24299999999999999</v>
          </cell>
          <cell r="JQ290">
            <v>0.186</v>
          </cell>
          <cell r="JR290">
            <v>0.28799999999999998</v>
          </cell>
          <cell r="JS290">
            <v>0.76</v>
          </cell>
          <cell r="JT290">
            <v>0</v>
          </cell>
          <cell r="JU290">
            <v>0</v>
          </cell>
          <cell r="JV290">
            <v>0</v>
          </cell>
          <cell r="JW290">
            <v>0</v>
          </cell>
          <cell r="JX290">
            <v>0</v>
          </cell>
          <cell r="JY290">
            <v>0</v>
          </cell>
          <cell r="JZ290">
            <v>0</v>
          </cell>
          <cell r="KA290">
            <v>2E-3</v>
          </cell>
          <cell r="KB290">
            <v>0.49199999999999999</v>
          </cell>
          <cell r="KC290">
            <v>0.76800000000000002</v>
          </cell>
          <cell r="KD290">
            <v>0.20399999999999999</v>
          </cell>
          <cell r="KE290">
            <v>5.5E-2</v>
          </cell>
          <cell r="KF290">
            <v>0.14399999999999999</v>
          </cell>
          <cell r="KG290">
            <v>0</v>
          </cell>
          <cell r="KH290">
            <v>0</v>
          </cell>
          <cell r="KI290">
            <v>0</v>
          </cell>
          <cell r="KJ290">
            <v>0</v>
          </cell>
          <cell r="KK290">
            <v>0</v>
          </cell>
          <cell r="KL290">
            <v>0</v>
          </cell>
          <cell r="KM290">
            <v>0</v>
          </cell>
          <cell r="KN290">
            <v>0.127</v>
          </cell>
          <cell r="KO290">
            <v>0.107</v>
          </cell>
          <cell r="KP290">
            <v>0.13300000000000001</v>
          </cell>
          <cell r="KQ290">
            <v>1E-3</v>
          </cell>
          <cell r="KR290">
            <v>25.984999999999999</v>
          </cell>
          <cell r="KS290">
            <v>114.167</v>
          </cell>
          <cell r="KT290">
            <v>136.13</v>
          </cell>
          <cell r="KU290">
            <v>129.85</v>
          </cell>
          <cell r="KV290">
            <v>77.88</v>
          </cell>
          <cell r="KW290">
            <v>82.613</v>
          </cell>
          <cell r="KX290">
            <v>46.921999999999997</v>
          </cell>
          <cell r="KY290">
            <v>61.942</v>
          </cell>
          <cell r="KZ290">
            <v>6.5629999999999997</v>
          </cell>
          <cell r="LA290">
            <v>108.30500000000001</v>
          </cell>
          <cell r="LB290">
            <v>63.49</v>
          </cell>
          <cell r="LC290">
            <v>3.9786570000000001</v>
          </cell>
          <cell r="LD290">
            <v>243.70236600000001</v>
          </cell>
          <cell r="LE290">
            <v>342.35738600000002</v>
          </cell>
          <cell r="LF290">
            <v>140.52289300000001</v>
          </cell>
          <cell r="LG290">
            <v>205.75932399999999</v>
          </cell>
          <cell r="LH290">
            <v>173.750992</v>
          </cell>
          <cell r="LI290">
            <v>191.217725</v>
          </cell>
          <cell r="LJ290">
            <v>114.343549</v>
          </cell>
          <cell r="LK290">
            <v>79.761080000000007</v>
          </cell>
          <cell r="LL290">
            <v>198.459214</v>
          </cell>
          <cell r="LM290">
            <v>148.47452799999999</v>
          </cell>
          <cell r="LN290">
            <v>55.505406000000001</v>
          </cell>
          <cell r="LO290">
            <v>1.015045</v>
          </cell>
          <cell r="LP290">
            <v>363.00524200000001</v>
          </cell>
          <cell r="LQ290">
            <v>928.43466699999999</v>
          </cell>
          <cell r="LR290">
            <v>556.13867300000004</v>
          </cell>
          <cell r="LS290">
            <v>578.51467400000001</v>
          </cell>
          <cell r="LT290">
            <v>518.42220699999996</v>
          </cell>
          <cell r="LU290">
            <v>394.88229799999999</v>
          </cell>
          <cell r="LV290">
            <v>630.312274</v>
          </cell>
          <cell r="LW290">
            <v>329.38050500000003</v>
          </cell>
          <cell r="LX290">
            <v>666.05008399999997</v>
          </cell>
          <cell r="LY290">
            <v>709.86276399999997</v>
          </cell>
          <cell r="LZ290">
            <v>767.22882300000003</v>
          </cell>
          <cell r="MA290">
            <v>717.20227999999997</v>
          </cell>
          <cell r="MB290">
            <v>680.25665800000002</v>
          </cell>
          <cell r="MC290">
            <v>707.26856299999997</v>
          </cell>
          <cell r="MD290">
            <v>553.27210200000002</v>
          </cell>
          <cell r="ME290">
            <v>470.59333400000003</v>
          </cell>
          <cell r="MF290">
            <v>414.71498500000001</v>
          </cell>
          <cell r="MG290">
            <v>374.29291799999999</v>
          </cell>
          <cell r="MH290">
            <v>222.92784700000001</v>
          </cell>
          <cell r="MI290">
            <v>124.44255099999999</v>
          </cell>
          <cell r="MJ290">
            <v>78.523696000000001</v>
          </cell>
          <cell r="MK290">
            <v>137.54783399999999</v>
          </cell>
          <cell r="ML290">
            <v>66.638870999999995</v>
          </cell>
          <cell r="MM290">
            <v>6.1102999999999998E-2</v>
          </cell>
          <cell r="MN290">
            <v>587.85111400000005</v>
          </cell>
          <cell r="MO290">
            <v>757.65179999999998</v>
          </cell>
          <cell r="MP290">
            <v>377.54288300000002</v>
          </cell>
          <cell r="MQ290">
            <v>666.10695599999997</v>
          </cell>
          <cell r="MR290">
            <v>588.60709199999997</v>
          </cell>
          <cell r="MS290">
            <v>586.54240800000002</v>
          </cell>
          <cell r="MT290">
            <v>471.43573700000002</v>
          </cell>
          <cell r="MU290">
            <v>563.87442599999997</v>
          </cell>
          <cell r="MV290">
            <v>392.904988</v>
          </cell>
          <cell r="MW290">
            <v>169.30007599999999</v>
          </cell>
          <cell r="MX290">
            <v>155.45875699999999</v>
          </cell>
          <cell r="MY290">
            <v>59.320912999999997</v>
          </cell>
          <cell r="MZ290">
            <v>22.118145999999999</v>
          </cell>
          <cell r="NA290">
            <v>885.87094200000001</v>
          </cell>
          <cell r="NB290">
            <v>719.10179800000003</v>
          </cell>
          <cell r="NC290">
            <v>648.50961099999995</v>
          </cell>
          <cell r="ND290">
            <v>614.32346199999995</v>
          </cell>
          <cell r="NE290">
            <v>501.37463100000002</v>
          </cell>
          <cell r="NF290">
            <v>396.53493700000001</v>
          </cell>
          <cell r="NG290">
            <v>251.06239600000001</v>
          </cell>
          <cell r="NH290">
            <v>262.89150899999999</v>
          </cell>
          <cell r="NI290">
            <v>304.01</v>
          </cell>
          <cell r="NJ290">
            <v>200.90299999999999</v>
          </cell>
          <cell r="NK290">
            <v>0</v>
          </cell>
          <cell r="NL290">
            <v>152.685</v>
          </cell>
          <cell r="NM290">
            <v>386.68599999999998</v>
          </cell>
          <cell r="NN290">
            <v>403.88099999999997</v>
          </cell>
          <cell r="NO290">
            <v>533.70000000000005</v>
          </cell>
          <cell r="NP290">
            <v>638.55200000000002</v>
          </cell>
          <cell r="NQ290">
            <v>381.73599999999999</v>
          </cell>
          <cell r="NR290">
            <v>345.42599999999999</v>
          </cell>
          <cell r="NS290">
            <v>228.398</v>
          </cell>
          <cell r="NT290">
            <v>126.081</v>
          </cell>
          <cell r="NU290">
            <v>60.941000000000003</v>
          </cell>
          <cell r="NV290">
            <v>52.523000000000003</v>
          </cell>
          <cell r="NW290">
            <v>17.632000000000001</v>
          </cell>
          <cell r="NX290">
            <v>395.58800000000002</v>
          </cell>
          <cell r="NY290">
            <v>1387.001</v>
          </cell>
          <cell r="NZ290">
            <v>1249.3</v>
          </cell>
          <cell r="OA290">
            <v>1367.0640000000001</v>
          </cell>
          <cell r="OB290">
            <v>1704.3689999999999</v>
          </cell>
          <cell r="OC290">
            <v>1065.3989999999999</v>
          </cell>
          <cell r="OD290">
            <v>986.048</v>
          </cell>
        </row>
      </sheetData>
      <sheetData sheetId="17">
        <row r="4">
          <cell r="B4">
            <v>1.9411249999999998</v>
          </cell>
        </row>
        <row r="290">
          <cell r="H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>
            <v>259.596</v>
          </cell>
          <cell r="AT290">
            <v>108.694</v>
          </cell>
          <cell r="AU290">
            <v>0</v>
          </cell>
          <cell r="AV290">
            <v>0</v>
          </cell>
          <cell r="AW290">
            <v>1</v>
          </cell>
          <cell r="AX290">
            <v>0</v>
          </cell>
          <cell r="AY290">
            <v>4.6399999999999997</v>
          </cell>
          <cell r="AZ290">
            <v>108.126</v>
          </cell>
          <cell r="BA290">
            <v>990.12900000000002</v>
          </cell>
          <cell r="BB290">
            <v>985.79600000000005</v>
          </cell>
          <cell r="BC290">
            <v>537.15700000000004</v>
          </cell>
          <cell r="BD290">
            <v>235.38399999999999</v>
          </cell>
          <cell r="BE290">
            <v>52.197000000000003</v>
          </cell>
          <cell r="BF290">
            <v>2.1000000000000001E-2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183.51499999999999</v>
          </cell>
          <cell r="BM290">
            <v>937.23599999999999</v>
          </cell>
          <cell r="BN290">
            <v>758.40200000000004</v>
          </cell>
          <cell r="BO290">
            <v>439.48500000000001</v>
          </cell>
          <cell r="BP290">
            <v>260.74099999999999</v>
          </cell>
          <cell r="BQ290">
            <v>1.4670000000000001</v>
          </cell>
          <cell r="BR290">
            <v>6</v>
          </cell>
          <cell r="BS290">
            <v>21.152999999999999</v>
          </cell>
          <cell r="BT290">
            <v>0.26700000000000002</v>
          </cell>
          <cell r="BU290">
            <v>0</v>
          </cell>
          <cell r="BV290">
            <v>14.512</v>
          </cell>
          <cell r="BW290">
            <v>87.784000000000006</v>
          </cell>
          <cell r="BX290">
            <v>189.447</v>
          </cell>
          <cell r="BY290">
            <v>735.76499999999999</v>
          </cell>
          <cell r="BZ290">
            <v>447.52699999999999</v>
          </cell>
          <cell r="CA290">
            <v>254.64400000000001</v>
          </cell>
          <cell r="CB290">
            <v>239.471</v>
          </cell>
          <cell r="CC290">
            <v>106.848</v>
          </cell>
          <cell r="CD290">
            <v>38.241999999999997</v>
          </cell>
          <cell r="CE290">
            <v>4.2999999999999997E-2</v>
          </cell>
          <cell r="CF290">
            <v>7.6999999999999999E-2</v>
          </cell>
          <cell r="CG290">
            <v>5.5E-2</v>
          </cell>
          <cell r="CH290">
            <v>0</v>
          </cell>
          <cell r="CI290">
            <v>7.8339999999999996</v>
          </cell>
          <cell r="CJ290">
            <v>156.94999999999999</v>
          </cell>
          <cell r="CK290">
            <v>164.721</v>
          </cell>
          <cell r="CL290">
            <v>60.500999999999998</v>
          </cell>
          <cell r="CM290">
            <v>43.134999999999998</v>
          </cell>
          <cell r="CN290">
            <v>40.015999999999998</v>
          </cell>
          <cell r="CO290">
            <v>10.705</v>
          </cell>
          <cell r="CP290">
            <v>6.1180000000000003</v>
          </cell>
          <cell r="CQ290">
            <v>0.03</v>
          </cell>
          <cell r="CR290">
            <v>0</v>
          </cell>
          <cell r="CS290">
            <v>0</v>
          </cell>
          <cell r="CT290">
            <v>0.02</v>
          </cell>
          <cell r="CU290">
            <v>7.149</v>
          </cell>
          <cell r="CV290">
            <v>318.45100000000002</v>
          </cell>
          <cell r="CW290">
            <v>646.37800000000004</v>
          </cell>
          <cell r="CX290">
            <v>751.07600000000002</v>
          </cell>
          <cell r="CY290">
            <v>288.27600000000001</v>
          </cell>
          <cell r="CZ290">
            <v>592.94000000000005</v>
          </cell>
          <cell r="DA290">
            <v>210.43299999999999</v>
          </cell>
          <cell r="DB290">
            <v>22.321000000000002</v>
          </cell>
          <cell r="DC290">
            <v>0.27900000000000003</v>
          </cell>
          <cell r="DD290">
            <v>5.9779999999999998</v>
          </cell>
          <cell r="DE290">
            <v>7.3999999999999996E-2</v>
          </cell>
          <cell r="DF290">
            <v>0.38100000000000001</v>
          </cell>
          <cell r="DG290">
            <v>18.064</v>
          </cell>
          <cell r="DH290">
            <v>269.62700000000001</v>
          </cell>
          <cell r="DI290">
            <v>631.86800000000005</v>
          </cell>
          <cell r="DJ290">
            <v>864.65200000000004</v>
          </cell>
          <cell r="DK290">
            <v>680.12900000000002</v>
          </cell>
          <cell r="DL290">
            <v>268.41800000000001</v>
          </cell>
          <cell r="DM290">
            <v>298.88600000000002</v>
          </cell>
          <cell r="DN290">
            <v>21.888999999999999</v>
          </cell>
          <cell r="DO290">
            <v>7.8760000000000003</v>
          </cell>
          <cell r="DP290">
            <v>4.5439999999999996</v>
          </cell>
          <cell r="DQ290">
            <v>17.736000000000001</v>
          </cell>
          <cell r="DR290">
            <v>0</v>
          </cell>
          <cell r="DS290">
            <v>31.655999999999999</v>
          </cell>
          <cell r="DT290">
            <v>938.86699999999996</v>
          </cell>
          <cell r="DU290">
            <v>1426.6510000000001</v>
          </cell>
          <cell r="DV290">
            <v>927.01900000000001</v>
          </cell>
          <cell r="DW290">
            <v>519.54700000000003</v>
          </cell>
          <cell r="DX290">
            <v>205.91300000000001</v>
          </cell>
          <cell r="DY290">
            <v>23.201000000000001</v>
          </cell>
          <cell r="DZ290">
            <v>24.074000000000002</v>
          </cell>
          <cell r="EA290">
            <v>5.27</v>
          </cell>
          <cell r="EB290">
            <v>10.35</v>
          </cell>
          <cell r="EC290">
            <v>0.25</v>
          </cell>
          <cell r="ED290">
            <v>12.051</v>
          </cell>
          <cell r="EE290">
            <v>15.54</v>
          </cell>
          <cell r="EF290">
            <v>1298.6300000000001</v>
          </cell>
          <cell r="EG290">
            <v>1610.12</v>
          </cell>
          <cell r="EH290">
            <v>1455.2429999999999</v>
          </cell>
          <cell r="EI290">
            <v>1358.4490000000001</v>
          </cell>
          <cell r="EJ290">
            <v>912.71199999999999</v>
          </cell>
          <cell r="EK290">
            <v>601.80799999999999</v>
          </cell>
          <cell r="EL290">
            <v>56.4</v>
          </cell>
          <cell r="EM290">
            <v>25.378</v>
          </cell>
          <cell r="EN290">
            <v>18.303000000000001</v>
          </cell>
          <cell r="EO290">
            <v>12.164</v>
          </cell>
          <cell r="EP290">
            <v>8.6959999999999997</v>
          </cell>
          <cell r="EQ290">
            <v>18.936</v>
          </cell>
          <cell r="ER290">
            <v>752.52</v>
          </cell>
          <cell r="ES290">
            <v>1516.576</v>
          </cell>
          <cell r="ET290">
            <v>1027.607</v>
          </cell>
          <cell r="EU290">
            <v>1007.2190000000001</v>
          </cell>
          <cell r="EV290">
            <v>812.21500000000003</v>
          </cell>
          <cell r="EW290">
            <v>703.63499999999999</v>
          </cell>
          <cell r="EX290">
            <v>205.87899999999999</v>
          </cell>
          <cell r="EY290">
            <v>56.75</v>
          </cell>
          <cell r="EZ290">
            <v>41.195</v>
          </cell>
          <cell r="FA290">
            <v>26.712</v>
          </cell>
          <cell r="FB290">
            <v>5.6360000000000001</v>
          </cell>
          <cell r="FC290">
            <v>64.613</v>
          </cell>
          <cell r="FD290">
            <v>1568.127</v>
          </cell>
          <cell r="FE290">
            <v>2134.1869999999999</v>
          </cell>
          <cell r="FF290">
            <v>2061.7359999999999</v>
          </cell>
          <cell r="FG290">
            <v>1921.3140000000001</v>
          </cell>
          <cell r="FH290">
            <v>437.82299999999998</v>
          </cell>
          <cell r="FI290">
            <v>99.551000000000002</v>
          </cell>
          <cell r="FJ290">
            <v>99.549000000000007</v>
          </cell>
          <cell r="FK290">
            <v>253.88800000000001</v>
          </cell>
          <cell r="FL290">
            <v>48.643999999999998</v>
          </cell>
          <cell r="FM290">
            <v>65.995000000000005</v>
          </cell>
          <cell r="FN290">
            <v>64.635000000000005</v>
          </cell>
          <cell r="FO290">
            <v>53.902000000000001</v>
          </cell>
          <cell r="FP290">
            <v>1554.8430000000001</v>
          </cell>
          <cell r="FQ290">
            <v>1440.133</v>
          </cell>
          <cell r="FR290">
            <v>698.90899999999999</v>
          </cell>
          <cell r="FS290">
            <v>869.23599999999999</v>
          </cell>
          <cell r="FT290">
            <v>899.39400000000001</v>
          </cell>
          <cell r="FU290">
            <v>692.11599999999999</v>
          </cell>
          <cell r="FV290">
            <v>126.69799999999999</v>
          </cell>
          <cell r="FW290">
            <v>21.161999999999999</v>
          </cell>
          <cell r="FX290">
            <v>28.744</v>
          </cell>
          <cell r="FY290">
            <v>73.450999999999993</v>
          </cell>
          <cell r="FZ290">
            <v>141.88399999999999</v>
          </cell>
          <cell r="GA290">
            <v>252.327</v>
          </cell>
          <cell r="GB290">
            <v>1756.8309999999999</v>
          </cell>
          <cell r="GC290">
            <v>2266.4</v>
          </cell>
          <cell r="GD290">
            <v>1345.269</v>
          </cell>
          <cell r="GE290">
            <v>1670.672</v>
          </cell>
          <cell r="GF290">
            <v>1117.5029999999999</v>
          </cell>
          <cell r="GG290">
            <v>767.00300000000004</v>
          </cell>
          <cell r="GH290">
            <v>289.27600000000001</v>
          </cell>
          <cell r="GI290">
            <v>105.196</v>
          </cell>
          <cell r="GJ290">
            <v>176.298</v>
          </cell>
          <cell r="GK290">
            <v>664.72</v>
          </cell>
          <cell r="GL290">
            <v>219.434</v>
          </cell>
          <cell r="GM290">
            <v>307.60300000000001</v>
          </cell>
          <cell r="GN290">
            <v>1924.1420000000001</v>
          </cell>
          <cell r="GO290">
            <v>1183.5160000000001</v>
          </cell>
          <cell r="GP290">
            <v>896.97500000000002</v>
          </cell>
          <cell r="GQ290">
            <v>378.95400000000001</v>
          </cell>
          <cell r="GR290">
            <v>540.62300000000005</v>
          </cell>
          <cell r="GS290">
            <v>562.66700000000003</v>
          </cell>
          <cell r="GT290">
            <v>537.49599999999998</v>
          </cell>
          <cell r="GU290">
            <v>472.1</v>
          </cell>
          <cell r="GV290">
            <v>184.63399999999999</v>
          </cell>
          <cell r="GW290">
            <v>21.437999999999999</v>
          </cell>
          <cell r="GX290">
            <v>18.379000000000001</v>
          </cell>
          <cell r="GY290">
            <v>411.39400000000001</v>
          </cell>
          <cell r="GZ290">
            <v>1241.223</v>
          </cell>
          <cell r="HA290">
            <v>1482.5709999999999</v>
          </cell>
          <cell r="HB290">
            <v>1069.9939999999999</v>
          </cell>
          <cell r="HC290">
            <v>1051.826</v>
          </cell>
          <cell r="HD290">
            <v>1454.7429999999999</v>
          </cell>
          <cell r="HE290">
            <v>1614.222</v>
          </cell>
          <cell r="HF290">
            <v>1591.0940000000001</v>
          </cell>
          <cell r="HG290">
            <v>1340.9110000000001</v>
          </cell>
          <cell r="HH290">
            <v>545.45399999999995</v>
          </cell>
          <cell r="HI290">
            <v>484.75700000000001</v>
          </cell>
          <cell r="HJ290">
            <v>196.208</v>
          </cell>
          <cell r="HK290">
            <v>60.317</v>
          </cell>
          <cell r="HL290">
            <v>1449.7270000000001</v>
          </cell>
          <cell r="HM290">
            <v>1588.5350000000001</v>
          </cell>
          <cell r="HO290">
            <v>2090.1579999999999</v>
          </cell>
          <cell r="HP290">
            <v>1812.1469999999999</v>
          </cell>
          <cell r="HQ290">
            <v>1104.6099999999999</v>
          </cell>
          <cell r="HR290">
            <v>875.40899999999999</v>
          </cell>
          <cell r="HS290">
            <v>231.37200000000001</v>
          </cell>
          <cell r="HT290">
            <v>265.64499999999998</v>
          </cell>
          <cell r="HU290">
            <v>511.39100000000002</v>
          </cell>
          <cell r="HV290">
            <v>232.37899999999999</v>
          </cell>
          <cell r="HW290">
            <v>67.084999999999994</v>
          </cell>
          <cell r="HX290">
            <v>1052.886</v>
          </cell>
          <cell r="HY290">
            <v>860.56399999999996</v>
          </cell>
          <cell r="HZ290">
            <v>296.553</v>
          </cell>
          <cell r="IA290">
            <v>406.483</v>
          </cell>
          <cell r="IB290">
            <v>691.67100000000005</v>
          </cell>
          <cell r="IC290">
            <v>98.542000000000002</v>
          </cell>
          <cell r="ID290">
            <v>34.003</v>
          </cell>
          <cell r="IE290">
            <v>38.018999999999998</v>
          </cell>
          <cell r="IF290">
            <v>2.129</v>
          </cell>
          <cell r="IG290">
            <v>2.2890000000000001</v>
          </cell>
          <cell r="IH290">
            <v>1.919</v>
          </cell>
          <cell r="II290">
            <v>1.335</v>
          </cell>
          <cell r="IJ290">
            <v>2288.6779999999999</v>
          </cell>
          <cell r="IK290">
            <v>2762.6959999999999</v>
          </cell>
          <cell r="IL290">
            <v>2529.3530000000001</v>
          </cell>
          <cell r="IM290">
            <v>1795.575</v>
          </cell>
          <cell r="IN290">
            <v>2418.4780000000001</v>
          </cell>
          <cell r="IO290">
            <v>1214.019</v>
          </cell>
          <cell r="IP290">
            <v>399.51900000000001</v>
          </cell>
          <cell r="IQ290">
            <v>184.012</v>
          </cell>
          <cell r="IR290">
            <v>13.599</v>
          </cell>
          <cell r="IS290">
            <v>22.401</v>
          </cell>
          <cell r="IT290">
            <v>63.003</v>
          </cell>
          <cell r="IU290">
            <v>9.4670000000000005</v>
          </cell>
          <cell r="IV290">
            <v>942.14200000000005</v>
          </cell>
          <cell r="IW290">
            <v>1538.2719999999999</v>
          </cell>
          <cell r="IX290">
            <v>1533.124</v>
          </cell>
          <cell r="IY290">
            <v>1304.732</v>
          </cell>
          <cell r="IZ290">
            <v>1415.124</v>
          </cell>
          <cell r="JA290">
            <v>1780.539</v>
          </cell>
          <cell r="JB290">
            <v>1202.354</v>
          </cell>
          <cell r="JC290">
            <v>582.09900000000005</v>
          </cell>
          <cell r="JD290">
            <v>23.349</v>
          </cell>
          <cell r="JE290">
            <v>20.117000000000001</v>
          </cell>
          <cell r="JF290">
            <v>10.669</v>
          </cell>
          <cell r="JG290">
            <v>36.052999999999997</v>
          </cell>
          <cell r="JH290">
            <v>649.69000000000005</v>
          </cell>
          <cell r="JI290">
            <v>1267.817</v>
          </cell>
          <cell r="JJ290">
            <v>901.44</v>
          </cell>
          <cell r="JK290">
            <v>1155.4110000000001</v>
          </cell>
          <cell r="JL290">
            <v>882.78</v>
          </cell>
          <cell r="JM290">
            <v>635.995</v>
          </cell>
          <cell r="JN290">
            <v>480.82</v>
          </cell>
          <cell r="JO290">
            <v>77.295000000000002</v>
          </cell>
          <cell r="JP290">
            <v>38.776000000000003</v>
          </cell>
          <cell r="JQ290">
            <v>0.52300000000000002</v>
          </cell>
          <cell r="JR290">
            <v>2.774</v>
          </cell>
          <cell r="JS290">
            <v>4.3419999999999996</v>
          </cell>
          <cell r="JT290">
            <v>1136.7840000000001</v>
          </cell>
          <cell r="JU290">
            <v>1592.0630000000001</v>
          </cell>
          <cell r="JV290">
            <v>856.69200000000001</v>
          </cell>
          <cell r="JW290">
            <v>827.40899999999999</v>
          </cell>
          <cell r="JX290">
            <v>1633.9870000000001</v>
          </cell>
          <cell r="JY290">
            <v>1086.376</v>
          </cell>
          <cell r="JZ290">
            <v>547.49199999999996</v>
          </cell>
          <cell r="KA290">
            <v>41.978000000000002</v>
          </cell>
          <cell r="KB290">
            <v>46.030999999999999</v>
          </cell>
          <cell r="KC290">
            <v>8.5530000000000008</v>
          </cell>
          <cell r="KD290">
            <v>29.189</v>
          </cell>
          <cell r="KE290">
            <v>10.307</v>
          </cell>
          <cell r="KF290">
            <v>1208.8689999999999</v>
          </cell>
          <cell r="KG290">
            <v>1552.9349999999999</v>
          </cell>
          <cell r="KH290">
            <v>1583.675</v>
          </cell>
          <cell r="KI290">
            <v>1267.165</v>
          </cell>
          <cell r="KJ290">
            <v>1171.5129999999999</v>
          </cell>
          <cell r="KK290">
            <v>374.274</v>
          </cell>
          <cell r="KL290">
            <v>173.483</v>
          </cell>
          <cell r="KM290">
            <v>10.343</v>
          </cell>
          <cell r="KN290">
            <v>26.132999999999999</v>
          </cell>
          <cell r="KO290">
            <v>43.523000000000003</v>
          </cell>
          <cell r="KP290">
            <v>9.0280000000000005</v>
          </cell>
          <cell r="KQ290">
            <v>13.217000000000001</v>
          </cell>
          <cell r="KR290">
            <v>1341.6969999999999</v>
          </cell>
          <cell r="KS290">
            <v>2488.6260000000002</v>
          </cell>
          <cell r="KT290">
            <v>2367.7139999999999</v>
          </cell>
          <cell r="KU290">
            <v>1442.838</v>
          </cell>
          <cell r="KV290">
            <v>1258.0329999999999</v>
          </cell>
          <cell r="KW290">
            <v>1400.3910000000001</v>
          </cell>
          <cell r="KX290">
            <v>928.30799999999999</v>
          </cell>
          <cell r="KY290">
            <v>281.46300000000002</v>
          </cell>
          <cell r="KZ290">
            <v>76.801000000000002</v>
          </cell>
          <cell r="LA290">
            <v>44.65</v>
          </cell>
          <cell r="LB290">
            <v>6.359</v>
          </cell>
          <cell r="LC290">
            <v>33.618000000000002</v>
          </cell>
          <cell r="LD290">
            <v>676.81500000000005</v>
          </cell>
          <cell r="LE290">
            <v>2192.02</v>
          </cell>
          <cell r="LF290">
            <v>2066.65</v>
          </cell>
          <cell r="LG290">
            <v>1327.0619999999999</v>
          </cell>
          <cell r="LH290">
            <v>1309.895</v>
          </cell>
          <cell r="LI290">
            <v>977.83600000000001</v>
          </cell>
          <cell r="LJ290">
            <v>220.626</v>
          </cell>
          <cell r="LK290">
            <v>12.17</v>
          </cell>
          <cell r="LL290">
            <v>79.256339999999994</v>
          </cell>
          <cell r="LM290">
            <v>87.260186000000004</v>
          </cell>
          <cell r="LN290">
            <v>24.371454</v>
          </cell>
          <cell r="LO290">
            <v>72.137867999999997</v>
          </cell>
          <cell r="LP290">
            <v>848.48150699999997</v>
          </cell>
          <cell r="LQ290">
            <v>1681.0799529999999</v>
          </cell>
          <cell r="LR290">
            <v>1462.117978</v>
          </cell>
          <cell r="LS290">
            <v>583.47414500000002</v>
          </cell>
          <cell r="LT290">
            <v>889.50290299999995</v>
          </cell>
          <cell r="LU290">
            <v>1064.1028759999999</v>
          </cell>
          <cell r="LV290">
            <v>485.49547100000001</v>
          </cell>
          <cell r="LW290">
            <v>57.399737999999999</v>
          </cell>
          <cell r="LX290">
            <v>145.48781</v>
          </cell>
          <cell r="LY290">
            <v>9.9619309999999999</v>
          </cell>
          <cell r="LZ290">
            <v>6.4246819999999998</v>
          </cell>
          <cell r="MA290">
            <v>12.529070000000001</v>
          </cell>
          <cell r="MB290">
            <v>195.121298</v>
          </cell>
          <cell r="MC290">
            <v>472.38920000000002</v>
          </cell>
          <cell r="MD290">
            <v>559.398595</v>
          </cell>
          <cell r="ME290">
            <v>45.74615</v>
          </cell>
          <cell r="MF290">
            <v>15.737563</v>
          </cell>
          <cell r="MG290">
            <v>125.74481400000001</v>
          </cell>
          <cell r="MH290">
            <v>449.53497499999997</v>
          </cell>
          <cell r="MI290">
            <v>924.969067</v>
          </cell>
          <cell r="MJ290">
            <v>872.66519000000005</v>
          </cell>
          <cell r="MK290">
            <v>140.580265</v>
          </cell>
          <cell r="ML290">
            <v>2.7432099999999999</v>
          </cell>
          <cell r="MM290">
            <v>36.452646000000001</v>
          </cell>
          <cell r="MN290">
            <v>400.102148</v>
          </cell>
          <cell r="MO290">
            <v>1851.9308129999999</v>
          </cell>
          <cell r="MP290">
            <v>489.760605</v>
          </cell>
          <cell r="MQ290">
            <v>1351.7079160000001</v>
          </cell>
          <cell r="MR290">
            <v>979.99314000000004</v>
          </cell>
          <cell r="MS290">
            <v>1602.7948060000001</v>
          </cell>
          <cell r="MT290">
            <v>1555.83968</v>
          </cell>
          <cell r="MU290">
            <v>1414.4035019999999</v>
          </cell>
          <cell r="MV290">
            <v>414.10007400000001</v>
          </cell>
          <cell r="MW290">
            <v>157.36585099999999</v>
          </cell>
          <cell r="MX290">
            <v>21.359514000000001</v>
          </cell>
          <cell r="MY290">
            <v>15.682897000000001</v>
          </cell>
          <cell r="MZ290">
            <v>698.50406499999997</v>
          </cell>
          <cell r="NA290">
            <v>2173.4312479999999</v>
          </cell>
          <cell r="NB290">
            <v>1328.7512489999999</v>
          </cell>
          <cell r="NC290">
            <v>1061.3613350000001</v>
          </cell>
          <cell r="ND290">
            <v>987.10016099999996</v>
          </cell>
          <cell r="NE290">
            <v>145.02632</v>
          </cell>
          <cell r="NF290">
            <v>164.41816299999999</v>
          </cell>
          <cell r="NG290">
            <v>19.397814</v>
          </cell>
          <cell r="NH290">
            <v>13.706823999999999</v>
          </cell>
          <cell r="NI290">
            <v>11.107239999999999</v>
          </cell>
          <cell r="NJ290">
            <v>11.05199</v>
          </cell>
          <cell r="NK290">
            <v>17.181749</v>
          </cell>
          <cell r="NL290">
            <v>447.73459800000001</v>
          </cell>
          <cell r="NM290">
            <v>882.03121999999996</v>
          </cell>
          <cell r="NN290">
            <v>511.19915600000002</v>
          </cell>
          <cell r="NO290">
            <v>796.64685999999995</v>
          </cell>
          <cell r="NP290">
            <v>1469.8493980000001</v>
          </cell>
          <cell r="NQ290">
            <v>842.32317399999999</v>
          </cell>
          <cell r="NR290">
            <v>358.638667</v>
          </cell>
          <cell r="NS290">
            <v>35.315508000000001</v>
          </cell>
          <cell r="NT290">
            <v>7.6782450000000004</v>
          </cell>
          <cell r="NU290">
            <v>3.3276309999999998</v>
          </cell>
          <cell r="NV290">
            <v>5.7866879999999998</v>
          </cell>
          <cell r="NW290">
            <v>5.7852649999999999</v>
          </cell>
          <cell r="NX290">
            <v>7.8903470000000002</v>
          </cell>
          <cell r="NY290">
            <v>218.74320900000001</v>
          </cell>
          <cell r="NZ290">
            <v>281.99851200000001</v>
          </cell>
          <cell r="OA290">
            <v>430.95469500000002</v>
          </cell>
          <cell r="OB290">
            <v>332.60425400000003</v>
          </cell>
          <cell r="OC290">
            <v>1166.128305</v>
          </cell>
        </row>
      </sheetData>
      <sheetData sheetId="18">
        <row r="4">
          <cell r="AE4">
            <v>2920.67</v>
          </cell>
        </row>
        <row r="290"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>
            <v>607.29899999999998</v>
          </cell>
          <cell r="AS290">
            <v>452.25400000000002</v>
          </cell>
          <cell r="AT290">
            <v>476.87900000000002</v>
          </cell>
          <cell r="AU290">
            <v>619.21799999999996</v>
          </cell>
          <cell r="AV290">
            <v>473.87099999999998</v>
          </cell>
          <cell r="AW290">
            <v>298.38299999999998</v>
          </cell>
          <cell r="AX290">
            <v>225.21199999999999</v>
          </cell>
          <cell r="AY290">
            <v>585.73800000000006</v>
          </cell>
          <cell r="AZ290">
            <v>620.03399999999999</v>
          </cell>
          <cell r="BA290">
            <v>654.38800000000003</v>
          </cell>
          <cell r="BB290">
            <v>772.178</v>
          </cell>
          <cell r="BC290">
            <v>501.50900000000001</v>
          </cell>
          <cell r="BD290">
            <v>657.95</v>
          </cell>
          <cell r="BE290">
            <v>652.76499999999999</v>
          </cell>
          <cell r="BF290">
            <v>580.15</v>
          </cell>
          <cell r="BG290">
            <v>558.39300000000003</v>
          </cell>
          <cell r="BH290">
            <v>567.53700000000003</v>
          </cell>
          <cell r="BI290">
            <v>275.82499999999999</v>
          </cell>
          <cell r="BJ290">
            <v>267.87299999999999</v>
          </cell>
          <cell r="BK290">
            <v>609.18200000000002</v>
          </cell>
          <cell r="BL290">
            <v>601.04899999999998</v>
          </cell>
          <cell r="BM290">
            <v>593.44399999999996</v>
          </cell>
          <cell r="BN290">
            <v>670.00900000000001</v>
          </cell>
          <cell r="BO290">
            <v>565.75900000000001</v>
          </cell>
          <cell r="BP290">
            <v>905.08600000000001</v>
          </cell>
          <cell r="BQ290">
            <v>601.29899999999998</v>
          </cell>
          <cell r="BR290">
            <v>680.24800000000005</v>
          </cell>
          <cell r="BS290">
            <v>838.99900000000002</v>
          </cell>
          <cell r="BT290">
            <v>492.46499999999997</v>
          </cell>
          <cell r="BU290">
            <v>384.86200000000002</v>
          </cell>
          <cell r="BV290">
            <v>273.03500000000003</v>
          </cell>
          <cell r="BW290">
            <v>676.38699999999994</v>
          </cell>
          <cell r="BX290">
            <v>773.30200000000002</v>
          </cell>
          <cell r="BY290">
            <v>777.65499999999997</v>
          </cell>
          <cell r="BZ290">
            <v>913.11400000000003</v>
          </cell>
          <cell r="CA290">
            <v>960.97400000000005</v>
          </cell>
          <cell r="CB290">
            <v>869.68799999999999</v>
          </cell>
          <cell r="CC290">
            <v>839.87900000000002</v>
          </cell>
          <cell r="CD290">
            <v>528.99900000000002</v>
          </cell>
          <cell r="CE290">
            <v>566.94299999999998</v>
          </cell>
          <cell r="CF290">
            <v>392.11099999999999</v>
          </cell>
          <cell r="CG290">
            <v>209.25899999999999</v>
          </cell>
          <cell r="CH290">
            <v>354.67700000000002</v>
          </cell>
          <cell r="CI290">
            <v>931.42</v>
          </cell>
          <cell r="CJ290">
            <v>876.22</v>
          </cell>
          <cell r="CK290">
            <v>1012.922</v>
          </cell>
          <cell r="CL290">
            <v>1018.356</v>
          </cell>
          <cell r="CM290">
            <v>1040.1949999999999</v>
          </cell>
          <cell r="CN290">
            <v>890.51199999999994</v>
          </cell>
          <cell r="CO290">
            <v>416.85599999999999</v>
          </cell>
          <cell r="CP290">
            <v>451.96600000000001</v>
          </cell>
          <cell r="CQ290">
            <v>476.43700000000001</v>
          </cell>
          <cell r="CR290">
            <v>330.78300000000002</v>
          </cell>
          <cell r="CS290">
            <v>232.708</v>
          </cell>
          <cell r="CT290">
            <v>689.93600000000004</v>
          </cell>
          <cell r="CU290">
            <v>1078.758</v>
          </cell>
          <cell r="CV290">
            <v>1250.396</v>
          </cell>
          <cell r="CW290">
            <v>1134.126</v>
          </cell>
          <cell r="CX290">
            <v>1189.952</v>
          </cell>
          <cell r="CY290">
            <v>1092.1959999999999</v>
          </cell>
          <cell r="CZ290">
            <v>1492.002</v>
          </cell>
          <cell r="DA290">
            <v>952.87900000000002</v>
          </cell>
          <cell r="DB290">
            <v>1409.4110000000001</v>
          </cell>
          <cell r="DC290">
            <v>978.428</v>
          </cell>
          <cell r="DD290">
            <v>619.36500000000001</v>
          </cell>
          <cell r="DE290">
            <v>801.91899999999998</v>
          </cell>
          <cell r="DF290">
            <v>912.20600000000002</v>
          </cell>
          <cell r="DG290">
            <v>1077.6030000000001</v>
          </cell>
          <cell r="DH290">
            <v>1405.7439999999999</v>
          </cell>
          <cell r="DI290">
            <v>1248.682</v>
          </cell>
          <cell r="DJ290">
            <v>1527.2349999999999</v>
          </cell>
          <cell r="DK290">
            <v>997.74900000000002</v>
          </cell>
          <cell r="DL290">
            <v>1227.056</v>
          </cell>
          <cell r="DM290">
            <v>1267.194</v>
          </cell>
          <cell r="DN290">
            <v>1054.046</v>
          </cell>
          <cell r="DO290">
            <v>782.62800000000004</v>
          </cell>
          <cell r="DP290">
            <v>756.86300000000006</v>
          </cell>
          <cell r="DQ290">
            <v>504.16</v>
          </cell>
          <cell r="DR290">
            <v>1169.6690000000001</v>
          </cell>
          <cell r="DS290">
            <v>1296.6769999999999</v>
          </cell>
          <cell r="DT290">
            <v>1394.799</v>
          </cell>
          <cell r="DU290">
            <v>1274.7080000000001</v>
          </cell>
          <cell r="DV290">
            <v>1225.3219999999999</v>
          </cell>
          <cell r="DW290">
            <v>1355.5029999999999</v>
          </cell>
          <cell r="DX290">
            <v>1055.777</v>
          </cell>
          <cell r="DY290">
            <v>1180.4680000000001</v>
          </cell>
          <cell r="DZ290">
            <v>1120.8340000000001</v>
          </cell>
          <cell r="EA290">
            <v>737.76900000000001</v>
          </cell>
          <cell r="EB290">
            <v>508.428</v>
          </cell>
          <cell r="EC290">
            <v>534.49699999999996</v>
          </cell>
          <cell r="ED290">
            <v>1225.423</v>
          </cell>
          <cell r="EE290">
            <v>1502.529</v>
          </cell>
          <cell r="EF290">
            <v>1571.5</v>
          </cell>
          <cell r="EG290">
            <v>1440.5060000000001</v>
          </cell>
          <cell r="EH290">
            <v>1633.9159999999999</v>
          </cell>
          <cell r="EI290">
            <v>1217.9459999999999</v>
          </cell>
          <cell r="EJ290">
            <v>1585.9169999999999</v>
          </cell>
          <cell r="EK290">
            <v>1691.518</v>
          </cell>
          <cell r="EL290">
            <v>1255.1510000000001</v>
          </cell>
          <cell r="EM290">
            <v>1172.578</v>
          </cell>
          <cell r="EN290">
            <v>896.28099999999995</v>
          </cell>
          <cell r="EO290">
            <v>786.24599999999998</v>
          </cell>
          <cell r="EP290">
            <v>1338.9939999999999</v>
          </cell>
          <cell r="EQ290">
            <v>1507.538</v>
          </cell>
          <cell r="ER290">
            <v>1519.318</v>
          </cell>
          <cell r="ES290">
            <v>1659.068</v>
          </cell>
          <cell r="ET290">
            <v>1378.7329999999999</v>
          </cell>
          <cell r="EU290">
            <v>1794.8340000000001</v>
          </cell>
          <cell r="EV290">
            <v>1844.664</v>
          </cell>
          <cell r="EW290">
            <v>1571.5650000000001</v>
          </cell>
          <cell r="EX290">
            <v>1087.472</v>
          </cell>
          <cell r="EY290">
            <v>1583.152</v>
          </cell>
          <cell r="EZ290">
            <v>1216.7840000000001</v>
          </cell>
          <cell r="FA290">
            <v>1069.732</v>
          </cell>
          <cell r="FB290">
            <v>1140.7860000000001</v>
          </cell>
          <cell r="FC290">
            <v>1903.3320000000001</v>
          </cell>
          <cell r="FD290">
            <v>1690.242</v>
          </cell>
          <cell r="FE290">
            <v>1690.963</v>
          </cell>
          <cell r="FF290">
            <v>1995.4280000000001</v>
          </cell>
          <cell r="FG290">
            <v>1673.71</v>
          </cell>
          <cell r="FH290">
            <v>1799.3879999999999</v>
          </cell>
          <cell r="FI290">
            <v>1553.0809999999999</v>
          </cell>
          <cell r="FJ290">
            <v>1748.41</v>
          </cell>
          <cell r="FK290">
            <v>1536.231</v>
          </cell>
          <cell r="FL290">
            <v>1303.335</v>
          </cell>
          <cell r="FM290">
            <v>1127.0909999999999</v>
          </cell>
          <cell r="FN290">
            <v>1424.95</v>
          </cell>
          <cell r="FO290">
            <v>1917.0250000000001</v>
          </cell>
          <cell r="FP290">
            <v>1824.9780000000001</v>
          </cell>
          <cell r="FQ290">
            <v>1551.2280000000001</v>
          </cell>
          <cell r="FR290">
            <v>1755.8320000000001</v>
          </cell>
          <cell r="FS290">
            <v>1679.7570000000001</v>
          </cell>
          <cell r="FT290">
            <v>1434.2560000000001</v>
          </cell>
          <cell r="FU290">
            <v>1364.0329999999999</v>
          </cell>
          <cell r="FV290">
            <v>1680.8209999999999</v>
          </cell>
          <cell r="FW290">
            <v>1646.816</v>
          </cell>
          <cell r="FX290">
            <v>1410.59</v>
          </cell>
          <cell r="FY290">
            <v>1387.6389999999999</v>
          </cell>
          <cell r="FZ290">
            <v>1720.403</v>
          </cell>
          <cell r="GA290">
            <v>2103.3319999999999</v>
          </cell>
          <cell r="GB290">
            <v>1953.162</v>
          </cell>
          <cell r="GC290">
            <v>1926.56</v>
          </cell>
          <cell r="GD290">
            <v>2020.5229999999999</v>
          </cell>
          <cell r="GE290">
            <v>2001.52</v>
          </cell>
          <cell r="GF290">
            <v>1990.539</v>
          </cell>
          <cell r="GG290">
            <v>1829.0160000000001</v>
          </cell>
          <cell r="GH290">
            <v>1670.633</v>
          </cell>
          <cell r="GI290">
            <v>2006.8050000000001</v>
          </cell>
          <cell r="GJ290">
            <v>1791.5329999999999</v>
          </cell>
          <cell r="GK290">
            <v>1689.26</v>
          </cell>
          <cell r="GL290">
            <v>2049.5300000000002</v>
          </cell>
          <cell r="GM290">
            <v>2550.2460000000001</v>
          </cell>
          <cell r="GN290">
            <v>2103.5070000000001</v>
          </cell>
          <cell r="GO290">
            <v>2379.58</v>
          </cell>
          <cell r="GP290">
            <v>2236.7600000000002</v>
          </cell>
          <cell r="GQ290">
            <v>1924.788</v>
          </cell>
          <cell r="GR290">
            <v>2001.547</v>
          </cell>
          <cell r="GS290">
            <v>2011.903</v>
          </cell>
          <cell r="GT290">
            <v>2272.8820000000001</v>
          </cell>
          <cell r="GU290">
            <v>2052.9810000000002</v>
          </cell>
          <cell r="GV290">
            <v>1628.441</v>
          </cell>
          <cell r="GW290">
            <v>1511.0730000000001</v>
          </cell>
          <cell r="GX290">
            <v>2356.2539999999999</v>
          </cell>
          <cell r="GY290">
            <v>2612.748</v>
          </cell>
          <cell r="GZ290">
            <v>2269.7199999999998</v>
          </cell>
          <cell r="HA290">
            <v>2366.645</v>
          </cell>
          <cell r="HB290">
            <v>2244.145</v>
          </cell>
          <cell r="HC290">
            <v>2309.2399999999998</v>
          </cell>
          <cell r="HD290">
            <v>2968.8310000000001</v>
          </cell>
          <cell r="HE290">
            <v>2799.7979999999998</v>
          </cell>
          <cell r="HF290">
            <v>2395.5729999999999</v>
          </cell>
          <cell r="HG290">
            <v>2426.0990000000002</v>
          </cell>
          <cell r="HH290">
            <v>2106.2139999999999</v>
          </cell>
          <cell r="HI290">
            <v>1266.222</v>
          </cell>
          <cell r="HJ290">
            <v>1658.1469999999999</v>
          </cell>
          <cell r="HK290">
            <v>2458.7139999999999</v>
          </cell>
          <cell r="HL290">
            <v>1741.598</v>
          </cell>
          <cell r="HM290">
            <v>2100.2919999999999</v>
          </cell>
          <cell r="HN290">
            <v>2571.752</v>
          </cell>
          <cell r="HO290">
            <v>2323.1689999999999</v>
          </cell>
          <cell r="HP290">
            <v>2536.636</v>
          </cell>
          <cell r="HQ290">
            <v>1796.9659999999999</v>
          </cell>
          <cell r="HR290">
            <v>1851.8209999999999</v>
          </cell>
          <cell r="HS290">
            <v>1825.8969999999999</v>
          </cell>
          <cell r="HT290">
            <v>1800.1780000000001</v>
          </cell>
          <cell r="HU290">
            <v>1724.115</v>
          </cell>
          <cell r="HV290">
            <v>2422.3589999999999</v>
          </cell>
          <cell r="HW290">
            <v>2215.4839999999999</v>
          </cell>
          <cell r="HX290">
            <v>2574.5039999999999</v>
          </cell>
          <cell r="HY290">
            <v>2026.7149999999999</v>
          </cell>
          <cell r="HZ290">
            <v>1648.0239999999999</v>
          </cell>
          <cell r="IA290">
            <v>1602.116</v>
          </cell>
          <cell r="IB290">
            <v>1912.173</v>
          </cell>
          <cell r="IC290">
            <v>1632.86</v>
          </cell>
          <cell r="ID290">
            <v>1547.4280000000001</v>
          </cell>
          <cell r="IE290">
            <v>1480.9670000000001</v>
          </cell>
          <cell r="IF290">
            <v>1197.24</v>
          </cell>
          <cell r="IG290">
            <v>1048.682</v>
          </cell>
          <cell r="IH290">
            <v>2594.5419999999999</v>
          </cell>
          <cell r="II290">
            <v>2938.6370000000002</v>
          </cell>
          <cell r="IJ290">
            <v>2686.92</v>
          </cell>
          <cell r="IK290">
            <v>2710.4360000000001</v>
          </cell>
          <cell r="IL290">
            <v>2655.029</v>
          </cell>
          <cell r="IM290">
            <v>2509.3539999999998</v>
          </cell>
          <cell r="IN290">
            <v>2746.7759999999998</v>
          </cell>
          <cell r="IO290">
            <v>2220.2460000000001</v>
          </cell>
          <cell r="IP290">
            <v>1658.998</v>
          </cell>
          <cell r="IQ290">
            <v>1819.8789999999999</v>
          </cell>
          <cell r="IR290">
            <v>1899.2059999999999</v>
          </cell>
          <cell r="IS290">
            <v>1944.1769999999999</v>
          </cell>
          <cell r="IT290">
            <v>2599.34</v>
          </cell>
          <cell r="IU290">
            <v>2902.9209999999998</v>
          </cell>
          <cell r="IV290">
            <v>2228.2809999999999</v>
          </cell>
          <cell r="IW290">
            <v>2481.203</v>
          </cell>
          <cell r="IX290">
            <v>2727.8870000000002</v>
          </cell>
          <cell r="IY290">
            <v>2386.0720000000001</v>
          </cell>
          <cell r="IZ290">
            <v>2591.9409999999998</v>
          </cell>
          <cell r="JA290">
            <v>2142.145</v>
          </cell>
          <cell r="JB290">
            <v>2045.557</v>
          </cell>
          <cell r="JC290">
            <v>1479.761</v>
          </cell>
          <cell r="JD290">
            <v>2306.4380000000001</v>
          </cell>
          <cell r="JE290">
            <v>1593.8710000000001</v>
          </cell>
          <cell r="JF290">
            <v>2170.259</v>
          </cell>
          <cell r="JG290">
            <v>2875.7489999999998</v>
          </cell>
          <cell r="JH290">
            <v>2356.9160000000002</v>
          </cell>
          <cell r="JI290">
            <v>2466.817</v>
          </cell>
          <cell r="JJ290">
            <v>2235.1320000000001</v>
          </cell>
          <cell r="JK290">
            <v>1779.143</v>
          </cell>
          <cell r="JL290">
            <v>1692.075</v>
          </cell>
          <cell r="JM290">
            <v>1687.64</v>
          </cell>
          <cell r="JN290">
            <v>1329.6030000000001</v>
          </cell>
          <cell r="JO290">
            <v>1214.5060000000001</v>
          </cell>
          <cell r="JP290">
            <v>1089.982</v>
          </cell>
          <cell r="JQ290">
            <v>1124.752</v>
          </cell>
          <cell r="JR290">
            <v>2300.0720000000001</v>
          </cell>
          <cell r="JS290">
            <v>2694.4479999999999</v>
          </cell>
          <cell r="JT290">
            <v>2440.098</v>
          </cell>
          <cell r="JU290">
            <v>2658.1280000000002</v>
          </cell>
          <cell r="JV290">
            <v>3005.643</v>
          </cell>
          <cell r="JW290">
            <v>2480.1460000000002</v>
          </cell>
          <cell r="JX290">
            <v>1921.9280000000001</v>
          </cell>
          <cell r="JY290">
            <v>1457.604</v>
          </cell>
          <cell r="JZ290">
            <v>1267.078</v>
          </cell>
          <cell r="KA290">
            <v>1402.539</v>
          </cell>
          <cell r="KB290">
            <v>1319.058</v>
          </cell>
          <cell r="KC290">
            <v>990.51099999999997</v>
          </cell>
          <cell r="KD290">
            <v>2887.1210000000001</v>
          </cell>
          <cell r="KE290">
            <v>3026.4870000000001</v>
          </cell>
          <cell r="KF290">
            <v>3091.5430000000001</v>
          </cell>
          <cell r="KG290">
            <v>2472.4630000000002</v>
          </cell>
          <cell r="KH290">
            <v>2674.01</v>
          </cell>
          <cell r="KI290">
            <v>2461.2130000000002</v>
          </cell>
          <cell r="KJ290">
            <v>2230.25</v>
          </cell>
          <cell r="KK290">
            <v>2243.194</v>
          </cell>
          <cell r="KL290">
            <v>1747.2950000000001</v>
          </cell>
          <cell r="KM290">
            <v>1576.0060000000001</v>
          </cell>
          <cell r="KN290">
            <v>1704.0340000000001</v>
          </cell>
          <cell r="KO290">
            <v>1359.2239999999999</v>
          </cell>
          <cell r="KP290">
            <v>2782.0140000000001</v>
          </cell>
          <cell r="KQ290">
            <v>2179.1869999999999</v>
          </cell>
          <cell r="KR290">
            <v>3249.5740000000001</v>
          </cell>
          <cell r="KS290">
            <v>3509.0079999999998</v>
          </cell>
          <cell r="KT290">
            <v>2878.2240000000002</v>
          </cell>
          <cell r="KU290">
            <v>3117.2820000000002</v>
          </cell>
          <cell r="KV290">
            <v>2755.3449999999998</v>
          </cell>
          <cell r="KW290">
            <v>1906.3510000000001</v>
          </cell>
          <cell r="KX290">
            <v>1932.8</v>
          </cell>
          <cell r="KY290">
            <v>2939.4380000000001</v>
          </cell>
          <cell r="KZ290">
            <v>2508.8290000000002</v>
          </cell>
          <cell r="LA290">
            <v>2115.761</v>
          </cell>
          <cell r="LB290">
            <v>2388.1640000000002</v>
          </cell>
          <cell r="LC290">
            <v>3270.3789999999999</v>
          </cell>
          <cell r="LD290">
            <v>3011.4369999999999</v>
          </cell>
          <cell r="LE290">
            <v>2460.0929999999998</v>
          </cell>
          <cell r="LF290">
            <v>2441.3890000000001</v>
          </cell>
          <cell r="LG290">
            <v>2280.4589999999998</v>
          </cell>
          <cell r="LH290">
            <v>2404.2339999999999</v>
          </cell>
          <cell r="LI290">
            <v>2558.953</v>
          </cell>
          <cell r="LJ290">
            <v>2088.183</v>
          </cell>
          <cell r="LK290">
            <v>2723.8406799999998</v>
          </cell>
          <cell r="LL290">
            <v>2176.1533239999999</v>
          </cell>
          <cell r="LM290">
            <v>2382.9095339999999</v>
          </cell>
          <cell r="LN290">
            <v>2689.5192999999999</v>
          </cell>
          <cell r="LO290">
            <v>2938.7237100000002</v>
          </cell>
          <cell r="LP290">
            <v>2685.66419</v>
          </cell>
          <cell r="LQ290">
            <v>2936.0358449999999</v>
          </cell>
          <cell r="LR290">
            <v>2869.9118619999999</v>
          </cell>
          <cell r="LS290">
            <v>2393.4606309999999</v>
          </cell>
          <cell r="LT290">
            <v>2407.1967850000001</v>
          </cell>
          <cell r="LU290">
            <v>2416.3949779999998</v>
          </cell>
          <cell r="LV290">
            <v>1725.84123</v>
          </cell>
          <cell r="LW290">
            <v>2197.1312950000001</v>
          </cell>
          <cell r="LX290">
            <v>1873.26983</v>
          </cell>
          <cell r="LY290">
            <v>2118.9778849999998</v>
          </cell>
          <cell r="LZ290">
            <v>2092.8220350000001</v>
          </cell>
          <cell r="MA290">
            <v>2486.4765040000002</v>
          </cell>
          <cell r="MB290">
            <v>2213.1349150000001</v>
          </cell>
          <cell r="MC290">
            <v>2178.5574780000002</v>
          </cell>
          <cell r="MD290">
            <v>2150.5239470000001</v>
          </cell>
          <cell r="ME290">
            <v>2402.320913</v>
          </cell>
          <cell r="MF290">
            <v>2320.0874229999999</v>
          </cell>
          <cell r="MG290">
            <v>2026.7015200000001</v>
          </cell>
          <cell r="MH290">
            <v>1837.9621400000001</v>
          </cell>
          <cell r="MI290">
            <v>2053.0010000000002</v>
          </cell>
          <cell r="MJ290">
            <v>1763.848</v>
          </cell>
          <cell r="MK290">
            <v>2323.4490000000001</v>
          </cell>
          <cell r="ML290">
            <v>2594.44</v>
          </cell>
          <cell r="MM290">
            <v>3026.0219999999999</v>
          </cell>
          <cell r="MN290">
            <v>2842.5149999999999</v>
          </cell>
          <cell r="MO290">
            <v>3019.46</v>
          </cell>
          <cell r="MP290">
            <v>2390.8850000000002</v>
          </cell>
          <cell r="MQ290">
            <v>2634.6889999999999</v>
          </cell>
          <cell r="MR290">
            <v>2975.4769999999999</v>
          </cell>
          <cell r="MS290">
            <v>2407.94</v>
          </cell>
          <cell r="MT290">
            <v>2074.3200000000002</v>
          </cell>
          <cell r="MU290">
            <v>1785.1569999999999</v>
          </cell>
          <cell r="MV290">
            <v>1639.79</v>
          </cell>
          <cell r="MW290">
            <v>1894.28</v>
          </cell>
          <cell r="MX290">
            <v>2269.0340000000001</v>
          </cell>
          <cell r="MY290">
            <v>2730.4270000000001</v>
          </cell>
          <cell r="MZ290">
            <v>2818.9560000000001</v>
          </cell>
          <cell r="NA290">
            <v>2324.34</v>
          </cell>
          <cell r="NB290">
            <v>2186.2649999999999</v>
          </cell>
          <cell r="NC290">
            <v>2355.326</v>
          </cell>
          <cell r="ND290">
            <v>2210.65</v>
          </cell>
          <cell r="NE290">
            <v>2044.972</v>
          </cell>
          <cell r="NF290">
            <v>682.26300000000003</v>
          </cell>
          <cell r="NG290">
            <v>2546.5439999999999</v>
          </cell>
          <cell r="NH290">
            <v>1988.1569999999999</v>
          </cell>
          <cell r="NI290">
            <v>2427.3980000000001</v>
          </cell>
          <cell r="NJ290">
            <v>3080.7159999999999</v>
          </cell>
          <cell r="NK290">
            <v>2554.4929999999999</v>
          </cell>
          <cell r="NL290">
            <v>2816.5940000000001</v>
          </cell>
          <cell r="NM290">
            <v>2636.4960000000001</v>
          </cell>
          <cell r="NN290">
            <v>2670.1779999999999</v>
          </cell>
          <cell r="NO290">
            <v>2667.3420000000001</v>
          </cell>
          <cell r="NP290">
            <v>2425.73</v>
          </cell>
          <cell r="NQ290">
            <v>2046.3309999999999</v>
          </cell>
          <cell r="NR290">
            <v>2130.933</v>
          </cell>
          <cell r="NS290">
            <v>1504.663</v>
          </cell>
          <cell r="NT290">
            <v>1973.2339999999999</v>
          </cell>
          <cell r="NU290">
            <v>2144.8380000000002</v>
          </cell>
          <cell r="NV290">
            <v>2820.3249999999998</v>
          </cell>
          <cell r="NW290">
            <v>2725.1790000000001</v>
          </cell>
          <cell r="NX290">
            <v>2776.259</v>
          </cell>
          <cell r="NY290">
            <v>2498.674</v>
          </cell>
          <cell r="NZ290">
            <v>1824.15</v>
          </cell>
          <cell r="OA290">
            <v>1718.529</v>
          </cell>
          <cell r="OB290">
            <v>2360.2399999999998</v>
          </cell>
          <cell r="OC290">
            <v>2455.9569999999999</v>
          </cell>
          <cell r="OD290">
            <v>2082.44</v>
          </cell>
        </row>
      </sheetData>
      <sheetData sheetId="19">
        <row r="4">
          <cell r="B4">
            <v>17.350000000000001</v>
          </cell>
        </row>
        <row r="290">
          <cell r="AI290">
            <v>79.72</v>
          </cell>
          <cell r="AJ290">
            <v>148.346</v>
          </cell>
          <cell r="AK290">
            <v>122.76600000000001</v>
          </cell>
          <cell r="AL290">
            <v>115.627</v>
          </cell>
          <cell r="AM290">
            <v>123.176</v>
          </cell>
          <cell r="AN290">
            <v>74.018000000000001</v>
          </cell>
          <cell r="AO290">
            <v>44.956000000000003</v>
          </cell>
          <cell r="AP290">
            <v>107.405</v>
          </cell>
          <cell r="AQ290">
            <v>142.505</v>
          </cell>
          <cell r="AR290">
            <v>120.875</v>
          </cell>
          <cell r="AS290">
            <v>195.22900000000001</v>
          </cell>
          <cell r="AT290">
            <v>120.52200000000001</v>
          </cell>
          <cell r="AU290">
            <v>172.297</v>
          </cell>
          <cell r="AV290">
            <v>145.696</v>
          </cell>
          <cell r="AW290">
            <v>86.9</v>
          </cell>
          <cell r="AX290">
            <v>121.65300000000001</v>
          </cell>
          <cell r="AY290">
            <v>72.578000000000003</v>
          </cell>
          <cell r="AZ290">
            <v>86.951999999999998</v>
          </cell>
          <cell r="BA290">
            <v>39.631</v>
          </cell>
          <cell r="BB290">
            <v>122.02</v>
          </cell>
          <cell r="BC290">
            <v>132.81200000000001</v>
          </cell>
          <cell r="BD290">
            <v>133.614</v>
          </cell>
          <cell r="BE290">
            <v>152.501</v>
          </cell>
          <cell r="BF290">
            <v>160.09100000000001</v>
          </cell>
          <cell r="BG290">
            <v>111.91</v>
          </cell>
          <cell r="BH290">
            <v>185.93600000000001</v>
          </cell>
          <cell r="BI290">
            <v>152.792</v>
          </cell>
          <cell r="BJ290">
            <v>119.94799999999999</v>
          </cell>
          <cell r="BK290">
            <v>134.85400000000001</v>
          </cell>
          <cell r="BL290">
            <v>98.415000000000006</v>
          </cell>
          <cell r="BM290">
            <v>46.000999999999998</v>
          </cell>
          <cell r="BN290">
            <v>110.181</v>
          </cell>
          <cell r="BO290">
            <v>132.97200000000001</v>
          </cell>
          <cell r="BP290">
            <v>183.459</v>
          </cell>
          <cell r="BQ290">
            <v>174.37</v>
          </cell>
          <cell r="BR290">
            <v>139.399</v>
          </cell>
          <cell r="BS290">
            <v>216.197</v>
          </cell>
          <cell r="BT290">
            <v>197.774</v>
          </cell>
          <cell r="BU290">
            <v>104.22499999999999</v>
          </cell>
          <cell r="BV290">
            <v>157.596</v>
          </cell>
          <cell r="BW290">
            <v>111.41500000000001</v>
          </cell>
          <cell r="BX290">
            <v>106.709</v>
          </cell>
          <cell r="BY290">
            <v>117.108</v>
          </cell>
          <cell r="BZ290">
            <v>187.55500000000001</v>
          </cell>
          <cell r="CA290">
            <v>187.77600000000001</v>
          </cell>
          <cell r="CB290">
            <v>190.21799999999999</v>
          </cell>
          <cell r="CC290">
            <v>229.02600000000001</v>
          </cell>
          <cell r="CD290">
            <v>212.202</v>
          </cell>
          <cell r="CE290">
            <v>206.93899999999999</v>
          </cell>
          <cell r="CF290">
            <v>125.57</v>
          </cell>
          <cell r="CG290">
            <v>129.50700000000001</v>
          </cell>
          <cell r="CH290">
            <v>114.259</v>
          </cell>
          <cell r="CI290">
            <v>69.486000000000004</v>
          </cell>
          <cell r="CJ290">
            <v>41.978999999999999</v>
          </cell>
          <cell r="CK290">
            <v>112.38800000000001</v>
          </cell>
          <cell r="CL290">
            <v>236.81800000000001</v>
          </cell>
          <cell r="CM290">
            <v>271.03300000000002</v>
          </cell>
          <cell r="CN290">
            <v>249.15899999999999</v>
          </cell>
          <cell r="CO290">
            <v>226.57900000000001</v>
          </cell>
          <cell r="CP290">
            <v>182.51499999999999</v>
          </cell>
          <cell r="CQ290">
            <v>227.54900000000001</v>
          </cell>
          <cell r="CR290">
            <v>269.99599999999998</v>
          </cell>
          <cell r="CS290">
            <v>258.69400000000002</v>
          </cell>
          <cell r="CT290">
            <v>212.90299999999999</v>
          </cell>
          <cell r="CU290">
            <v>108.462</v>
          </cell>
          <cell r="CV290">
            <v>187.536</v>
          </cell>
          <cell r="CW290">
            <v>186.06299999999999</v>
          </cell>
          <cell r="CX290">
            <v>357.85700000000003</v>
          </cell>
          <cell r="CY290">
            <v>263.86799999999999</v>
          </cell>
          <cell r="CZ290">
            <v>305.733</v>
          </cell>
          <cell r="DA290">
            <v>369.03399999999999</v>
          </cell>
          <cell r="DB290">
            <v>363.47</v>
          </cell>
          <cell r="DC290">
            <v>224.613</v>
          </cell>
          <cell r="DD290">
            <v>248.62700000000001</v>
          </cell>
          <cell r="DE290">
            <v>197.72800000000001</v>
          </cell>
          <cell r="DF290">
            <v>228.41800000000001</v>
          </cell>
          <cell r="DG290">
            <v>201.892</v>
          </cell>
          <cell r="DH290">
            <v>137.804</v>
          </cell>
          <cell r="DI290">
            <v>208.45500000000001</v>
          </cell>
          <cell r="DJ290">
            <v>249.64599999999999</v>
          </cell>
          <cell r="DK290">
            <v>191.22300000000001</v>
          </cell>
          <cell r="DL290">
            <v>389.01900000000001</v>
          </cell>
          <cell r="DM290">
            <v>304.67200000000003</v>
          </cell>
          <cell r="DN290">
            <v>261.137</v>
          </cell>
          <cell r="DO290">
            <v>309.55799999999999</v>
          </cell>
          <cell r="DP290">
            <v>224.39400000000001</v>
          </cell>
          <cell r="DQ290">
            <v>270.54300000000001</v>
          </cell>
          <cell r="DR290">
            <v>105.18</v>
          </cell>
          <cell r="DS290">
            <v>173.321</v>
          </cell>
          <cell r="DT290">
            <v>149.55500000000001</v>
          </cell>
          <cell r="DU290">
            <v>201.18</v>
          </cell>
          <cell r="DV290">
            <v>300.11799999999999</v>
          </cell>
          <cell r="DW290">
            <v>330.101</v>
          </cell>
          <cell r="DX290">
            <v>375.09500000000003</v>
          </cell>
          <cell r="DY290">
            <v>367.88099999999997</v>
          </cell>
          <cell r="DZ290">
            <v>272.77100000000002</v>
          </cell>
          <cell r="EA290">
            <v>312.35000000000002</v>
          </cell>
          <cell r="EB290">
            <v>322.29399999999998</v>
          </cell>
          <cell r="EC290">
            <v>428.36700000000002</v>
          </cell>
          <cell r="ED290">
            <v>218.48099999999999</v>
          </cell>
          <cell r="EE290">
            <v>151.375</v>
          </cell>
          <cell r="EF290">
            <v>229.768</v>
          </cell>
          <cell r="EG290">
            <v>231.19900000000001</v>
          </cell>
          <cell r="EH290">
            <v>287.08</v>
          </cell>
          <cell r="EI290">
            <v>317.97699999999998</v>
          </cell>
          <cell r="EJ290">
            <v>375.94799999999998</v>
          </cell>
          <cell r="EK290">
            <v>337.35199999999998</v>
          </cell>
          <cell r="EL290">
            <v>417.46800000000002</v>
          </cell>
          <cell r="EM290">
            <v>261.654</v>
          </cell>
          <cell r="EN290">
            <v>302.84699999999998</v>
          </cell>
          <cell r="EO290">
            <v>268.54899999999998</v>
          </cell>
          <cell r="EP290">
            <v>332.04500000000002</v>
          </cell>
          <cell r="EQ290">
            <v>243.85300000000001</v>
          </cell>
          <cell r="ER290">
            <v>263.28199999999998</v>
          </cell>
          <cell r="ES290">
            <v>277.94799999999998</v>
          </cell>
          <cell r="ET290">
            <v>419.65199999999999</v>
          </cell>
          <cell r="EU290">
            <v>429.27800000000002</v>
          </cell>
          <cell r="EV290">
            <v>471.92200000000003</v>
          </cell>
          <cell r="EW290">
            <v>247.078</v>
          </cell>
          <cell r="EX290">
            <v>401.45299999999997</v>
          </cell>
          <cell r="EY290">
            <v>422.541</v>
          </cell>
          <cell r="EZ290">
            <v>442.15899999999999</v>
          </cell>
          <cell r="FA290">
            <v>239.28700000000001</v>
          </cell>
          <cell r="FB290">
            <v>264.916</v>
          </cell>
          <cell r="FC290">
            <v>413.00900000000001</v>
          </cell>
          <cell r="FD290">
            <v>215.74100000000001</v>
          </cell>
          <cell r="FE290">
            <v>340.87700000000001</v>
          </cell>
          <cell r="FF290">
            <v>463.971</v>
          </cell>
          <cell r="FG290">
            <v>270.44099999999997</v>
          </cell>
          <cell r="FH290">
            <v>500.47699999999998</v>
          </cell>
          <cell r="FI290">
            <v>385.339</v>
          </cell>
          <cell r="FJ290">
            <v>278.93</v>
          </cell>
          <cell r="FK290">
            <v>391.541</v>
          </cell>
          <cell r="FL290">
            <v>508.52600000000001</v>
          </cell>
          <cell r="FM290">
            <v>322.74</v>
          </cell>
          <cell r="FN290">
            <v>294.15800000000002</v>
          </cell>
          <cell r="FO290">
            <v>259.61900000000003</v>
          </cell>
          <cell r="FP290">
            <v>429.68799999999999</v>
          </cell>
          <cell r="FQ290">
            <v>384.55</v>
          </cell>
          <cell r="FR290">
            <v>365.12900000000002</v>
          </cell>
          <cell r="FS290">
            <v>434.63400000000001</v>
          </cell>
          <cell r="FT290">
            <v>424.53800000000001</v>
          </cell>
          <cell r="FU290">
            <v>551.21900000000005</v>
          </cell>
          <cell r="FV290">
            <v>390.86900000000003</v>
          </cell>
          <cell r="FW290">
            <v>409.01499999999999</v>
          </cell>
          <cell r="FX290">
            <v>323.95999999999998</v>
          </cell>
          <cell r="FY290">
            <v>583.44000000000005</v>
          </cell>
          <cell r="FZ290">
            <v>419.19299999999998</v>
          </cell>
          <cell r="GA290">
            <v>389.15600000000001</v>
          </cell>
          <cell r="GB290">
            <v>405.928</v>
          </cell>
          <cell r="GC290">
            <v>457.66399999999999</v>
          </cell>
          <cell r="GD290">
            <v>635.56799999999998</v>
          </cell>
          <cell r="GE290">
            <v>392.08800000000002</v>
          </cell>
          <cell r="GF290">
            <v>497.61599999999999</v>
          </cell>
          <cell r="GG290">
            <v>592.55999999999995</v>
          </cell>
          <cell r="GH290">
            <v>491.34100000000001</v>
          </cell>
          <cell r="GI290">
            <v>558.78300000000002</v>
          </cell>
          <cell r="GJ290">
            <v>404.32600000000002</v>
          </cell>
          <cell r="GK290">
            <v>497.767</v>
          </cell>
          <cell r="GL290">
            <v>206.16300000000001</v>
          </cell>
          <cell r="GM290">
            <v>480.43099999999998</v>
          </cell>
          <cell r="GN290">
            <v>452.36900000000003</v>
          </cell>
          <cell r="GO290">
            <v>414.34300000000002</v>
          </cell>
          <cell r="GP290">
            <v>564.61900000000003</v>
          </cell>
          <cell r="GQ290">
            <v>637.60199999999998</v>
          </cell>
          <cell r="GR290">
            <v>657.76499999999999</v>
          </cell>
          <cell r="GS290">
            <v>564.74599999999998</v>
          </cell>
          <cell r="GT290">
            <v>530.73199999999997</v>
          </cell>
          <cell r="GU290">
            <v>724.26400000000001</v>
          </cell>
          <cell r="GV290">
            <v>512.23900000000003</v>
          </cell>
          <cell r="GW290">
            <v>658.35199999999998</v>
          </cell>
          <cell r="GX290">
            <v>647.35299999999995</v>
          </cell>
          <cell r="GY290">
            <v>327.56599999999997</v>
          </cell>
          <cell r="GZ290">
            <v>275.09199999999998</v>
          </cell>
          <cell r="HA290">
            <v>305.71100000000001</v>
          </cell>
          <cell r="HB290">
            <v>497.13799999999998</v>
          </cell>
          <cell r="HC290">
            <v>277.197</v>
          </cell>
          <cell r="HD290">
            <v>343.69400000000002</v>
          </cell>
          <cell r="HE290">
            <v>575.36199999999997</v>
          </cell>
          <cell r="HF290">
            <v>645.06200000000001</v>
          </cell>
          <cell r="HG290">
            <v>377.42500000000001</v>
          </cell>
          <cell r="HH290">
            <v>322.12200000000001</v>
          </cell>
          <cell r="HI290">
            <v>350.47199999999998</v>
          </cell>
          <cell r="HJ290">
            <v>489.44099999999997</v>
          </cell>
          <cell r="HK290">
            <v>388.88200000000001</v>
          </cell>
          <cell r="HL290">
            <v>414.2</v>
          </cell>
          <cell r="HM290">
            <v>416.42</v>
          </cell>
          <cell r="HN290">
            <v>515.08600000000001</v>
          </cell>
          <cell r="HO290">
            <v>386.49900000000002</v>
          </cell>
          <cell r="HP290">
            <v>401.9</v>
          </cell>
          <cell r="HQ290">
            <v>288.34899999999999</v>
          </cell>
          <cell r="HR290">
            <v>353.54599999999999</v>
          </cell>
          <cell r="HS290">
            <v>213.078</v>
          </cell>
          <cell r="HT290">
            <v>313.44600000000003</v>
          </cell>
          <cell r="HU290">
            <v>258.55700000000002</v>
          </cell>
          <cell r="HV290">
            <v>192.98599999999999</v>
          </cell>
          <cell r="HW290">
            <v>271.54700000000003</v>
          </cell>
          <cell r="HX290">
            <v>98.009</v>
          </cell>
          <cell r="HY290">
            <v>505.87299999999999</v>
          </cell>
          <cell r="HZ290">
            <v>498.20100000000002</v>
          </cell>
          <cell r="IA290">
            <v>502.76900000000001</v>
          </cell>
          <cell r="IB290">
            <v>589.06399999999996</v>
          </cell>
          <cell r="IC290">
            <v>463.74</v>
          </cell>
          <cell r="ID290">
            <v>546.024</v>
          </cell>
          <cell r="IE290">
            <v>432.20100000000002</v>
          </cell>
          <cell r="IF290">
            <v>472.459</v>
          </cell>
          <cell r="IG290">
            <v>325.15300000000002</v>
          </cell>
          <cell r="IH290">
            <v>281.71899999999999</v>
          </cell>
          <cell r="II290">
            <v>249.09</v>
          </cell>
          <cell r="IJ290">
            <v>313.62400000000002</v>
          </cell>
          <cell r="IK290">
            <v>288.28399999999999</v>
          </cell>
          <cell r="IL290">
            <v>594.14</v>
          </cell>
          <cell r="IM290">
            <v>526.798</v>
          </cell>
          <cell r="IN290">
            <v>304.68700000000001</v>
          </cell>
          <cell r="IO290">
            <v>448.45299999999997</v>
          </cell>
          <cell r="IP290">
            <v>323.988</v>
          </cell>
          <cell r="IQ290">
            <v>417.49900000000002</v>
          </cell>
          <cell r="IR290">
            <v>254.273</v>
          </cell>
          <cell r="IS290">
            <v>240.33099999999999</v>
          </cell>
          <cell r="IT290">
            <v>220.86</v>
          </cell>
          <cell r="IU290">
            <v>343.21300000000002</v>
          </cell>
          <cell r="IV290">
            <v>264.14600000000002</v>
          </cell>
          <cell r="IW290">
            <v>275.32400000000001</v>
          </cell>
          <cell r="IX290">
            <v>434.94900000000001</v>
          </cell>
          <cell r="IY290">
            <v>374.94600000000003</v>
          </cell>
          <cell r="IZ290">
            <v>294.89299999999997</v>
          </cell>
          <cell r="JA290">
            <v>368.053</v>
          </cell>
          <cell r="JB290">
            <v>305.22899999999998</v>
          </cell>
          <cell r="JC290">
            <v>312.31900000000002</v>
          </cell>
          <cell r="JD290">
            <v>317.23399999999998</v>
          </cell>
          <cell r="JE290">
            <v>255.77500000000001</v>
          </cell>
          <cell r="JF290">
            <v>129.65899999999999</v>
          </cell>
          <cell r="JG290">
            <v>223.803</v>
          </cell>
          <cell r="JH290">
            <v>146.82</v>
          </cell>
          <cell r="JI290">
            <v>400.36</v>
          </cell>
          <cell r="JJ290">
            <v>616.19299999999998</v>
          </cell>
          <cell r="JK290">
            <v>524.67999999999995</v>
          </cell>
          <cell r="JL290">
            <v>372.49299999999999</v>
          </cell>
          <cell r="JM290">
            <v>450.17899999999997</v>
          </cell>
          <cell r="JN290">
            <v>494.82100000000003</v>
          </cell>
          <cell r="JO290">
            <v>304.52199999999999</v>
          </cell>
          <cell r="JP290">
            <v>311.18799999999999</v>
          </cell>
          <cell r="JQ290">
            <v>239.363</v>
          </cell>
          <cell r="JR290">
            <v>179.126</v>
          </cell>
          <cell r="JS290">
            <v>151.30199999999999</v>
          </cell>
          <cell r="JT290">
            <v>236.446</v>
          </cell>
          <cell r="JU290">
            <v>486.36500000000001</v>
          </cell>
          <cell r="JV290">
            <v>572.03700000000003</v>
          </cell>
          <cell r="JW290">
            <v>545.14099999999996</v>
          </cell>
          <cell r="JX290">
            <v>390.14499999999998</v>
          </cell>
          <cell r="JY290">
            <v>369.774</v>
          </cell>
          <cell r="JZ290">
            <v>302.06099999999998</v>
          </cell>
          <cell r="KA290">
            <v>304.11900000000003</v>
          </cell>
          <cell r="KB290">
            <v>226.47800000000001</v>
          </cell>
          <cell r="KC290">
            <v>290.95</v>
          </cell>
          <cell r="KD290">
            <v>249.29499999999999</v>
          </cell>
          <cell r="KE290">
            <v>250.29599999999999</v>
          </cell>
          <cell r="KF290">
            <v>309.03199999999998</v>
          </cell>
          <cell r="KG290">
            <v>570.48500000000001</v>
          </cell>
          <cell r="KH290">
            <v>405.22199999999998</v>
          </cell>
          <cell r="KI290">
            <v>641.63300000000004</v>
          </cell>
          <cell r="KJ290">
            <v>761.47</v>
          </cell>
          <cell r="KK290">
            <v>434.31200000000001</v>
          </cell>
          <cell r="KL290">
            <v>650.86900000000003</v>
          </cell>
          <cell r="KM290">
            <v>501.49700000000001</v>
          </cell>
          <cell r="KN290">
            <v>520.08799999999997</v>
          </cell>
          <cell r="KO290">
            <v>304.63</v>
          </cell>
          <cell r="KP290">
            <v>540.78899999999999</v>
          </cell>
          <cell r="KQ290">
            <v>483.87900000000002</v>
          </cell>
          <cell r="KR290">
            <v>496.74</v>
          </cell>
          <cell r="KS290">
            <v>553.22299999999996</v>
          </cell>
          <cell r="KT290">
            <v>511.351</v>
          </cell>
          <cell r="KU290">
            <v>484.81799999999998</v>
          </cell>
          <cell r="KV290">
            <v>493.33199999999999</v>
          </cell>
          <cell r="KW290">
            <v>506.12200000000001</v>
          </cell>
          <cell r="KX290">
            <v>301.47399999999999</v>
          </cell>
          <cell r="KY290">
            <v>406.52100000000002</v>
          </cell>
          <cell r="KZ290">
            <v>463.05700000000002</v>
          </cell>
          <cell r="LA290">
            <v>523.00020600000005</v>
          </cell>
          <cell r="LB290">
            <v>325.00381299999998</v>
          </cell>
          <cell r="LC290">
            <v>259.97256499999997</v>
          </cell>
          <cell r="LD290">
            <v>558.10704499999997</v>
          </cell>
          <cell r="LE290">
            <v>495.051444</v>
          </cell>
          <cell r="LF290">
            <v>530.73883499999999</v>
          </cell>
          <cell r="LG290">
            <v>388.58655700000003</v>
          </cell>
          <cell r="LH290">
            <v>466.20098200000001</v>
          </cell>
          <cell r="LI290">
            <v>518.64320499999997</v>
          </cell>
          <cell r="LJ290">
            <v>452.49062500000002</v>
          </cell>
          <cell r="LK290">
            <v>398.79413399999999</v>
          </cell>
          <cell r="LL290">
            <v>266.97373399999998</v>
          </cell>
          <cell r="LM290">
            <v>312.03480500000001</v>
          </cell>
          <cell r="LN290">
            <v>209.88608300000001</v>
          </cell>
          <cell r="LO290">
            <v>243.812682</v>
          </cell>
          <cell r="LP290">
            <v>438.11039</v>
          </cell>
          <cell r="LQ290">
            <v>430.41975500000001</v>
          </cell>
          <cell r="LR290">
            <v>280.678898</v>
          </cell>
          <cell r="LS290">
            <v>289.35162000000003</v>
          </cell>
          <cell r="LT290">
            <v>379.650532</v>
          </cell>
          <cell r="LU290">
            <v>494.62701199999998</v>
          </cell>
          <cell r="LV290">
            <v>419.36932000000002</v>
          </cell>
          <cell r="LW290">
            <v>443.63900599999999</v>
          </cell>
          <cell r="LX290">
            <v>231.161112</v>
          </cell>
          <cell r="LY290">
            <v>372.24073399999997</v>
          </cell>
          <cell r="LZ290">
            <v>455.48972099999997</v>
          </cell>
          <cell r="MA290">
            <v>409.70328699999999</v>
          </cell>
          <cell r="MB290">
            <v>360.84644500000002</v>
          </cell>
          <cell r="MC290">
            <v>340.51960700000001</v>
          </cell>
          <cell r="MD290">
            <v>541.85624900000005</v>
          </cell>
          <cell r="ME290">
            <v>578.24275299999999</v>
          </cell>
          <cell r="MF290">
            <v>541.07943799999998</v>
          </cell>
          <cell r="MG290">
            <v>539.98536899999999</v>
          </cell>
          <cell r="MH290">
            <v>453.71324299999998</v>
          </cell>
          <cell r="MI290">
            <v>445.84316799999999</v>
          </cell>
          <cell r="MJ290">
            <v>336.053181</v>
          </cell>
          <cell r="MK290">
            <v>389.57276200000001</v>
          </cell>
          <cell r="ML290">
            <v>425.38829700000002</v>
          </cell>
          <cell r="MM290">
            <v>318.08450900000003</v>
          </cell>
          <cell r="MN290">
            <v>202.80054899999999</v>
          </cell>
          <cell r="MO290">
            <v>553.14885300000003</v>
          </cell>
          <cell r="MP290">
            <v>621.02156400000001</v>
          </cell>
          <cell r="MQ290">
            <v>620.387204</v>
          </cell>
          <cell r="MR290">
            <v>610.918677</v>
          </cell>
          <cell r="MS290">
            <v>382.66273899999999</v>
          </cell>
          <cell r="MT290">
            <v>480.80112100000002</v>
          </cell>
          <cell r="MU290">
            <v>564.64809300000002</v>
          </cell>
          <cell r="MV290">
            <v>549.891344</v>
          </cell>
          <cell r="MW290">
            <v>135.626679</v>
          </cell>
          <cell r="MX290">
            <v>661.65480100000002</v>
          </cell>
          <cell r="MY290">
            <v>454.85724199999999</v>
          </cell>
          <cell r="MZ290">
            <v>495.43579699999998</v>
          </cell>
          <cell r="NA290">
            <v>639.56296799999996</v>
          </cell>
          <cell r="NB290">
            <v>602.34290299999998</v>
          </cell>
          <cell r="NC290">
            <v>570.36913700000002</v>
          </cell>
          <cell r="ND290">
            <v>452.258779</v>
          </cell>
          <cell r="NE290">
            <v>487.72890699999999</v>
          </cell>
          <cell r="NF290">
            <v>521.74098400000003</v>
          </cell>
          <cell r="NG290">
            <v>460.95665100000002</v>
          </cell>
          <cell r="NH290">
            <v>452.16699999999997</v>
          </cell>
          <cell r="NI290">
            <v>360.43799999999999</v>
          </cell>
          <cell r="NJ290">
            <v>280.09800000000001</v>
          </cell>
          <cell r="NK290">
            <v>242.148</v>
          </cell>
          <cell r="NL290">
            <v>408.42399999999998</v>
          </cell>
          <cell r="NM290">
            <v>494.55799999999999</v>
          </cell>
          <cell r="NN290">
            <v>541.47400000000005</v>
          </cell>
          <cell r="NO290">
            <v>520.25300000000004</v>
          </cell>
          <cell r="NP290">
            <v>310.16500000000002</v>
          </cell>
          <cell r="NQ290">
            <v>453.26600000000002</v>
          </cell>
          <cell r="NR290">
            <v>347.74099999999999</v>
          </cell>
          <cell r="NS290">
            <v>230.113</v>
          </cell>
          <cell r="NT290">
            <v>432.01299999999998</v>
          </cell>
          <cell r="NU290">
            <v>379.38400000000001</v>
          </cell>
          <cell r="NV290">
            <v>323.637</v>
          </cell>
          <cell r="NW290">
            <v>350.024</v>
          </cell>
          <cell r="NX290">
            <v>192.62700000000001</v>
          </cell>
          <cell r="NY290">
            <v>392.553</v>
          </cell>
          <cell r="NZ290">
            <v>460.90300000000002</v>
          </cell>
          <cell r="OA290">
            <v>484.226</v>
          </cell>
          <cell r="OB290">
            <v>322.78800000000001</v>
          </cell>
          <cell r="OC290">
            <v>260.65300000000002</v>
          </cell>
          <cell r="OD290">
            <v>308.49700000000001</v>
          </cell>
          <cell r="OF290">
            <v>243.38461000000001</v>
          </cell>
        </row>
      </sheetData>
      <sheetData sheetId="20">
        <row r="290">
          <cell r="AO290">
            <v>0</v>
          </cell>
        </row>
      </sheetData>
      <sheetData sheetId="21">
        <row r="4">
          <cell r="B4">
            <v>0</v>
          </cell>
        </row>
      </sheetData>
      <sheetData sheetId="22">
        <row r="4">
          <cell r="AE4">
            <v>440.20331400000003</v>
          </cell>
        </row>
      </sheetData>
      <sheetData sheetId="23">
        <row r="4">
          <cell r="B4">
            <v>0</v>
          </cell>
        </row>
      </sheetData>
      <sheetData sheetId="24">
        <row r="290">
          <cell r="EG290">
            <v>0.112</v>
          </cell>
        </row>
      </sheetData>
      <sheetData sheetId="25">
        <row r="290">
          <cell r="EG290">
            <v>0</v>
          </cell>
        </row>
      </sheetData>
      <sheetData sheetId="26">
        <row r="290">
          <cell r="EF290">
            <v>2.7709999999999999</v>
          </cell>
        </row>
      </sheetData>
      <sheetData sheetId="27">
        <row r="290">
          <cell r="EF290">
            <v>0</v>
          </cell>
        </row>
      </sheetData>
      <sheetData sheetId="28">
        <row r="290">
          <cell r="EF290">
            <v>1.571</v>
          </cell>
        </row>
      </sheetData>
      <sheetData sheetId="29">
        <row r="290">
          <cell r="EF290">
            <v>0</v>
          </cell>
        </row>
      </sheetData>
      <sheetData sheetId="30">
        <row r="290">
          <cell r="CF290">
            <v>15.210999999999999</v>
          </cell>
        </row>
      </sheetData>
      <sheetData sheetId="31">
        <row r="290">
          <cell r="CF290">
            <v>982.14599999999996</v>
          </cell>
        </row>
      </sheetData>
      <sheetData sheetId="32">
        <row r="290">
          <cell r="CE290">
            <v>993.51499999999999</v>
          </cell>
        </row>
      </sheetData>
      <sheetData sheetId="33">
        <row r="290">
          <cell r="DC290">
            <v>13.542999999999999</v>
          </cell>
        </row>
      </sheetData>
      <sheetData sheetId="34">
        <row r="290">
          <cell r="FK290">
            <v>14.613</v>
          </cell>
        </row>
      </sheetData>
      <sheetData sheetId="35">
        <row r="37">
          <cell r="B37">
            <v>0</v>
          </cell>
        </row>
      </sheetData>
      <sheetData sheetId="36">
        <row r="266">
          <cell r="D266">
            <v>0</v>
          </cell>
        </row>
      </sheetData>
      <sheetData sheetId="37">
        <row r="4">
          <cell r="B4">
            <v>0</v>
          </cell>
        </row>
      </sheetData>
      <sheetData sheetId="38">
        <row r="266">
          <cell r="D266">
            <v>1E-3</v>
          </cell>
        </row>
      </sheetData>
      <sheetData sheetId="39">
        <row r="4">
          <cell r="B4">
            <v>0</v>
          </cell>
        </row>
      </sheetData>
      <sheetData sheetId="40">
        <row r="266">
          <cell r="D266">
            <v>0</v>
          </cell>
        </row>
      </sheetData>
      <sheetData sheetId="41">
        <row r="266">
          <cell r="D266">
            <v>0</v>
          </cell>
        </row>
      </sheetData>
      <sheetData sheetId="42">
        <row r="290">
          <cell r="EG290">
            <v>1E-3</v>
          </cell>
        </row>
      </sheetData>
      <sheetData sheetId="43">
        <row r="4">
          <cell r="B4">
            <v>0</v>
          </cell>
        </row>
      </sheetData>
      <sheetData sheetId="44">
        <row r="290">
          <cell r="ED290">
            <v>7.9619999999999997</v>
          </cell>
        </row>
      </sheetData>
      <sheetData sheetId="45">
        <row r="4">
          <cell r="B4">
            <v>0</v>
          </cell>
        </row>
      </sheetData>
      <sheetData sheetId="46">
        <row r="290">
          <cell r="ED290">
            <v>1E-3</v>
          </cell>
        </row>
      </sheetData>
      <sheetData sheetId="47">
        <row r="290">
          <cell r="ED290"/>
        </row>
      </sheetData>
      <sheetData sheetId="48">
        <row r="290">
          <cell r="CE290"/>
        </row>
      </sheetData>
      <sheetData sheetId="49">
        <row r="290">
          <cell r="CE290">
            <v>0.49299999999999999</v>
          </cell>
        </row>
      </sheetData>
      <sheetData sheetId="50">
        <row r="290">
          <cell r="BV290">
            <v>16.283999999999999</v>
          </cell>
        </row>
      </sheetData>
      <sheetData sheetId="51">
        <row r="290">
          <cell r="BV290"/>
        </row>
      </sheetData>
      <sheetData sheetId="52">
        <row r="290">
          <cell r="BV290">
            <v>2.0289999999999999</v>
          </cell>
        </row>
      </sheetData>
      <sheetData sheetId="53">
        <row r="290">
          <cell r="BV290"/>
        </row>
      </sheetData>
      <sheetData sheetId="54">
        <row r="290">
          <cell r="CV290"/>
        </row>
      </sheetData>
      <sheetData sheetId="55">
        <row r="290">
          <cell r="CV290"/>
        </row>
      </sheetData>
      <sheetData sheetId="56">
        <row r="290">
          <cell r="CS290"/>
        </row>
      </sheetData>
      <sheetData sheetId="57">
        <row r="290">
          <cell r="CS290">
            <v>939</v>
          </cell>
        </row>
      </sheetData>
      <sheetData sheetId="58">
        <row r="290">
          <cell r="CT290">
            <v>35.073999999999998</v>
          </cell>
        </row>
      </sheetData>
      <sheetData sheetId="59">
        <row r="290">
          <cell r="CT290">
            <v>8.0000000000000002E-3</v>
          </cell>
        </row>
      </sheetData>
      <sheetData sheetId="60">
        <row r="290">
          <cell r="AL290">
            <v>483.06</v>
          </cell>
        </row>
      </sheetData>
      <sheetData sheetId="61">
        <row r="290">
          <cell r="AL290">
            <v>1E-3</v>
          </cell>
        </row>
      </sheetData>
      <sheetData sheetId="62">
        <row r="290">
          <cell r="AL290">
            <v>140.995</v>
          </cell>
        </row>
      </sheetData>
      <sheetData sheetId="63">
        <row r="290">
          <cell r="AL290"/>
        </row>
      </sheetData>
      <sheetData sheetId="64">
        <row r="290">
          <cell r="AL290">
            <v>3.5999999999999997E-2</v>
          </cell>
        </row>
      </sheetData>
      <sheetData sheetId="65">
        <row r="290">
          <cell r="AL290">
            <v>0.93799999999999994</v>
          </cell>
        </row>
      </sheetData>
      <sheetData sheetId="66">
        <row r="243">
          <cell r="D243">
            <v>0</v>
          </cell>
        </row>
      </sheetData>
      <sheetData sheetId="67">
        <row r="243">
          <cell r="D243">
            <v>0</v>
          </cell>
        </row>
      </sheetData>
      <sheetData sheetId="68">
        <row r="243">
          <cell r="D243">
            <v>0</v>
          </cell>
        </row>
      </sheetData>
      <sheetData sheetId="69">
        <row r="243">
          <cell r="D243">
            <v>0</v>
          </cell>
        </row>
      </sheetData>
      <sheetData sheetId="70">
        <row r="243">
          <cell r="D243">
            <v>0</v>
          </cell>
        </row>
      </sheetData>
      <sheetData sheetId="71">
        <row r="243">
          <cell r="D243">
            <v>0</v>
          </cell>
        </row>
      </sheetData>
      <sheetData sheetId="72"/>
      <sheetData sheetId="73"/>
      <sheetData sheetId="7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  <sheetName val="wldsoybal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65">
          <cell r="CF65"/>
          <cell r="CG65"/>
          <cell r="CH65"/>
          <cell r="CI65"/>
        </row>
        <row r="66">
          <cell r="CF66"/>
          <cell r="CG66"/>
          <cell r="CH66"/>
          <cell r="CI66"/>
        </row>
        <row r="67">
          <cell r="CF67"/>
          <cell r="CG67"/>
          <cell r="CH67"/>
          <cell r="CI67"/>
        </row>
        <row r="68">
          <cell r="CF68"/>
          <cell r="CG68"/>
          <cell r="CH68"/>
          <cell r="CI68"/>
        </row>
        <row r="69">
          <cell r="CF69"/>
          <cell r="CG69"/>
          <cell r="CH69"/>
          <cell r="CI69"/>
        </row>
        <row r="70">
          <cell r="CF70"/>
          <cell r="CG70"/>
          <cell r="CH70"/>
          <cell r="CI70"/>
        </row>
        <row r="71">
          <cell r="CF71"/>
          <cell r="CG71"/>
          <cell r="CH71"/>
          <cell r="CI71"/>
        </row>
        <row r="72">
          <cell r="CF72"/>
          <cell r="CG72"/>
          <cell r="CH72"/>
          <cell r="CI72"/>
        </row>
        <row r="73">
          <cell r="CF73">
            <v>2025</v>
          </cell>
          <cell r="CG73"/>
          <cell r="CH73"/>
          <cell r="CI73"/>
        </row>
        <row r="74">
          <cell r="CF74">
            <v>1069.166594</v>
          </cell>
          <cell r="CG74"/>
          <cell r="CH74"/>
          <cell r="CI74"/>
          <cell r="CJ74"/>
        </row>
        <row r="75">
          <cell r="CF75">
            <v>10097</v>
          </cell>
          <cell r="CG75"/>
          <cell r="CH75"/>
          <cell r="CI75"/>
          <cell r="CJ75"/>
        </row>
        <row r="76">
          <cell r="CF76">
            <v>12145.554717085937</v>
          </cell>
          <cell r="CG76"/>
          <cell r="CH76"/>
          <cell r="CI76"/>
          <cell r="CJ76"/>
        </row>
        <row r="77">
          <cell r="CF77">
            <v>14260.45898637927</v>
          </cell>
          <cell r="CG77"/>
          <cell r="CH77"/>
          <cell r="CI77"/>
          <cell r="CJ77"/>
        </row>
        <row r="78">
          <cell r="CG78"/>
          <cell r="CH78"/>
          <cell r="CI78"/>
          <cell r="CJ78"/>
        </row>
        <row r="79">
          <cell r="CG79"/>
          <cell r="CH79"/>
          <cell r="CI79"/>
          <cell r="CJ79"/>
        </row>
        <row r="80">
          <cell r="CG80"/>
        </row>
        <row r="81">
          <cell r="CG81"/>
        </row>
        <row r="82">
          <cell r="CG82"/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315">
          <cell r="BF315">
            <v>87.814823637872067</v>
          </cell>
          <cell r="BG315">
            <v>208.012</v>
          </cell>
          <cell r="BJ315">
            <v>94.047963607216928</v>
          </cell>
          <cell r="BK315">
            <v>105.36119109729765</v>
          </cell>
          <cell r="BL315">
            <v>129.81104161374776</v>
          </cell>
          <cell r="BM315">
            <v>124.49509799266794</v>
          </cell>
          <cell r="BN315">
            <v>111.67037808910901</v>
          </cell>
          <cell r="BO315">
            <v>113.07712343368279</v>
          </cell>
          <cell r="BP315">
            <v>116.88306224843996</v>
          </cell>
          <cell r="BQ315">
            <v>119.1874240039043</v>
          </cell>
          <cell r="BR315">
            <v>117.06260972896939</v>
          </cell>
          <cell r="BS315">
            <v>115.57613152078579</v>
          </cell>
          <cell r="BT315">
            <v>116.3572678951215</v>
          </cell>
          <cell r="BU315">
            <v>117.01330249262691</v>
          </cell>
        </row>
        <row r="316">
          <cell r="BF316">
            <v>194.50235479598098</v>
          </cell>
          <cell r="BG316">
            <v>175.38200000000001</v>
          </cell>
          <cell r="BJ316">
            <v>112.1437270454179</v>
          </cell>
          <cell r="BK316">
            <v>119.0566432270454</v>
          </cell>
          <cell r="BL316">
            <v>125.09437202426317</v>
          </cell>
          <cell r="BM316">
            <v>117.06090166252675</v>
          </cell>
          <cell r="BN316">
            <v>119.05807327850965</v>
          </cell>
          <cell r="BO316">
            <v>118.48280150368468</v>
          </cell>
          <cell r="BP316">
            <v>119.75061244404246</v>
          </cell>
          <cell r="BQ316">
            <v>119.8893553388267</v>
          </cell>
          <cell r="BR316">
            <v>118.84834525738545</v>
          </cell>
          <cell r="BS316">
            <v>119.2058382536259</v>
          </cell>
          <cell r="BT316">
            <v>119.23539258733818</v>
          </cell>
          <cell r="BU316">
            <v>119.38591085262226</v>
          </cell>
        </row>
        <row r="317">
          <cell r="BE317">
            <v>137.71382167443804</v>
          </cell>
          <cell r="BF317">
            <v>176.23605283132994</v>
          </cell>
          <cell r="BG317">
            <v>192.95599999999999</v>
          </cell>
          <cell r="BJ317">
            <v>132.19523348402501</v>
          </cell>
          <cell r="BK317">
            <v>119.71673945312078</v>
          </cell>
          <cell r="BL317">
            <v>121.4763994236497</v>
          </cell>
          <cell r="BM317">
            <v>109.28600014334231</v>
          </cell>
          <cell r="BN317">
            <v>112.4018565004814</v>
          </cell>
          <cell r="BO317">
            <v>119.01524045556964</v>
          </cell>
          <cell r="BP317">
            <v>116.37925453339011</v>
          </cell>
          <cell r="BQ317">
            <v>115.71174830553828</v>
          </cell>
          <cell r="BR317">
            <v>114.55882178397775</v>
          </cell>
          <cell r="BS317">
            <v>115.61338587856399</v>
          </cell>
          <cell r="BT317">
            <v>116.25568997635845</v>
          </cell>
          <cell r="BU317">
            <v>115.7037803690648</v>
          </cell>
        </row>
        <row r="318">
          <cell r="BE318">
            <v>175.68789551638872</v>
          </cell>
          <cell r="BF318">
            <v>225.74351958605928</v>
          </cell>
          <cell r="BG318">
            <v>124.55500000000001</v>
          </cell>
          <cell r="BJ318">
            <v>154.40241027744028</v>
          </cell>
          <cell r="BK318">
            <v>138.34447395523503</v>
          </cell>
          <cell r="BL318">
            <v>127.43439956788154</v>
          </cell>
          <cell r="BM318">
            <v>140.21731680448212</v>
          </cell>
          <cell r="BN318">
            <v>142.10447432396739</v>
          </cell>
          <cell r="BO318">
            <v>140.50057230469258</v>
          </cell>
          <cell r="BP318">
            <v>137.72025120318807</v>
          </cell>
          <cell r="BQ318">
            <v>137.59539338665653</v>
          </cell>
          <cell r="BR318">
            <v>139.62759946920761</v>
          </cell>
          <cell r="BS318">
            <v>139.50965647123334</v>
          </cell>
          <cell r="BT318">
            <v>138.99069190106118</v>
          </cell>
          <cell r="BU318">
            <v>138.68871840247451</v>
          </cell>
        </row>
        <row r="319">
          <cell r="BE319">
            <v>110.57368988044614</v>
          </cell>
          <cell r="BF319">
            <v>189.0876731321994</v>
          </cell>
          <cell r="BG319">
            <v>118.468</v>
          </cell>
          <cell r="BJ319">
            <v>97.037974817822416</v>
          </cell>
          <cell r="BK319">
            <v>103.07343857896196</v>
          </cell>
          <cell r="BL319">
            <v>95.024167521512311</v>
          </cell>
          <cell r="BM319">
            <v>100.75058473400858</v>
          </cell>
          <cell r="BN319">
            <v>96.009953259042135</v>
          </cell>
          <cell r="BO319">
            <v>98.379307099102974</v>
          </cell>
          <cell r="BP319">
            <v>98.64743809472651</v>
          </cell>
          <cell r="BQ319">
            <v>97.762290575742256</v>
          </cell>
          <cell r="BR319">
            <v>98.309950304401241</v>
          </cell>
          <cell r="BS319">
            <v>97.821827706763699</v>
          </cell>
          <cell r="BT319">
            <v>98.184147433114347</v>
          </cell>
          <cell r="BU319">
            <v>98.14511653543164</v>
          </cell>
        </row>
        <row r="320">
          <cell r="BE320">
            <v>109.70405612947468</v>
          </cell>
          <cell r="BF320">
            <v>176.66699471072806</v>
          </cell>
          <cell r="BG320">
            <v>118.056</v>
          </cell>
          <cell r="BJ320">
            <v>104.36709732894143</v>
          </cell>
          <cell r="BK320">
            <v>99.763270740476898</v>
          </cell>
          <cell r="BL320">
            <v>96.35895363847473</v>
          </cell>
          <cell r="BM320">
            <v>106.92568472195509</v>
          </cell>
          <cell r="BN320">
            <v>103.82027710925935</v>
          </cell>
          <cell r="BO320">
            <v>102.24701205572221</v>
          </cell>
          <cell r="BP320">
            <v>101.82298666302698</v>
          </cell>
          <cell r="BQ320">
            <v>102.23493270012456</v>
          </cell>
          <cell r="BR320">
            <v>103.41017556992476</v>
          </cell>
          <cell r="BS320">
            <v>102.70708047387457</v>
          </cell>
          <cell r="BT320">
            <v>102.4844369088048</v>
          </cell>
          <cell r="BU320">
            <v>102.53192048486534</v>
          </cell>
        </row>
        <row r="321">
          <cell r="BE321">
            <v>12.715342211800877</v>
          </cell>
          <cell r="BF321">
            <v>152.71717653081743</v>
          </cell>
          <cell r="BG321">
            <v>207.33600000000001</v>
          </cell>
          <cell r="BJ321">
            <v>113.99765307342734</v>
          </cell>
          <cell r="BK321">
            <v>122.52791572968708</v>
          </cell>
          <cell r="BL321">
            <v>119.52230439191878</v>
          </cell>
          <cell r="BM321">
            <v>109.46646083071343</v>
          </cell>
          <cell r="BN321">
            <v>112.529764532315</v>
          </cell>
          <cell r="BO321">
            <v>115.60872868338785</v>
          </cell>
          <cell r="BP321">
            <v>115.93104962251932</v>
          </cell>
          <cell r="BQ321">
            <v>114.61163414735537</v>
          </cell>
          <cell r="BR321">
            <v>113.62950381253911</v>
          </cell>
          <cell r="BS321">
            <v>114.46213499302945</v>
          </cell>
          <cell r="BT321">
            <v>114.84860558612392</v>
          </cell>
          <cell r="BU321">
            <v>114.69658581197798</v>
          </cell>
        </row>
        <row r="322">
          <cell r="BE322">
            <v>29.288969693803484</v>
          </cell>
          <cell r="BF322">
            <v>103.34946262702745</v>
          </cell>
          <cell r="BG322">
            <v>170.25</v>
          </cell>
          <cell r="BJ322">
            <v>81.407389249270423</v>
          </cell>
          <cell r="BK322">
            <v>89.006521643634898</v>
          </cell>
          <cell r="BL322">
            <v>105.5295683077305</v>
          </cell>
          <cell r="BM322">
            <v>88.023804028594725</v>
          </cell>
          <cell r="BN322">
            <v>88.877062917012466</v>
          </cell>
          <cell r="BO322">
            <v>90.568898596349101</v>
          </cell>
          <cell r="BP322">
            <v>92.401197436989065</v>
          </cell>
          <cell r="BQ322">
            <v>93.080107550748892</v>
          </cell>
          <cell r="BR322">
            <v>90.590211764236457</v>
          </cell>
          <cell r="BS322">
            <v>91.103496049142379</v>
          </cell>
          <cell r="BT322">
            <v>91.54878324632287</v>
          </cell>
          <cell r="BU322">
            <v>91.744760189949091</v>
          </cell>
        </row>
        <row r="323">
          <cell r="BE323">
            <v>9.3976672028478045</v>
          </cell>
          <cell r="BF323">
            <v>148.00934149363081</v>
          </cell>
          <cell r="BG323">
            <v>102.494</v>
          </cell>
          <cell r="BJ323">
            <v>61.956570345384478</v>
          </cell>
          <cell r="BK323">
            <v>62.887642944006096</v>
          </cell>
          <cell r="BL323">
            <v>69.192005571113086</v>
          </cell>
          <cell r="BM323">
            <v>63.060121333186572</v>
          </cell>
          <cell r="BN323">
            <v>69.233787872832082</v>
          </cell>
          <cell r="BO323">
            <v>65.26594649837844</v>
          </cell>
          <cell r="BP323">
            <v>65.927817196924067</v>
          </cell>
          <cell r="BQ323">
            <v>66.536052926939476</v>
          </cell>
          <cell r="BR323">
            <v>66.004743835521438</v>
          </cell>
          <cell r="BS323">
            <v>66.593699515346955</v>
          </cell>
          <cell r="BT323">
            <v>66.0656569644445</v>
          </cell>
          <cell r="BU323">
            <v>66.225599018155506</v>
          </cell>
        </row>
        <row r="324">
          <cell r="BE324">
            <v>29.071408128199522</v>
          </cell>
          <cell r="BF324">
            <v>195.47300000000001</v>
          </cell>
          <cell r="BI324">
            <v>99.94512607978146</v>
          </cell>
          <cell r="BJ324">
            <v>93.431588562034165</v>
          </cell>
          <cell r="BK324">
            <v>97.674846387025184</v>
          </cell>
          <cell r="BL324">
            <v>85.092492230871741</v>
          </cell>
          <cell r="BM324">
            <v>90.002717896849603</v>
          </cell>
          <cell r="BN324">
            <v>89.777287506930776</v>
          </cell>
          <cell r="BO324">
            <v>91.196048395494444</v>
          </cell>
          <cell r="BP324">
            <v>90.748722220829777</v>
          </cell>
          <cell r="BQ324">
            <v>89.363457928779383</v>
          </cell>
          <cell r="BR324">
            <v>90.217639842338258</v>
          </cell>
          <cell r="BS324">
            <v>90.260637192884943</v>
          </cell>
          <cell r="BT324">
            <v>90.357309632548237</v>
          </cell>
          <cell r="BU324">
            <v>90.189549815930889</v>
          </cell>
        </row>
        <row r="325">
          <cell r="BE325">
            <v>170.55312280159106</v>
          </cell>
          <cell r="BF325">
            <v>183.16800000000001</v>
          </cell>
          <cell r="BI325">
            <v>109.00760361504682</v>
          </cell>
          <cell r="BJ325">
            <v>96.388917470306964</v>
          </cell>
          <cell r="BK325">
            <v>92.308809491482279</v>
          </cell>
          <cell r="BL325">
            <v>76.056660527999583</v>
          </cell>
          <cell r="BM325">
            <v>87.018450287722175</v>
          </cell>
          <cell r="BN325">
            <v>88.687738981842969</v>
          </cell>
          <cell r="BO325">
            <v>88.092500278592965</v>
          </cell>
          <cell r="BP325">
            <v>86.432882170084184</v>
          </cell>
          <cell r="BQ325">
            <v>85.25764742980563</v>
          </cell>
          <cell r="BR325">
            <v>87.097839284544591</v>
          </cell>
          <cell r="BS325">
            <v>87.113731158360778</v>
          </cell>
          <cell r="BT325">
            <v>86.798932017796531</v>
          </cell>
          <cell r="BU325">
            <v>86.540201842961778</v>
          </cell>
        </row>
        <row r="326">
          <cell r="BE326">
            <v>131.07880342237269</v>
          </cell>
          <cell r="BF326">
            <v>178.65799999999999</v>
          </cell>
          <cell r="BI326">
            <v>172.63421653063213</v>
          </cell>
          <cell r="BJ326">
            <v>101.05274254574969</v>
          </cell>
          <cell r="BK326">
            <v>92.697649250304266</v>
          </cell>
          <cell r="BL326">
            <v>91.769465418068421</v>
          </cell>
          <cell r="BM326">
            <v>106.12802433623303</v>
          </cell>
          <cell r="BN326">
            <v>108.27502656584426</v>
          </cell>
          <cell r="BO326">
            <v>99.984631343983068</v>
          </cell>
          <cell r="BP326">
            <v>99.77100186395154</v>
          </cell>
          <cell r="BQ326">
            <v>101.18563339396182</v>
          </cell>
          <cell r="BR326">
            <v>103.06887235688274</v>
          </cell>
          <cell r="BS326">
            <v>102.45703260450406</v>
          </cell>
          <cell r="BT326">
            <v>101.29343658797313</v>
          </cell>
          <cell r="BU326">
            <v>101.55519761466051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4">
          <cell r="AG4">
            <v>826.1</v>
          </cell>
        </row>
      </sheetData>
      <sheetData sheetId="87"/>
      <sheetData sheetId="88"/>
      <sheetData sheetId="89"/>
      <sheetData sheetId="90"/>
      <sheetData sheetId="91"/>
      <sheetData sheetId="92">
        <row r="4">
          <cell r="D4">
            <v>125</v>
          </cell>
        </row>
      </sheetData>
      <sheetData sheetId="93"/>
      <sheetData sheetId="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  <sheetName val="soycashprices - HO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K2">
            <v>0.4586926315789473</v>
          </cell>
        </row>
        <row r="147">
          <cell r="BS147">
            <v>3.9603160995399733</v>
          </cell>
        </row>
        <row r="148">
          <cell r="BS148">
            <v>2.1400494052948744</v>
          </cell>
        </row>
        <row r="149">
          <cell r="BS149">
            <v>2.0547740156815948</v>
          </cell>
        </row>
        <row r="150">
          <cell r="BS150">
            <v>5.3496699207392524</v>
          </cell>
        </row>
        <row r="151">
          <cell r="BS151">
            <v>3.6001636561732582</v>
          </cell>
        </row>
        <row r="152">
          <cell r="BS152">
            <v>2.8499216645756107</v>
          </cell>
        </row>
        <row r="153">
          <cell r="BS153">
            <v>4.6502302889112102</v>
          </cell>
        </row>
        <row r="154">
          <cell r="BS154">
            <v>7.0202510906631588</v>
          </cell>
        </row>
        <row r="155">
          <cell r="BS155">
            <v>3.2000950729875655</v>
          </cell>
        </row>
        <row r="156">
          <cell r="BS156">
            <v>4.5998815216395315</v>
          </cell>
        </row>
        <row r="157">
          <cell r="BS157">
            <v>2.8199845597113722</v>
          </cell>
        </row>
        <row r="158">
          <cell r="BS158">
            <v>2.8703333269830367</v>
          </cell>
        </row>
        <row r="159">
          <cell r="AN159">
            <v>50.7916679464455</v>
          </cell>
          <cell r="BS159">
            <v>4.9201178251872548</v>
          </cell>
        </row>
        <row r="160">
          <cell r="AN160">
            <v>46.435553172046355</v>
          </cell>
          <cell r="BS160">
            <v>5.2498795711917978</v>
          </cell>
        </row>
        <row r="161">
          <cell r="AN161">
            <v>45.580988486915217</v>
          </cell>
          <cell r="BS161">
            <v>2.7501313150281632</v>
          </cell>
        </row>
        <row r="162">
          <cell r="AN162">
            <v>44.900214186377532</v>
          </cell>
          <cell r="BS162">
            <v>1.5100094256521075</v>
          </cell>
        </row>
        <row r="163">
          <cell r="AN163">
            <v>42.718585468771217</v>
          </cell>
          <cell r="BS163">
            <v>3.9099673322682946</v>
          </cell>
        </row>
        <row r="164">
          <cell r="AN164">
            <v>39.893093000156256</v>
          </cell>
          <cell r="BS164">
            <v>2.7201942101639105</v>
          </cell>
        </row>
        <row r="165">
          <cell r="AN165">
            <v>39.644243515927656</v>
          </cell>
          <cell r="BS165">
            <v>2.5346748785052498</v>
          </cell>
        </row>
        <row r="166">
          <cell r="AN166">
            <v>40.178889241736108</v>
          </cell>
          <cell r="BS166">
            <v>1.4800723207878761</v>
          </cell>
        </row>
        <row r="167">
          <cell r="AN167">
            <v>41.563402210941796</v>
          </cell>
          <cell r="BS167">
            <v>4.4901121371373378</v>
          </cell>
        </row>
        <row r="168">
          <cell r="AN168">
            <v>42.365287312040095</v>
          </cell>
          <cell r="BS168">
            <v>1.7898759968829125</v>
          </cell>
        </row>
        <row r="169">
          <cell r="AN169">
            <v>40.487570873230972</v>
          </cell>
          <cell r="BS169">
            <v>2.2402933473402697</v>
          </cell>
        </row>
        <row r="170">
          <cell r="AN170">
            <v>38.143182822270674</v>
          </cell>
          <cell r="BS170">
            <v>2.1899445800686053</v>
          </cell>
        </row>
        <row r="171">
          <cell r="AN171">
            <v>39.933949292846904</v>
          </cell>
          <cell r="BS171">
            <v>3.2400112128065501</v>
          </cell>
        </row>
        <row r="172">
          <cell r="AN172">
            <v>41.130759730138678</v>
          </cell>
          <cell r="BS172">
            <v>3.3597596322634899</v>
          </cell>
        </row>
        <row r="173">
          <cell r="AN173">
            <v>39.824919980315045</v>
          </cell>
          <cell r="BS173">
            <v>2.1300703703401282</v>
          </cell>
        </row>
        <row r="174">
          <cell r="AN174">
            <v>39.129156835049287</v>
          </cell>
          <cell r="BS174">
            <v>1.9100780088377931</v>
          </cell>
        </row>
        <row r="175">
          <cell r="AN175">
            <v>39.900694994425351</v>
          </cell>
          <cell r="BS175">
            <v>4.0097576818157492</v>
          </cell>
        </row>
        <row r="176">
          <cell r="AN176">
            <v>39.161203145028949</v>
          </cell>
          <cell r="BS176">
            <v>1.6501695075164875</v>
          </cell>
        </row>
        <row r="177">
          <cell r="AN177">
            <v>37.496677434952574</v>
          </cell>
          <cell r="BS177">
            <v>3.3502341898066916</v>
          </cell>
        </row>
        <row r="178">
          <cell r="AN178">
            <v>34.759151216709355</v>
          </cell>
          <cell r="BS178">
            <v>2.3201256269782249</v>
          </cell>
        </row>
        <row r="179">
          <cell r="AN179">
            <v>34.858696865040812</v>
          </cell>
          <cell r="BS179">
            <v>2.4997482561636417</v>
          </cell>
        </row>
        <row r="180">
          <cell r="AN180">
            <v>34.834946257856842</v>
          </cell>
          <cell r="BS180">
            <v>1.8152771767677223</v>
          </cell>
        </row>
        <row r="181">
          <cell r="AN181">
            <v>35.156593738064856</v>
          </cell>
          <cell r="BS181">
            <v>2.7097615827112236</v>
          </cell>
        </row>
        <row r="182">
          <cell r="AN182">
            <v>35.263641567579391</v>
          </cell>
          <cell r="BS182">
            <v>6.5902454026132453</v>
          </cell>
        </row>
        <row r="183">
          <cell r="AN183">
            <v>32.801843883743636</v>
          </cell>
          <cell r="BS183">
            <v>1.8601828340640729</v>
          </cell>
        </row>
        <row r="184">
          <cell r="AN184">
            <v>30.245184888838093</v>
          </cell>
          <cell r="BS184">
            <v>3.9598625070420219</v>
          </cell>
        </row>
        <row r="185">
          <cell r="AN185">
            <v>30.499967794932651</v>
          </cell>
          <cell r="BS185">
            <v>1.9799312535210092</v>
          </cell>
        </row>
        <row r="186">
          <cell r="AN186">
            <v>32.649386405268366</v>
          </cell>
          <cell r="BS186">
            <v>2.0847111205458297</v>
          </cell>
        </row>
        <row r="187">
          <cell r="AN187">
            <v>31.690175069856487</v>
          </cell>
          <cell r="BS187">
            <v>2.6299293030732684</v>
          </cell>
        </row>
        <row r="188">
          <cell r="AN188">
            <v>29.484419551288159</v>
          </cell>
          <cell r="BS188">
            <v>2.280209487159258</v>
          </cell>
        </row>
        <row r="189">
          <cell r="AN189">
            <v>28.699137539224417</v>
          </cell>
          <cell r="BS189">
            <v>1.0296549703305082</v>
          </cell>
        </row>
        <row r="190">
          <cell r="AN190">
            <v>27.937301939375772</v>
          </cell>
          <cell r="BS190">
            <v>1.4696396933351785</v>
          </cell>
        </row>
        <row r="191">
          <cell r="AN191">
            <v>30.456122680095774</v>
          </cell>
          <cell r="BS191">
            <v>3.8401140875850857</v>
          </cell>
        </row>
        <row r="192">
          <cell r="AN192">
            <v>30.585152466046338</v>
          </cell>
          <cell r="BS192">
            <v>1.9499941486567778</v>
          </cell>
        </row>
        <row r="193">
          <cell r="AN193">
            <v>30.779879725413252</v>
          </cell>
          <cell r="BS193">
            <v>3.3602132247614307</v>
          </cell>
        </row>
        <row r="194">
          <cell r="AN194">
            <v>29.500963740818396</v>
          </cell>
          <cell r="BS194">
            <v>2.5197063260731305</v>
          </cell>
        </row>
        <row r="195">
          <cell r="AN195">
            <v>30.715696386954317</v>
          </cell>
          <cell r="BS195">
            <v>1.1398779473306533</v>
          </cell>
        </row>
        <row r="196">
          <cell r="AN196">
            <v>31.058136043276363</v>
          </cell>
          <cell r="BS196">
            <v>2.8000264898018834</v>
          </cell>
        </row>
        <row r="197">
          <cell r="AN197">
            <v>32.917574769647366</v>
          </cell>
          <cell r="BS197">
            <v>2.0148578758626101</v>
          </cell>
        </row>
        <row r="198">
          <cell r="AN198">
            <v>32.422266540596596</v>
          </cell>
          <cell r="BS198">
            <v>2.0497844982042253</v>
          </cell>
        </row>
        <row r="199">
          <cell r="AN199">
            <v>31.93338812730709</v>
          </cell>
          <cell r="BS199">
            <v>2.2652409347271387</v>
          </cell>
        </row>
        <row r="200">
          <cell r="AN200">
            <v>31.426726500769266</v>
          </cell>
          <cell r="BS200">
            <v>1.7100437172449539</v>
          </cell>
        </row>
        <row r="201">
          <cell r="AN201">
            <v>33.913647204497074</v>
          </cell>
          <cell r="BS201">
            <v>4.0800645189969131</v>
          </cell>
        </row>
        <row r="202">
          <cell r="AN202">
            <v>34.031122752454571</v>
          </cell>
          <cell r="BS202">
            <v>2.0602171256569122</v>
          </cell>
        </row>
        <row r="203">
          <cell r="AN203">
            <v>35.287228377472431</v>
          </cell>
          <cell r="BS203">
            <v>2.2298607198875828</v>
          </cell>
        </row>
        <row r="204">
          <cell r="AN204">
            <v>35.890982671859391</v>
          </cell>
          <cell r="BS204">
            <v>3.1601789331685808</v>
          </cell>
        </row>
        <row r="205">
          <cell r="AN205">
            <v>37.791202205853743</v>
          </cell>
          <cell r="BS205">
            <v>2.8199845597113651</v>
          </cell>
        </row>
        <row r="206">
          <cell r="AN206">
            <v>36.207182002175422</v>
          </cell>
          <cell r="BS206">
            <v>4.0097576818157492</v>
          </cell>
        </row>
        <row r="207">
          <cell r="AN207">
            <v>34.407285613374732</v>
          </cell>
          <cell r="BS207">
            <v>2.6698454428922531</v>
          </cell>
        </row>
        <row r="208">
          <cell r="AN208">
            <v>32.209747603815167</v>
          </cell>
          <cell r="BS208">
            <v>4.0700854840421634</v>
          </cell>
        </row>
        <row r="209">
          <cell r="AN209">
            <v>31.659118383509238</v>
          </cell>
          <cell r="BS209">
            <v>1.1199198774211681</v>
          </cell>
        </row>
        <row r="210">
          <cell r="AN210">
            <v>33.416703634455246</v>
          </cell>
          <cell r="BS210">
            <v>1.4900513557426152</v>
          </cell>
        </row>
        <row r="211">
          <cell r="AN211">
            <v>33.453671423037605</v>
          </cell>
          <cell r="BS211">
            <v>1.2201638194665563</v>
          </cell>
        </row>
        <row r="212">
          <cell r="AN212">
            <v>33.540489027143892</v>
          </cell>
          <cell r="BS212">
            <v>1.3149646515366342</v>
          </cell>
        </row>
        <row r="213">
          <cell r="AN213">
            <v>34.312045742576693</v>
          </cell>
          <cell r="BS213">
            <v>1.749959857063935</v>
          </cell>
        </row>
        <row r="214">
          <cell r="AN214">
            <v>35.222432689141272</v>
          </cell>
          <cell r="BS214">
            <v>2.260251417249755</v>
          </cell>
        </row>
        <row r="215">
          <cell r="AN215">
            <v>35.090693228006558</v>
          </cell>
          <cell r="BS215">
            <v>2.1600074752043668</v>
          </cell>
        </row>
        <row r="216">
          <cell r="AN216">
            <v>35.52780519852427</v>
          </cell>
          <cell r="BS216">
            <v>1.4301771460141453</v>
          </cell>
        </row>
        <row r="217">
          <cell r="AN217">
            <v>34.351276067901175</v>
          </cell>
          <cell r="BS217">
            <v>1.2051952670344406</v>
          </cell>
        </row>
        <row r="218">
          <cell r="AN218">
            <v>34.716803411845007</v>
          </cell>
          <cell r="BS218">
            <v>1.6401904725617413</v>
          </cell>
        </row>
        <row r="219">
          <cell r="AN219">
            <v>34.257226542290539</v>
          </cell>
          <cell r="BS219">
            <v>1.6701275774259727</v>
          </cell>
        </row>
        <row r="220">
          <cell r="AN220">
            <v>34.004967745037476</v>
          </cell>
          <cell r="BS220">
            <v>1.1598360172401456</v>
          </cell>
        </row>
        <row r="221">
          <cell r="AN221">
            <v>34.173324568971346</v>
          </cell>
          <cell r="BS221">
            <v>1.6596949499732858</v>
          </cell>
        </row>
        <row r="222">
          <cell r="AN222">
            <v>32.309643104350769</v>
          </cell>
          <cell r="BS222">
            <v>2.4099369415709369</v>
          </cell>
        </row>
        <row r="223">
          <cell r="AN223">
            <v>30.781648736155226</v>
          </cell>
          <cell r="BS223">
            <v>1.0700247026474443</v>
          </cell>
        </row>
        <row r="224">
          <cell r="AN224">
            <v>29.823411904625818</v>
          </cell>
          <cell r="BS224">
            <v>1.569883635380581</v>
          </cell>
        </row>
        <row r="225">
          <cell r="AN225">
            <v>29.053486060401539</v>
          </cell>
          <cell r="BS225">
            <v>0.66995611946174449</v>
          </cell>
        </row>
        <row r="226">
          <cell r="AN226">
            <v>29.023808306271768</v>
          </cell>
          <cell r="BS226">
            <v>2.1051227829532735</v>
          </cell>
        </row>
        <row r="227">
          <cell r="AN227">
            <v>29.687855786615579</v>
          </cell>
          <cell r="BS227">
            <v>1.7000646822902077</v>
          </cell>
        </row>
        <row r="228">
          <cell r="AN228">
            <v>28.699659170597052</v>
          </cell>
          <cell r="BS228">
            <v>1.3303867964666942</v>
          </cell>
        </row>
        <row r="229">
          <cell r="AN229">
            <v>28.099097663403924</v>
          </cell>
          <cell r="BS229">
            <v>2.2897349296160492</v>
          </cell>
        </row>
        <row r="230">
          <cell r="AN230">
            <v>29.438714707209719</v>
          </cell>
          <cell r="BS230">
            <v>4.5998815216395421</v>
          </cell>
        </row>
        <row r="231">
          <cell r="AN231">
            <v>30.856310061316638</v>
          </cell>
          <cell r="BS231">
            <v>1.6996110897922669</v>
          </cell>
        </row>
        <row r="232">
          <cell r="AN232">
            <v>29.011728421852862</v>
          </cell>
          <cell r="BS232">
            <v>2.3301046619329746</v>
          </cell>
        </row>
        <row r="233">
          <cell r="AN233">
            <v>28.575921524487153</v>
          </cell>
          <cell r="BS233">
            <v>1.1797940871496309</v>
          </cell>
        </row>
        <row r="234">
          <cell r="AN234">
            <v>28.891574156476715</v>
          </cell>
          <cell r="BS234">
            <v>1.9599731836115168</v>
          </cell>
        </row>
        <row r="235">
          <cell r="AN235">
            <v>28.655076067965904</v>
          </cell>
          <cell r="BS235">
            <v>1.8502037991093339</v>
          </cell>
        </row>
        <row r="236">
          <cell r="AN236">
            <v>29.01515543254127</v>
          </cell>
          <cell r="BS236">
            <v>2.4602857088426013</v>
          </cell>
        </row>
        <row r="237">
          <cell r="AN237">
            <v>30.460205012577251</v>
          </cell>
          <cell r="BS237">
            <v>1.620232402652249</v>
          </cell>
        </row>
        <row r="238">
          <cell r="AN238">
            <v>30.305127137441247</v>
          </cell>
          <cell r="BS238">
            <v>1.5998207402448195</v>
          </cell>
        </row>
        <row r="239">
          <cell r="AN239">
            <v>30.04242079512127</v>
          </cell>
          <cell r="BS239">
            <v>0.97023435309998618</v>
          </cell>
        </row>
        <row r="240">
          <cell r="AN240">
            <v>31.627023398545134</v>
          </cell>
          <cell r="BS240">
            <v>1.6401904725617342</v>
          </cell>
        </row>
        <row r="241">
          <cell r="AN241">
            <v>34.389115231545368</v>
          </cell>
          <cell r="BS241">
            <v>6.0599957725179223</v>
          </cell>
        </row>
        <row r="242">
          <cell r="AN242">
            <v>35.965910752608877</v>
          </cell>
          <cell r="BS242">
            <v>5.2099634313728203</v>
          </cell>
        </row>
        <row r="243">
          <cell r="AN243">
            <v>32.325642912667902</v>
          </cell>
          <cell r="BS243">
            <v>4.4302379274088715</v>
          </cell>
        </row>
        <row r="244">
          <cell r="AN244">
            <v>27.673296326870016</v>
          </cell>
          <cell r="BS244">
            <v>4.4501959973183602</v>
          </cell>
        </row>
        <row r="245">
          <cell r="AN245">
            <v>26.527132542449454</v>
          </cell>
          <cell r="BS245">
            <v>1.9899102884757625</v>
          </cell>
        </row>
        <row r="246">
          <cell r="AN246">
            <v>26.691196948955422</v>
          </cell>
          <cell r="BS246">
            <v>3.7598282154491791</v>
          </cell>
        </row>
        <row r="247">
          <cell r="AN247">
            <v>29.864897258491265</v>
          </cell>
          <cell r="BS247">
            <v>1.7699179269734238</v>
          </cell>
        </row>
        <row r="248">
          <cell r="AN248">
            <v>32.299664069396023</v>
          </cell>
          <cell r="BS248">
            <v>5.3002283384634659</v>
          </cell>
        </row>
        <row r="249">
          <cell r="AN249" t="e">
            <v>#VALUE!</v>
          </cell>
          <cell r="BS249">
            <v>2.2103562424760312</v>
          </cell>
        </row>
        <row r="250">
          <cell r="AN250">
            <v>36.221607323592153</v>
          </cell>
          <cell r="BS250">
            <v>3.860072157494578</v>
          </cell>
        </row>
        <row r="251">
          <cell r="AN251">
            <v>37.058291085512089</v>
          </cell>
          <cell r="BS251">
            <v>3.4999197141278628</v>
          </cell>
        </row>
        <row r="252">
          <cell r="AN252">
            <v>42.261785992290172</v>
          </cell>
          <cell r="BS252">
            <v>7.7700394897628726</v>
          </cell>
        </row>
        <row r="253">
          <cell r="AN253" t="e">
            <v>#VALUE!</v>
          </cell>
          <cell r="BS253">
            <v>4.9999501048252242</v>
          </cell>
        </row>
        <row r="254">
          <cell r="AN254">
            <v>47.035248874611824</v>
          </cell>
          <cell r="BS254">
            <v>7.0801253003916429</v>
          </cell>
        </row>
        <row r="255">
          <cell r="AN255">
            <v>48.333556601640666</v>
          </cell>
          <cell r="BS255">
            <v>5.5701158747395212</v>
          </cell>
        </row>
        <row r="256">
          <cell r="AN256">
            <v>54.543693781848901</v>
          </cell>
          <cell r="BS256">
            <v>6.9299861835725167</v>
          </cell>
        </row>
        <row r="257">
          <cell r="AN257">
            <v>55.93274039722003</v>
          </cell>
          <cell r="BS257">
            <v>10.199934501243291</v>
          </cell>
        </row>
        <row r="258">
          <cell r="AN258">
            <v>61.735324947113639</v>
          </cell>
          <cell r="BS258">
            <v>4.2302036358160322</v>
          </cell>
        </row>
        <row r="259">
          <cell r="AN259" t="e">
            <v>#VALUE!</v>
          </cell>
          <cell r="BS259">
            <v>11.670027787076421</v>
          </cell>
        </row>
        <row r="260">
          <cell r="AN260">
            <v>56.571278756306391</v>
          </cell>
          <cell r="BS260">
            <v>10.42990589770038</v>
          </cell>
        </row>
        <row r="261">
          <cell r="AN261">
            <v>58.882289334040266</v>
          </cell>
          <cell r="BS261">
            <v>5.8000872711966096</v>
          </cell>
        </row>
        <row r="262">
          <cell r="AN262">
            <v>58.978962462416774</v>
          </cell>
          <cell r="BS262">
            <v>3.1801370030780802</v>
          </cell>
        </row>
        <row r="263">
          <cell r="AN263" t="e">
            <v>#VALUE!</v>
          </cell>
        </row>
        <row r="264">
          <cell r="AN264">
            <v>63.080806293928539</v>
          </cell>
        </row>
        <row r="265">
          <cell r="AN265">
            <v>60.798404443029241</v>
          </cell>
        </row>
        <row r="266">
          <cell r="AN266" t="e">
            <v>#VALUE!</v>
          </cell>
        </row>
        <row r="267">
          <cell r="AN267">
            <v>69.097774441246855</v>
          </cell>
        </row>
        <row r="268">
          <cell r="AN268">
            <v>80.744691747394242</v>
          </cell>
        </row>
        <row r="269">
          <cell r="AN269">
            <v>83.477277331562121</v>
          </cell>
        </row>
        <row r="270">
          <cell r="AN270">
            <v>84.866082067106007</v>
          </cell>
        </row>
        <row r="271">
          <cell r="AN271">
            <v>72.420383824787862</v>
          </cell>
        </row>
        <row r="272">
          <cell r="AN272">
            <v>59.17701537950726</v>
          </cell>
        </row>
        <row r="273">
          <cell r="AN273">
            <v>61.974920293489191</v>
          </cell>
        </row>
        <row r="274">
          <cell r="AN274">
            <v>53.194833400011433</v>
          </cell>
        </row>
        <row r="275">
          <cell r="AN275">
            <v>58.143467869345699</v>
          </cell>
        </row>
        <row r="276">
          <cell r="AN276">
            <v>62.264392716755992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tblSAFFeedstock"/>
      <sheetName val="DataDepotMetaData"/>
    </sheetNames>
    <sheetDataSet>
      <sheetData sheetId="0"/>
      <sheetData sheetId="1"/>
      <sheetData sheetId="2"/>
      <sheetData sheetId="3">
        <row r="354">
          <cell r="AV354">
            <v>3187.4999999999995</v>
          </cell>
        </row>
      </sheetData>
      <sheetData sheetId="4"/>
      <sheetData sheetId="5">
        <row r="3">
          <cell r="AK3" t="str">
            <v xml:space="preserve">95/96 </v>
          </cell>
        </row>
        <row r="578">
          <cell r="BC578">
            <v>40.701500000000003</v>
          </cell>
          <cell r="BD578">
            <v>32.722099999999998</v>
          </cell>
          <cell r="BE578">
            <v>27.884</v>
          </cell>
          <cell r="BF578">
            <v>35.036200000000001</v>
          </cell>
          <cell r="BG578">
            <v>34.409999999999997</v>
          </cell>
          <cell r="BH578">
            <v>27.69</v>
          </cell>
          <cell r="BI578">
            <v>30.957999999999998</v>
          </cell>
          <cell r="BJ578">
            <v>36.862499999999997</v>
          </cell>
          <cell r="BK578">
            <v>59.234761904761896</v>
          </cell>
          <cell r="BL578">
            <v>74.968095238095245</v>
          </cell>
          <cell r="BM578">
            <v>51.671428571428564</v>
          </cell>
          <cell r="BN578">
            <v>44.668500000000002</v>
          </cell>
        </row>
        <row r="579">
          <cell r="BC579">
            <v>39.681399999999996</v>
          </cell>
          <cell r="BD579">
            <v>32.059100000000001</v>
          </cell>
          <cell r="BE579">
            <v>30.822700000000001</v>
          </cell>
          <cell r="BF579">
            <v>36.395699999999998</v>
          </cell>
          <cell r="BG579">
            <v>33.14</v>
          </cell>
          <cell r="BH579">
            <v>28.32</v>
          </cell>
          <cell r="BI579">
            <v>32.689523809523813</v>
          </cell>
          <cell r="BJ579">
            <v>39.571363636363643</v>
          </cell>
          <cell r="BK579">
            <v>55.209545454545463</v>
          </cell>
          <cell r="BL579">
            <v>64.203809523809525</v>
          </cell>
          <cell r="BM579">
            <v>49.773000000000003</v>
          </cell>
          <cell r="BN579">
            <v>41.116190476190482</v>
          </cell>
          <cell r="BO579" t="e">
            <v>#REF!</v>
          </cell>
          <cell r="BP579" t="e">
            <v>#REF!</v>
          </cell>
          <cell r="BQ579" t="e">
            <v>#REF!</v>
          </cell>
        </row>
        <row r="580">
          <cell r="BC580">
            <v>37.824300000000001</v>
          </cell>
          <cell r="BD580">
            <v>32.186</v>
          </cell>
          <cell r="BE580">
            <v>30.012599999999999</v>
          </cell>
          <cell r="BF580">
            <v>35.111499999999999</v>
          </cell>
          <cell r="BG580">
            <v>32.950000000000003</v>
          </cell>
          <cell r="BH580">
            <v>29.000952380952373</v>
          </cell>
          <cell r="BI580">
            <v>33.150952380952383</v>
          </cell>
          <cell r="BJ580">
            <v>43.154210526315786</v>
          </cell>
          <cell r="BK580">
            <v>60.679999999999993</v>
          </cell>
          <cell r="BL580">
            <v>62.383999999999993</v>
          </cell>
          <cell r="BM580">
            <v>47.540476190476184</v>
          </cell>
          <cell r="BN580">
            <v>46.11</v>
          </cell>
          <cell r="BO580" t="e">
            <v>#REF!</v>
          </cell>
          <cell r="BP580" t="e">
            <v>#REF!</v>
          </cell>
          <cell r="BQ580" t="e">
            <v>#REF!</v>
          </cell>
        </row>
        <row r="581">
          <cell r="BC581">
            <v>39.628399999999999</v>
          </cell>
          <cell r="BD581">
            <v>31.657900000000001</v>
          </cell>
          <cell r="BE581">
            <v>31.157499999999999</v>
          </cell>
          <cell r="BF581">
            <v>33.698399999999999</v>
          </cell>
          <cell r="BG581">
            <v>32.18</v>
          </cell>
          <cell r="BH581">
            <v>30.23</v>
          </cell>
          <cell r="BI581">
            <v>30.248421052631581</v>
          </cell>
          <cell r="BJ581">
            <v>46.94631578947368</v>
          </cell>
          <cell r="BK581">
            <v>67.012631578947364</v>
          </cell>
          <cell r="BL581">
            <v>60.783157894736839</v>
          </cell>
          <cell r="BM581">
            <v>45.639999999999993</v>
          </cell>
          <cell r="BN581">
            <v>45.823157894736845</v>
          </cell>
          <cell r="BO581" t="e">
            <v>#REF!</v>
          </cell>
          <cell r="BP581" t="e">
            <v>#REF!</v>
          </cell>
          <cell r="BQ581" t="e">
            <v>#REF!</v>
          </cell>
        </row>
        <row r="582">
          <cell r="BC582">
            <v>42.230499999999999</v>
          </cell>
          <cell r="BD582">
            <v>31.072299999999998</v>
          </cell>
          <cell r="BE582">
            <v>32.476399999999998</v>
          </cell>
          <cell r="BF582">
            <v>32.93</v>
          </cell>
          <cell r="BG582">
            <v>31.85</v>
          </cell>
          <cell r="BH582">
            <v>29.38</v>
          </cell>
          <cell r="BI582">
            <v>27.017727272727271</v>
          </cell>
          <cell r="BJ582">
            <v>53.370000000000012</v>
          </cell>
          <cell r="BK582">
            <v>74.006521739130449</v>
          </cell>
          <cell r="BL582">
            <v>56.891304347826086</v>
          </cell>
          <cell r="BM582">
            <v>47.468999999999994</v>
          </cell>
          <cell r="BN582" t="e">
            <v>#REF!</v>
          </cell>
          <cell r="BO582" t="e">
            <v>#REF!</v>
          </cell>
          <cell r="BP582" t="e">
            <v>#REF!</v>
          </cell>
          <cell r="BQ582" t="e">
            <v>#REF!</v>
          </cell>
        </row>
        <row r="583">
          <cell r="BB583">
            <v>49.2941</v>
          </cell>
          <cell r="BC583">
            <v>42.37</v>
          </cell>
          <cell r="BD583">
            <v>31.373799999999999</v>
          </cell>
          <cell r="BE583">
            <v>33.9529</v>
          </cell>
          <cell r="BF583">
            <v>31.538399999999999</v>
          </cell>
          <cell r="BG583">
            <v>31.35</v>
          </cell>
          <cell r="BH583">
            <v>28.556666666666668</v>
          </cell>
          <cell r="BI583">
            <v>26.202857142857148</v>
          </cell>
          <cell r="BJ583">
            <v>58.235714285714302</v>
          </cell>
          <cell r="BK583">
            <v>79.201999999999998</v>
          </cell>
          <cell r="BL583">
            <v>53.917894736842108</v>
          </cell>
          <cell r="BM583">
            <v>46.189999999999991</v>
          </cell>
          <cell r="BN583" t="e">
            <v>#REF!</v>
          </cell>
          <cell r="BO583" t="e">
            <v>#REF!</v>
          </cell>
          <cell r="BP583" t="e">
            <v>#REF!</v>
          </cell>
          <cell r="BQ583" t="e">
            <v>#REF!</v>
          </cell>
        </row>
        <row r="584">
          <cell r="BB584">
            <v>49.1768</v>
          </cell>
          <cell r="BC584">
            <v>40.6248</v>
          </cell>
          <cell r="BD584">
            <v>32.587499999999999</v>
          </cell>
          <cell r="BE584">
            <v>32.2057</v>
          </cell>
          <cell r="BF584">
            <v>32.490900000000003</v>
          </cell>
          <cell r="BG584">
            <v>31</v>
          </cell>
          <cell r="BH584">
            <v>27.230454545454549</v>
          </cell>
          <cell r="BI584">
            <v>26.708999999999996</v>
          </cell>
          <cell r="BJ584">
            <v>65.639500000000012</v>
          </cell>
          <cell r="BK584">
            <v>81.004761904761907</v>
          </cell>
          <cell r="BL584">
            <v>49.765454545454553</v>
          </cell>
          <cell r="BM584">
            <v>44.612272727272725</v>
          </cell>
          <cell r="BN584" t="e">
            <v>#REF!</v>
          </cell>
          <cell r="BO584" t="e">
            <v>#REF!</v>
          </cell>
          <cell r="BP584" t="e">
            <v>#REF!</v>
          </cell>
          <cell r="BQ584" t="e">
            <v>#REF!</v>
          </cell>
        </row>
        <row r="585">
          <cell r="BB585">
            <v>48.017000000000003</v>
          </cell>
          <cell r="BC585">
            <v>39.533799999999999</v>
          </cell>
          <cell r="BD585">
            <v>33.476799999999997</v>
          </cell>
          <cell r="BE585">
            <v>31.914999999999999</v>
          </cell>
          <cell r="BF585">
            <v>31.970500000000001</v>
          </cell>
          <cell r="BG585">
            <v>29.82</v>
          </cell>
          <cell r="BH585">
            <v>27.85</v>
          </cell>
          <cell r="BI585">
            <v>27.891363636363643</v>
          </cell>
          <cell r="BJ585">
            <v>65.243181818181839</v>
          </cell>
          <cell r="BK585">
            <v>76.33</v>
          </cell>
          <cell r="BL585">
            <v>55.860952380952369</v>
          </cell>
          <cell r="BM585">
            <v>43.706842105263163</v>
          </cell>
          <cell r="BN585" t="e">
            <v>#REF!</v>
          </cell>
          <cell r="BO585" t="e">
            <v>#REF!</v>
          </cell>
          <cell r="BP585" t="e">
            <v>#REF!</v>
          </cell>
          <cell r="BQ585" t="e">
            <v>#REF!</v>
          </cell>
        </row>
        <row r="586">
          <cell r="BB586">
            <v>45.387300000000003</v>
          </cell>
          <cell r="BC586">
            <v>36.954099999999997</v>
          </cell>
          <cell r="BD586">
            <v>31.6023</v>
          </cell>
          <cell r="BE586">
            <v>30.401499999999999</v>
          </cell>
          <cell r="BF586">
            <v>33.548499999999997</v>
          </cell>
          <cell r="BG586">
            <v>28.36</v>
          </cell>
          <cell r="BH586">
            <v>28.054999999999996</v>
          </cell>
          <cell r="BI586">
            <v>29.206818181818178</v>
          </cell>
          <cell r="BJ586">
            <v>64.936190476190475</v>
          </cell>
          <cell r="BK586">
            <v>61.398000000000003</v>
          </cell>
          <cell r="BL586">
            <v>66.389999999999972</v>
          </cell>
          <cell r="BM586">
            <v>46.263181818181813</v>
          </cell>
          <cell r="BN586" t="e">
            <v>#REF!</v>
          </cell>
          <cell r="BO586" t="e">
            <v>#REF!</v>
          </cell>
          <cell r="BP586" t="e">
            <v>#REF!</v>
          </cell>
          <cell r="BQ586" t="e">
            <v>#REF!</v>
          </cell>
        </row>
        <row r="587">
          <cell r="BB587">
            <v>42.8673</v>
          </cell>
          <cell r="BC587">
            <v>33.855699999999999</v>
          </cell>
          <cell r="BD587">
            <v>28.573799999999999</v>
          </cell>
          <cell r="BE587">
            <v>32.326999999999998</v>
          </cell>
          <cell r="BF587">
            <v>33.869999999999997</v>
          </cell>
          <cell r="BG587">
            <v>28.33</v>
          </cell>
          <cell r="BH587">
            <v>28.569999999999997</v>
          </cell>
          <cell r="BI587">
            <v>31.59238095238096</v>
          </cell>
          <cell r="BJ587">
            <v>61.464090909090899</v>
          </cell>
          <cell r="BK587">
            <v>67.486956521739117</v>
          </cell>
          <cell r="BL587">
            <v>65.607391304347829</v>
          </cell>
          <cell r="BM587">
            <v>41.318181818181813</v>
          </cell>
          <cell r="BN587" t="e">
            <v>#REF!</v>
          </cell>
          <cell r="BO587" t="e">
            <v>#REF!</v>
          </cell>
          <cell r="BP587" t="e">
            <v>#REF!</v>
          </cell>
          <cell r="BQ587" t="e">
            <v>#REF!</v>
          </cell>
        </row>
        <row r="588">
          <cell r="BB588">
            <v>42.445500000000003</v>
          </cell>
          <cell r="BC588">
            <v>32.299500000000002</v>
          </cell>
          <cell r="BD588">
            <v>26.809000000000001</v>
          </cell>
          <cell r="BE588">
            <v>32.812899999999999</v>
          </cell>
          <cell r="BF588">
            <v>34.28</v>
          </cell>
          <cell r="BG588">
            <v>28.26</v>
          </cell>
          <cell r="BH588">
            <v>29.063000000000006</v>
          </cell>
          <cell r="BI588">
            <v>33.51047619047619</v>
          </cell>
          <cell r="BJ588">
            <v>57.204761904761902</v>
          </cell>
          <cell r="BK588">
            <v>66.873333333333335</v>
          </cell>
          <cell r="BL588">
            <v>61.316499999999984</v>
          </cell>
          <cell r="BM588">
            <v>41.493000000000002</v>
          </cell>
          <cell r="BN588" t="e">
            <v>#REF!</v>
          </cell>
          <cell r="BO588" t="e">
            <v>#REF!</v>
          </cell>
          <cell r="BP588" t="e">
            <v>#REF!</v>
          </cell>
          <cell r="BQ588" t="e">
            <v>#REF!</v>
          </cell>
        </row>
        <row r="589">
          <cell r="BB589"/>
          <cell r="BC589">
            <v>39.474245454545446</v>
          </cell>
          <cell r="BL589">
            <v>61.751485971486389</v>
          </cell>
          <cell r="BM589">
            <v>47.095687731726002</v>
          </cell>
          <cell r="BN589" t="e">
            <v>#REF!</v>
          </cell>
          <cell r="BO589" t="e">
            <v>#REF!</v>
          </cell>
          <cell r="BP589" t="e">
            <v>#REF!</v>
          </cell>
          <cell r="BQ589" t="e">
            <v>#REF!</v>
          </cell>
        </row>
        <row r="590">
          <cell r="BK590">
            <v>3.8227239903642669</v>
          </cell>
          <cell r="BL590">
            <v>4.6525525404720298</v>
          </cell>
          <cell r="BM590">
            <v>1.7620290412670769</v>
          </cell>
          <cell r="BN590" t="e">
            <v>#REF!</v>
          </cell>
          <cell r="BO590" t="e">
            <v>#REF!</v>
          </cell>
          <cell r="BP590" t="e">
            <v>#REF!</v>
          </cell>
          <cell r="BQ590" t="e">
            <v>#REF!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AK10">
            <v>557.98277340959999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64">
          <cell r="O64">
            <v>232.10982552800735</v>
          </cell>
        </row>
      </sheetData>
      <sheetData sheetId="32"/>
      <sheetData sheetId="33">
        <row r="4">
          <cell r="D4"/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3">
          <cell r="A3" t="str">
            <v>Carryin (October 1)</v>
          </cell>
        </row>
        <row r="309">
          <cell r="X309">
            <v>21.659099999999999</v>
          </cell>
          <cell r="Y309">
            <v>27.476199999999999</v>
          </cell>
          <cell r="Z309">
            <v>26.931799999999999</v>
          </cell>
          <cell r="AA309">
            <v>29.469816556685242</v>
          </cell>
          <cell r="AB309">
            <v>31.250253797572228</v>
          </cell>
          <cell r="AC309">
            <v>31.439622715979169</v>
          </cell>
          <cell r="AD309">
            <v>31.691614488142154</v>
          </cell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</row>
        <row r="310">
          <cell r="X310">
            <v>19</v>
          </cell>
          <cell r="Y310">
            <v>30.875</v>
          </cell>
          <cell r="Z310">
            <v>25.75</v>
          </cell>
          <cell r="AA310">
            <v>31.935029084763528</v>
          </cell>
          <cell r="AB310">
            <v>32.164072566338973</v>
          </cell>
          <cell r="AC310">
            <v>32.772333981147938</v>
          </cell>
          <cell r="AD310">
            <v>32.47477933654406</v>
          </cell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</row>
        <row r="311">
          <cell r="X311">
            <v>19</v>
          </cell>
          <cell r="Y311">
            <v>31.238099999999999</v>
          </cell>
          <cell r="Z311">
            <v>26</v>
          </cell>
          <cell r="AA311">
            <v>34.742555357556213</v>
          </cell>
          <cell r="AB311">
            <v>33.03933154420892</v>
          </cell>
          <cell r="AC311">
            <v>33.610825774435185</v>
          </cell>
          <cell r="AD311">
            <v>33.511889639306609</v>
          </cell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</row>
        <row r="312">
          <cell r="X312">
            <v>22.921099999999999</v>
          </cell>
          <cell r="Y312">
            <v>30.7</v>
          </cell>
          <cell r="Z312">
            <v>27.23201674185534</v>
          </cell>
          <cell r="AA312">
            <v>34.480934220108558</v>
          </cell>
          <cell r="AB312">
            <v>32.01452653754815</v>
          </cell>
          <cell r="AC312">
            <v>32.353725530674943</v>
          </cell>
          <cell r="AD312">
            <v>32.77003845976121</v>
          </cell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</row>
        <row r="313">
          <cell r="X313">
            <v>26.137499999999999</v>
          </cell>
          <cell r="Y313">
            <v>30.447399999999998</v>
          </cell>
          <cell r="Z313">
            <v>31.087210655008054</v>
          </cell>
          <cell r="AA313">
            <v>36.680664212186819</v>
          </cell>
          <cell r="AB313">
            <v>34.304794768748174</v>
          </cell>
          <cell r="AC313">
            <v>34.423403904160104</v>
          </cell>
          <cell r="AD313">
            <v>35.623894906182734</v>
          </cell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</row>
        <row r="314">
          <cell r="X314">
            <v>29.545500000000001</v>
          </cell>
          <cell r="Y314">
            <v>29.706499999999998</v>
          </cell>
          <cell r="Z314">
            <v>27.58200195088979</v>
          </cell>
          <cell r="AA314">
            <v>36.303447442492917</v>
          </cell>
          <cell r="AB314">
            <v>32.056053098634514</v>
          </cell>
          <cell r="AC314">
            <v>31.983181733955426</v>
          </cell>
          <cell r="AD314">
            <v>33.490268840981827</v>
          </cell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</row>
        <row r="315">
          <cell r="X315">
            <v>33</v>
          </cell>
          <cell r="Y315">
            <v>30.092099999999999</v>
          </cell>
          <cell r="Z315">
            <v>28.241372710946472</v>
          </cell>
          <cell r="AA315">
            <v>36.134784617325288</v>
          </cell>
          <cell r="AB315">
            <v>32.959352614480011</v>
          </cell>
          <cell r="AC315">
            <v>33.19976640997929</v>
          </cell>
          <cell r="AD315">
            <v>35.099657640746521</v>
          </cell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</row>
        <row r="316">
          <cell r="X316">
            <v>32.428600000000003</v>
          </cell>
          <cell r="Y316">
            <v>33.204500000000003</v>
          </cell>
          <cell r="Z316">
            <v>24.698782812213185</v>
          </cell>
          <cell r="AA316">
            <v>32.448569572702134</v>
          </cell>
          <cell r="AB316">
            <v>29.69290054110088</v>
          </cell>
          <cell r="AC316">
            <v>30.038614146698219</v>
          </cell>
          <cell r="AD316">
            <v>31.302812884877181</v>
          </cell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</row>
        <row r="317">
          <cell r="X317">
            <v>31.0227</v>
          </cell>
          <cell r="Y317">
            <v>34.909100000000002</v>
          </cell>
          <cell r="Z317">
            <v>25.467917858611052</v>
          </cell>
          <cell r="AA317">
            <v>31.664211455161059</v>
          </cell>
          <cell r="AB317">
            <v>30.072557460884703</v>
          </cell>
          <cell r="AC317">
            <v>30.291986151373862</v>
          </cell>
          <cell r="AD317">
            <v>30.966717515865778</v>
          </cell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</row>
        <row r="318">
          <cell r="X318">
            <v>28</v>
          </cell>
          <cell r="Y318">
            <v>35</v>
          </cell>
          <cell r="Z318">
            <v>27.500900087188796</v>
          </cell>
          <cell r="AA318">
            <v>31.170499140111275</v>
          </cell>
          <cell r="AB318">
            <v>31.122673182526462</v>
          </cell>
          <cell r="AC318">
            <v>31.222057529548493</v>
          </cell>
          <cell r="AD318">
            <v>32.185507185928273</v>
          </cell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</row>
        <row r="319">
          <cell r="X319">
            <v>27</v>
          </cell>
          <cell r="Y319">
            <v>34.739100000000001</v>
          </cell>
          <cell r="Z319">
            <v>24.9548448956659</v>
          </cell>
          <cell r="AA319">
            <v>29.011518907473388</v>
          </cell>
          <cell r="AB319">
            <v>28.999570626394078</v>
          </cell>
          <cell r="AC319">
            <v>28.760874919574775</v>
          </cell>
          <cell r="AD319">
            <v>28.844635397966943</v>
          </cell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</row>
        <row r="320">
          <cell r="X320">
            <v>27</v>
          </cell>
          <cell r="Y320">
            <v>33.537500000000001</v>
          </cell>
          <cell r="Z320">
            <v>30.623835444746511</v>
          </cell>
          <cell r="AA320">
            <v>30.596548273810757</v>
          </cell>
          <cell r="AB320">
            <v>30.742087168606751</v>
          </cell>
          <cell r="AC320">
            <v>30.807728647214162</v>
          </cell>
          <cell r="AD320">
            <v>30.807728647214113</v>
          </cell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</row>
      </sheetData>
      <sheetData sheetId="43"/>
      <sheetData sheetId="44"/>
      <sheetData sheetId="45">
        <row r="4">
          <cell r="D4">
            <v>9.3667530695770811</v>
          </cell>
        </row>
      </sheetData>
      <sheetData sheetId="46">
        <row r="4">
          <cell r="D4">
            <v>84.300777626193735</v>
          </cell>
        </row>
      </sheetData>
      <sheetData sheetId="47">
        <row r="4">
          <cell r="D4">
            <v>35.632469304229204</v>
          </cell>
        </row>
      </sheetData>
      <sheetData sheetId="48"/>
      <sheetData sheetId="49"/>
      <sheetData sheetId="50" refreshError="1"/>
      <sheetData sheetId="51" refreshError="1"/>
      <sheetData sheetId="52">
        <row r="16">
          <cell r="A16" t="str">
            <v>Carryin (Oct 1)</v>
          </cell>
        </row>
      </sheetData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 (2)"/>
      <sheetName val="Chart1"/>
      <sheetName val="Chart17"/>
      <sheetName val="Chart20"/>
      <sheetName val="Spreads"/>
      <sheetName val="Chart9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51">
          <cell r="U51">
            <v>55.307249472865827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gyp.gob.ar/sitio/areas/ss_mercados_agropecuarios/areas/granos/_archivos/000058_Estad%C3%ADsticas/000032_Evolucion%20de%20la%20Molienda%20(Cereales%20y%20Oleaginosas)/000002_Evoluci%C3%B3n%20de%20la%20Molienda%20Mensual%20-%20Oleaginosas/000002_Evoluci%C3%B3n%20de%20la%20Molienda%20Mensual%20-%20Oleaginosas.php" TargetMode="External"/><Relationship Id="rId2" Type="http://schemas.openxmlformats.org/officeDocument/2006/relationships/hyperlink" Target="https://datosestimaciones.magyp.gob.ar/reportes.php?reporte=Estimaciones" TargetMode="External"/><Relationship Id="rId1" Type="http://schemas.openxmlformats.org/officeDocument/2006/relationships/hyperlink" Target="https://www.magyp.gob.ar/sitio/areas/ss_mercados_agropecuarios/_molienda/_oleaginosos.php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F5D5-CF05-43E3-A203-12B7AEAB1CA7}">
  <sheetPr>
    <pageSetUpPr fitToPage="1"/>
  </sheetPr>
  <dimension ref="A1:DO508"/>
  <sheetViews>
    <sheetView tabSelected="1" zoomScaleNormal="100" workbookViewId="0">
      <pane xSplit="1" ySplit="3" topLeftCell="BF4" activePane="bottomRight" state="frozen"/>
      <selection activeCell="AZ451" sqref="AZ451"/>
      <selection pane="topRight" activeCell="AZ451" sqref="AZ451"/>
      <selection pane="bottomLeft" activeCell="AZ451" sqref="AZ451"/>
      <selection pane="bottomRight" activeCell="BH9" sqref="BH9"/>
    </sheetView>
  </sheetViews>
  <sheetFormatPr defaultColWidth="8.85546875" defaultRowHeight="15"/>
  <cols>
    <col min="1" max="1" width="46.42578125" customWidth="1"/>
    <col min="2" max="32" width="9.140625" customWidth="1"/>
    <col min="33" max="73" width="9.28515625" customWidth="1"/>
    <col min="74" max="89" width="8.85546875" customWidth="1"/>
  </cols>
  <sheetData>
    <row r="1" spans="1:89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89" s="4" customFormat="1" ht="15.75" thickBot="1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71</v>
      </c>
    </row>
    <row r="3" spans="1:89">
      <c r="A3" s="7" t="s">
        <v>72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</row>
    <row r="4" spans="1:89">
      <c r="A4" s="9" t="s">
        <v>73</v>
      </c>
      <c r="B4" s="10">
        <v>16.528763419106539</v>
      </c>
      <c r="C4" s="11">
        <v>16.528763419106539</v>
      </c>
      <c r="D4" s="11">
        <v>17.561811132800695</v>
      </c>
      <c r="E4" s="11">
        <v>20.660954273883171</v>
      </c>
      <c r="F4" s="11">
        <v>28.92533598343644</v>
      </c>
      <c r="G4" s="11">
        <v>30.47</v>
      </c>
      <c r="H4" s="11">
        <v>37.700000000000003</v>
      </c>
      <c r="I4" s="11">
        <v>79.8</v>
      </c>
      <c r="J4" s="11">
        <v>169.36</v>
      </c>
      <c r="K4" s="11">
        <v>376.6</v>
      </c>
      <c r="L4" s="11">
        <v>369.5</v>
      </c>
      <c r="M4" s="10">
        <v>442.5</v>
      </c>
      <c r="N4" s="10">
        <v>710</v>
      </c>
      <c r="O4" s="10">
        <v>1200</v>
      </c>
      <c r="P4" s="10">
        <v>1640</v>
      </c>
      <c r="Q4" s="10">
        <v>2100</v>
      </c>
      <c r="R4" s="10">
        <v>1925</v>
      </c>
      <c r="S4" s="10">
        <v>2040</v>
      </c>
      <c r="T4" s="10">
        <v>2362</v>
      </c>
      <c r="U4" s="10">
        <v>2920</v>
      </c>
      <c r="V4" s="10">
        <v>3300</v>
      </c>
      <c r="W4" s="10">
        <v>3340</v>
      </c>
      <c r="X4" s="10">
        <v>3684</v>
      </c>
      <c r="Y4" s="10">
        <v>4413</v>
      </c>
      <c r="Z4" s="10">
        <v>4670</v>
      </c>
      <c r="AA4" s="10">
        <v>5100</v>
      </c>
      <c r="AB4" s="10">
        <v>4966.2</v>
      </c>
      <c r="AC4" s="10">
        <v>5003</v>
      </c>
      <c r="AD4" s="10">
        <v>5318.41</v>
      </c>
      <c r="AE4" s="12">
        <v>5817.49</v>
      </c>
      <c r="AF4" s="12">
        <v>6011.24</v>
      </c>
      <c r="AG4" s="12">
        <v>6002.1549999999997</v>
      </c>
      <c r="AH4" s="12">
        <v>6669.5</v>
      </c>
      <c r="AI4" s="12">
        <v>7176.25</v>
      </c>
      <c r="AJ4" s="12">
        <v>8400</v>
      </c>
      <c r="AK4" s="12">
        <v>8790.5</v>
      </c>
      <c r="AL4" s="12">
        <v>10927.33</v>
      </c>
      <c r="AM4" s="12">
        <v>11637.66</v>
      </c>
      <c r="AN4" s="12">
        <v>12606.844999999999</v>
      </c>
      <c r="AO4" s="12">
        <v>14526.606</v>
      </c>
      <c r="AP4" s="12">
        <v>14401.921</v>
      </c>
      <c r="AQ4" s="12">
        <v>15393.474</v>
      </c>
      <c r="AR4" s="12">
        <v>16141.338</v>
      </c>
      <c r="AS4" s="12">
        <v>17980.895</v>
      </c>
      <c r="AT4" s="12">
        <v>18392.752</v>
      </c>
      <c r="AU4" s="12">
        <v>18870.651000000002</v>
      </c>
      <c r="AV4" s="12">
        <v>18664.148000000001</v>
      </c>
      <c r="AW4" s="12">
        <v>19902.072</v>
      </c>
      <c r="AX4" s="12">
        <v>19705.342000000001</v>
      </c>
      <c r="AY4" s="12">
        <v>19792.099999999999</v>
      </c>
      <c r="AZ4" s="12">
        <v>20562.233</v>
      </c>
      <c r="BA4" s="12">
        <v>18057.162</v>
      </c>
      <c r="BB4" s="12">
        <v>17259.259999999998</v>
      </c>
      <c r="BC4" s="12">
        <v>17010.276999999998</v>
      </c>
      <c r="BD4" s="12">
        <v>16908.238000000001</v>
      </c>
      <c r="BE4" s="12">
        <v>16650.093000000001</v>
      </c>
      <c r="BF4" s="12">
        <v>16094.383</v>
      </c>
      <c r="BG4" s="12">
        <v>15978.775</v>
      </c>
      <c r="BH4" s="12">
        <v>16564.537</v>
      </c>
      <c r="BI4" s="12">
        <v>17300</v>
      </c>
      <c r="BJ4" s="12">
        <v>18400</v>
      </c>
      <c r="BK4" s="13">
        <v>18500</v>
      </c>
      <c r="BL4" s="13">
        <v>18250</v>
      </c>
      <c r="BM4" s="13">
        <v>18000</v>
      </c>
      <c r="BN4" s="13">
        <v>18000</v>
      </c>
      <c r="BO4" s="13">
        <v>18000</v>
      </c>
      <c r="BP4" s="13">
        <v>18000</v>
      </c>
      <c r="BQ4" s="13">
        <v>18000</v>
      </c>
      <c r="BR4" s="13">
        <v>18000</v>
      </c>
      <c r="BS4" s="13">
        <v>18000</v>
      </c>
      <c r="BT4" s="13">
        <v>18000</v>
      </c>
      <c r="BU4" s="13">
        <v>18000</v>
      </c>
      <c r="BV4" s="14">
        <f t="shared" ref="BV4:CD4" si="0">AZ3</f>
        <v>0</v>
      </c>
      <c r="BW4" s="14">
        <f t="shared" si="0"/>
        <v>0</v>
      </c>
      <c r="BX4" s="14">
        <f t="shared" si="0"/>
        <v>0</v>
      </c>
      <c r="BY4" s="14">
        <f t="shared" si="0"/>
        <v>0</v>
      </c>
      <c r="BZ4" s="14">
        <f t="shared" si="0"/>
        <v>0</v>
      </c>
      <c r="CA4" s="14">
        <f t="shared" si="0"/>
        <v>0</v>
      </c>
      <c r="CB4" s="14">
        <f t="shared" si="0"/>
        <v>0</v>
      </c>
      <c r="CC4" s="14">
        <f t="shared" si="0"/>
        <v>0</v>
      </c>
      <c r="CD4" s="14">
        <f t="shared" si="0"/>
        <v>0</v>
      </c>
      <c r="CK4" s="15" t="s">
        <v>74</v>
      </c>
    </row>
    <row r="5" spans="1:89">
      <c r="A5" s="9" t="s">
        <v>75</v>
      </c>
      <c r="B5" s="10">
        <v>16</v>
      </c>
      <c r="C5" s="10">
        <v>16</v>
      </c>
      <c r="D5" s="10">
        <v>17</v>
      </c>
      <c r="E5" s="10">
        <v>20</v>
      </c>
      <c r="F5" s="10">
        <v>28</v>
      </c>
      <c r="G5" s="10">
        <v>25.97</v>
      </c>
      <c r="H5" s="10">
        <v>36.33</v>
      </c>
      <c r="I5" s="10">
        <v>68</v>
      </c>
      <c r="J5" s="10">
        <v>156.94999999999999</v>
      </c>
      <c r="K5" s="10">
        <v>344.34</v>
      </c>
      <c r="L5" s="10">
        <v>355.94</v>
      </c>
      <c r="M5" s="10">
        <v>433.5</v>
      </c>
      <c r="N5" s="10">
        <v>660</v>
      </c>
      <c r="O5" s="10">
        <v>1150</v>
      </c>
      <c r="P5" s="10">
        <v>1600</v>
      </c>
      <c r="Q5" s="10">
        <v>2030</v>
      </c>
      <c r="R5" s="10">
        <v>1880</v>
      </c>
      <c r="S5" s="10">
        <v>1985.6</v>
      </c>
      <c r="T5" s="10">
        <v>2280.6999999999998</v>
      </c>
      <c r="U5" s="10">
        <v>2910</v>
      </c>
      <c r="V5" s="10">
        <v>3269</v>
      </c>
      <c r="W5" s="10">
        <v>3316</v>
      </c>
      <c r="X5" s="10">
        <v>3516.65</v>
      </c>
      <c r="Y5" s="10">
        <v>4373.2</v>
      </c>
      <c r="Z5" s="10">
        <v>3931.25</v>
      </c>
      <c r="AA5" s="10">
        <v>4961.6000000000004</v>
      </c>
      <c r="AB5" s="10">
        <v>4774.1000000000004</v>
      </c>
      <c r="AC5" s="10">
        <v>4934.8100000000004</v>
      </c>
      <c r="AD5" s="10">
        <v>5115.085</v>
      </c>
      <c r="AE5" s="12">
        <v>5748.91</v>
      </c>
      <c r="AF5" s="12">
        <v>5934.16</v>
      </c>
      <c r="AG5" s="12">
        <v>5913.415</v>
      </c>
      <c r="AH5" s="12">
        <v>6393.78</v>
      </c>
      <c r="AI5" s="12">
        <v>6954.12</v>
      </c>
      <c r="AJ5" s="12">
        <v>8180</v>
      </c>
      <c r="AK5" s="12">
        <v>8637.5030000000006</v>
      </c>
      <c r="AL5" s="12">
        <v>10612.893</v>
      </c>
      <c r="AM5" s="12">
        <v>11404.102000000001</v>
      </c>
      <c r="AN5" s="12">
        <v>12419.995000000001</v>
      </c>
      <c r="AO5" s="12">
        <v>14304.539000000001</v>
      </c>
      <c r="AP5" s="12">
        <v>14039.165999999999</v>
      </c>
      <c r="AQ5" s="12">
        <v>15130.038</v>
      </c>
      <c r="AR5" s="12">
        <v>15981.264999999999</v>
      </c>
      <c r="AS5" s="12">
        <v>16711.509999999998</v>
      </c>
      <c r="AT5" s="12">
        <v>18217.927</v>
      </c>
      <c r="AU5" s="12">
        <v>18733.631000000001</v>
      </c>
      <c r="AV5" s="12">
        <v>17573.258000000002</v>
      </c>
      <c r="AW5" s="12">
        <v>19286.625</v>
      </c>
      <c r="AX5" s="12">
        <v>19252.952000000001</v>
      </c>
      <c r="AY5" s="12">
        <v>19334.915000000001</v>
      </c>
      <c r="AZ5" s="12">
        <v>19590.870999999999</v>
      </c>
      <c r="BA5" s="12">
        <v>17335.666000000001</v>
      </c>
      <c r="BB5" s="12">
        <v>16318.06</v>
      </c>
      <c r="BC5" s="12">
        <v>16575.886999999999</v>
      </c>
      <c r="BD5" s="12">
        <v>16721.423999999999</v>
      </c>
      <c r="BE5" s="12">
        <v>16466.714</v>
      </c>
      <c r="BF5" s="12">
        <v>15874.266</v>
      </c>
      <c r="BG5" s="12">
        <v>14356.924000000001</v>
      </c>
      <c r="BH5" s="12">
        <v>16371.093000000001</v>
      </c>
      <c r="BI5" s="12">
        <v>16881.606</v>
      </c>
      <c r="BJ5" s="12">
        <v>16949.281999999999</v>
      </c>
      <c r="BK5" s="13">
        <f t="shared" ref="BK5:BU5" si="1">MROUND(BK4*AVERAGE(AZ6:BI6),50)</f>
        <v>17850</v>
      </c>
      <c r="BL5" s="13">
        <f t="shared" si="1"/>
        <v>17550</v>
      </c>
      <c r="BM5" s="13">
        <f t="shared" si="1"/>
        <v>17350</v>
      </c>
      <c r="BN5" s="13">
        <f t="shared" si="1"/>
        <v>17350</v>
      </c>
      <c r="BO5" s="13">
        <f t="shared" si="1"/>
        <v>17350</v>
      </c>
      <c r="BP5" s="13">
        <f t="shared" si="1"/>
        <v>17300</v>
      </c>
      <c r="BQ5" s="13">
        <f t="shared" si="1"/>
        <v>17250</v>
      </c>
      <c r="BR5" s="13">
        <f t="shared" si="1"/>
        <v>17200</v>
      </c>
      <c r="BS5" s="13">
        <f t="shared" si="1"/>
        <v>17300</v>
      </c>
      <c r="BT5" s="13">
        <f t="shared" si="1"/>
        <v>17250</v>
      </c>
      <c r="BU5" s="13">
        <f t="shared" si="1"/>
        <v>17250</v>
      </c>
      <c r="BV5" s="16">
        <f t="shared" ref="BV5:CD5" si="2">(AZ5/AY5)-1</f>
        <v>1.3238020441258547E-2</v>
      </c>
      <c r="BW5" s="16">
        <f t="shared" si="2"/>
        <v>-0.11511509620986216</v>
      </c>
      <c r="BX5" s="16">
        <f t="shared" si="2"/>
        <v>-5.8700138777477706E-2</v>
      </c>
      <c r="BY5" s="16">
        <f t="shared" si="2"/>
        <v>1.5800101237524622E-2</v>
      </c>
      <c r="BZ5" s="16">
        <f t="shared" si="2"/>
        <v>8.7800429624067533E-3</v>
      </c>
      <c r="CA5" s="16">
        <f t="shared" si="2"/>
        <v>-1.5232554356614525E-2</v>
      </c>
      <c r="CB5" s="16">
        <f t="shared" si="2"/>
        <v>-3.5978520061743957E-2</v>
      </c>
      <c r="CC5" s="16">
        <f t="shared" si="2"/>
        <v>-9.5585017915158943E-2</v>
      </c>
      <c r="CD5" s="16">
        <f t="shared" si="2"/>
        <v>0.14029251669786635</v>
      </c>
      <c r="CK5" s="17" t="s">
        <v>76</v>
      </c>
    </row>
    <row r="6" spans="1:89">
      <c r="A6" s="18" t="s">
        <v>77</v>
      </c>
      <c r="B6" s="19"/>
      <c r="C6" s="20">
        <f t="shared" ref="C6:BN6" si="3">C5/C4</f>
        <v>0.9680094992166618</v>
      </c>
      <c r="D6" s="20">
        <f t="shared" si="3"/>
        <v>0.96800949921666191</v>
      </c>
      <c r="E6" s="20">
        <f t="shared" si="3"/>
        <v>0.96800949921666202</v>
      </c>
      <c r="F6" s="20">
        <f t="shared" si="3"/>
        <v>0.96800949921666191</v>
      </c>
      <c r="G6" s="20">
        <f t="shared" si="3"/>
        <v>0.85231375123071873</v>
      </c>
      <c r="H6" s="20">
        <f t="shared" si="3"/>
        <v>0.96366047745358074</v>
      </c>
      <c r="I6" s="20">
        <f t="shared" si="3"/>
        <v>0.8521303258145364</v>
      </c>
      <c r="J6" s="20">
        <f t="shared" si="3"/>
        <v>0.92672413793103436</v>
      </c>
      <c r="K6" s="20">
        <f t="shared" si="3"/>
        <v>0.91433882103027075</v>
      </c>
      <c r="L6" s="20">
        <f t="shared" si="3"/>
        <v>0.96330175913396476</v>
      </c>
      <c r="M6" s="20">
        <f t="shared" si="3"/>
        <v>0.97966101694915253</v>
      </c>
      <c r="N6" s="20">
        <f t="shared" si="3"/>
        <v>0.92957746478873238</v>
      </c>
      <c r="O6" s="20">
        <f t="shared" si="3"/>
        <v>0.95833333333333337</v>
      </c>
      <c r="P6" s="20">
        <f t="shared" si="3"/>
        <v>0.97560975609756095</v>
      </c>
      <c r="Q6" s="20">
        <f t="shared" si="3"/>
        <v>0.96666666666666667</v>
      </c>
      <c r="R6" s="20">
        <f t="shared" si="3"/>
        <v>0.97662337662337662</v>
      </c>
      <c r="S6" s="20">
        <f t="shared" si="3"/>
        <v>0.97333333333333327</v>
      </c>
      <c r="T6" s="20">
        <f t="shared" si="3"/>
        <v>0.96558001693480089</v>
      </c>
      <c r="U6" s="20">
        <f t="shared" si="3"/>
        <v>0.99657534246575341</v>
      </c>
      <c r="V6" s="20">
        <f t="shared" si="3"/>
        <v>0.9906060606060606</v>
      </c>
      <c r="W6" s="20">
        <f t="shared" si="3"/>
        <v>0.99281437125748506</v>
      </c>
      <c r="X6" s="20">
        <f t="shared" si="3"/>
        <v>0.95457383279044516</v>
      </c>
      <c r="Y6" s="20">
        <f t="shared" si="3"/>
        <v>0.99098119193292544</v>
      </c>
      <c r="Z6" s="20">
        <f t="shared" si="3"/>
        <v>0.84180942184154173</v>
      </c>
      <c r="AA6" s="20">
        <f t="shared" si="3"/>
        <v>0.97286274509803927</v>
      </c>
      <c r="AB6" s="20">
        <f t="shared" si="3"/>
        <v>0.96131851314888661</v>
      </c>
      <c r="AC6" s="20">
        <f t="shared" si="3"/>
        <v>0.98637017789326409</v>
      </c>
      <c r="AD6" s="20">
        <f t="shared" si="3"/>
        <v>0.96176958903130827</v>
      </c>
      <c r="AE6" s="21">
        <f t="shared" si="3"/>
        <v>0.98821141076306107</v>
      </c>
      <c r="AF6" s="21">
        <f t="shared" si="3"/>
        <v>0.98717735442271481</v>
      </c>
      <c r="AG6" s="21">
        <f t="shared" si="3"/>
        <v>0.98521531016776476</v>
      </c>
      <c r="AH6" s="21">
        <f t="shared" si="3"/>
        <v>0.95865956968288468</v>
      </c>
      <c r="AI6" s="21">
        <f t="shared" si="3"/>
        <v>0.96904650757707711</v>
      </c>
      <c r="AJ6" s="21">
        <f t="shared" si="3"/>
        <v>0.97380952380952379</v>
      </c>
      <c r="AK6" s="21">
        <f t="shared" si="3"/>
        <v>0.98259518798703149</v>
      </c>
      <c r="AL6" s="21">
        <f t="shared" si="3"/>
        <v>0.97122471820655187</v>
      </c>
      <c r="AM6" s="21">
        <f t="shared" si="3"/>
        <v>0.97993084520427653</v>
      </c>
      <c r="AN6" s="21">
        <f t="shared" si="3"/>
        <v>0.98517868665792285</v>
      </c>
      <c r="AO6" s="21">
        <f t="shared" si="3"/>
        <v>0.98471308439149519</v>
      </c>
      <c r="AP6" s="21">
        <f t="shared" si="3"/>
        <v>0.97481204069929273</v>
      </c>
      <c r="AQ6" s="21">
        <f t="shared" si="3"/>
        <v>0.98288651411630668</v>
      </c>
      <c r="AR6" s="21">
        <f t="shared" si="3"/>
        <v>0.99008304020397808</v>
      </c>
      <c r="AS6" s="21">
        <f t="shared" si="3"/>
        <v>0.92940368096248815</v>
      </c>
      <c r="AT6" s="21">
        <f t="shared" si="3"/>
        <v>0.99049489712034389</v>
      </c>
      <c r="AU6" s="21">
        <f t="shared" si="3"/>
        <v>0.9927389892378381</v>
      </c>
      <c r="AV6" s="21">
        <f t="shared" si="3"/>
        <v>0.94155157792362132</v>
      </c>
      <c r="AW6" s="21">
        <f t="shared" si="3"/>
        <v>0.96907623487644901</v>
      </c>
      <c r="AX6" s="21">
        <f t="shared" si="3"/>
        <v>0.97704226600076272</v>
      </c>
      <c r="AY6" s="21">
        <f t="shared" si="3"/>
        <v>0.97690063207037159</v>
      </c>
      <c r="AZ6" s="21">
        <f t="shared" si="3"/>
        <v>0.95275989723489662</v>
      </c>
      <c r="BA6" s="21">
        <f t="shared" si="3"/>
        <v>0.96004377653586981</v>
      </c>
      <c r="BB6" s="21">
        <f t="shared" si="3"/>
        <v>0.94546695513017365</v>
      </c>
      <c r="BC6" s="21">
        <f t="shared" si="3"/>
        <v>0.97446308487510225</v>
      </c>
      <c r="BD6" s="21">
        <f t="shared" si="3"/>
        <v>0.98895130290926814</v>
      </c>
      <c r="BE6" s="21">
        <f t="shared" si="3"/>
        <v>0.98898630776416674</v>
      </c>
      <c r="BF6" s="21">
        <f t="shared" si="3"/>
        <v>0.98632336511440044</v>
      </c>
      <c r="BG6" s="21">
        <f t="shared" si="3"/>
        <v>0.89849966596312925</v>
      </c>
      <c r="BH6" s="21">
        <f t="shared" si="3"/>
        <v>0.98832179855072322</v>
      </c>
      <c r="BI6" s="21">
        <f t="shared" si="3"/>
        <v>0.97581537572254329</v>
      </c>
      <c r="BJ6" s="21">
        <f t="shared" si="3"/>
        <v>0.92115663043478258</v>
      </c>
      <c r="BK6" s="22">
        <f t="shared" si="3"/>
        <v>0.96486486486486489</v>
      </c>
      <c r="BL6" s="22">
        <f t="shared" si="3"/>
        <v>0.9616438356164384</v>
      </c>
      <c r="BM6" s="22">
        <f t="shared" si="3"/>
        <v>0.96388888888888891</v>
      </c>
      <c r="BN6" s="22">
        <f t="shared" si="3"/>
        <v>0.96388888888888891</v>
      </c>
      <c r="BO6" s="22">
        <f t="shared" ref="BO6:BU6" si="4">BO5/BO4</f>
        <v>0.96388888888888891</v>
      </c>
      <c r="BP6" s="22">
        <f t="shared" si="4"/>
        <v>0.96111111111111114</v>
      </c>
      <c r="BQ6" s="22">
        <f t="shared" si="4"/>
        <v>0.95833333333333337</v>
      </c>
      <c r="BR6" s="22">
        <f t="shared" si="4"/>
        <v>0.9555555555555556</v>
      </c>
      <c r="BS6" s="22">
        <f t="shared" si="4"/>
        <v>0.96111111111111114</v>
      </c>
      <c r="BT6" s="22">
        <f t="shared" si="4"/>
        <v>0.95833333333333337</v>
      </c>
      <c r="BU6" s="22">
        <f t="shared" si="4"/>
        <v>0.95833333333333337</v>
      </c>
      <c r="BV6" s="23">
        <f t="shared" ref="BV6:CD6" si="5">AZ5-AY5</f>
        <v>255.95599999999831</v>
      </c>
      <c r="BW6" s="23">
        <f t="shared" si="5"/>
        <v>-2255.2049999999981</v>
      </c>
      <c r="BX6" s="23">
        <f t="shared" si="5"/>
        <v>-1017.6060000000016</v>
      </c>
      <c r="BY6" s="23">
        <f t="shared" si="5"/>
        <v>257.82699999999932</v>
      </c>
      <c r="BZ6" s="23">
        <f t="shared" si="5"/>
        <v>145.53700000000026</v>
      </c>
      <c r="CA6" s="23">
        <f t="shared" si="5"/>
        <v>-254.70999999999913</v>
      </c>
      <c r="CB6" s="23">
        <f t="shared" si="5"/>
        <v>-592.44800000000032</v>
      </c>
      <c r="CC6" s="23">
        <f t="shared" si="5"/>
        <v>-1517.3419999999987</v>
      </c>
      <c r="CD6" s="23">
        <f t="shared" si="5"/>
        <v>2014.1689999999999</v>
      </c>
    </row>
    <row r="7" spans="1:89">
      <c r="A7" s="9" t="s">
        <v>78</v>
      </c>
      <c r="B7" s="24"/>
      <c r="C7" s="24">
        <f t="shared" ref="C7:BJ7" si="6">C9/C5</f>
        <v>1.125</v>
      </c>
      <c r="D7" s="24">
        <f t="shared" si="6"/>
        <v>1.2352941176470589</v>
      </c>
      <c r="E7" s="24">
        <f t="shared" si="6"/>
        <v>1.1000000000000001</v>
      </c>
      <c r="F7" s="24">
        <f t="shared" si="6"/>
        <v>1.1428571428571428</v>
      </c>
      <c r="G7" s="24">
        <f t="shared" si="6"/>
        <v>1.0319599537928379</v>
      </c>
      <c r="H7" s="24">
        <f t="shared" si="6"/>
        <v>1.6240022020368843</v>
      </c>
      <c r="I7" s="24">
        <f t="shared" si="6"/>
        <v>1.1470588235294117</v>
      </c>
      <c r="J7" s="24">
        <f t="shared" si="6"/>
        <v>1.7324243389614529</v>
      </c>
      <c r="K7" s="24">
        <f t="shared" si="6"/>
        <v>1.4400882848347565</v>
      </c>
      <c r="L7" s="24">
        <f t="shared" si="6"/>
        <v>1.3625892004270383</v>
      </c>
      <c r="M7" s="24">
        <f t="shared" si="6"/>
        <v>1.6032295271049597</v>
      </c>
      <c r="N7" s="24">
        <f t="shared" si="6"/>
        <v>2.1212121212121211</v>
      </c>
      <c r="O7" s="24">
        <f t="shared" si="6"/>
        <v>2.1739130434782608</v>
      </c>
      <c r="P7" s="24">
        <f t="shared" si="6"/>
        <v>2.3125</v>
      </c>
      <c r="Q7" s="24">
        <f t="shared" si="6"/>
        <v>1.7241379310344827</v>
      </c>
      <c r="R7" s="24">
        <f t="shared" si="6"/>
        <v>2.0053191489361701</v>
      </c>
      <c r="S7" s="24">
        <f t="shared" si="6"/>
        <v>2.0900483481063659</v>
      </c>
      <c r="T7" s="24">
        <f t="shared" si="6"/>
        <v>1.7538475029596179</v>
      </c>
      <c r="U7" s="24">
        <f t="shared" si="6"/>
        <v>2.4054982817869415</v>
      </c>
      <c r="V7" s="24">
        <f t="shared" si="6"/>
        <v>1.9883756500458856</v>
      </c>
      <c r="W7" s="24">
        <f t="shared" si="6"/>
        <v>2.1411338962605551</v>
      </c>
      <c r="X7" s="24">
        <f t="shared" si="6"/>
        <v>1.895667751979867</v>
      </c>
      <c r="Y7" s="24">
        <f t="shared" si="6"/>
        <v>2.2637885301381142</v>
      </c>
      <c r="Z7" s="24">
        <f t="shared" si="6"/>
        <v>1.6534181240063592</v>
      </c>
      <c r="AA7" s="24">
        <f t="shared" si="6"/>
        <v>2.1565623992260559</v>
      </c>
      <c r="AB7" s="24">
        <f t="shared" si="6"/>
        <v>2.275025659286567</v>
      </c>
      <c r="AC7" s="24">
        <f t="shared" si="6"/>
        <v>2.2914965317813651</v>
      </c>
      <c r="AD7" s="24">
        <f t="shared" si="6"/>
        <v>2.158986605305679</v>
      </c>
      <c r="AE7" s="25">
        <f t="shared" si="6"/>
        <v>2.0386299315870313</v>
      </c>
      <c r="AF7" s="25">
        <f t="shared" si="6"/>
        <v>2.0446027744449089</v>
      </c>
      <c r="AG7" s="25">
        <f t="shared" si="6"/>
        <v>2.1050780302075873</v>
      </c>
      <c r="AH7" s="25">
        <f t="shared" si="6"/>
        <v>1.7211868409610591</v>
      </c>
      <c r="AI7" s="25">
        <f t="shared" si="6"/>
        <v>2.6936797179226128</v>
      </c>
      <c r="AJ7" s="25">
        <f t="shared" si="6"/>
        <v>2.4449877750611249</v>
      </c>
      <c r="AK7" s="25">
        <f t="shared" si="6"/>
        <v>2.3312061367735559</v>
      </c>
      <c r="AL7" s="25">
        <f t="shared" si="6"/>
        <v>2.5691630924762929</v>
      </c>
      <c r="AM7" s="25">
        <f t="shared" si="6"/>
        <v>2.6298972071628262</v>
      </c>
      <c r="AN7" s="25">
        <f t="shared" si="6"/>
        <v>2.8034270545197484</v>
      </c>
      <c r="AO7" s="25">
        <f t="shared" si="6"/>
        <v>2.2074637987285013</v>
      </c>
      <c r="AP7" s="25">
        <f t="shared" si="6"/>
        <v>2.7283165538465748</v>
      </c>
      <c r="AQ7" s="25">
        <f t="shared" si="6"/>
        <v>2.6792641234608929</v>
      </c>
      <c r="AR7" s="25">
        <f t="shared" si="6"/>
        <v>2.9711532222261505</v>
      </c>
      <c r="AS7" s="25">
        <f t="shared" si="6"/>
        <v>1.8529964078649985</v>
      </c>
      <c r="AT7" s="25">
        <f t="shared" si="6"/>
        <v>2.9228002176098302</v>
      </c>
      <c r="AU7" s="25">
        <f t="shared" si="6"/>
        <v>2.6074016297214349</v>
      </c>
      <c r="AV7" s="25">
        <f t="shared" si="6"/>
        <v>2.2817421789402963</v>
      </c>
      <c r="AW7" s="25">
        <f t="shared" si="6"/>
        <v>2.5466886508137119</v>
      </c>
      <c r="AX7" s="25">
        <f t="shared" si="6"/>
        <v>2.7735341572554693</v>
      </c>
      <c r="AY7" s="25">
        <f t="shared" si="6"/>
        <v>3.1755131067294577</v>
      </c>
      <c r="AZ7" s="25">
        <f t="shared" si="6"/>
        <v>3.0164685378204981</v>
      </c>
      <c r="BA7" s="25">
        <f t="shared" si="6"/>
        <v>3.1710662861178798</v>
      </c>
      <c r="BB7" s="25">
        <f t="shared" si="6"/>
        <v>2.315589414427941</v>
      </c>
      <c r="BC7" s="25">
        <f t="shared" si="6"/>
        <v>3.3339929863180178</v>
      </c>
      <c r="BD7" s="25">
        <f t="shared" si="6"/>
        <v>2.918212049404405</v>
      </c>
      <c r="BE7" s="25">
        <f t="shared" si="6"/>
        <v>2.8067476607658333</v>
      </c>
      <c r="BF7" s="25">
        <f t="shared" si="6"/>
        <v>2.7630295473189124</v>
      </c>
      <c r="BG7" s="25">
        <f t="shared" si="6"/>
        <v>1.7444531990278695</v>
      </c>
      <c r="BH7" s="25">
        <f t="shared" si="6"/>
        <v>2.9450212029215153</v>
      </c>
      <c r="BI7" s="25">
        <f t="shared" si="6"/>
        <v>2.9736507296758377</v>
      </c>
      <c r="BJ7" s="25">
        <f t="shared" si="6"/>
        <v>2.9676773328805317</v>
      </c>
      <c r="BK7" s="26">
        <f>FORECAST(BK409,BA7:BJ7,BA409:BJ409)+0.2+0.1</f>
        <v>3.0028132090872108</v>
      </c>
      <c r="BL7" s="26">
        <f>FORECAST(BL409,BB7:BK7,BB409:BK409)+0.15+0.075</f>
        <v>3.1119268084296139</v>
      </c>
      <c r="BM7" s="26">
        <f>FORECAST(BM409,BC7:BL7,BC409:BL409)+0.075</f>
        <v>2.972775553527037</v>
      </c>
      <c r="BN7" s="26">
        <f>FORECAST(BN409,BD7:BM7,BD409:BM409)+0.075</f>
        <v>3.1464489229006718</v>
      </c>
      <c r="BO7" s="26">
        <f>FORECAST(BO409,BE7:BN7,BE409:BN409)+0.075</f>
        <v>3.3027978856995448</v>
      </c>
      <c r="BP7" s="26">
        <f t="shared" ref="BP7:BU7" si="7">FORECAST(BP409,BF7:BO7,BF409:BO409)+0.075</f>
        <v>3.3842581930931717</v>
      </c>
      <c r="BQ7" s="26">
        <f t="shared" si="7"/>
        <v>3.4509789773058062</v>
      </c>
      <c r="BR7" s="26">
        <f t="shared" si="7"/>
        <v>3.373057787413825</v>
      </c>
      <c r="BS7" s="26">
        <f t="shared" si="7"/>
        <v>3.3968662268361358</v>
      </c>
      <c r="BT7" s="26">
        <f t="shared" si="7"/>
        <v>3.4192053846296178</v>
      </c>
      <c r="BU7" s="26">
        <f t="shared" si="7"/>
        <v>3.4372176777587642</v>
      </c>
    </row>
    <row r="8" spans="1:89">
      <c r="A8" s="27" t="s">
        <v>79</v>
      </c>
      <c r="B8" s="28"/>
      <c r="C8" s="28">
        <v>0</v>
      </c>
      <c r="D8" s="28">
        <f t="shared" ref="D8:BO8" si="8">C17</f>
        <v>10</v>
      </c>
      <c r="E8" s="28">
        <f t="shared" si="8"/>
        <v>21</v>
      </c>
      <c r="F8" s="28">
        <f t="shared" si="8"/>
        <v>35</v>
      </c>
      <c r="G8" s="28">
        <f t="shared" si="8"/>
        <v>44</v>
      </c>
      <c r="H8" s="28">
        <f t="shared" si="8"/>
        <v>58</v>
      </c>
      <c r="I8" s="28">
        <f t="shared" si="8"/>
        <v>60</v>
      </c>
      <c r="J8" s="28">
        <f t="shared" si="8"/>
        <v>76</v>
      </c>
      <c r="K8" s="28">
        <f t="shared" si="8"/>
        <v>92</v>
      </c>
      <c r="L8" s="28">
        <f t="shared" si="8"/>
        <v>134</v>
      </c>
      <c r="M8" s="28">
        <f t="shared" si="8"/>
        <v>307</v>
      </c>
      <c r="N8" s="28">
        <f t="shared" si="8"/>
        <v>218</v>
      </c>
      <c r="O8" s="28">
        <f t="shared" si="8"/>
        <v>235</v>
      </c>
      <c r="P8" s="28">
        <f t="shared" si="8"/>
        <v>287</v>
      </c>
      <c r="Q8" s="28">
        <f t="shared" si="8"/>
        <v>147</v>
      </c>
      <c r="R8" s="28">
        <f t="shared" si="8"/>
        <v>227</v>
      </c>
      <c r="S8" s="28">
        <f t="shared" si="8"/>
        <v>204</v>
      </c>
      <c r="T8" s="28">
        <f t="shared" si="8"/>
        <v>259</v>
      </c>
      <c r="U8" s="28">
        <f t="shared" si="8"/>
        <v>151</v>
      </c>
      <c r="V8" s="28">
        <f t="shared" si="8"/>
        <v>379</v>
      </c>
      <c r="W8" s="28">
        <f t="shared" si="8"/>
        <v>340</v>
      </c>
      <c r="X8" s="28">
        <f t="shared" si="8"/>
        <v>351</v>
      </c>
      <c r="Y8" s="28">
        <f t="shared" si="8"/>
        <v>352</v>
      </c>
      <c r="Z8" s="28">
        <f t="shared" si="8"/>
        <v>725</v>
      </c>
      <c r="AA8" s="28">
        <f t="shared" si="8"/>
        <v>1230</v>
      </c>
      <c r="AB8" s="28">
        <f t="shared" si="8"/>
        <v>1331</v>
      </c>
      <c r="AC8" s="28">
        <f t="shared" si="8"/>
        <v>1511</v>
      </c>
      <c r="AD8" s="28">
        <f t="shared" si="8"/>
        <v>1018</v>
      </c>
      <c r="AE8" s="29">
        <f t="shared" si="8"/>
        <v>812</v>
      </c>
      <c r="AF8" s="29">
        <f t="shared" si="8"/>
        <v>735</v>
      </c>
      <c r="AG8" s="29">
        <f t="shared" si="8"/>
        <v>1001</v>
      </c>
      <c r="AH8" s="29">
        <f t="shared" si="8"/>
        <v>961</v>
      </c>
      <c r="AI8" s="29">
        <f t="shared" si="8"/>
        <v>984</v>
      </c>
      <c r="AJ8" s="29">
        <f t="shared" si="8"/>
        <v>1649</v>
      </c>
      <c r="AK8" s="29">
        <f t="shared" si="8"/>
        <v>1141</v>
      </c>
      <c r="AL8" s="29">
        <f t="shared" si="8"/>
        <v>367</v>
      </c>
      <c r="AM8" s="29">
        <f t="shared" si="8"/>
        <v>385</v>
      </c>
      <c r="AN8" s="29">
        <f t="shared" si="8"/>
        <v>552</v>
      </c>
      <c r="AO8" s="29">
        <f t="shared" si="8"/>
        <v>1091</v>
      </c>
      <c r="AP8" s="29">
        <f t="shared" si="8"/>
        <v>2084</v>
      </c>
      <c r="AQ8" s="29">
        <f t="shared" si="8"/>
        <v>2532</v>
      </c>
      <c r="AR8" s="29">
        <f t="shared" si="8"/>
        <v>555</v>
      </c>
      <c r="AS8" s="29">
        <f t="shared" si="8"/>
        <v>668</v>
      </c>
      <c r="AT8" s="29">
        <f t="shared" si="8"/>
        <v>2078</v>
      </c>
      <c r="AU8" s="29">
        <f t="shared" si="8"/>
        <v>5814</v>
      </c>
      <c r="AV8" s="29">
        <f t="shared" si="8"/>
        <v>4080</v>
      </c>
      <c r="AW8" s="29">
        <f t="shared" si="8"/>
        <v>3383</v>
      </c>
      <c r="AX8" s="29">
        <f t="shared" si="8"/>
        <v>2106</v>
      </c>
      <c r="AY8" s="29">
        <f t="shared" si="8"/>
        <v>2679</v>
      </c>
      <c r="AZ8" s="29">
        <f t="shared" si="8"/>
        <v>4155</v>
      </c>
      <c r="BA8" s="29">
        <f t="shared" si="8"/>
        <v>15349.175999999999</v>
      </c>
      <c r="BB8" s="29">
        <f t="shared" si="8"/>
        <v>8046.5060000000003</v>
      </c>
      <c r="BC8" s="29">
        <f t="shared" si="8"/>
        <v>9890.8209999999999</v>
      </c>
      <c r="BD8" s="29">
        <f t="shared" si="8"/>
        <v>13404.885</v>
      </c>
      <c r="BE8" s="29">
        <f t="shared" si="8"/>
        <v>15115.213</v>
      </c>
      <c r="BF8" s="29">
        <f t="shared" si="8"/>
        <v>17080.704000000002</v>
      </c>
      <c r="BG8" s="29">
        <f t="shared" si="8"/>
        <v>6103.2340000000004</v>
      </c>
      <c r="BH8" s="29">
        <f>BG17</f>
        <v>5771.9650000000001</v>
      </c>
      <c r="BI8" s="29">
        <f t="shared" si="8"/>
        <v>6606</v>
      </c>
      <c r="BJ8" s="30">
        <f t="shared" si="8"/>
        <v>10332.105000000003</v>
      </c>
      <c r="BK8" s="30">
        <f t="shared" si="8"/>
        <v>14287.195000000007</v>
      </c>
      <c r="BL8" s="30">
        <f t="shared" si="8"/>
        <v>22009.195000000007</v>
      </c>
      <c r="BM8" s="30">
        <f t="shared" si="8"/>
        <v>29749.195000000007</v>
      </c>
      <c r="BN8" s="30">
        <f t="shared" si="8"/>
        <v>33489.195000000007</v>
      </c>
      <c r="BO8" s="30">
        <f t="shared" si="8"/>
        <v>40229.195000000007</v>
      </c>
      <c r="BP8" s="30">
        <f t="shared" ref="BP8:BU8" si="9">BO17</f>
        <v>49969.195000000007</v>
      </c>
      <c r="BQ8" s="30">
        <f t="shared" si="9"/>
        <v>60709.195000000007</v>
      </c>
      <c r="BR8" s="30">
        <f t="shared" si="9"/>
        <v>72449.195000000007</v>
      </c>
      <c r="BS8" s="30">
        <f t="shared" si="9"/>
        <v>82689.195000000007</v>
      </c>
      <c r="BT8" s="30">
        <f t="shared" si="9"/>
        <v>93929.195000000007</v>
      </c>
      <c r="BU8" s="30">
        <f t="shared" si="9"/>
        <v>105169.19500000001</v>
      </c>
    </row>
    <row r="9" spans="1:89">
      <c r="A9" s="9" t="s">
        <v>80</v>
      </c>
      <c r="B9" s="10">
        <v>17</v>
      </c>
      <c r="C9" s="10">
        <v>18</v>
      </c>
      <c r="D9" s="10">
        <v>21</v>
      </c>
      <c r="E9" s="10">
        <v>22</v>
      </c>
      <c r="F9" s="10">
        <v>32</v>
      </c>
      <c r="G9" s="10">
        <v>26.8</v>
      </c>
      <c r="H9" s="10">
        <v>59</v>
      </c>
      <c r="I9" s="10">
        <v>78</v>
      </c>
      <c r="J9" s="10">
        <v>271.904</v>
      </c>
      <c r="K9" s="10">
        <v>495.88</v>
      </c>
      <c r="L9" s="10">
        <v>485</v>
      </c>
      <c r="M9" s="10">
        <v>695</v>
      </c>
      <c r="N9" s="10">
        <v>1400</v>
      </c>
      <c r="O9" s="10">
        <v>2500</v>
      </c>
      <c r="P9" s="10">
        <v>3700</v>
      </c>
      <c r="Q9" s="10">
        <v>3500</v>
      </c>
      <c r="R9" s="10">
        <v>3770</v>
      </c>
      <c r="S9" s="10">
        <v>4150</v>
      </c>
      <c r="T9" s="10">
        <v>4000</v>
      </c>
      <c r="U9" s="10">
        <v>7000</v>
      </c>
      <c r="V9" s="10">
        <v>6500</v>
      </c>
      <c r="W9" s="10">
        <v>7100</v>
      </c>
      <c r="X9" s="10">
        <v>6666.4</v>
      </c>
      <c r="Y9" s="10">
        <v>9900</v>
      </c>
      <c r="Z9" s="10">
        <v>6500</v>
      </c>
      <c r="AA9" s="10">
        <v>10700</v>
      </c>
      <c r="AB9" s="10">
        <v>10861.2</v>
      </c>
      <c r="AC9" s="10">
        <v>11308.1</v>
      </c>
      <c r="AD9" s="10">
        <v>11043.4</v>
      </c>
      <c r="AE9" s="12">
        <v>11719.9</v>
      </c>
      <c r="AF9" s="12">
        <v>12133</v>
      </c>
      <c r="AG9" s="12">
        <v>12448.2</v>
      </c>
      <c r="AH9" s="12">
        <v>11004.89</v>
      </c>
      <c r="AI9" s="12">
        <v>18732.171999999999</v>
      </c>
      <c r="AJ9" s="12">
        <v>20000</v>
      </c>
      <c r="AK9" s="12">
        <v>20135.8</v>
      </c>
      <c r="AL9" s="12">
        <v>27266.253000000001</v>
      </c>
      <c r="AM9" s="12">
        <v>29991.616000000002</v>
      </c>
      <c r="AN9" s="12">
        <v>34818.550000000003</v>
      </c>
      <c r="AO9" s="12">
        <v>31576.752</v>
      </c>
      <c r="AP9" s="12">
        <v>38303.288999999997</v>
      </c>
      <c r="AQ9" s="12">
        <v>40537.368000000002</v>
      </c>
      <c r="AR9" s="12">
        <v>47482.786999999997</v>
      </c>
      <c r="AS9" s="12">
        <v>30966.367999999999</v>
      </c>
      <c r="AT9" s="12">
        <v>53247.360999999997</v>
      </c>
      <c r="AU9" s="12">
        <v>48846.1</v>
      </c>
      <c r="AV9" s="12">
        <v>40097.644</v>
      </c>
      <c r="AW9" s="12">
        <v>49117.029000000002</v>
      </c>
      <c r="AX9" s="12">
        <v>53398.720000000001</v>
      </c>
      <c r="AY9" s="12">
        <v>61398.275999999998</v>
      </c>
      <c r="AZ9" s="12">
        <v>59095.245999999999</v>
      </c>
      <c r="BA9" s="12">
        <v>54972.546000000002</v>
      </c>
      <c r="BB9" s="12">
        <v>37785.927000000003</v>
      </c>
      <c r="BC9" s="12">
        <v>55263.891000000003</v>
      </c>
      <c r="BD9" s="12">
        <v>48796.661</v>
      </c>
      <c r="BE9" s="12">
        <v>46217.911</v>
      </c>
      <c r="BF9" s="12">
        <v>43861.065999999999</v>
      </c>
      <c r="BG9" s="12">
        <v>25044.982</v>
      </c>
      <c r="BH9" s="12">
        <v>48213.216</v>
      </c>
      <c r="BI9" s="12">
        <v>50200</v>
      </c>
      <c r="BJ9" s="12">
        <v>50300</v>
      </c>
      <c r="BK9" s="13">
        <f>MROUND(BK5*BK7,500)</f>
        <v>53500</v>
      </c>
      <c r="BL9" s="13">
        <f>MROUND(BL5*BL7,500)</f>
        <v>54500</v>
      </c>
      <c r="BM9" s="13">
        <f>MROUND(BM5*BM7,500)</f>
        <v>51500</v>
      </c>
      <c r="BN9" s="13">
        <f>MROUND(BN5*BN7,500)</f>
        <v>54500</v>
      </c>
      <c r="BO9" s="13">
        <f>MROUND(BO5*BO7,500)</f>
        <v>57500</v>
      </c>
      <c r="BP9" s="13">
        <f t="shared" ref="BP9:BU9" si="10">MROUND(BP5*BP7,500)</f>
        <v>58500</v>
      </c>
      <c r="BQ9" s="13">
        <f t="shared" si="10"/>
        <v>59500</v>
      </c>
      <c r="BR9" s="13">
        <f t="shared" si="10"/>
        <v>58000</v>
      </c>
      <c r="BS9" s="13">
        <f t="shared" si="10"/>
        <v>59000</v>
      </c>
      <c r="BT9" s="13">
        <f t="shared" si="10"/>
        <v>59000</v>
      </c>
      <c r="BU9" s="13">
        <f t="shared" si="10"/>
        <v>59500</v>
      </c>
    </row>
    <row r="10" spans="1:89">
      <c r="A10" s="9" t="s">
        <v>81</v>
      </c>
      <c r="B10" s="10"/>
      <c r="C10" s="10">
        <f t="shared" ref="C10:BG10" si="11">C56</f>
        <v>0</v>
      </c>
      <c r="D10" s="10">
        <f t="shared" si="11"/>
        <v>0</v>
      </c>
      <c r="E10" s="10">
        <f t="shared" si="11"/>
        <v>0</v>
      </c>
      <c r="F10" s="10">
        <f t="shared" si="11"/>
        <v>0</v>
      </c>
      <c r="G10" s="10">
        <f t="shared" si="11"/>
        <v>0</v>
      </c>
      <c r="H10" s="10">
        <f t="shared" si="11"/>
        <v>0</v>
      </c>
      <c r="I10" s="10">
        <f t="shared" si="11"/>
        <v>0</v>
      </c>
      <c r="J10" s="10">
        <f t="shared" si="11"/>
        <v>0</v>
      </c>
      <c r="K10" s="10">
        <f t="shared" si="11"/>
        <v>0</v>
      </c>
      <c r="L10" s="10">
        <f t="shared" si="11"/>
        <v>0</v>
      </c>
      <c r="M10" s="10">
        <f t="shared" si="11"/>
        <v>0</v>
      </c>
      <c r="N10" s="10">
        <f t="shared" si="11"/>
        <v>0</v>
      </c>
      <c r="O10" s="10">
        <f t="shared" si="11"/>
        <v>0</v>
      </c>
      <c r="P10" s="10">
        <f t="shared" si="11"/>
        <v>0</v>
      </c>
      <c r="Q10" s="10">
        <f t="shared" si="11"/>
        <v>0</v>
      </c>
      <c r="R10" s="10">
        <f t="shared" si="11"/>
        <v>0</v>
      </c>
      <c r="S10" s="10">
        <f t="shared" si="11"/>
        <v>0</v>
      </c>
      <c r="T10" s="10">
        <f t="shared" si="11"/>
        <v>0</v>
      </c>
      <c r="U10" s="10">
        <f t="shared" si="11"/>
        <v>0</v>
      </c>
      <c r="V10" s="10">
        <f t="shared" si="11"/>
        <v>0</v>
      </c>
      <c r="W10" s="10">
        <f t="shared" si="11"/>
        <v>0</v>
      </c>
      <c r="X10" s="10">
        <f t="shared" si="11"/>
        <v>0</v>
      </c>
      <c r="Y10" s="10">
        <f t="shared" si="11"/>
        <v>0</v>
      </c>
      <c r="Z10" s="10">
        <f t="shared" si="11"/>
        <v>0</v>
      </c>
      <c r="AA10" s="10">
        <f t="shared" si="11"/>
        <v>0</v>
      </c>
      <c r="AB10" s="10">
        <f t="shared" si="11"/>
        <v>0</v>
      </c>
      <c r="AC10" s="10">
        <f t="shared" si="11"/>
        <v>0</v>
      </c>
      <c r="AD10" s="10">
        <f t="shared" si="11"/>
        <v>0</v>
      </c>
      <c r="AE10" s="12">
        <f t="shared" si="11"/>
        <v>26</v>
      </c>
      <c r="AF10" s="12">
        <f t="shared" si="11"/>
        <v>87</v>
      </c>
      <c r="AG10" s="12">
        <f t="shared" si="11"/>
        <v>93</v>
      </c>
      <c r="AH10" s="12">
        <f t="shared" si="11"/>
        <v>101</v>
      </c>
      <c r="AI10" s="12">
        <f t="shared" si="11"/>
        <v>540.51600000000008</v>
      </c>
      <c r="AJ10" s="12">
        <f t="shared" si="11"/>
        <v>701.78800000000001</v>
      </c>
      <c r="AK10" s="12">
        <f t="shared" si="11"/>
        <v>283.959</v>
      </c>
      <c r="AL10" s="12">
        <f t="shared" si="11"/>
        <v>213.292</v>
      </c>
      <c r="AM10" s="12">
        <f t="shared" si="11"/>
        <v>364.24300000000005</v>
      </c>
      <c r="AN10" s="12">
        <f t="shared" si="11"/>
        <v>233.28899999999999</v>
      </c>
      <c r="AO10" s="12">
        <f t="shared" si="11"/>
        <v>356.51065799999998</v>
      </c>
      <c r="AP10" s="12">
        <f t="shared" si="11"/>
        <v>564.75611200000003</v>
      </c>
      <c r="AQ10" s="12">
        <f t="shared" si="11"/>
        <v>723.96241199999997</v>
      </c>
      <c r="AR10" s="12">
        <f t="shared" si="11"/>
        <v>677.13199999999995</v>
      </c>
      <c r="AS10" s="12">
        <f t="shared" si="11"/>
        <v>2135.0160000000001</v>
      </c>
      <c r="AT10" s="12">
        <f t="shared" si="11"/>
        <v>2943.6500000000005</v>
      </c>
      <c r="AU10" s="12">
        <f t="shared" si="11"/>
        <v>916.19399999999985</v>
      </c>
      <c r="AV10" s="12">
        <f t="shared" si="11"/>
        <v>0.53100000000000003</v>
      </c>
      <c r="AW10" s="12">
        <f t="shared" si="11"/>
        <v>12.893000000000002</v>
      </c>
      <c r="AX10" s="12">
        <f t="shared" si="11"/>
        <v>0.93699999999999994</v>
      </c>
      <c r="AY10" s="12">
        <f t="shared" si="11"/>
        <v>1.867</v>
      </c>
      <c r="AZ10" s="12">
        <f t="shared" si="11"/>
        <v>2.31</v>
      </c>
      <c r="BA10" s="12">
        <f t="shared" si="11"/>
        <v>0.63700000000000001</v>
      </c>
      <c r="BB10" s="12">
        <f t="shared" si="11"/>
        <v>790.49099999999999</v>
      </c>
      <c r="BC10" s="12">
        <f t="shared" si="11"/>
        <v>1905.817714</v>
      </c>
      <c r="BD10" s="12">
        <f t="shared" si="11"/>
        <v>5731.5238389999995</v>
      </c>
      <c r="BE10" s="12">
        <f t="shared" si="11"/>
        <v>5248.2715910000006</v>
      </c>
      <c r="BF10" s="12">
        <f t="shared" si="11"/>
        <v>5228.5174540000007</v>
      </c>
      <c r="BG10" s="12">
        <f t="shared" si="11"/>
        <v>4820.5771020000002</v>
      </c>
      <c r="BH10" s="12">
        <f>BH56</f>
        <v>3458.9889999999996</v>
      </c>
      <c r="BI10" s="13">
        <v>10700</v>
      </c>
      <c r="BJ10" s="13">
        <v>5000</v>
      </c>
      <c r="BK10" s="13">
        <v>5000</v>
      </c>
      <c r="BL10" s="13">
        <v>5000</v>
      </c>
      <c r="BM10" s="13">
        <v>5000</v>
      </c>
      <c r="BN10" s="13">
        <v>5000</v>
      </c>
      <c r="BO10" s="13">
        <v>5000</v>
      </c>
      <c r="BP10" s="13">
        <v>5000</v>
      </c>
      <c r="BQ10" s="13">
        <v>5000</v>
      </c>
      <c r="BR10" s="13">
        <v>5000</v>
      </c>
      <c r="BS10" s="13">
        <v>5000</v>
      </c>
      <c r="BT10" s="13">
        <v>5000</v>
      </c>
      <c r="BU10" s="13">
        <v>5000</v>
      </c>
    </row>
    <row r="11" spans="1:89">
      <c r="A11" s="9" t="s">
        <v>82</v>
      </c>
      <c r="B11" s="10"/>
      <c r="C11" s="10">
        <f t="shared" ref="C11:AH11" si="12">SUM(C8:C10)</f>
        <v>18</v>
      </c>
      <c r="D11" s="10">
        <f t="shared" si="12"/>
        <v>31</v>
      </c>
      <c r="E11" s="10">
        <f t="shared" si="12"/>
        <v>43</v>
      </c>
      <c r="F11" s="10">
        <f t="shared" si="12"/>
        <v>67</v>
      </c>
      <c r="G11" s="10">
        <f t="shared" si="12"/>
        <v>70.8</v>
      </c>
      <c r="H11" s="10">
        <f t="shared" si="12"/>
        <v>117</v>
      </c>
      <c r="I11" s="10">
        <f t="shared" si="12"/>
        <v>138</v>
      </c>
      <c r="J11" s="10">
        <f t="shared" si="12"/>
        <v>347.904</v>
      </c>
      <c r="K11" s="10">
        <f t="shared" si="12"/>
        <v>587.88</v>
      </c>
      <c r="L11" s="10">
        <f t="shared" si="12"/>
        <v>619</v>
      </c>
      <c r="M11" s="10">
        <f t="shared" si="12"/>
        <v>1002</v>
      </c>
      <c r="N11" s="10">
        <f t="shared" si="12"/>
        <v>1618</v>
      </c>
      <c r="O11" s="10">
        <f t="shared" si="12"/>
        <v>2735</v>
      </c>
      <c r="P11" s="10">
        <f t="shared" si="12"/>
        <v>3987</v>
      </c>
      <c r="Q11" s="10">
        <f t="shared" si="12"/>
        <v>3647</v>
      </c>
      <c r="R11" s="10">
        <f t="shared" si="12"/>
        <v>3997</v>
      </c>
      <c r="S11" s="10">
        <f t="shared" si="12"/>
        <v>4354</v>
      </c>
      <c r="T11" s="10">
        <f t="shared" si="12"/>
        <v>4259</v>
      </c>
      <c r="U11" s="10">
        <f t="shared" si="12"/>
        <v>7151</v>
      </c>
      <c r="V11" s="10">
        <f t="shared" si="12"/>
        <v>6879</v>
      </c>
      <c r="W11" s="10">
        <f t="shared" si="12"/>
        <v>7440</v>
      </c>
      <c r="X11" s="10">
        <f t="shared" si="12"/>
        <v>7017.4</v>
      </c>
      <c r="Y11" s="10">
        <f t="shared" si="12"/>
        <v>10252</v>
      </c>
      <c r="Z11" s="10">
        <f t="shared" si="12"/>
        <v>7225</v>
      </c>
      <c r="AA11" s="10">
        <f t="shared" si="12"/>
        <v>11930</v>
      </c>
      <c r="AB11" s="10">
        <f t="shared" si="12"/>
        <v>12192.2</v>
      </c>
      <c r="AC11" s="10">
        <f t="shared" si="12"/>
        <v>12819.1</v>
      </c>
      <c r="AD11" s="10">
        <f t="shared" si="12"/>
        <v>12061.4</v>
      </c>
      <c r="AE11" s="12">
        <f t="shared" si="12"/>
        <v>12557.9</v>
      </c>
      <c r="AF11" s="12">
        <f t="shared" si="12"/>
        <v>12955</v>
      </c>
      <c r="AG11" s="12">
        <f t="shared" si="12"/>
        <v>13542.2</v>
      </c>
      <c r="AH11" s="12">
        <f t="shared" si="12"/>
        <v>12066.89</v>
      </c>
      <c r="AI11" s="12">
        <f t="shared" ref="AI11:BU11" si="13">SUM(AI8:AI10)</f>
        <v>20256.687999999998</v>
      </c>
      <c r="AJ11" s="12">
        <f t="shared" si="13"/>
        <v>22350.788</v>
      </c>
      <c r="AK11" s="12">
        <f t="shared" si="13"/>
        <v>21560.758999999998</v>
      </c>
      <c r="AL11" s="12">
        <f t="shared" si="13"/>
        <v>27846.545000000002</v>
      </c>
      <c r="AM11" s="12">
        <f t="shared" si="13"/>
        <v>30740.859</v>
      </c>
      <c r="AN11" s="12">
        <f t="shared" si="13"/>
        <v>35603.839</v>
      </c>
      <c r="AO11" s="12">
        <f t="shared" si="13"/>
        <v>33024.262658</v>
      </c>
      <c r="AP11" s="12">
        <f t="shared" si="13"/>
        <v>40952.045112</v>
      </c>
      <c r="AQ11" s="12">
        <f t="shared" si="13"/>
        <v>43793.330412000003</v>
      </c>
      <c r="AR11" s="12">
        <f t="shared" si="13"/>
        <v>48714.918999999994</v>
      </c>
      <c r="AS11" s="12">
        <f t="shared" si="13"/>
        <v>33769.383999999998</v>
      </c>
      <c r="AT11" s="12">
        <f t="shared" si="13"/>
        <v>58269.010999999999</v>
      </c>
      <c r="AU11" s="12">
        <f t="shared" si="13"/>
        <v>55576.294000000002</v>
      </c>
      <c r="AV11" s="12">
        <f t="shared" si="13"/>
        <v>44178.175000000003</v>
      </c>
      <c r="AW11" s="12">
        <f t="shared" si="13"/>
        <v>52512.921999999999</v>
      </c>
      <c r="AX11" s="12">
        <f t="shared" si="13"/>
        <v>55505.656999999999</v>
      </c>
      <c r="AY11" s="12">
        <f t="shared" si="13"/>
        <v>64079.142999999996</v>
      </c>
      <c r="AZ11" s="12">
        <f t="shared" si="13"/>
        <v>63252.555999999997</v>
      </c>
      <c r="BA11" s="12">
        <f t="shared" si="13"/>
        <v>70322.359000000011</v>
      </c>
      <c r="BB11" s="12">
        <f t="shared" si="13"/>
        <v>46622.924000000006</v>
      </c>
      <c r="BC11" s="12">
        <f t="shared" si="13"/>
        <v>67060.529714000004</v>
      </c>
      <c r="BD11" s="12">
        <f t="shared" si="13"/>
        <v>67933.069839000003</v>
      </c>
      <c r="BE11" s="12">
        <f t="shared" si="13"/>
        <v>66581.395590999993</v>
      </c>
      <c r="BF11" s="12">
        <f t="shared" si="13"/>
        <v>66170.287454000005</v>
      </c>
      <c r="BG11" s="12">
        <f t="shared" si="13"/>
        <v>35968.793102000003</v>
      </c>
      <c r="BH11" s="12">
        <f>SUM(BH8:BH10)</f>
        <v>57444.17</v>
      </c>
      <c r="BI11" s="13">
        <f>SUM(BI8:BI10)</f>
        <v>67506</v>
      </c>
      <c r="BJ11" s="13">
        <f t="shared" si="13"/>
        <v>65632.10500000001</v>
      </c>
      <c r="BK11" s="13">
        <f t="shared" si="13"/>
        <v>72787.195000000007</v>
      </c>
      <c r="BL11" s="13">
        <f t="shared" si="13"/>
        <v>81509.195000000007</v>
      </c>
      <c r="BM11" s="13">
        <f t="shared" si="13"/>
        <v>86249.195000000007</v>
      </c>
      <c r="BN11" s="13">
        <f t="shared" si="13"/>
        <v>92989.195000000007</v>
      </c>
      <c r="BO11" s="13">
        <f t="shared" si="13"/>
        <v>102729.19500000001</v>
      </c>
      <c r="BP11" s="13">
        <f t="shared" si="13"/>
        <v>113469.19500000001</v>
      </c>
      <c r="BQ11" s="13">
        <f t="shared" si="13"/>
        <v>125209.19500000001</v>
      </c>
      <c r="BR11" s="13">
        <f t="shared" si="13"/>
        <v>135449.19500000001</v>
      </c>
      <c r="BS11" s="13">
        <f t="shared" si="13"/>
        <v>146689.19500000001</v>
      </c>
      <c r="BT11" s="13">
        <f t="shared" si="13"/>
        <v>157929.19500000001</v>
      </c>
      <c r="BU11" s="13">
        <f t="shared" si="13"/>
        <v>169669.19500000001</v>
      </c>
    </row>
    <row r="12" spans="1:89">
      <c r="A12" s="27" t="s">
        <v>83</v>
      </c>
      <c r="B12" s="28"/>
      <c r="C12" s="28">
        <f t="shared" ref="C12:BJ12" si="14">C88</f>
        <v>6</v>
      </c>
      <c r="D12" s="28">
        <f t="shared" si="14"/>
        <v>5</v>
      </c>
      <c r="E12" s="28">
        <f t="shared" si="14"/>
        <v>5</v>
      </c>
      <c r="F12" s="28">
        <f t="shared" si="14"/>
        <v>11</v>
      </c>
      <c r="G12" s="28">
        <f t="shared" si="14"/>
        <v>15</v>
      </c>
      <c r="H12" s="28">
        <f t="shared" si="14"/>
        <v>21</v>
      </c>
      <c r="I12" s="28">
        <f t="shared" si="14"/>
        <v>36</v>
      </c>
      <c r="J12" s="28">
        <f t="shared" si="14"/>
        <v>46</v>
      </c>
      <c r="K12" s="28">
        <f t="shared" si="14"/>
        <v>195</v>
      </c>
      <c r="L12" s="28">
        <f t="shared" si="14"/>
        <v>281</v>
      </c>
      <c r="M12" s="28">
        <f t="shared" si="14"/>
        <v>529.07000000000005</v>
      </c>
      <c r="N12" s="28">
        <f t="shared" si="14"/>
        <v>495.73900000000003</v>
      </c>
      <c r="O12" s="28">
        <f t="shared" si="14"/>
        <v>588.50000000000011</v>
      </c>
      <c r="P12" s="28">
        <f t="shared" si="14"/>
        <v>686.32899999999995</v>
      </c>
      <c r="Q12" s="28">
        <f t="shared" si="14"/>
        <v>638.00900000000001</v>
      </c>
      <c r="R12" s="28">
        <f t="shared" si="14"/>
        <v>720.12300000000027</v>
      </c>
      <c r="S12" s="28">
        <f t="shared" si="14"/>
        <v>1097.2990000000002</v>
      </c>
      <c r="T12" s="28">
        <f t="shared" si="14"/>
        <v>2005.7009999999998</v>
      </c>
      <c r="U12" s="28">
        <f t="shared" si="14"/>
        <v>2398.8089999999997</v>
      </c>
      <c r="V12" s="28">
        <f t="shared" si="14"/>
        <v>3619.6929999999998</v>
      </c>
      <c r="W12" s="28">
        <f t="shared" si="14"/>
        <v>3448.2879999999996</v>
      </c>
      <c r="X12" s="28">
        <f t="shared" si="14"/>
        <v>4343.991</v>
      </c>
      <c r="Y12" s="28">
        <f t="shared" si="14"/>
        <v>4969.6259999999993</v>
      </c>
      <c r="Z12" s="28">
        <f t="shared" si="14"/>
        <v>6969.3049999999994</v>
      </c>
      <c r="AA12" s="28">
        <f t="shared" si="14"/>
        <v>5412.7560000000003</v>
      </c>
      <c r="AB12" s="28">
        <f t="shared" si="14"/>
        <v>6563.77</v>
      </c>
      <c r="AC12" s="28">
        <f t="shared" si="14"/>
        <v>7391.2180000000008</v>
      </c>
      <c r="AD12" s="28">
        <f t="shared" si="14"/>
        <v>8049.0890000000018</v>
      </c>
      <c r="AE12" s="29">
        <f t="shared" si="14"/>
        <v>8739.6710000000021</v>
      </c>
      <c r="AF12" s="29">
        <f t="shared" si="14"/>
        <v>8771.5759999999991</v>
      </c>
      <c r="AG12" s="29">
        <f t="shared" si="14"/>
        <v>9352.1620000000003</v>
      </c>
      <c r="AH12" s="29">
        <f t="shared" si="14"/>
        <v>9944.510000000002</v>
      </c>
      <c r="AI12" s="29">
        <f t="shared" si="14"/>
        <v>10423.478999999998</v>
      </c>
      <c r="AJ12" s="29">
        <f t="shared" si="14"/>
        <v>16742.424999999999</v>
      </c>
      <c r="AK12" s="29">
        <f t="shared" si="14"/>
        <v>17108.486000000001</v>
      </c>
      <c r="AL12" s="29">
        <f t="shared" si="14"/>
        <v>16514.388999999999</v>
      </c>
      <c r="AM12" s="29">
        <f t="shared" si="14"/>
        <v>19506.561000000002</v>
      </c>
      <c r="AN12" s="29">
        <f t="shared" si="14"/>
        <v>22397.495000000003</v>
      </c>
      <c r="AO12" s="29">
        <f t="shared" si="14"/>
        <v>24789.88</v>
      </c>
      <c r="AP12" s="29">
        <f t="shared" si="14"/>
        <v>25072.182999999997</v>
      </c>
      <c r="AQ12" s="29">
        <f t="shared" si="14"/>
        <v>29559.983609999996</v>
      </c>
      <c r="AR12" s="29">
        <f t="shared" si="14"/>
        <v>32748.409000000003</v>
      </c>
      <c r="AS12" s="29">
        <f t="shared" si="14"/>
        <v>35969.152000000002</v>
      </c>
      <c r="AT12" s="29">
        <f t="shared" si="14"/>
        <v>31883.147000000001</v>
      </c>
      <c r="AU12" s="29">
        <f t="shared" si="14"/>
        <v>28554.993999999995</v>
      </c>
      <c r="AV12" s="29">
        <f t="shared" si="14"/>
        <v>39195.923999999999</v>
      </c>
      <c r="AW12" s="29">
        <f t="shared" si="14"/>
        <v>37521.087999999996</v>
      </c>
      <c r="AX12" s="29">
        <f t="shared" si="14"/>
        <v>30681.328000000001</v>
      </c>
      <c r="AY12" s="29">
        <f t="shared" si="14"/>
        <v>35009.076999999997</v>
      </c>
      <c r="AZ12" s="29">
        <f t="shared" si="14"/>
        <v>38502.619000000006</v>
      </c>
      <c r="BA12" s="29">
        <f t="shared" si="14"/>
        <v>45109.788</v>
      </c>
      <c r="BB12" s="29">
        <f t="shared" si="14"/>
        <v>43093.624000000003</v>
      </c>
      <c r="BC12" s="29">
        <f t="shared" si="14"/>
        <v>41029.673000000003</v>
      </c>
      <c r="BD12" s="29">
        <f t="shared" si="14"/>
        <v>36342.683000000005</v>
      </c>
      <c r="BE12" s="29">
        <f t="shared" si="14"/>
        <v>41188.265999999996</v>
      </c>
      <c r="BF12" s="29">
        <f t="shared" si="14"/>
        <v>37871.895000000004</v>
      </c>
      <c r="BG12" s="29">
        <f>BG88</f>
        <v>41053.493000000002</v>
      </c>
      <c r="BH12" s="29">
        <f t="shared" si="14"/>
        <v>35911.987000000001</v>
      </c>
      <c r="BI12" s="29">
        <f t="shared" si="14"/>
        <v>28985.894999999997</v>
      </c>
      <c r="BJ12" s="29">
        <f t="shared" si="14"/>
        <v>43549.91</v>
      </c>
      <c r="BK12" s="30">
        <v>43000</v>
      </c>
      <c r="BL12" s="30">
        <v>44000</v>
      </c>
      <c r="BM12" s="30">
        <v>45000</v>
      </c>
      <c r="BN12" s="30">
        <v>45000</v>
      </c>
      <c r="BO12" s="30">
        <v>45000</v>
      </c>
      <c r="BP12" s="30">
        <v>45000</v>
      </c>
      <c r="BQ12" s="30">
        <v>45000</v>
      </c>
      <c r="BR12" s="30">
        <v>45000</v>
      </c>
      <c r="BS12" s="30">
        <v>45000</v>
      </c>
      <c r="BT12" s="30">
        <v>45000</v>
      </c>
      <c r="BU12" s="30">
        <v>45000</v>
      </c>
    </row>
    <row r="13" spans="1:89">
      <c r="A13" s="9" t="s">
        <v>84</v>
      </c>
      <c r="B13" s="10"/>
      <c r="C13" s="10">
        <f t="shared" ref="C13:BG13" si="15">C72</f>
        <v>0</v>
      </c>
      <c r="D13" s="10">
        <f t="shared" si="15"/>
        <v>0</v>
      </c>
      <c r="E13" s="10">
        <f t="shared" si="15"/>
        <v>0</v>
      </c>
      <c r="F13" s="10">
        <f t="shared" si="15"/>
        <v>0</v>
      </c>
      <c r="G13" s="10">
        <f t="shared" si="15"/>
        <v>0</v>
      </c>
      <c r="H13" s="10">
        <f t="shared" si="15"/>
        <v>0</v>
      </c>
      <c r="I13" s="10">
        <f t="shared" si="15"/>
        <v>0</v>
      </c>
      <c r="J13" s="10">
        <f t="shared" si="15"/>
        <v>0</v>
      </c>
      <c r="K13" s="10">
        <f t="shared" si="15"/>
        <v>0</v>
      </c>
      <c r="L13" s="10">
        <f t="shared" si="15"/>
        <v>0</v>
      </c>
      <c r="M13" s="10">
        <f t="shared" si="15"/>
        <v>0</v>
      </c>
      <c r="N13" s="10">
        <f t="shared" si="15"/>
        <v>110.89999999999998</v>
      </c>
      <c r="O13" s="10">
        <f t="shared" si="15"/>
        <v>622.69999999999993</v>
      </c>
      <c r="P13" s="10">
        <f t="shared" si="15"/>
        <v>1969.8</v>
      </c>
      <c r="Q13" s="10">
        <f t="shared" si="15"/>
        <v>2781.5999999999995</v>
      </c>
      <c r="R13" s="10">
        <f t="shared" si="15"/>
        <v>2725.9</v>
      </c>
      <c r="S13" s="10">
        <f t="shared" si="15"/>
        <v>2189.8999999999996</v>
      </c>
      <c r="T13" s="10">
        <f t="shared" si="15"/>
        <v>2001.3000000000002</v>
      </c>
      <c r="U13" s="10">
        <f t="shared" si="15"/>
        <v>1338.0000000000002</v>
      </c>
      <c r="V13" s="10">
        <f t="shared" si="15"/>
        <v>3116.7999999999997</v>
      </c>
      <c r="W13" s="10">
        <f t="shared" si="15"/>
        <v>2961.1000000000004</v>
      </c>
      <c r="X13" s="10">
        <f t="shared" si="15"/>
        <v>2604.6</v>
      </c>
      <c r="Y13" s="10">
        <f t="shared" si="15"/>
        <v>1291.8999999999999</v>
      </c>
      <c r="Z13" s="10">
        <f t="shared" si="15"/>
        <v>2096.1999999999998</v>
      </c>
      <c r="AA13" s="10">
        <f t="shared" si="15"/>
        <v>516.29999999999995</v>
      </c>
      <c r="AB13" s="10">
        <f t="shared" si="15"/>
        <v>3510.8999999999996</v>
      </c>
      <c r="AC13" s="10">
        <f t="shared" si="15"/>
        <v>4126.8</v>
      </c>
      <c r="AD13" s="10">
        <f t="shared" si="15"/>
        <v>3027.2850000000008</v>
      </c>
      <c r="AE13" s="12">
        <f t="shared" si="15"/>
        <v>1849.5309999999999</v>
      </c>
      <c r="AF13" s="12">
        <f t="shared" si="15"/>
        <v>482.05600000000004</v>
      </c>
      <c r="AG13" s="12">
        <f t="shared" si="15"/>
        <v>2984.1990000000005</v>
      </c>
      <c r="AH13" s="12">
        <f t="shared" si="15"/>
        <v>2716.4940000000001</v>
      </c>
      <c r="AI13" s="12">
        <f t="shared" si="15"/>
        <v>1987.4559999999999</v>
      </c>
      <c r="AJ13" s="12">
        <f t="shared" si="15"/>
        <v>650.846</v>
      </c>
      <c r="AK13" s="12">
        <f t="shared" si="15"/>
        <v>2805.8269999999998</v>
      </c>
      <c r="AL13" s="12">
        <f t="shared" si="15"/>
        <v>3766.5209999999997</v>
      </c>
      <c r="AM13" s="12">
        <f t="shared" si="15"/>
        <v>4468.4960000000001</v>
      </c>
      <c r="AN13" s="12">
        <f t="shared" si="15"/>
        <v>6830.7289999999975</v>
      </c>
      <c r="AO13" s="12">
        <f t="shared" si="15"/>
        <v>7036.1640000000007</v>
      </c>
      <c r="AP13" s="12">
        <f t="shared" si="15"/>
        <v>8796.0670000000009</v>
      </c>
      <c r="AQ13" s="12">
        <f t="shared" si="15"/>
        <v>7000.8850000000002</v>
      </c>
      <c r="AR13" s="12">
        <f t="shared" si="15"/>
        <v>10853.515999999998</v>
      </c>
      <c r="AS13" s="12">
        <f t="shared" si="15"/>
        <v>6449.3990000000003</v>
      </c>
      <c r="AT13" s="12">
        <f t="shared" si="15"/>
        <v>12341.824000000001</v>
      </c>
      <c r="AU13" s="12">
        <f t="shared" si="15"/>
        <v>9831.6170000000002</v>
      </c>
      <c r="AV13" s="12">
        <f t="shared" si="15"/>
        <v>4722.1849999999995</v>
      </c>
      <c r="AW13" s="12">
        <f t="shared" si="15"/>
        <v>12354.264000000001</v>
      </c>
      <c r="AX13" s="12">
        <f t="shared" si="15"/>
        <v>10096.121999999999</v>
      </c>
      <c r="AY13" s="12">
        <f t="shared" si="15"/>
        <v>6584.7569999999996</v>
      </c>
      <c r="AZ13" s="12">
        <f t="shared" si="15"/>
        <v>7888.9459999999999</v>
      </c>
      <c r="BA13" s="12">
        <f t="shared" si="15"/>
        <v>7566.9859999999999</v>
      </c>
      <c r="BB13" s="12">
        <f t="shared" si="15"/>
        <v>11005.616</v>
      </c>
      <c r="BC13" s="12">
        <f t="shared" si="15"/>
        <v>9217.7663550000016</v>
      </c>
      <c r="BD13" s="12">
        <f t="shared" si="15"/>
        <v>6592.6978549999985</v>
      </c>
      <c r="BE13" s="12">
        <f t="shared" si="15"/>
        <v>4046.0638230000004</v>
      </c>
      <c r="BF13" s="12">
        <f t="shared" si="15"/>
        <v>10553.442863</v>
      </c>
      <c r="BG13" s="12">
        <f t="shared" si="15"/>
        <v>6380.2686910000002</v>
      </c>
      <c r="BH13" s="12">
        <f>BH72</f>
        <v>4926.4721589999999</v>
      </c>
      <c r="BI13" s="13">
        <f>4500-1000-1750+150</f>
        <v>1900</v>
      </c>
      <c r="BJ13" s="13">
        <v>4500</v>
      </c>
      <c r="BK13" s="13">
        <v>4500</v>
      </c>
      <c r="BL13" s="13">
        <v>4500</v>
      </c>
      <c r="BM13" s="13">
        <v>4500</v>
      </c>
      <c r="BN13" s="13">
        <v>4500</v>
      </c>
      <c r="BO13" s="13">
        <v>4500</v>
      </c>
      <c r="BP13" s="13">
        <v>4500</v>
      </c>
      <c r="BQ13" s="13">
        <v>4500</v>
      </c>
      <c r="BR13" s="13">
        <v>4500</v>
      </c>
      <c r="BS13" s="13">
        <v>4500</v>
      </c>
      <c r="BT13" s="13">
        <v>4500</v>
      </c>
      <c r="BU13" s="13">
        <v>4500</v>
      </c>
    </row>
    <row r="14" spans="1:89">
      <c r="A14" s="9" t="s">
        <v>85</v>
      </c>
      <c r="B14" s="10"/>
      <c r="C14" s="11">
        <f t="shared" ref="C14:BN14" si="16">ROUND(D4*0.07,0)</f>
        <v>1</v>
      </c>
      <c r="D14" s="11">
        <f t="shared" si="16"/>
        <v>1</v>
      </c>
      <c r="E14" s="11">
        <f t="shared" si="16"/>
        <v>2</v>
      </c>
      <c r="F14" s="11">
        <f t="shared" si="16"/>
        <v>2</v>
      </c>
      <c r="G14" s="11">
        <f t="shared" si="16"/>
        <v>3</v>
      </c>
      <c r="H14" s="11">
        <f t="shared" si="16"/>
        <v>6</v>
      </c>
      <c r="I14" s="11">
        <f t="shared" si="16"/>
        <v>12</v>
      </c>
      <c r="J14" s="11">
        <f t="shared" si="16"/>
        <v>26</v>
      </c>
      <c r="K14" s="11">
        <f t="shared" si="16"/>
        <v>26</v>
      </c>
      <c r="L14" s="10">
        <f t="shared" si="16"/>
        <v>31</v>
      </c>
      <c r="M14" s="10">
        <f t="shared" si="16"/>
        <v>50</v>
      </c>
      <c r="N14" s="10">
        <f t="shared" si="16"/>
        <v>84</v>
      </c>
      <c r="O14" s="10">
        <f t="shared" si="16"/>
        <v>115</v>
      </c>
      <c r="P14" s="10">
        <f t="shared" si="16"/>
        <v>147</v>
      </c>
      <c r="Q14" s="10">
        <f t="shared" si="16"/>
        <v>135</v>
      </c>
      <c r="R14" s="10">
        <f t="shared" si="16"/>
        <v>143</v>
      </c>
      <c r="S14" s="10">
        <f t="shared" si="16"/>
        <v>165</v>
      </c>
      <c r="T14" s="10">
        <f t="shared" si="16"/>
        <v>204</v>
      </c>
      <c r="U14" s="10">
        <f t="shared" si="16"/>
        <v>231</v>
      </c>
      <c r="V14" s="10">
        <f t="shared" si="16"/>
        <v>234</v>
      </c>
      <c r="W14" s="10">
        <f t="shared" si="16"/>
        <v>258</v>
      </c>
      <c r="X14" s="10">
        <f t="shared" si="16"/>
        <v>309</v>
      </c>
      <c r="Y14" s="10">
        <f t="shared" si="16"/>
        <v>327</v>
      </c>
      <c r="Z14" s="10">
        <f t="shared" si="16"/>
        <v>357</v>
      </c>
      <c r="AA14" s="10">
        <f t="shared" si="16"/>
        <v>348</v>
      </c>
      <c r="AB14" s="10">
        <f t="shared" si="16"/>
        <v>350</v>
      </c>
      <c r="AC14" s="10">
        <f t="shared" si="16"/>
        <v>372</v>
      </c>
      <c r="AD14" s="10">
        <f t="shared" si="16"/>
        <v>407</v>
      </c>
      <c r="AE14" s="12">
        <f t="shared" si="16"/>
        <v>421</v>
      </c>
      <c r="AF14" s="12">
        <f t="shared" si="16"/>
        <v>420</v>
      </c>
      <c r="AG14" s="12">
        <f t="shared" si="16"/>
        <v>467</v>
      </c>
      <c r="AH14" s="12">
        <f t="shared" si="16"/>
        <v>502</v>
      </c>
      <c r="AI14" s="12">
        <f t="shared" si="16"/>
        <v>588</v>
      </c>
      <c r="AJ14" s="12">
        <f t="shared" si="16"/>
        <v>615</v>
      </c>
      <c r="AK14" s="12">
        <f t="shared" si="16"/>
        <v>765</v>
      </c>
      <c r="AL14" s="12">
        <f t="shared" si="16"/>
        <v>815</v>
      </c>
      <c r="AM14" s="12">
        <f t="shared" si="16"/>
        <v>882</v>
      </c>
      <c r="AN14" s="12">
        <f t="shared" si="16"/>
        <v>1017</v>
      </c>
      <c r="AO14" s="12">
        <f t="shared" si="16"/>
        <v>1008</v>
      </c>
      <c r="AP14" s="12">
        <f t="shared" si="16"/>
        <v>1078</v>
      </c>
      <c r="AQ14" s="12">
        <f t="shared" si="16"/>
        <v>1130</v>
      </c>
      <c r="AR14" s="12">
        <f t="shared" si="16"/>
        <v>1259</v>
      </c>
      <c r="AS14" s="12">
        <f t="shared" si="16"/>
        <v>1287</v>
      </c>
      <c r="AT14" s="12">
        <f t="shared" si="16"/>
        <v>1321</v>
      </c>
      <c r="AU14" s="12">
        <f t="shared" si="16"/>
        <v>1306</v>
      </c>
      <c r="AV14" s="12">
        <f t="shared" si="16"/>
        <v>1393</v>
      </c>
      <c r="AW14" s="12">
        <f t="shared" si="16"/>
        <v>1379</v>
      </c>
      <c r="AX14" s="12">
        <f t="shared" si="16"/>
        <v>1385</v>
      </c>
      <c r="AY14" s="12">
        <f t="shared" si="16"/>
        <v>1439</v>
      </c>
      <c r="AZ14" s="12">
        <f t="shared" si="16"/>
        <v>1264</v>
      </c>
      <c r="BA14" s="12">
        <f t="shared" si="16"/>
        <v>1208</v>
      </c>
      <c r="BB14" s="12">
        <f t="shared" si="16"/>
        <v>1191</v>
      </c>
      <c r="BC14" s="12">
        <f t="shared" si="16"/>
        <v>1184</v>
      </c>
      <c r="BD14" s="12">
        <f t="shared" si="16"/>
        <v>1166</v>
      </c>
      <c r="BE14" s="12">
        <f t="shared" si="16"/>
        <v>1127</v>
      </c>
      <c r="BF14" s="12">
        <f t="shared" si="16"/>
        <v>1119</v>
      </c>
      <c r="BG14" s="12">
        <f t="shared" si="16"/>
        <v>1160</v>
      </c>
      <c r="BH14" s="12">
        <f t="shared" si="16"/>
        <v>1211</v>
      </c>
      <c r="BI14" s="13">
        <f t="shared" si="16"/>
        <v>1288</v>
      </c>
      <c r="BJ14" s="13">
        <f t="shared" si="16"/>
        <v>1295</v>
      </c>
      <c r="BK14" s="13">
        <f t="shared" si="16"/>
        <v>1278</v>
      </c>
      <c r="BL14" s="13">
        <f t="shared" si="16"/>
        <v>1260</v>
      </c>
      <c r="BM14" s="13">
        <f t="shared" si="16"/>
        <v>1260</v>
      </c>
      <c r="BN14" s="13">
        <f t="shared" si="16"/>
        <v>1260</v>
      </c>
      <c r="BO14" s="13">
        <f t="shared" ref="BO14:BU14" si="17">ROUND(BP4*0.07,0)</f>
        <v>1260</v>
      </c>
      <c r="BP14" s="13">
        <f t="shared" si="17"/>
        <v>1260</v>
      </c>
      <c r="BQ14" s="13">
        <f t="shared" si="17"/>
        <v>1260</v>
      </c>
      <c r="BR14" s="13">
        <f t="shared" si="17"/>
        <v>1260</v>
      </c>
      <c r="BS14" s="13">
        <f t="shared" si="17"/>
        <v>1260</v>
      </c>
      <c r="BT14" s="13">
        <f t="shared" si="17"/>
        <v>1260</v>
      </c>
      <c r="BU14" s="13">
        <f t="shared" si="17"/>
        <v>0</v>
      </c>
    </row>
    <row r="15" spans="1:89">
      <c r="A15" s="9" t="s">
        <v>86</v>
      </c>
      <c r="B15" s="10"/>
      <c r="C15" s="10">
        <f t="shared" ref="C15:AH15" si="18">C16-SUM(C12:C14)</f>
        <v>1</v>
      </c>
      <c r="D15" s="10">
        <f t="shared" si="18"/>
        <v>4</v>
      </c>
      <c r="E15" s="10">
        <f t="shared" si="18"/>
        <v>1</v>
      </c>
      <c r="F15" s="10">
        <f t="shared" si="18"/>
        <v>10</v>
      </c>
      <c r="G15" s="10">
        <f t="shared" si="18"/>
        <v>-5.2000000000000028</v>
      </c>
      <c r="H15" s="10">
        <f t="shared" si="18"/>
        <v>30</v>
      </c>
      <c r="I15" s="10">
        <f t="shared" si="18"/>
        <v>14</v>
      </c>
      <c r="J15" s="10">
        <f t="shared" si="18"/>
        <v>183.904</v>
      </c>
      <c r="K15" s="10">
        <f t="shared" si="18"/>
        <v>232.88</v>
      </c>
      <c r="L15" s="10">
        <f t="shared" si="18"/>
        <v>0</v>
      </c>
      <c r="M15" s="10">
        <f t="shared" si="18"/>
        <v>204.92999999999995</v>
      </c>
      <c r="N15" s="10">
        <f t="shared" si="18"/>
        <v>692.36099999999999</v>
      </c>
      <c r="O15" s="10">
        <f t="shared" si="18"/>
        <v>1121.8</v>
      </c>
      <c r="P15" s="10">
        <f t="shared" si="18"/>
        <v>1036.8710000000001</v>
      </c>
      <c r="Q15" s="10">
        <f t="shared" si="18"/>
        <v>-134.60899999999947</v>
      </c>
      <c r="R15" s="10">
        <f t="shared" si="18"/>
        <v>203.97699999999986</v>
      </c>
      <c r="S15" s="10">
        <f t="shared" si="18"/>
        <v>642.80100000000039</v>
      </c>
      <c r="T15" s="10">
        <f t="shared" si="18"/>
        <v>-103.0010000000002</v>
      </c>
      <c r="U15" s="10">
        <f t="shared" si="18"/>
        <v>2804.1909999999998</v>
      </c>
      <c r="V15" s="10">
        <f t="shared" si="18"/>
        <v>-431.49299999999948</v>
      </c>
      <c r="W15" s="10">
        <f t="shared" si="18"/>
        <v>421.61200000000008</v>
      </c>
      <c r="X15" s="10">
        <f t="shared" si="18"/>
        <v>-592.19100000000071</v>
      </c>
      <c r="Y15" s="10">
        <f t="shared" si="18"/>
        <v>2938.4740000000011</v>
      </c>
      <c r="Z15" s="10">
        <f t="shared" si="18"/>
        <v>-3427.5049999999992</v>
      </c>
      <c r="AA15" s="10">
        <f t="shared" si="18"/>
        <v>4321.9439999999995</v>
      </c>
      <c r="AB15" s="10">
        <f t="shared" si="18"/>
        <v>256.53000000000065</v>
      </c>
      <c r="AC15" s="10">
        <f t="shared" si="18"/>
        <v>-88.917999999999665</v>
      </c>
      <c r="AD15" s="10">
        <f t="shared" si="18"/>
        <v>-233.9740000000038</v>
      </c>
      <c r="AE15" s="12">
        <f t="shared" si="18"/>
        <v>812.6979999999985</v>
      </c>
      <c r="AF15" s="12">
        <f t="shared" si="18"/>
        <v>2280.3680000000004</v>
      </c>
      <c r="AG15" s="12">
        <f t="shared" si="18"/>
        <v>-222.16100000000006</v>
      </c>
      <c r="AH15" s="12">
        <f t="shared" si="18"/>
        <v>-2080.1140000000032</v>
      </c>
      <c r="AI15" s="12">
        <f t="shared" ref="AI15:BF15" si="19">AI16-SUM(AI12:AI14)</f>
        <v>5608.7530000000006</v>
      </c>
      <c r="AJ15" s="12">
        <f t="shared" si="19"/>
        <v>3201.5169999999998</v>
      </c>
      <c r="AK15" s="12">
        <f t="shared" si="19"/>
        <v>514.44599999999627</v>
      </c>
      <c r="AL15" s="12">
        <f t="shared" si="19"/>
        <v>6365.635000000002</v>
      </c>
      <c r="AM15" s="12">
        <f t="shared" si="19"/>
        <v>5331.8019999999997</v>
      </c>
      <c r="AN15" s="12">
        <f t="shared" si="19"/>
        <v>4267.614999999998</v>
      </c>
      <c r="AO15" s="12">
        <f t="shared" si="19"/>
        <v>-1893.781342000002</v>
      </c>
      <c r="AP15" s="12">
        <f t="shared" si="19"/>
        <v>3473.7951119999998</v>
      </c>
      <c r="AQ15" s="12">
        <f t="shared" si="19"/>
        <v>5547.4618020000053</v>
      </c>
      <c r="AR15" s="12">
        <f t="shared" si="19"/>
        <v>3185.9939999999915</v>
      </c>
      <c r="AS15" s="12">
        <f t="shared" si="19"/>
        <v>-12014.167000000001</v>
      </c>
      <c r="AT15" s="12">
        <f t="shared" si="19"/>
        <v>6909.0399999999936</v>
      </c>
      <c r="AU15" s="12">
        <f t="shared" si="19"/>
        <v>11803.683000000005</v>
      </c>
      <c r="AV15" s="12">
        <f t="shared" si="19"/>
        <v>-4515.9339999999938</v>
      </c>
      <c r="AW15" s="12">
        <f t="shared" si="19"/>
        <v>-847.43000000000029</v>
      </c>
      <c r="AX15" s="12">
        <f t="shared" si="19"/>
        <v>10664.207000000002</v>
      </c>
      <c r="AY15" s="12">
        <f t="shared" si="19"/>
        <v>16891.309000000001</v>
      </c>
      <c r="AZ15" s="12">
        <f t="shared" si="19"/>
        <v>247.81499999999505</v>
      </c>
      <c r="BA15" s="12">
        <f t="shared" si="19"/>
        <v>8391.0790000000125</v>
      </c>
      <c r="BB15" s="12">
        <f t="shared" si="19"/>
        <v>-18558.137000000002</v>
      </c>
      <c r="BC15" s="12">
        <f t="shared" si="19"/>
        <v>2224.2053589999996</v>
      </c>
      <c r="BD15" s="12">
        <f t="shared" si="19"/>
        <v>8716.475983999997</v>
      </c>
      <c r="BE15" s="12">
        <f t="shared" si="19"/>
        <v>3139.3617680000025</v>
      </c>
      <c r="BF15" s="12">
        <f t="shared" si="19"/>
        <v>10522.715591</v>
      </c>
      <c r="BG15" s="12">
        <f>BG16-SUM(BG12:BG14)</f>
        <v>-18396.933588999997</v>
      </c>
      <c r="BH15" s="12">
        <f>BH16-SUM(BH12:BH14)</f>
        <v>8788.7108410000001</v>
      </c>
      <c r="BI15" s="13">
        <v>25000</v>
      </c>
      <c r="BJ15" s="13">
        <v>2000</v>
      </c>
      <c r="BK15" s="13">
        <v>2000</v>
      </c>
      <c r="BL15" s="13">
        <v>2000</v>
      </c>
      <c r="BM15" s="13">
        <v>2000</v>
      </c>
      <c r="BN15" s="13">
        <v>2000</v>
      </c>
      <c r="BO15" s="13">
        <v>2000</v>
      </c>
      <c r="BP15" s="13">
        <v>2000</v>
      </c>
      <c r="BQ15" s="13">
        <v>2000</v>
      </c>
      <c r="BR15" s="13">
        <v>2000</v>
      </c>
      <c r="BS15" s="13">
        <v>2000</v>
      </c>
      <c r="BT15" s="13">
        <v>2000</v>
      </c>
      <c r="BU15" s="13">
        <v>2000</v>
      </c>
    </row>
    <row r="16" spans="1:89">
      <c r="A16" s="9" t="s">
        <v>87</v>
      </c>
      <c r="B16" s="10"/>
      <c r="C16" s="10">
        <f t="shared" ref="C16:BH16" si="20">C11-C17</f>
        <v>8</v>
      </c>
      <c r="D16" s="10">
        <f t="shared" si="20"/>
        <v>10</v>
      </c>
      <c r="E16" s="10">
        <f t="shared" si="20"/>
        <v>8</v>
      </c>
      <c r="F16" s="10">
        <f t="shared" si="20"/>
        <v>23</v>
      </c>
      <c r="G16" s="10">
        <f t="shared" si="20"/>
        <v>12.799999999999997</v>
      </c>
      <c r="H16" s="10">
        <f t="shared" si="20"/>
        <v>57</v>
      </c>
      <c r="I16" s="10">
        <f t="shared" si="20"/>
        <v>62</v>
      </c>
      <c r="J16" s="10">
        <f t="shared" si="20"/>
        <v>255.904</v>
      </c>
      <c r="K16" s="10">
        <f t="shared" si="20"/>
        <v>453.88</v>
      </c>
      <c r="L16" s="10">
        <f t="shared" si="20"/>
        <v>312</v>
      </c>
      <c r="M16" s="10">
        <f t="shared" si="20"/>
        <v>784</v>
      </c>
      <c r="N16" s="10">
        <f t="shared" si="20"/>
        <v>1383</v>
      </c>
      <c r="O16" s="10">
        <f t="shared" si="20"/>
        <v>2448</v>
      </c>
      <c r="P16" s="10">
        <f t="shared" si="20"/>
        <v>3840</v>
      </c>
      <c r="Q16" s="10">
        <f t="shared" si="20"/>
        <v>3420</v>
      </c>
      <c r="R16" s="10">
        <f t="shared" si="20"/>
        <v>3793</v>
      </c>
      <c r="S16" s="10">
        <f t="shared" si="20"/>
        <v>4095</v>
      </c>
      <c r="T16" s="10">
        <f t="shared" si="20"/>
        <v>4108</v>
      </c>
      <c r="U16" s="10">
        <f t="shared" si="20"/>
        <v>6772</v>
      </c>
      <c r="V16" s="10">
        <f t="shared" si="20"/>
        <v>6539</v>
      </c>
      <c r="W16" s="10">
        <f t="shared" si="20"/>
        <v>7089</v>
      </c>
      <c r="X16" s="10">
        <f t="shared" si="20"/>
        <v>6665.4</v>
      </c>
      <c r="Y16" s="10">
        <f t="shared" si="20"/>
        <v>9527</v>
      </c>
      <c r="Z16" s="10">
        <f t="shared" si="20"/>
        <v>5995</v>
      </c>
      <c r="AA16" s="10">
        <f t="shared" si="20"/>
        <v>10599</v>
      </c>
      <c r="AB16" s="10">
        <f t="shared" si="20"/>
        <v>10681.2</v>
      </c>
      <c r="AC16" s="10">
        <f t="shared" si="20"/>
        <v>11801.1</v>
      </c>
      <c r="AD16" s="10">
        <f t="shared" si="20"/>
        <v>11249.4</v>
      </c>
      <c r="AE16" s="12">
        <f t="shared" si="20"/>
        <v>11822.9</v>
      </c>
      <c r="AF16" s="12">
        <f t="shared" si="20"/>
        <v>11954</v>
      </c>
      <c r="AG16" s="12">
        <f t="shared" si="20"/>
        <v>12581.2</v>
      </c>
      <c r="AH16" s="12">
        <f t="shared" si="20"/>
        <v>11082.89</v>
      </c>
      <c r="AI16" s="12">
        <f t="shared" si="20"/>
        <v>18607.687999999998</v>
      </c>
      <c r="AJ16" s="12">
        <f t="shared" si="20"/>
        <v>21209.788</v>
      </c>
      <c r="AK16" s="12">
        <f t="shared" si="20"/>
        <v>21193.758999999998</v>
      </c>
      <c r="AL16" s="12">
        <f t="shared" si="20"/>
        <v>27461.545000000002</v>
      </c>
      <c r="AM16" s="12">
        <f t="shared" si="20"/>
        <v>30188.859</v>
      </c>
      <c r="AN16" s="12">
        <f t="shared" si="20"/>
        <v>34512.839</v>
      </c>
      <c r="AO16" s="12">
        <f t="shared" si="20"/>
        <v>30940.262658</v>
      </c>
      <c r="AP16" s="12">
        <f t="shared" si="20"/>
        <v>38420.045112</v>
      </c>
      <c r="AQ16" s="12">
        <f t="shared" si="20"/>
        <v>43238.330412000003</v>
      </c>
      <c r="AR16" s="12">
        <f t="shared" si="20"/>
        <v>48046.918999999994</v>
      </c>
      <c r="AS16" s="12">
        <f t="shared" si="20"/>
        <v>31691.383999999998</v>
      </c>
      <c r="AT16" s="12">
        <f t="shared" si="20"/>
        <v>52455.010999999999</v>
      </c>
      <c r="AU16" s="12">
        <f t="shared" si="20"/>
        <v>51496.294000000002</v>
      </c>
      <c r="AV16" s="12">
        <f t="shared" si="20"/>
        <v>40795.175000000003</v>
      </c>
      <c r="AW16" s="12">
        <f t="shared" si="20"/>
        <v>50406.921999999999</v>
      </c>
      <c r="AX16" s="12">
        <f t="shared" si="20"/>
        <v>52826.656999999999</v>
      </c>
      <c r="AY16" s="12">
        <f t="shared" si="20"/>
        <v>59924.142999999996</v>
      </c>
      <c r="AZ16" s="12">
        <f t="shared" si="20"/>
        <v>47903.38</v>
      </c>
      <c r="BA16" s="12">
        <f t="shared" si="20"/>
        <v>62275.85300000001</v>
      </c>
      <c r="BB16" s="12">
        <f t="shared" si="20"/>
        <v>36732.103000000003</v>
      </c>
      <c r="BC16" s="12">
        <f t="shared" si="20"/>
        <v>53655.644714000002</v>
      </c>
      <c r="BD16" s="12">
        <f t="shared" si="20"/>
        <v>52817.856839</v>
      </c>
      <c r="BE16" s="12">
        <f t="shared" si="20"/>
        <v>49500.691590999995</v>
      </c>
      <c r="BF16" s="12">
        <f t="shared" si="20"/>
        <v>60067.053454000008</v>
      </c>
      <c r="BG16" s="12">
        <f>BG11-BG17</f>
        <v>30196.828102000003</v>
      </c>
      <c r="BH16" s="12">
        <f t="shared" si="20"/>
        <v>50838.17</v>
      </c>
      <c r="BI16" s="13">
        <f>SUM(BI12:BI15)</f>
        <v>57173.894999999997</v>
      </c>
      <c r="BJ16" s="13">
        <f t="shared" ref="BJ16:BO16" si="21">SUM(BJ12:BJ15)</f>
        <v>51344.91</v>
      </c>
      <c r="BK16" s="13">
        <f t="shared" si="21"/>
        <v>50778</v>
      </c>
      <c r="BL16" s="13">
        <f t="shared" si="21"/>
        <v>51760</v>
      </c>
      <c r="BM16" s="13">
        <f t="shared" si="21"/>
        <v>52760</v>
      </c>
      <c r="BN16" s="13">
        <f t="shared" si="21"/>
        <v>52760</v>
      </c>
      <c r="BO16" s="13">
        <f t="shared" si="21"/>
        <v>52760</v>
      </c>
      <c r="BP16" s="13">
        <f t="shared" ref="BP16:BU16" si="22">SUM(BP12:BP15)</f>
        <v>52760</v>
      </c>
      <c r="BQ16" s="13">
        <f t="shared" si="22"/>
        <v>52760</v>
      </c>
      <c r="BR16" s="13">
        <f t="shared" si="22"/>
        <v>52760</v>
      </c>
      <c r="BS16" s="13">
        <f t="shared" si="22"/>
        <v>52760</v>
      </c>
      <c r="BT16" s="13">
        <f t="shared" si="22"/>
        <v>52760</v>
      </c>
      <c r="BU16" s="13">
        <f t="shared" si="22"/>
        <v>51500</v>
      </c>
    </row>
    <row r="17" spans="1:91">
      <c r="A17" s="27" t="s">
        <v>88</v>
      </c>
      <c r="B17" s="28"/>
      <c r="C17" s="28">
        <v>10</v>
      </c>
      <c r="D17" s="28">
        <v>21</v>
      </c>
      <c r="E17" s="28">
        <v>35</v>
      </c>
      <c r="F17" s="28">
        <v>44</v>
      </c>
      <c r="G17" s="28">
        <v>58</v>
      </c>
      <c r="H17" s="28">
        <v>60</v>
      </c>
      <c r="I17" s="28">
        <v>76</v>
      </c>
      <c r="J17" s="28">
        <v>92</v>
      </c>
      <c r="K17" s="28">
        <v>134</v>
      </c>
      <c r="L17" s="28">
        <v>307</v>
      </c>
      <c r="M17" s="28">
        <v>218</v>
      </c>
      <c r="N17" s="28">
        <v>235</v>
      </c>
      <c r="O17" s="28">
        <v>287</v>
      </c>
      <c r="P17" s="28">
        <v>147</v>
      </c>
      <c r="Q17" s="28">
        <v>227</v>
      </c>
      <c r="R17" s="28">
        <v>204</v>
      </c>
      <c r="S17" s="28">
        <v>259</v>
      </c>
      <c r="T17" s="28">
        <v>151</v>
      </c>
      <c r="U17" s="28">
        <v>379</v>
      </c>
      <c r="V17" s="28">
        <v>340</v>
      </c>
      <c r="W17" s="28">
        <v>351</v>
      </c>
      <c r="X17" s="28">
        <v>352</v>
      </c>
      <c r="Y17" s="28">
        <v>725</v>
      </c>
      <c r="Z17" s="28">
        <v>1230</v>
      </c>
      <c r="AA17" s="28">
        <v>1331</v>
      </c>
      <c r="AB17" s="28">
        <v>1511</v>
      </c>
      <c r="AC17" s="28">
        <v>1018</v>
      </c>
      <c r="AD17" s="28">
        <v>812</v>
      </c>
      <c r="AE17" s="29">
        <v>735</v>
      </c>
      <c r="AF17" s="29">
        <v>1001</v>
      </c>
      <c r="AG17" s="29">
        <v>961</v>
      </c>
      <c r="AH17" s="29">
        <v>984</v>
      </c>
      <c r="AI17" s="29">
        <v>1649</v>
      </c>
      <c r="AJ17" s="29">
        <v>1141</v>
      </c>
      <c r="AK17" s="29">
        <v>367</v>
      </c>
      <c r="AL17" s="29">
        <v>385</v>
      </c>
      <c r="AM17" s="29">
        <v>552</v>
      </c>
      <c r="AN17" s="29">
        <v>1091</v>
      </c>
      <c r="AO17" s="29">
        <v>2084</v>
      </c>
      <c r="AP17" s="29">
        <v>2532</v>
      </c>
      <c r="AQ17" s="29">
        <v>555</v>
      </c>
      <c r="AR17" s="29">
        <v>668</v>
      </c>
      <c r="AS17" s="29">
        <v>2078</v>
      </c>
      <c r="AT17" s="29">
        <v>5814</v>
      </c>
      <c r="AU17" s="29">
        <v>4080</v>
      </c>
      <c r="AV17" s="29">
        <v>3383</v>
      </c>
      <c r="AW17" s="29">
        <v>2106</v>
      </c>
      <c r="AX17" s="29">
        <v>2679</v>
      </c>
      <c r="AY17" s="29">
        <v>4155</v>
      </c>
      <c r="AZ17" s="29">
        <v>15349.175999999999</v>
      </c>
      <c r="BA17" s="29">
        <v>8046.5060000000003</v>
      </c>
      <c r="BB17" s="29">
        <v>9890.8209999999999</v>
      </c>
      <c r="BC17" s="29">
        <v>13404.885</v>
      </c>
      <c r="BD17" s="29">
        <v>15115.213</v>
      </c>
      <c r="BE17" s="29">
        <v>17080.704000000002</v>
      </c>
      <c r="BF17" s="29">
        <v>6103.2340000000004</v>
      </c>
      <c r="BG17" s="29">
        <v>5771.9650000000001</v>
      </c>
      <c r="BH17" s="29">
        <v>6606</v>
      </c>
      <c r="BI17" s="30">
        <f>BI11-BI16</f>
        <v>10332.105000000003</v>
      </c>
      <c r="BJ17" s="30">
        <f t="shared" ref="BJ17:BU17" si="23">BJ11-BJ16</f>
        <v>14287.195000000007</v>
      </c>
      <c r="BK17" s="30">
        <f t="shared" si="23"/>
        <v>22009.195000000007</v>
      </c>
      <c r="BL17" s="30">
        <f t="shared" si="23"/>
        <v>29749.195000000007</v>
      </c>
      <c r="BM17" s="30">
        <f t="shared" si="23"/>
        <v>33489.195000000007</v>
      </c>
      <c r="BN17" s="30">
        <f t="shared" si="23"/>
        <v>40229.195000000007</v>
      </c>
      <c r="BO17" s="30">
        <f t="shared" si="23"/>
        <v>49969.195000000007</v>
      </c>
      <c r="BP17" s="30">
        <f t="shared" si="23"/>
        <v>60709.195000000007</v>
      </c>
      <c r="BQ17" s="30">
        <f t="shared" si="23"/>
        <v>72449.195000000007</v>
      </c>
      <c r="BR17" s="30">
        <f t="shared" si="23"/>
        <v>82689.195000000007</v>
      </c>
      <c r="BS17" s="30">
        <f t="shared" si="23"/>
        <v>93929.195000000007</v>
      </c>
      <c r="BT17" s="30">
        <f t="shared" si="23"/>
        <v>105169.19500000001</v>
      </c>
      <c r="BU17" s="30">
        <f t="shared" si="23"/>
        <v>118169.19500000001</v>
      </c>
      <c r="CK17" s="15" t="s">
        <v>89</v>
      </c>
    </row>
    <row r="18" spans="1:91" ht="15.75" thickBot="1">
      <c r="A18" s="9" t="s">
        <v>90</v>
      </c>
      <c r="B18" s="19"/>
      <c r="C18" s="31">
        <f t="shared" ref="C18:BN18" si="24">C17/C16</f>
        <v>1.25</v>
      </c>
      <c r="D18" s="31">
        <f t="shared" si="24"/>
        <v>2.1</v>
      </c>
      <c r="E18" s="31">
        <f t="shared" si="24"/>
        <v>4.375</v>
      </c>
      <c r="F18" s="31">
        <f t="shared" si="24"/>
        <v>1.9130434782608696</v>
      </c>
      <c r="G18" s="31">
        <f t="shared" si="24"/>
        <v>4.5312500000000009</v>
      </c>
      <c r="H18" s="31">
        <f t="shared" si="24"/>
        <v>1.0526315789473684</v>
      </c>
      <c r="I18" s="31">
        <f t="shared" si="24"/>
        <v>1.2258064516129032</v>
      </c>
      <c r="J18" s="31">
        <f t="shared" si="24"/>
        <v>0.35950981618106792</v>
      </c>
      <c r="K18" s="31">
        <f t="shared" si="24"/>
        <v>0.29523221997003612</v>
      </c>
      <c r="L18" s="31">
        <f t="shared" si="24"/>
        <v>0.98397435897435892</v>
      </c>
      <c r="M18" s="31">
        <f t="shared" si="24"/>
        <v>0.27806122448979592</v>
      </c>
      <c r="N18" s="31">
        <f t="shared" si="24"/>
        <v>0.16992046276211134</v>
      </c>
      <c r="O18" s="31">
        <f t="shared" si="24"/>
        <v>0.11723856209150327</v>
      </c>
      <c r="P18" s="31">
        <f t="shared" si="24"/>
        <v>3.8281250000000003E-2</v>
      </c>
      <c r="Q18" s="31">
        <f t="shared" si="24"/>
        <v>6.6374269005847947E-2</v>
      </c>
      <c r="R18" s="31">
        <f t="shared" si="24"/>
        <v>5.3783284998681784E-2</v>
      </c>
      <c r="S18" s="31">
        <f t="shared" si="24"/>
        <v>6.3247863247863245E-2</v>
      </c>
      <c r="T18" s="31">
        <f t="shared" si="24"/>
        <v>3.6757546251217139E-2</v>
      </c>
      <c r="U18" s="31">
        <f t="shared" si="24"/>
        <v>5.5965741287655052E-2</v>
      </c>
      <c r="V18" s="31">
        <f t="shared" si="24"/>
        <v>5.1995717999694144E-2</v>
      </c>
      <c r="W18" s="31">
        <f t="shared" si="24"/>
        <v>4.9513330512060937E-2</v>
      </c>
      <c r="X18" s="31">
        <f t="shared" si="24"/>
        <v>5.2810033906442226E-2</v>
      </c>
      <c r="Y18" s="31">
        <f t="shared" si="24"/>
        <v>7.609950666526713E-2</v>
      </c>
      <c r="Z18" s="31">
        <f t="shared" si="24"/>
        <v>0.20517097581317764</v>
      </c>
      <c r="AA18" s="31">
        <f t="shared" si="24"/>
        <v>0.12557788470610434</v>
      </c>
      <c r="AB18" s="31">
        <f t="shared" si="24"/>
        <v>0.14146350597311164</v>
      </c>
      <c r="AC18" s="31">
        <f t="shared" si="24"/>
        <v>8.6263144961062951E-2</v>
      </c>
      <c r="AD18" s="31">
        <f t="shared" si="24"/>
        <v>7.218162746457589E-2</v>
      </c>
      <c r="AE18" s="32">
        <f t="shared" si="24"/>
        <v>6.2167488518045488E-2</v>
      </c>
      <c r="AF18" s="32">
        <f t="shared" si="24"/>
        <v>8.3737661033963531E-2</v>
      </c>
      <c r="AG18" s="32">
        <f t="shared" si="24"/>
        <v>7.6383810765268803E-2</v>
      </c>
      <c r="AH18" s="32">
        <f t="shared" si="24"/>
        <v>8.8785506307470355E-2</v>
      </c>
      <c r="AI18" s="32">
        <f t="shared" si="24"/>
        <v>8.8619284674162649E-2</v>
      </c>
      <c r="AJ18" s="32">
        <f t="shared" si="24"/>
        <v>5.3795917243491538E-2</v>
      </c>
      <c r="AK18" s="32">
        <f t="shared" si="24"/>
        <v>1.7316418479609966E-2</v>
      </c>
      <c r="AL18" s="32">
        <f t="shared" si="24"/>
        <v>1.4019604505136181E-2</v>
      </c>
      <c r="AM18" s="32">
        <f t="shared" si="24"/>
        <v>1.8284891124901406E-2</v>
      </c>
      <c r="AN18" s="32">
        <f t="shared" si="24"/>
        <v>3.1611424374563914E-2</v>
      </c>
      <c r="AO18" s="32">
        <f t="shared" si="24"/>
        <v>6.7355601438669602E-2</v>
      </c>
      <c r="AP18" s="32">
        <f t="shared" si="24"/>
        <v>6.5903098047356612E-2</v>
      </c>
      <c r="AQ18" s="32">
        <f t="shared" si="24"/>
        <v>1.2835833269037833E-2</v>
      </c>
      <c r="AR18" s="32">
        <f t="shared" si="24"/>
        <v>1.3903076698840982E-2</v>
      </c>
      <c r="AS18" s="32">
        <f t="shared" si="24"/>
        <v>6.5569872240354043E-2</v>
      </c>
      <c r="AT18" s="32">
        <f t="shared" si="24"/>
        <v>0.11083783778064597</v>
      </c>
      <c r="AU18" s="32">
        <f t="shared" si="24"/>
        <v>7.9229002382190841E-2</v>
      </c>
      <c r="AV18" s="32">
        <f t="shared" si="24"/>
        <v>8.2926473535166842E-2</v>
      </c>
      <c r="AW18" s="32">
        <f t="shared" si="24"/>
        <v>4.1779976170733063E-2</v>
      </c>
      <c r="AX18" s="32">
        <f t="shared" si="24"/>
        <v>5.0713033005287463E-2</v>
      </c>
      <c r="AY18" s="32">
        <f t="shared" si="24"/>
        <v>6.9337662451009113E-2</v>
      </c>
      <c r="AZ18" s="32">
        <f t="shared" si="24"/>
        <v>0.32041947770700108</v>
      </c>
      <c r="BA18" s="32">
        <f t="shared" si="24"/>
        <v>0.12920747950252884</v>
      </c>
      <c r="BB18" s="32">
        <f t="shared" si="24"/>
        <v>0.26926911862356478</v>
      </c>
      <c r="BC18" s="32">
        <f t="shared" si="24"/>
        <v>0.24983177578895729</v>
      </c>
      <c r="BD18" s="32">
        <f t="shared" si="24"/>
        <v>0.28617618935342959</v>
      </c>
      <c r="BE18" s="32">
        <f t="shared" si="24"/>
        <v>0.34505990625604799</v>
      </c>
      <c r="BF18" s="32">
        <f t="shared" si="24"/>
        <v>0.10160701497825129</v>
      </c>
      <c r="BG18" s="32">
        <f t="shared" si="24"/>
        <v>0.19114474475607954</v>
      </c>
      <c r="BH18" s="32">
        <f t="shared" si="24"/>
        <v>0.1299417347241256</v>
      </c>
      <c r="BI18" s="33">
        <f t="shared" si="24"/>
        <v>0.1807136806054582</v>
      </c>
      <c r="BJ18" s="34">
        <f t="shared" si="24"/>
        <v>0.27825922764301281</v>
      </c>
      <c r="BK18" s="33">
        <f t="shared" si="24"/>
        <v>0.43343958013312867</v>
      </c>
      <c r="BL18" s="34">
        <f t="shared" si="24"/>
        <v>0.57475260819165397</v>
      </c>
      <c r="BM18" s="33">
        <f t="shared" si="24"/>
        <v>0.63474592494313886</v>
      </c>
      <c r="BN18" s="33">
        <f t="shared" si="24"/>
        <v>0.76249421910538295</v>
      </c>
      <c r="BO18" s="33">
        <f t="shared" ref="BO18:BU18" si="25">BO17/BO16</f>
        <v>0.94710377179681593</v>
      </c>
      <c r="BP18" s="33">
        <f t="shared" si="25"/>
        <v>1.1506670773313117</v>
      </c>
      <c r="BQ18" s="33">
        <f t="shared" si="25"/>
        <v>1.3731841357088705</v>
      </c>
      <c r="BR18" s="33">
        <f t="shared" si="25"/>
        <v>1.5672705648218348</v>
      </c>
      <c r="BS18" s="33">
        <f t="shared" si="25"/>
        <v>1.7803107467778621</v>
      </c>
      <c r="BT18" s="33">
        <f t="shared" si="25"/>
        <v>1.9933509287338895</v>
      </c>
      <c r="BU18" s="33">
        <f t="shared" si="25"/>
        <v>2.2945474757281556</v>
      </c>
    </row>
    <row r="19" spans="1:91">
      <c r="A19" s="35" t="s">
        <v>91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9"/>
      <c r="BO19" s="39"/>
      <c r="BP19" s="39"/>
      <c r="BQ19" s="39"/>
      <c r="BR19" s="39"/>
      <c r="BS19" s="39"/>
      <c r="BT19" s="39"/>
      <c r="BU19" s="39"/>
    </row>
    <row r="20" spans="1:91">
      <c r="A20" s="9" t="s">
        <v>92</v>
      </c>
      <c r="B20" s="19"/>
      <c r="C20" s="10">
        <f t="shared" ref="C20:BN20" si="26">SUM(C82:C87,D76:D81)</f>
        <v>5.5119131059654203</v>
      </c>
      <c r="D20" s="10">
        <f t="shared" si="26"/>
        <v>5</v>
      </c>
      <c r="E20" s="10">
        <f t="shared" si="26"/>
        <v>7.9285213642074766</v>
      </c>
      <c r="F20" s="10">
        <f t="shared" si="26"/>
        <v>12.952347576138317</v>
      </c>
      <c r="G20" s="10">
        <f t="shared" si="26"/>
        <v>17.928521364207477</v>
      </c>
      <c r="H20" s="10">
        <f t="shared" si="26"/>
        <v>28.321303410518688</v>
      </c>
      <c r="I20" s="10">
        <f t="shared" si="26"/>
        <v>40.880868940345792</v>
      </c>
      <c r="J20" s="10">
        <f t="shared" si="26"/>
        <v>118.72494721115234</v>
      </c>
      <c r="K20" s="10">
        <f t="shared" si="26"/>
        <v>236.97547288697382</v>
      </c>
      <c r="L20" s="10">
        <f t="shared" si="26"/>
        <v>412.13658277628321</v>
      </c>
      <c r="M20" s="10">
        <f t="shared" si="26"/>
        <v>507.09300000000002</v>
      </c>
      <c r="N20" s="10">
        <f t="shared" si="26"/>
        <v>504.41100000000006</v>
      </c>
      <c r="O20" s="10">
        <f t="shared" si="26"/>
        <v>645.72899999999993</v>
      </c>
      <c r="P20" s="10">
        <f t="shared" si="26"/>
        <v>726.14499999999998</v>
      </c>
      <c r="Q20" s="10">
        <f t="shared" si="26"/>
        <v>713.90600000000006</v>
      </c>
      <c r="R20" s="10">
        <f t="shared" si="26"/>
        <v>946.99300000000005</v>
      </c>
      <c r="S20" s="10">
        <f t="shared" si="26"/>
        <v>1365.0729999999999</v>
      </c>
      <c r="T20" s="10">
        <f t="shared" si="26"/>
        <v>2211.8760000000002</v>
      </c>
      <c r="U20" s="10">
        <f t="shared" si="26"/>
        <v>2983.6929999999998</v>
      </c>
      <c r="V20" s="10">
        <f t="shared" si="26"/>
        <v>3867.6710000000003</v>
      </c>
      <c r="W20" s="10">
        <f t="shared" si="26"/>
        <v>4371.3960000000006</v>
      </c>
      <c r="X20" s="10">
        <f t="shared" si="26"/>
        <v>4889.0080000000007</v>
      </c>
      <c r="Y20" s="10">
        <f t="shared" si="26"/>
        <v>5398.299</v>
      </c>
      <c r="Z20" s="10">
        <f t="shared" si="26"/>
        <v>6017.1610000000001</v>
      </c>
      <c r="AA20" s="10">
        <f t="shared" si="26"/>
        <v>6242.375</v>
      </c>
      <c r="AB20" s="10">
        <f t="shared" si="26"/>
        <v>6981.4179999999997</v>
      </c>
      <c r="AC20" s="10">
        <f t="shared" si="26"/>
        <v>7747.7600000000011</v>
      </c>
      <c r="AD20" s="10">
        <f t="shared" si="26"/>
        <v>8534.1730000000007</v>
      </c>
      <c r="AE20" s="12">
        <f t="shared" si="26"/>
        <v>8779.878999999999</v>
      </c>
      <c r="AF20" s="12">
        <f t="shared" si="26"/>
        <v>8694.6640000000007</v>
      </c>
      <c r="AG20" s="12">
        <f t="shared" si="26"/>
        <v>10255.049000000003</v>
      </c>
      <c r="AH20" s="12">
        <f t="shared" si="26"/>
        <v>11045.782000000001</v>
      </c>
      <c r="AI20" s="12">
        <f t="shared" si="26"/>
        <v>12886.239</v>
      </c>
      <c r="AJ20" s="12">
        <f t="shared" si="26"/>
        <v>17506.625</v>
      </c>
      <c r="AK20" s="12">
        <f t="shared" si="26"/>
        <v>17073.507999999998</v>
      </c>
      <c r="AL20" s="12">
        <f t="shared" si="26"/>
        <v>17300.442000000003</v>
      </c>
      <c r="AM20" s="12">
        <f t="shared" si="26"/>
        <v>20859.061999999998</v>
      </c>
      <c r="AN20" s="12">
        <f t="shared" si="26"/>
        <v>23525.807000000004</v>
      </c>
      <c r="AO20" s="12">
        <f t="shared" si="26"/>
        <v>25021.242999999999</v>
      </c>
      <c r="AP20" s="12">
        <f t="shared" si="26"/>
        <v>27312.932000000004</v>
      </c>
      <c r="AQ20" s="12">
        <f t="shared" si="26"/>
        <v>31887.478609999998</v>
      </c>
      <c r="AR20" s="12">
        <f t="shared" si="26"/>
        <v>33592.235000000001</v>
      </c>
      <c r="AS20" s="12">
        <f t="shared" si="26"/>
        <v>34607.349000000002</v>
      </c>
      <c r="AT20" s="12">
        <f t="shared" si="26"/>
        <v>31242.958999999999</v>
      </c>
      <c r="AU20" s="12">
        <f t="shared" si="26"/>
        <v>34127.003000000004</v>
      </c>
      <c r="AV20" s="12">
        <f t="shared" si="26"/>
        <v>37614.017999999996</v>
      </c>
      <c r="AW20" s="12">
        <f t="shared" si="26"/>
        <v>35886.014999999999</v>
      </c>
      <c r="AX20" s="12">
        <f t="shared" si="26"/>
        <v>33611.368000000002</v>
      </c>
      <c r="AY20" s="12">
        <f t="shared" si="26"/>
        <v>36172.62000000001</v>
      </c>
      <c r="AZ20" s="12">
        <f t="shared" si="26"/>
        <v>40235.088000000003</v>
      </c>
      <c r="BA20" s="12">
        <f t="shared" si="26"/>
        <v>43266.505000000005</v>
      </c>
      <c r="BB20" s="12">
        <f t="shared" si="26"/>
        <v>43447.973999999995</v>
      </c>
      <c r="BC20" s="12">
        <f t="shared" si="26"/>
        <v>36935.466999999997</v>
      </c>
      <c r="BD20" s="12">
        <f t="shared" si="26"/>
        <v>40551.32699999999</v>
      </c>
      <c r="BE20" s="12">
        <f t="shared" si="26"/>
        <v>38769.906999999999</v>
      </c>
      <c r="BF20" s="12">
        <f t="shared" si="26"/>
        <v>40162.093000000001</v>
      </c>
      <c r="BG20" s="12">
        <f t="shared" si="26"/>
        <v>38814.829000000005</v>
      </c>
      <c r="BH20" s="12">
        <f t="shared" si="26"/>
        <v>30337.340000000004</v>
      </c>
      <c r="BI20" s="13">
        <f t="shared" si="26"/>
        <v>36582.372000000003</v>
      </c>
      <c r="BJ20" s="13">
        <f t="shared" si="26"/>
        <v>43208.787000000004</v>
      </c>
      <c r="BK20" s="13">
        <f t="shared" si="26"/>
        <v>43591.631999999998</v>
      </c>
      <c r="BL20" s="13">
        <f t="shared" si="26"/>
        <v>44525</v>
      </c>
      <c r="BM20" s="13">
        <f t="shared" si="26"/>
        <v>45025</v>
      </c>
      <c r="BN20" s="13">
        <f t="shared" si="26"/>
        <v>44975</v>
      </c>
      <c r="BO20" s="13">
        <f t="shared" ref="BO20:BU20" si="27">SUM(BO82:BO87,BP76:BP81)</f>
        <v>45050</v>
      </c>
      <c r="BP20" s="13">
        <f t="shared" si="27"/>
        <v>45000</v>
      </c>
      <c r="BQ20" s="13">
        <f t="shared" si="27"/>
        <v>45025</v>
      </c>
      <c r="BR20" s="13">
        <f t="shared" si="27"/>
        <v>45025</v>
      </c>
      <c r="BS20" s="13">
        <f t="shared" si="27"/>
        <v>44975</v>
      </c>
      <c r="BT20" s="13">
        <f t="shared" si="27"/>
        <v>45050</v>
      </c>
      <c r="BU20" s="13">
        <f t="shared" si="27"/>
        <v>20575</v>
      </c>
    </row>
    <row r="21" spans="1:91" ht="15.75" thickBot="1">
      <c r="A21" s="40" t="s">
        <v>79</v>
      </c>
      <c r="B21" s="41"/>
      <c r="C21" s="42">
        <v>0</v>
      </c>
      <c r="D21" s="42">
        <f t="shared" ref="D21:BO21" si="28">C28</f>
        <v>0</v>
      </c>
      <c r="E21" s="42">
        <f t="shared" si="28"/>
        <v>0</v>
      </c>
      <c r="F21" s="42">
        <f t="shared" si="28"/>
        <v>1</v>
      </c>
      <c r="G21" s="42">
        <f t="shared" si="28"/>
        <v>3</v>
      </c>
      <c r="H21" s="42">
        <f t="shared" si="28"/>
        <v>0</v>
      </c>
      <c r="I21" s="42">
        <f t="shared" si="28"/>
        <v>0</v>
      </c>
      <c r="J21" s="42">
        <f t="shared" si="28"/>
        <v>2</v>
      </c>
      <c r="K21" s="42">
        <f t="shared" si="28"/>
        <v>2</v>
      </c>
      <c r="L21" s="42">
        <f t="shared" si="28"/>
        <v>2</v>
      </c>
      <c r="M21" s="42">
        <f t="shared" si="28"/>
        <v>30</v>
      </c>
      <c r="N21" s="42">
        <f t="shared" si="28"/>
        <v>12.61</v>
      </c>
      <c r="O21" s="42">
        <f t="shared" si="28"/>
        <v>14.731</v>
      </c>
      <c r="P21" s="42">
        <f t="shared" si="28"/>
        <v>4.399</v>
      </c>
      <c r="Q21" s="42">
        <f t="shared" si="28"/>
        <v>14.188000000000001</v>
      </c>
      <c r="R21" s="42">
        <f t="shared" si="28"/>
        <v>9.093</v>
      </c>
      <c r="S21" s="42">
        <f t="shared" si="28"/>
        <v>16</v>
      </c>
      <c r="T21" s="42">
        <f t="shared" si="28"/>
        <v>21.646999999999998</v>
      </c>
      <c r="U21" s="42">
        <f t="shared" si="28"/>
        <v>58.125999999999998</v>
      </c>
      <c r="V21" s="42">
        <f t="shared" si="28"/>
        <v>97.679000000000002</v>
      </c>
      <c r="W21" s="42">
        <f t="shared" si="28"/>
        <v>124.041</v>
      </c>
      <c r="X21" s="42">
        <f t="shared" si="28"/>
        <v>34.051000000000002</v>
      </c>
      <c r="Y21" s="42">
        <f t="shared" si="28"/>
        <v>53.499000000000002</v>
      </c>
      <c r="Z21" s="42">
        <f t="shared" si="28"/>
        <v>44.281999999999996</v>
      </c>
      <c r="AA21" s="42">
        <f t="shared" si="28"/>
        <v>153.33000000000001</v>
      </c>
      <c r="AB21" s="42">
        <f t="shared" si="28"/>
        <v>163.05600000000001</v>
      </c>
      <c r="AC21" s="42">
        <f t="shared" si="28"/>
        <v>477.98099999999999</v>
      </c>
      <c r="AD21" s="42">
        <f t="shared" si="28"/>
        <v>136.239</v>
      </c>
      <c r="AE21" s="43">
        <f t="shared" si="28"/>
        <v>54.255000000000003</v>
      </c>
      <c r="AF21" s="43">
        <f t="shared" si="28"/>
        <v>99.745999999999995</v>
      </c>
      <c r="AG21" s="43">
        <f t="shared" si="28"/>
        <v>91.569000000000003</v>
      </c>
      <c r="AH21" s="43">
        <f t="shared" si="28"/>
        <v>121.459</v>
      </c>
      <c r="AI21" s="43">
        <f t="shared" si="28"/>
        <v>103.61</v>
      </c>
      <c r="AJ21" s="43">
        <f t="shared" si="28"/>
        <v>126.378</v>
      </c>
      <c r="AK21" s="43">
        <f t="shared" si="28"/>
        <v>183.04900000000001</v>
      </c>
      <c r="AL21" s="43">
        <f t="shared" si="28"/>
        <v>334.19900000000001</v>
      </c>
      <c r="AM21" s="43">
        <f t="shared" si="28"/>
        <v>263.37599999999998</v>
      </c>
      <c r="AN21" s="43">
        <f t="shared" si="28"/>
        <v>365.65199999999999</v>
      </c>
      <c r="AO21" s="43">
        <f t="shared" si="28"/>
        <v>354.43200000000002</v>
      </c>
      <c r="AP21" s="43">
        <f t="shared" si="28"/>
        <v>387.14100000000002</v>
      </c>
      <c r="AQ21" s="43">
        <f t="shared" si="28"/>
        <v>480.89499999999998</v>
      </c>
      <c r="AR21" s="43">
        <f t="shared" si="28"/>
        <v>389.24</v>
      </c>
      <c r="AS21" s="43">
        <f t="shared" si="28"/>
        <v>736.06899999999996</v>
      </c>
      <c r="AT21" s="43">
        <f t="shared" si="28"/>
        <v>338.10599999999999</v>
      </c>
      <c r="AU21" s="43">
        <f t="shared" si="28"/>
        <v>397.27</v>
      </c>
      <c r="AV21" s="43">
        <f t="shared" si="28"/>
        <v>380.78199999999998</v>
      </c>
      <c r="AW21" s="43">
        <f t="shared" si="28"/>
        <v>782.35500000000002</v>
      </c>
      <c r="AX21" s="43">
        <f t="shared" si="28"/>
        <v>817.86699999999996</v>
      </c>
      <c r="AY21" s="43">
        <f t="shared" si="28"/>
        <v>467.20600000000002</v>
      </c>
      <c r="AZ21" s="43">
        <f t="shared" si="28"/>
        <v>693.90800000000002</v>
      </c>
      <c r="BA21" s="43">
        <f t="shared" si="28"/>
        <v>527.54100000000005</v>
      </c>
      <c r="BB21" s="43">
        <f t="shared" si="28"/>
        <v>707.70399999999995</v>
      </c>
      <c r="BC21" s="43">
        <f t="shared" si="28"/>
        <v>812.72299999999996</v>
      </c>
      <c r="BD21" s="43">
        <f t="shared" si="28"/>
        <v>751.048</v>
      </c>
      <c r="BE21" s="43">
        <f t="shared" si="28"/>
        <v>622.274</v>
      </c>
      <c r="BF21" s="43">
        <f t="shared" si="28"/>
        <v>516.70000000000005</v>
      </c>
      <c r="BG21" s="43">
        <f t="shared" si="28"/>
        <v>519.10199999999998</v>
      </c>
      <c r="BH21" s="43">
        <f t="shared" si="28"/>
        <v>550.68399999999997</v>
      </c>
      <c r="BI21" s="44">
        <f t="shared" si="28"/>
        <v>498.82799999999997</v>
      </c>
      <c r="BJ21" s="45">
        <f t="shared" si="28"/>
        <v>400</v>
      </c>
      <c r="BK21" s="44">
        <f t="shared" si="28"/>
        <v>950</v>
      </c>
      <c r="BL21" s="45">
        <f t="shared" si="28"/>
        <v>950</v>
      </c>
      <c r="BM21" s="44">
        <f t="shared" si="28"/>
        <v>950</v>
      </c>
      <c r="BN21" s="44">
        <f t="shared" si="28"/>
        <v>900</v>
      </c>
      <c r="BO21" s="44">
        <f t="shared" si="28"/>
        <v>900</v>
      </c>
      <c r="BP21" s="44">
        <f t="shared" ref="BP21:BU21" si="29">BO28</f>
        <v>900</v>
      </c>
      <c r="BQ21" s="44">
        <f t="shared" si="29"/>
        <v>900</v>
      </c>
      <c r="BR21" s="44">
        <f t="shared" si="29"/>
        <v>900</v>
      </c>
      <c r="BS21" s="44">
        <f t="shared" si="29"/>
        <v>900</v>
      </c>
      <c r="BT21" s="44">
        <f t="shared" si="29"/>
        <v>900</v>
      </c>
      <c r="BU21" s="44">
        <f t="shared" si="29"/>
        <v>900</v>
      </c>
    </row>
    <row r="22" spans="1:91">
      <c r="A22" s="9" t="s">
        <v>80</v>
      </c>
      <c r="B22" s="19"/>
      <c r="C22" s="10">
        <f t="shared" ref="C22:BN22" si="30">C104+C120</f>
        <v>5.1262607379851639</v>
      </c>
      <c r="D22" s="10">
        <f t="shared" si="30"/>
        <v>4.1052300520716933</v>
      </c>
      <c r="E22" s="10">
        <f t="shared" si="30"/>
        <v>4.1052300520716933</v>
      </c>
      <c r="F22" s="10">
        <f t="shared" si="30"/>
        <v>8.2313375450481789</v>
      </c>
      <c r="G22" s="10">
        <f t="shared" si="30"/>
        <v>12.315307043693386</v>
      </c>
      <c r="H22" s="10">
        <f t="shared" si="30"/>
        <v>16.441108046652516</v>
      </c>
      <c r="I22" s="10">
        <f t="shared" si="30"/>
        <v>27.754806017754788</v>
      </c>
      <c r="J22" s="10">
        <f t="shared" si="30"/>
        <v>35.963299477620147</v>
      </c>
      <c r="K22" s="10">
        <f t="shared" si="30"/>
        <v>155.00934323793768</v>
      </c>
      <c r="L22" s="10">
        <f t="shared" si="30"/>
        <v>219.71584442821262</v>
      </c>
      <c r="M22" s="10">
        <f t="shared" si="30"/>
        <v>416.11564273214992</v>
      </c>
      <c r="N22" s="10">
        <f t="shared" si="30"/>
        <v>403.65597465870167</v>
      </c>
      <c r="O22" s="10">
        <f t="shared" si="30"/>
        <v>467.87953104186317</v>
      </c>
      <c r="P22" s="10">
        <f t="shared" si="30"/>
        <v>548.49015736197669</v>
      </c>
      <c r="Q22" s="10">
        <f t="shared" si="30"/>
        <v>511.78603801316666</v>
      </c>
      <c r="R22" s="10">
        <f t="shared" si="30"/>
        <v>563.42242313600696</v>
      </c>
      <c r="S22" s="10">
        <f t="shared" si="30"/>
        <v>857.90149638132505</v>
      </c>
      <c r="T22" s="10">
        <f t="shared" si="30"/>
        <v>1542.5330000000004</v>
      </c>
      <c r="U22" s="10">
        <f t="shared" si="30"/>
        <v>1923.9</v>
      </c>
      <c r="V22" s="10">
        <f t="shared" si="30"/>
        <v>2861.6929999999993</v>
      </c>
      <c r="W22" s="10">
        <f t="shared" si="30"/>
        <v>2736.5559999999996</v>
      </c>
      <c r="X22" s="10">
        <f t="shared" si="30"/>
        <v>3455.7270000000003</v>
      </c>
      <c r="Y22" s="10">
        <f t="shared" si="30"/>
        <v>3922.4769999999999</v>
      </c>
      <c r="Z22" s="10">
        <f t="shared" si="30"/>
        <v>5600.2189999999991</v>
      </c>
      <c r="AA22" s="10">
        <f t="shared" si="30"/>
        <v>4366.1709999999994</v>
      </c>
      <c r="AB22" s="10">
        <f t="shared" si="30"/>
        <v>5327.0969999999998</v>
      </c>
      <c r="AC22" s="10">
        <f t="shared" si="30"/>
        <v>6008.1040000000003</v>
      </c>
      <c r="AD22" s="10">
        <f t="shared" si="30"/>
        <v>6562.0089999999991</v>
      </c>
      <c r="AE22" s="12">
        <f t="shared" si="30"/>
        <v>7029.759</v>
      </c>
      <c r="AF22" s="12">
        <f t="shared" si="30"/>
        <v>7099.3709999999992</v>
      </c>
      <c r="AG22" s="12">
        <f t="shared" si="30"/>
        <v>7622.0199999999995</v>
      </c>
      <c r="AH22" s="12">
        <f t="shared" si="30"/>
        <v>7955.2599999999993</v>
      </c>
      <c r="AI22" s="12">
        <f t="shared" si="30"/>
        <v>8390.1279999999988</v>
      </c>
      <c r="AJ22" s="12">
        <f t="shared" si="30"/>
        <v>13440.397999999999</v>
      </c>
      <c r="AK22" s="12">
        <f t="shared" si="30"/>
        <v>13438.462000000001</v>
      </c>
      <c r="AL22" s="12">
        <f t="shared" si="30"/>
        <v>13103.204</v>
      </c>
      <c r="AM22" s="12">
        <f t="shared" si="30"/>
        <v>15497.592999999999</v>
      </c>
      <c r="AN22" s="12">
        <f t="shared" si="30"/>
        <v>17762.446999999996</v>
      </c>
      <c r="AO22" s="12">
        <f t="shared" si="30"/>
        <v>19646.205999999998</v>
      </c>
      <c r="AP22" s="12">
        <f t="shared" si="30"/>
        <v>19738.048999999995</v>
      </c>
      <c r="AQ22" s="12">
        <f t="shared" si="30"/>
        <v>23354.223450000005</v>
      </c>
      <c r="AR22" s="12">
        <f t="shared" si="30"/>
        <v>25582.349260000003</v>
      </c>
      <c r="AS22" s="12">
        <f t="shared" si="30"/>
        <v>27863.001980000001</v>
      </c>
      <c r="AT22" s="12">
        <f t="shared" si="30"/>
        <v>24869.348999999998</v>
      </c>
      <c r="AU22" s="12">
        <f t="shared" si="30"/>
        <v>22519.468000000001</v>
      </c>
      <c r="AV22" s="12">
        <f t="shared" si="30"/>
        <v>30503.973999999995</v>
      </c>
      <c r="AW22" s="12">
        <f t="shared" si="30"/>
        <v>29183.463000000003</v>
      </c>
      <c r="AX22" s="12">
        <f t="shared" si="30"/>
        <v>23946.160999999993</v>
      </c>
      <c r="AY22" s="12">
        <f t="shared" si="30"/>
        <v>27150.906000000003</v>
      </c>
      <c r="AZ22" s="12">
        <f t="shared" si="30"/>
        <v>29530.743000000006</v>
      </c>
      <c r="BA22" s="12">
        <f t="shared" si="30"/>
        <v>34707.216999999997</v>
      </c>
      <c r="BB22" s="12">
        <f t="shared" si="30"/>
        <v>33103.226000000002</v>
      </c>
      <c r="BC22" s="12">
        <f t="shared" si="30"/>
        <v>31164.265000000003</v>
      </c>
      <c r="BD22" s="12">
        <f t="shared" si="30"/>
        <v>27481.108</v>
      </c>
      <c r="BE22" s="12">
        <f t="shared" si="30"/>
        <v>30908.641000000003</v>
      </c>
      <c r="BF22" s="12">
        <f t="shared" si="30"/>
        <v>28616.02</v>
      </c>
      <c r="BG22" s="12">
        <f t="shared" si="30"/>
        <v>30772.460999999999</v>
      </c>
      <c r="BH22" s="12">
        <f t="shared" si="30"/>
        <v>26958.047999999999</v>
      </c>
      <c r="BI22" s="13">
        <f t="shared" si="30"/>
        <v>22206.716064558845</v>
      </c>
      <c r="BJ22" s="13">
        <f t="shared" si="30"/>
        <v>32756.035490329188</v>
      </c>
      <c r="BK22" s="13">
        <f t="shared" si="30"/>
        <v>32377.831989851282</v>
      </c>
      <c r="BL22" s="13">
        <f t="shared" si="30"/>
        <v>33146.382271014016</v>
      </c>
      <c r="BM22" s="13">
        <f t="shared" si="30"/>
        <v>33865.534664393184</v>
      </c>
      <c r="BN22" s="13">
        <f t="shared" si="30"/>
        <v>33888.742057561096</v>
      </c>
      <c r="BO22" s="13">
        <f t="shared" ref="BO22:BU22" si="31">BO104+BO120</f>
        <v>33887.910371265207</v>
      </c>
      <c r="BP22" s="13">
        <f t="shared" si="31"/>
        <v>33881.405398804091</v>
      </c>
      <c r="BQ22" s="13">
        <f t="shared" si="31"/>
        <v>33886.800939781155</v>
      </c>
      <c r="BR22" s="13">
        <f t="shared" si="31"/>
        <v>33885.999271764391</v>
      </c>
      <c r="BS22" s="13" t="e">
        <f t="shared" si="31"/>
        <v>#DIV/0!</v>
      </c>
      <c r="BT22" s="13" t="e">
        <f t="shared" si="31"/>
        <v>#DIV/0!</v>
      </c>
      <c r="BU22" s="13" t="e">
        <f t="shared" si="31"/>
        <v>#DIV/0!</v>
      </c>
      <c r="CK22">
        <v>40</v>
      </c>
    </row>
    <row r="23" spans="1:91">
      <c r="A23" s="9" t="s">
        <v>81</v>
      </c>
      <c r="B23" s="19"/>
      <c r="C23" s="10">
        <f t="shared" ref="C23:BN23" si="32">C152</f>
        <v>0</v>
      </c>
      <c r="D23" s="10">
        <f t="shared" si="32"/>
        <v>0</v>
      </c>
      <c r="E23" s="10">
        <f t="shared" si="32"/>
        <v>0</v>
      </c>
      <c r="F23" s="10">
        <f t="shared" si="32"/>
        <v>0</v>
      </c>
      <c r="G23" s="10">
        <f t="shared" si="32"/>
        <v>0</v>
      </c>
      <c r="H23" s="10">
        <f t="shared" si="32"/>
        <v>0</v>
      </c>
      <c r="I23" s="10">
        <f t="shared" si="32"/>
        <v>0</v>
      </c>
      <c r="J23" s="10">
        <f t="shared" si="32"/>
        <v>0</v>
      </c>
      <c r="K23" s="10">
        <f t="shared" si="32"/>
        <v>0</v>
      </c>
      <c r="L23" s="10">
        <f t="shared" si="32"/>
        <v>0</v>
      </c>
      <c r="M23" s="10">
        <f t="shared" si="32"/>
        <v>0</v>
      </c>
      <c r="N23" s="10">
        <f t="shared" si="32"/>
        <v>0</v>
      </c>
      <c r="O23" s="10">
        <f t="shared" si="32"/>
        <v>0</v>
      </c>
      <c r="P23" s="10">
        <f t="shared" si="32"/>
        <v>0</v>
      </c>
      <c r="Q23" s="10">
        <f t="shared" si="32"/>
        <v>0</v>
      </c>
      <c r="R23" s="10">
        <f t="shared" si="32"/>
        <v>0</v>
      </c>
      <c r="S23" s="10">
        <f t="shared" si="32"/>
        <v>0</v>
      </c>
      <c r="T23" s="10">
        <f t="shared" si="32"/>
        <v>0</v>
      </c>
      <c r="U23" s="10">
        <f t="shared" si="32"/>
        <v>0</v>
      </c>
      <c r="V23" s="10">
        <f t="shared" si="32"/>
        <v>0</v>
      </c>
      <c r="W23" s="10">
        <f t="shared" si="32"/>
        <v>0</v>
      </c>
      <c r="X23" s="10">
        <f t="shared" si="32"/>
        <v>0</v>
      </c>
      <c r="Y23" s="10">
        <f t="shared" si="32"/>
        <v>0</v>
      </c>
      <c r="Z23" s="10">
        <f t="shared" si="32"/>
        <v>0</v>
      </c>
      <c r="AA23" s="10">
        <f t="shared" si="32"/>
        <v>0</v>
      </c>
      <c r="AB23" s="10">
        <f t="shared" si="32"/>
        <v>0</v>
      </c>
      <c r="AC23" s="10">
        <f t="shared" si="32"/>
        <v>0</v>
      </c>
      <c r="AD23" s="10">
        <f t="shared" si="32"/>
        <v>0</v>
      </c>
      <c r="AE23" s="12">
        <f t="shared" si="32"/>
        <v>0</v>
      </c>
      <c r="AF23" s="12">
        <f t="shared" si="32"/>
        <v>0</v>
      </c>
      <c r="AG23" s="12">
        <f t="shared" si="32"/>
        <v>0</v>
      </c>
      <c r="AH23" s="12">
        <f t="shared" si="32"/>
        <v>0</v>
      </c>
      <c r="AI23" s="12">
        <f t="shared" si="32"/>
        <v>0.81399999999999995</v>
      </c>
      <c r="AJ23" s="12">
        <f t="shared" si="32"/>
        <v>0.5109999999999999</v>
      </c>
      <c r="AK23" s="12">
        <f t="shared" si="32"/>
        <v>0.20999999999999996</v>
      </c>
      <c r="AL23" s="12">
        <f t="shared" si="32"/>
        <v>1.0389999999999999</v>
      </c>
      <c r="AM23" s="12">
        <f t="shared" si="32"/>
        <v>3.9319999999999999</v>
      </c>
      <c r="AN23" s="12">
        <f t="shared" si="32"/>
        <v>0.17500000000000002</v>
      </c>
      <c r="AO23" s="12">
        <f t="shared" si="32"/>
        <v>0.31599999999999995</v>
      </c>
      <c r="AP23" s="12">
        <f t="shared" si="32"/>
        <v>2.4819999999999993</v>
      </c>
      <c r="AQ23" s="12">
        <f t="shared" si="32"/>
        <v>0.52699999999999991</v>
      </c>
      <c r="AR23" s="12">
        <f t="shared" si="32"/>
        <v>0.34299999999999992</v>
      </c>
      <c r="AS23" s="12">
        <f t="shared" si="32"/>
        <v>2.54</v>
      </c>
      <c r="AT23" s="12">
        <f t="shared" si="32"/>
        <v>3.633</v>
      </c>
      <c r="AU23" s="12">
        <f t="shared" si="32"/>
        <v>4.0569999999999995</v>
      </c>
      <c r="AV23" s="12">
        <f t="shared" si="32"/>
        <v>0.34600000000000003</v>
      </c>
      <c r="AW23" s="12">
        <f t="shared" si="32"/>
        <v>0.248</v>
      </c>
      <c r="AX23" s="12">
        <f t="shared" si="32"/>
        <v>0.32799999999999996</v>
      </c>
      <c r="AY23" s="12">
        <f t="shared" si="32"/>
        <v>0.34400000000000003</v>
      </c>
      <c r="AZ23" s="12">
        <f t="shared" si="32"/>
        <v>0.34299999999999997</v>
      </c>
      <c r="BA23" s="12">
        <f t="shared" si="32"/>
        <v>0.75300000000000011</v>
      </c>
      <c r="BB23" s="12">
        <f t="shared" si="32"/>
        <v>0.26300000000000001</v>
      </c>
      <c r="BC23" s="12">
        <f t="shared" si="32"/>
        <v>0.39600000000000002</v>
      </c>
      <c r="BD23" s="12">
        <f t="shared" si="32"/>
        <v>0.30200000000000005</v>
      </c>
      <c r="BE23" s="12">
        <f t="shared" si="32"/>
        <v>26.694000000000006</v>
      </c>
      <c r="BF23" s="12">
        <f t="shared" si="32"/>
        <v>0.6130000000000001</v>
      </c>
      <c r="BG23" s="12">
        <f t="shared" si="32"/>
        <v>1.264</v>
      </c>
      <c r="BH23" s="12">
        <f t="shared" si="32"/>
        <v>193.82999999999996</v>
      </c>
      <c r="BI23" s="13">
        <f t="shared" si="32"/>
        <v>7.7289999999999992</v>
      </c>
      <c r="BJ23" s="13">
        <f t="shared" si="32"/>
        <v>6.2346666666666657</v>
      </c>
      <c r="BK23" s="13">
        <f t="shared" si="32"/>
        <v>2.8365555555555555</v>
      </c>
      <c r="BL23" s="13">
        <f t="shared" si="32"/>
        <v>3.5735925925925907</v>
      </c>
      <c r="BM23" s="13">
        <f t="shared" si="32"/>
        <v>4.4424814814814813</v>
      </c>
      <c r="BN23" s="13">
        <f t="shared" si="32"/>
        <v>3.6182057613168728</v>
      </c>
      <c r="BO23" s="13">
        <f t="shared" ref="BO23:BU23" si="33">BO152</f>
        <v>3.7927325102880638</v>
      </c>
      <c r="BP23" s="13">
        <f t="shared" si="33"/>
        <v>3.6607448559670761</v>
      </c>
      <c r="BQ23" s="13">
        <f t="shared" si="33"/>
        <v>3.7114557232129228</v>
      </c>
      <c r="BR23" s="13">
        <f t="shared" si="33"/>
        <v>3.734597673118933</v>
      </c>
      <c r="BS23" s="13">
        <f t="shared" si="33"/>
        <v>3.7000858947653623</v>
      </c>
      <c r="BT23" s="13">
        <f t="shared" si="33"/>
        <v>3.7116649618678252</v>
      </c>
      <c r="BU23" s="13">
        <f t="shared" si="33"/>
        <v>3.7056290764167601</v>
      </c>
      <c r="CK23">
        <v>30</v>
      </c>
      <c r="CL23">
        <f>CK23*0.84</f>
        <v>25.2</v>
      </c>
      <c r="CM23">
        <f>CK23*0.71</f>
        <v>21.299999999999997</v>
      </c>
    </row>
    <row r="24" spans="1:91">
      <c r="A24" s="9" t="s">
        <v>82</v>
      </c>
      <c r="B24" s="19"/>
      <c r="C24" s="10">
        <f t="shared" ref="C24:AH24" si="34">SUM(C21:C23)</f>
        <v>5.1262607379851639</v>
      </c>
      <c r="D24" s="10">
        <f t="shared" si="34"/>
        <v>4.1052300520716933</v>
      </c>
      <c r="E24" s="10">
        <f t="shared" si="34"/>
        <v>4.1052300520716933</v>
      </c>
      <c r="F24" s="10">
        <f t="shared" si="34"/>
        <v>9.2313375450481789</v>
      </c>
      <c r="G24" s="10">
        <f t="shared" si="34"/>
        <v>15.315307043693386</v>
      </c>
      <c r="H24" s="10">
        <f t="shared" si="34"/>
        <v>16.441108046652516</v>
      </c>
      <c r="I24" s="10">
        <f t="shared" si="34"/>
        <v>27.754806017754788</v>
      </c>
      <c r="J24" s="10">
        <f t="shared" si="34"/>
        <v>37.963299477620147</v>
      </c>
      <c r="K24" s="10">
        <f t="shared" si="34"/>
        <v>157.00934323793768</v>
      </c>
      <c r="L24" s="10">
        <f t="shared" si="34"/>
        <v>221.71584442821262</v>
      </c>
      <c r="M24" s="10">
        <f t="shared" si="34"/>
        <v>446.11564273214992</v>
      </c>
      <c r="N24" s="10">
        <f t="shared" si="34"/>
        <v>416.26597465870168</v>
      </c>
      <c r="O24" s="10">
        <f t="shared" si="34"/>
        <v>482.61053104186317</v>
      </c>
      <c r="P24" s="10">
        <f t="shared" si="34"/>
        <v>552.88915736197669</v>
      </c>
      <c r="Q24" s="10">
        <f t="shared" si="34"/>
        <v>525.97403801316671</v>
      </c>
      <c r="R24" s="10">
        <f t="shared" si="34"/>
        <v>572.51542313600692</v>
      </c>
      <c r="S24" s="10">
        <f t="shared" si="34"/>
        <v>873.90149638132505</v>
      </c>
      <c r="T24" s="10">
        <f t="shared" si="34"/>
        <v>1564.1800000000003</v>
      </c>
      <c r="U24" s="10">
        <f t="shared" si="34"/>
        <v>1982.0260000000001</v>
      </c>
      <c r="V24" s="10">
        <f t="shared" si="34"/>
        <v>2959.3719999999994</v>
      </c>
      <c r="W24" s="10">
        <f t="shared" si="34"/>
        <v>2860.5969999999998</v>
      </c>
      <c r="X24" s="10">
        <f t="shared" si="34"/>
        <v>3489.7780000000002</v>
      </c>
      <c r="Y24" s="10">
        <f t="shared" si="34"/>
        <v>3975.9759999999997</v>
      </c>
      <c r="Z24" s="10">
        <f t="shared" si="34"/>
        <v>5644.5009999999993</v>
      </c>
      <c r="AA24" s="10">
        <f t="shared" si="34"/>
        <v>4519.5009999999993</v>
      </c>
      <c r="AB24" s="10">
        <f t="shared" si="34"/>
        <v>5490.1529999999993</v>
      </c>
      <c r="AC24" s="10">
        <f t="shared" si="34"/>
        <v>6486.085</v>
      </c>
      <c r="AD24" s="10">
        <f t="shared" si="34"/>
        <v>6698.2479999999987</v>
      </c>
      <c r="AE24" s="12">
        <f t="shared" si="34"/>
        <v>7084.0140000000001</v>
      </c>
      <c r="AF24" s="12">
        <f t="shared" si="34"/>
        <v>7199.1169999999993</v>
      </c>
      <c r="AG24" s="12">
        <f t="shared" si="34"/>
        <v>7713.5889999999999</v>
      </c>
      <c r="AH24" s="12">
        <f t="shared" si="34"/>
        <v>8076.7189999999991</v>
      </c>
      <c r="AI24" s="12">
        <f t="shared" ref="AI24:BU24" si="35">SUM(AI21:AI23)</f>
        <v>8494.5519999999997</v>
      </c>
      <c r="AJ24" s="12">
        <f t="shared" si="35"/>
        <v>13567.287</v>
      </c>
      <c r="AK24" s="12">
        <f t="shared" si="35"/>
        <v>13621.721000000001</v>
      </c>
      <c r="AL24" s="12">
        <f t="shared" si="35"/>
        <v>13438.442000000001</v>
      </c>
      <c r="AM24" s="12">
        <f t="shared" si="35"/>
        <v>15764.901</v>
      </c>
      <c r="AN24" s="12">
        <f t="shared" si="35"/>
        <v>18128.273999999994</v>
      </c>
      <c r="AO24" s="12">
        <f t="shared" si="35"/>
        <v>20000.953999999998</v>
      </c>
      <c r="AP24" s="12">
        <f t="shared" si="35"/>
        <v>20127.671999999995</v>
      </c>
      <c r="AQ24" s="12">
        <f t="shared" si="35"/>
        <v>23835.645450000004</v>
      </c>
      <c r="AR24" s="12">
        <f t="shared" si="35"/>
        <v>25971.932260000005</v>
      </c>
      <c r="AS24" s="12">
        <f t="shared" si="35"/>
        <v>28601.610980000001</v>
      </c>
      <c r="AT24" s="12">
        <f t="shared" si="35"/>
        <v>25211.088</v>
      </c>
      <c r="AU24" s="12">
        <f t="shared" si="35"/>
        <v>22920.795000000002</v>
      </c>
      <c r="AV24" s="12">
        <f t="shared" si="35"/>
        <v>30885.101999999995</v>
      </c>
      <c r="AW24" s="12">
        <f t="shared" si="35"/>
        <v>29966.066000000003</v>
      </c>
      <c r="AX24" s="12">
        <f t="shared" si="35"/>
        <v>24764.355999999992</v>
      </c>
      <c r="AY24" s="12">
        <f t="shared" si="35"/>
        <v>27618.456000000002</v>
      </c>
      <c r="AZ24" s="12">
        <f t="shared" si="35"/>
        <v>30224.994000000006</v>
      </c>
      <c r="BA24" s="12">
        <f t="shared" si="35"/>
        <v>35235.510999999991</v>
      </c>
      <c r="BB24" s="12">
        <f t="shared" si="35"/>
        <v>33811.192999999999</v>
      </c>
      <c r="BC24" s="12">
        <f t="shared" si="35"/>
        <v>31977.384000000005</v>
      </c>
      <c r="BD24" s="12">
        <f t="shared" si="35"/>
        <v>28232.457999999999</v>
      </c>
      <c r="BE24" s="12">
        <f t="shared" si="35"/>
        <v>31557.609000000004</v>
      </c>
      <c r="BF24" s="12">
        <f t="shared" si="35"/>
        <v>29133.333000000002</v>
      </c>
      <c r="BG24" s="12">
        <f t="shared" si="35"/>
        <v>31292.826999999997</v>
      </c>
      <c r="BH24" s="12">
        <f t="shared" si="35"/>
        <v>27702.562000000002</v>
      </c>
      <c r="BI24" s="13">
        <f t="shared" si="35"/>
        <v>22713.273064558845</v>
      </c>
      <c r="BJ24" s="13">
        <f t="shared" si="35"/>
        <v>33162.270156995852</v>
      </c>
      <c r="BK24" s="13">
        <f t="shared" si="35"/>
        <v>33330.668545406843</v>
      </c>
      <c r="BL24" s="13">
        <f t="shared" si="35"/>
        <v>34099.955863606607</v>
      </c>
      <c r="BM24" s="13">
        <f t="shared" si="35"/>
        <v>34819.977145874669</v>
      </c>
      <c r="BN24" s="13">
        <f t="shared" si="35"/>
        <v>34792.360263322415</v>
      </c>
      <c r="BO24" s="13">
        <f t="shared" si="35"/>
        <v>34791.703103775493</v>
      </c>
      <c r="BP24" s="13">
        <f t="shared" si="35"/>
        <v>34785.066143660057</v>
      </c>
      <c r="BQ24" s="13">
        <f t="shared" si="35"/>
        <v>34790.512395504367</v>
      </c>
      <c r="BR24" s="13">
        <f t="shared" si="35"/>
        <v>34789.733869437507</v>
      </c>
      <c r="BS24" s="13" t="e">
        <f t="shared" si="35"/>
        <v>#DIV/0!</v>
      </c>
      <c r="BT24" s="13" t="e">
        <f t="shared" si="35"/>
        <v>#DIV/0!</v>
      </c>
      <c r="BU24" s="13" t="e">
        <f t="shared" si="35"/>
        <v>#DIV/0!</v>
      </c>
      <c r="CK24">
        <v>5</v>
      </c>
      <c r="CL24">
        <f>CK24*0.84</f>
        <v>4.2</v>
      </c>
      <c r="CM24">
        <f>CK24*0.71</f>
        <v>3.55</v>
      </c>
    </row>
    <row r="25" spans="1:91">
      <c r="A25" s="27" t="s">
        <v>93</v>
      </c>
      <c r="B25" s="46"/>
      <c r="C25" s="28">
        <f t="shared" ref="C25:BN25" si="36">C27-C26</f>
        <v>5.1262607379851639</v>
      </c>
      <c r="D25" s="28">
        <f t="shared" si="36"/>
        <v>4.1052300520716933</v>
      </c>
      <c r="E25" s="28">
        <f t="shared" si="36"/>
        <v>3.1052300520716933</v>
      </c>
      <c r="F25" s="28">
        <f t="shared" si="36"/>
        <v>6.2313375450481789</v>
      </c>
      <c r="G25" s="28">
        <f t="shared" si="36"/>
        <v>15.315307043693386</v>
      </c>
      <c r="H25" s="28">
        <f t="shared" si="36"/>
        <v>16.441108046652516</v>
      </c>
      <c r="I25" s="28">
        <f t="shared" si="36"/>
        <v>25.754806017754788</v>
      </c>
      <c r="J25" s="28">
        <f t="shared" si="36"/>
        <v>35.963299477620147</v>
      </c>
      <c r="K25" s="28">
        <f t="shared" si="36"/>
        <v>141.00934323793768</v>
      </c>
      <c r="L25" s="28">
        <f t="shared" si="36"/>
        <v>179.71584442821262</v>
      </c>
      <c r="M25" s="28">
        <f t="shared" si="36"/>
        <v>275.50564273214991</v>
      </c>
      <c r="N25" s="28">
        <f t="shared" si="36"/>
        <v>150.53497465870169</v>
      </c>
      <c r="O25" s="28">
        <f t="shared" si="36"/>
        <v>153.21153104186317</v>
      </c>
      <c r="P25" s="28">
        <f t="shared" si="36"/>
        <v>168.7011573619767</v>
      </c>
      <c r="Q25" s="28">
        <f t="shared" si="36"/>
        <v>256.88103801316674</v>
      </c>
      <c r="R25" s="28">
        <f t="shared" si="36"/>
        <v>273.51542313600692</v>
      </c>
      <c r="S25" s="28">
        <f t="shared" si="36"/>
        <v>368.95449638132499</v>
      </c>
      <c r="T25" s="28">
        <f t="shared" si="36"/>
        <v>565.35400000000027</v>
      </c>
      <c r="U25" s="28">
        <f t="shared" si="36"/>
        <v>269.44699999999989</v>
      </c>
      <c r="V25" s="28">
        <f t="shared" si="36"/>
        <v>242.03099999999949</v>
      </c>
      <c r="W25" s="28">
        <f t="shared" si="36"/>
        <v>460.846</v>
      </c>
      <c r="X25" s="28">
        <f t="shared" si="36"/>
        <v>215.47900000000118</v>
      </c>
      <c r="Y25" s="28">
        <f t="shared" si="36"/>
        <v>392.29399999999987</v>
      </c>
      <c r="Z25" s="28">
        <f t="shared" si="36"/>
        <v>727.67099999999846</v>
      </c>
      <c r="AA25" s="28">
        <f t="shared" si="36"/>
        <v>-98.055000000001201</v>
      </c>
      <c r="AB25" s="28">
        <f t="shared" si="36"/>
        <v>-79.128000000000611</v>
      </c>
      <c r="AC25" s="28">
        <f t="shared" si="36"/>
        <v>197.34599999999955</v>
      </c>
      <c r="AD25" s="28">
        <f t="shared" si="36"/>
        <v>413.35699999999815</v>
      </c>
      <c r="AE25" s="29">
        <f t="shared" si="36"/>
        <v>3153.6500000000005</v>
      </c>
      <c r="AF25" s="29">
        <f t="shared" si="36"/>
        <v>4478.0269999999991</v>
      </c>
      <c r="AG25" s="29">
        <f t="shared" si="36"/>
        <v>917.89300000000003</v>
      </c>
      <c r="AH25" s="29">
        <f t="shared" si="36"/>
        <v>871.87100000000009</v>
      </c>
      <c r="AI25" s="29">
        <f t="shared" si="36"/>
        <v>411.22499999999945</v>
      </c>
      <c r="AJ25" s="29">
        <f t="shared" si="36"/>
        <v>5374.6349999999993</v>
      </c>
      <c r="AK25" s="29">
        <f t="shared" si="36"/>
        <v>1167.3649999999998</v>
      </c>
      <c r="AL25" s="29">
        <f t="shared" si="36"/>
        <v>116.14100000000144</v>
      </c>
      <c r="AM25" s="29">
        <f t="shared" si="36"/>
        <v>2575.1349999999966</v>
      </c>
      <c r="AN25" s="29">
        <f t="shared" si="36"/>
        <v>2046.0799999999945</v>
      </c>
      <c r="AO25" s="29">
        <f t="shared" si="36"/>
        <v>2325.4449999999961</v>
      </c>
      <c r="AP25" s="29">
        <f t="shared" si="36"/>
        <v>542.13899999999558</v>
      </c>
      <c r="AQ25" s="29">
        <f t="shared" si="36"/>
        <v>4629.0284500000016</v>
      </c>
      <c r="AR25" s="29">
        <f t="shared" si="36"/>
        <v>2834.1982600000047</v>
      </c>
      <c r="AS25" s="29">
        <f t="shared" si="36"/>
        <v>3362.0799800000023</v>
      </c>
      <c r="AT25" s="29">
        <f t="shared" si="36"/>
        <v>-3552.5220000000045</v>
      </c>
      <c r="AU25" s="29">
        <f t="shared" si="36"/>
        <v>-1391.3789999999972</v>
      </c>
      <c r="AV25" s="29">
        <f t="shared" si="36"/>
        <v>8118.7619999999952</v>
      </c>
      <c r="AW25" s="29">
        <f t="shared" si="36"/>
        <v>1659.4940000000024</v>
      </c>
      <c r="AX25" s="29">
        <f t="shared" si="36"/>
        <v>-3538.573000000004</v>
      </c>
      <c r="AY25" s="29">
        <f t="shared" si="36"/>
        <v>4432.8550000000032</v>
      </c>
      <c r="AZ25" s="29">
        <f t="shared" si="36"/>
        <v>5625.9590000000026</v>
      </c>
      <c r="BA25" s="29">
        <f t="shared" si="36"/>
        <v>7423.679999999993</v>
      </c>
      <c r="BB25" s="29">
        <f t="shared" si="36"/>
        <v>1881.1939999999995</v>
      </c>
      <c r="BC25" s="29">
        <f t="shared" si="36"/>
        <v>1307.2899960000068</v>
      </c>
      <c r="BD25" s="29">
        <f t="shared" si="36"/>
        <v>-1905.8751900000061</v>
      </c>
      <c r="BE25" s="29">
        <f t="shared" si="36"/>
        <v>5396.4952400000075</v>
      </c>
      <c r="BF25" s="29">
        <f t="shared" si="36"/>
        <v>-1099.9129999999932</v>
      </c>
      <c r="BG25" s="29">
        <f t="shared" si="36"/>
        <v>4690.9289999999964</v>
      </c>
      <c r="BH25" s="29">
        <f t="shared" si="36"/>
        <v>-1730.3739999999998</v>
      </c>
      <c r="BI25" s="30">
        <f t="shared" si="36"/>
        <v>4063.2730645588454</v>
      </c>
      <c r="BJ25" s="30">
        <f t="shared" si="36"/>
        <v>3212.2701569958517</v>
      </c>
      <c r="BK25" s="30">
        <f t="shared" si="36"/>
        <v>2880.6685454068429</v>
      </c>
      <c r="BL25" s="30">
        <f t="shared" si="36"/>
        <v>3649.9558636066067</v>
      </c>
      <c r="BM25" s="30">
        <f t="shared" si="36"/>
        <v>4419.9771458746691</v>
      </c>
      <c r="BN25" s="30">
        <f t="shared" si="36"/>
        <v>4392.3602633224145</v>
      </c>
      <c r="BO25" s="30">
        <f t="shared" ref="BO25:BU25" si="37">BO27-BO26</f>
        <v>4391.7031037754932</v>
      </c>
      <c r="BP25" s="30">
        <f t="shared" si="37"/>
        <v>4385.0661436600567</v>
      </c>
      <c r="BQ25" s="30">
        <f t="shared" si="37"/>
        <v>4390.5123955043673</v>
      </c>
      <c r="BR25" s="30">
        <f t="shared" si="37"/>
        <v>4389.7338694375067</v>
      </c>
      <c r="BS25" s="30" t="e">
        <f t="shared" si="37"/>
        <v>#DIV/0!</v>
      </c>
      <c r="BT25" s="30" t="e">
        <f t="shared" si="37"/>
        <v>#DIV/0!</v>
      </c>
      <c r="BU25" s="30" t="e">
        <f t="shared" si="37"/>
        <v>#DIV/0!</v>
      </c>
      <c r="CK25">
        <v>5</v>
      </c>
      <c r="CL25">
        <f>CK25*0.84</f>
        <v>4.2</v>
      </c>
      <c r="CM25">
        <f>CK25*0.71</f>
        <v>3.55</v>
      </c>
    </row>
    <row r="26" spans="1:91">
      <c r="A26" s="9" t="s">
        <v>84</v>
      </c>
      <c r="B26" s="19"/>
      <c r="C26" s="10">
        <f t="shared" ref="C26:BH26" si="38">C168</f>
        <v>0</v>
      </c>
      <c r="D26" s="10">
        <f t="shared" si="38"/>
        <v>0</v>
      </c>
      <c r="E26" s="10">
        <f t="shared" si="38"/>
        <v>0</v>
      </c>
      <c r="F26" s="10">
        <f t="shared" si="38"/>
        <v>0</v>
      </c>
      <c r="G26" s="10">
        <f t="shared" si="38"/>
        <v>0</v>
      </c>
      <c r="H26" s="10">
        <f t="shared" si="38"/>
        <v>0</v>
      </c>
      <c r="I26" s="10">
        <f t="shared" si="38"/>
        <v>0</v>
      </c>
      <c r="J26" s="10">
        <f t="shared" si="38"/>
        <v>0</v>
      </c>
      <c r="K26" s="10">
        <f t="shared" si="38"/>
        <v>14</v>
      </c>
      <c r="L26" s="10">
        <f t="shared" si="38"/>
        <v>12</v>
      </c>
      <c r="M26" s="10">
        <f t="shared" si="38"/>
        <v>158</v>
      </c>
      <c r="N26" s="10">
        <f t="shared" si="38"/>
        <v>251</v>
      </c>
      <c r="O26" s="10">
        <f t="shared" si="38"/>
        <v>325</v>
      </c>
      <c r="P26" s="10">
        <f t="shared" si="38"/>
        <v>370</v>
      </c>
      <c r="Q26" s="10">
        <f t="shared" si="38"/>
        <v>260</v>
      </c>
      <c r="R26" s="10">
        <f t="shared" si="38"/>
        <v>283</v>
      </c>
      <c r="S26" s="10">
        <f t="shared" si="38"/>
        <v>483.3</v>
      </c>
      <c r="T26" s="10">
        <f t="shared" si="38"/>
        <v>940.7</v>
      </c>
      <c r="U26" s="10">
        <f t="shared" si="38"/>
        <v>1614.9</v>
      </c>
      <c r="V26" s="10">
        <f t="shared" si="38"/>
        <v>2593.2999999999997</v>
      </c>
      <c r="W26" s="10">
        <f t="shared" si="38"/>
        <v>2365.6999999999998</v>
      </c>
      <c r="X26" s="10">
        <f t="shared" si="38"/>
        <v>3220.7999999999993</v>
      </c>
      <c r="Y26" s="10">
        <f t="shared" si="38"/>
        <v>3539.3999999999996</v>
      </c>
      <c r="Z26" s="10">
        <f t="shared" si="38"/>
        <v>4763.5000000000009</v>
      </c>
      <c r="AA26" s="10">
        <f t="shared" si="38"/>
        <v>4454.5000000000009</v>
      </c>
      <c r="AB26" s="10">
        <f t="shared" si="38"/>
        <v>5091.3</v>
      </c>
      <c r="AC26" s="10">
        <f t="shared" si="38"/>
        <v>6152.5000000000009</v>
      </c>
      <c r="AD26" s="10">
        <f t="shared" si="38"/>
        <v>6230.6360000000004</v>
      </c>
      <c r="AE26" s="12">
        <f t="shared" si="38"/>
        <v>3830.6179999999995</v>
      </c>
      <c r="AF26" s="12">
        <f t="shared" si="38"/>
        <v>2629.5209999999997</v>
      </c>
      <c r="AG26" s="12">
        <f t="shared" si="38"/>
        <v>6674.2370000000001</v>
      </c>
      <c r="AH26" s="12">
        <f t="shared" si="38"/>
        <v>7101.2379999999994</v>
      </c>
      <c r="AI26" s="12">
        <f t="shared" si="38"/>
        <v>7956.9489999999996</v>
      </c>
      <c r="AJ26" s="12">
        <f t="shared" si="38"/>
        <v>8009.6030000000001</v>
      </c>
      <c r="AK26" s="12">
        <f t="shared" si="38"/>
        <v>12120.157000000001</v>
      </c>
      <c r="AL26" s="12">
        <f t="shared" si="38"/>
        <v>13058.924999999999</v>
      </c>
      <c r="AM26" s="12">
        <f t="shared" si="38"/>
        <v>12824.114000000003</v>
      </c>
      <c r="AN26" s="12">
        <f t="shared" si="38"/>
        <v>15727.761999999999</v>
      </c>
      <c r="AO26" s="12">
        <f t="shared" si="38"/>
        <v>17288.368000000002</v>
      </c>
      <c r="AP26" s="12">
        <f t="shared" si="38"/>
        <v>19104.637999999999</v>
      </c>
      <c r="AQ26" s="12">
        <f t="shared" si="38"/>
        <v>18817.377</v>
      </c>
      <c r="AR26" s="12">
        <f t="shared" si="38"/>
        <v>22401.665000000001</v>
      </c>
      <c r="AS26" s="12">
        <f t="shared" si="38"/>
        <v>24901.424999999999</v>
      </c>
      <c r="AT26" s="12">
        <f t="shared" si="38"/>
        <v>28366.340000000004</v>
      </c>
      <c r="AU26" s="12">
        <f t="shared" si="38"/>
        <v>23931.392</v>
      </c>
      <c r="AV26" s="12">
        <f t="shared" si="38"/>
        <v>21983.985000000001</v>
      </c>
      <c r="AW26" s="12">
        <f t="shared" si="38"/>
        <v>27488.705000000002</v>
      </c>
      <c r="AX26" s="12">
        <f t="shared" si="38"/>
        <v>27835.722999999998</v>
      </c>
      <c r="AY26" s="12">
        <f t="shared" si="38"/>
        <v>22491.692999999999</v>
      </c>
      <c r="AZ26" s="12">
        <f t="shared" si="38"/>
        <v>24071.494000000002</v>
      </c>
      <c r="BA26" s="12">
        <f t="shared" si="38"/>
        <v>27104.127</v>
      </c>
      <c r="BB26" s="12">
        <f t="shared" si="38"/>
        <v>31117.276000000002</v>
      </c>
      <c r="BC26" s="12">
        <f t="shared" si="38"/>
        <v>29919.046004</v>
      </c>
      <c r="BD26" s="12">
        <f t="shared" si="38"/>
        <v>29516.059190000004</v>
      </c>
      <c r="BE26" s="12">
        <f t="shared" si="38"/>
        <v>25644.413759999996</v>
      </c>
      <c r="BF26" s="12">
        <f t="shared" si="38"/>
        <v>29714.143999999997</v>
      </c>
      <c r="BG26" s="12">
        <f t="shared" si="38"/>
        <v>26051.214</v>
      </c>
      <c r="BH26" s="12">
        <f t="shared" si="38"/>
        <v>28934.108</v>
      </c>
      <c r="BI26" s="13">
        <f>28750-2000-8000-7500+7000</f>
        <v>18250</v>
      </c>
      <c r="BJ26" s="13">
        <v>29000</v>
      </c>
      <c r="BK26" s="13">
        <v>29500</v>
      </c>
      <c r="BL26" s="13">
        <v>29500</v>
      </c>
      <c r="BM26" s="13">
        <v>29500</v>
      </c>
      <c r="BN26" s="13">
        <v>29500</v>
      </c>
      <c r="BO26" s="13">
        <v>29500</v>
      </c>
      <c r="BP26" s="13">
        <v>29500</v>
      </c>
      <c r="BQ26" s="13">
        <v>29500</v>
      </c>
      <c r="BR26" s="13">
        <v>29500</v>
      </c>
      <c r="BS26" s="13">
        <v>29500</v>
      </c>
      <c r="BT26" s="13">
        <v>29500</v>
      </c>
      <c r="BU26" s="13">
        <v>29500</v>
      </c>
    </row>
    <row r="27" spans="1:91">
      <c r="A27" s="9" t="s">
        <v>87</v>
      </c>
      <c r="B27" s="19"/>
      <c r="C27" s="10">
        <f t="shared" ref="C27:BN27" si="39">C24-C28</f>
        <v>5.1262607379851639</v>
      </c>
      <c r="D27" s="10">
        <f t="shared" si="39"/>
        <v>4.1052300520716933</v>
      </c>
      <c r="E27" s="10">
        <f t="shared" si="39"/>
        <v>3.1052300520716933</v>
      </c>
      <c r="F27" s="10">
        <f t="shared" si="39"/>
        <v>6.2313375450481789</v>
      </c>
      <c r="G27" s="10">
        <f t="shared" si="39"/>
        <v>15.315307043693386</v>
      </c>
      <c r="H27" s="10">
        <f t="shared" si="39"/>
        <v>16.441108046652516</v>
      </c>
      <c r="I27" s="10">
        <f t="shared" si="39"/>
        <v>25.754806017754788</v>
      </c>
      <c r="J27" s="10">
        <f t="shared" si="39"/>
        <v>35.963299477620147</v>
      </c>
      <c r="K27" s="10">
        <f t="shared" si="39"/>
        <v>155.00934323793768</v>
      </c>
      <c r="L27" s="10">
        <f t="shared" si="39"/>
        <v>191.71584442821262</v>
      </c>
      <c r="M27" s="10">
        <f t="shared" si="39"/>
        <v>433.50564273214991</v>
      </c>
      <c r="N27" s="10">
        <f t="shared" si="39"/>
        <v>401.53497465870169</v>
      </c>
      <c r="O27" s="10">
        <f t="shared" si="39"/>
        <v>478.21153104186317</v>
      </c>
      <c r="P27" s="10">
        <f t="shared" si="39"/>
        <v>538.7011573619767</v>
      </c>
      <c r="Q27" s="10">
        <f t="shared" si="39"/>
        <v>516.88103801316674</v>
      </c>
      <c r="R27" s="10">
        <f t="shared" si="39"/>
        <v>556.51542313600692</v>
      </c>
      <c r="S27" s="10">
        <f t="shared" si="39"/>
        <v>852.254496381325</v>
      </c>
      <c r="T27" s="10">
        <f t="shared" si="39"/>
        <v>1506.0540000000003</v>
      </c>
      <c r="U27" s="10">
        <f t="shared" si="39"/>
        <v>1884.347</v>
      </c>
      <c r="V27" s="10">
        <f t="shared" si="39"/>
        <v>2835.3309999999992</v>
      </c>
      <c r="W27" s="10">
        <f t="shared" si="39"/>
        <v>2826.5459999999998</v>
      </c>
      <c r="X27" s="10">
        <f t="shared" si="39"/>
        <v>3436.2790000000005</v>
      </c>
      <c r="Y27" s="10">
        <f t="shared" si="39"/>
        <v>3931.6939999999995</v>
      </c>
      <c r="Z27" s="10">
        <f t="shared" si="39"/>
        <v>5491.1709999999994</v>
      </c>
      <c r="AA27" s="10">
        <f t="shared" si="39"/>
        <v>4356.4449999999997</v>
      </c>
      <c r="AB27" s="10">
        <f t="shared" si="39"/>
        <v>5012.1719999999996</v>
      </c>
      <c r="AC27" s="10">
        <f t="shared" si="39"/>
        <v>6349.8460000000005</v>
      </c>
      <c r="AD27" s="10">
        <f t="shared" si="39"/>
        <v>6643.9929999999986</v>
      </c>
      <c r="AE27" s="12">
        <f t="shared" si="39"/>
        <v>6984.268</v>
      </c>
      <c r="AF27" s="12">
        <f t="shared" si="39"/>
        <v>7107.5479999999989</v>
      </c>
      <c r="AG27" s="12">
        <f t="shared" si="39"/>
        <v>7592.13</v>
      </c>
      <c r="AH27" s="12">
        <f t="shared" si="39"/>
        <v>7973.1089999999995</v>
      </c>
      <c r="AI27" s="12">
        <f t="shared" si="39"/>
        <v>8368.1739999999991</v>
      </c>
      <c r="AJ27" s="12">
        <f t="shared" si="39"/>
        <v>13384.237999999999</v>
      </c>
      <c r="AK27" s="12">
        <f t="shared" si="39"/>
        <v>13287.522000000001</v>
      </c>
      <c r="AL27" s="12">
        <f t="shared" si="39"/>
        <v>13175.066000000001</v>
      </c>
      <c r="AM27" s="12">
        <f t="shared" si="39"/>
        <v>15399.249</v>
      </c>
      <c r="AN27" s="12">
        <f t="shared" si="39"/>
        <v>17773.841999999993</v>
      </c>
      <c r="AO27" s="12">
        <f t="shared" si="39"/>
        <v>19613.812999999998</v>
      </c>
      <c r="AP27" s="12">
        <f t="shared" si="39"/>
        <v>19646.776999999995</v>
      </c>
      <c r="AQ27" s="12">
        <f t="shared" si="39"/>
        <v>23446.405450000002</v>
      </c>
      <c r="AR27" s="12">
        <f t="shared" si="39"/>
        <v>25235.863260000006</v>
      </c>
      <c r="AS27" s="12">
        <f t="shared" si="39"/>
        <v>28263.504980000002</v>
      </c>
      <c r="AT27" s="12">
        <f t="shared" si="39"/>
        <v>24813.817999999999</v>
      </c>
      <c r="AU27" s="12">
        <f t="shared" si="39"/>
        <v>22540.013000000003</v>
      </c>
      <c r="AV27" s="12">
        <f t="shared" si="39"/>
        <v>30102.746999999996</v>
      </c>
      <c r="AW27" s="12">
        <f t="shared" si="39"/>
        <v>29148.199000000004</v>
      </c>
      <c r="AX27" s="12">
        <f t="shared" si="39"/>
        <v>24297.149999999994</v>
      </c>
      <c r="AY27" s="12">
        <f t="shared" si="39"/>
        <v>26924.548000000003</v>
      </c>
      <c r="AZ27" s="12">
        <f t="shared" si="39"/>
        <v>29697.453000000005</v>
      </c>
      <c r="BA27" s="12">
        <f t="shared" si="39"/>
        <v>34527.806999999993</v>
      </c>
      <c r="BB27" s="12">
        <f t="shared" si="39"/>
        <v>32998.47</v>
      </c>
      <c r="BC27" s="12">
        <f t="shared" si="39"/>
        <v>31226.336000000007</v>
      </c>
      <c r="BD27" s="12">
        <f t="shared" si="39"/>
        <v>27610.183999999997</v>
      </c>
      <c r="BE27" s="12">
        <f t="shared" si="39"/>
        <v>31040.909000000003</v>
      </c>
      <c r="BF27" s="12">
        <f t="shared" si="39"/>
        <v>28614.231000000003</v>
      </c>
      <c r="BG27" s="12">
        <f t="shared" si="39"/>
        <v>30742.142999999996</v>
      </c>
      <c r="BH27" s="12">
        <f t="shared" si="39"/>
        <v>27203.734</v>
      </c>
      <c r="BI27" s="13">
        <f t="shared" si="39"/>
        <v>22313.273064558845</v>
      </c>
      <c r="BJ27" s="13">
        <f t="shared" si="39"/>
        <v>32212.270156995852</v>
      </c>
      <c r="BK27" s="13">
        <f t="shared" si="39"/>
        <v>32380.668545406843</v>
      </c>
      <c r="BL27" s="13">
        <f t="shared" si="39"/>
        <v>33149.955863606607</v>
      </c>
      <c r="BM27" s="13">
        <f t="shared" si="39"/>
        <v>33919.977145874669</v>
      </c>
      <c r="BN27" s="13">
        <f t="shared" si="39"/>
        <v>33892.360263322415</v>
      </c>
      <c r="BO27" s="13">
        <f t="shared" ref="BO27:BU27" si="40">BO24-BO28</f>
        <v>33891.703103775493</v>
      </c>
      <c r="BP27" s="13">
        <f t="shared" si="40"/>
        <v>33885.066143660057</v>
      </c>
      <c r="BQ27" s="13">
        <f t="shared" si="40"/>
        <v>33890.512395504367</v>
      </c>
      <c r="BR27" s="13">
        <f t="shared" si="40"/>
        <v>33889.733869437507</v>
      </c>
      <c r="BS27" s="13" t="e">
        <f t="shared" si="40"/>
        <v>#DIV/0!</v>
      </c>
      <c r="BT27" s="13" t="e">
        <f t="shared" si="40"/>
        <v>#DIV/0!</v>
      </c>
      <c r="BU27" s="13" t="e">
        <f t="shared" si="40"/>
        <v>#DIV/0!</v>
      </c>
    </row>
    <row r="28" spans="1:91">
      <c r="A28" s="27" t="s">
        <v>88</v>
      </c>
      <c r="B28" s="46"/>
      <c r="C28" s="28">
        <f t="shared" ref="C28:BH28" si="41">C199</f>
        <v>0</v>
      </c>
      <c r="D28" s="28">
        <f t="shared" si="41"/>
        <v>0</v>
      </c>
      <c r="E28" s="28">
        <f t="shared" si="41"/>
        <v>1</v>
      </c>
      <c r="F28" s="28">
        <f t="shared" si="41"/>
        <v>3</v>
      </c>
      <c r="G28" s="28">
        <f t="shared" si="41"/>
        <v>0</v>
      </c>
      <c r="H28" s="28">
        <f t="shared" si="41"/>
        <v>0</v>
      </c>
      <c r="I28" s="28">
        <f t="shared" si="41"/>
        <v>2</v>
      </c>
      <c r="J28" s="28">
        <f t="shared" si="41"/>
        <v>2</v>
      </c>
      <c r="K28" s="28">
        <f t="shared" si="41"/>
        <v>2</v>
      </c>
      <c r="L28" s="28">
        <f t="shared" si="41"/>
        <v>30</v>
      </c>
      <c r="M28" s="28">
        <f t="shared" si="41"/>
        <v>12.61</v>
      </c>
      <c r="N28" s="28">
        <f t="shared" si="41"/>
        <v>14.731</v>
      </c>
      <c r="O28" s="28">
        <f t="shared" si="41"/>
        <v>4.399</v>
      </c>
      <c r="P28" s="28">
        <f t="shared" si="41"/>
        <v>14.188000000000001</v>
      </c>
      <c r="Q28" s="28">
        <f t="shared" si="41"/>
        <v>9.093</v>
      </c>
      <c r="R28" s="28">
        <f t="shared" si="41"/>
        <v>16</v>
      </c>
      <c r="S28" s="28">
        <f t="shared" si="41"/>
        <v>21.646999999999998</v>
      </c>
      <c r="T28" s="28">
        <f t="shared" si="41"/>
        <v>58.125999999999998</v>
      </c>
      <c r="U28" s="28">
        <f t="shared" si="41"/>
        <v>97.679000000000002</v>
      </c>
      <c r="V28" s="28">
        <f t="shared" si="41"/>
        <v>124.041</v>
      </c>
      <c r="W28" s="28">
        <f t="shared" si="41"/>
        <v>34.051000000000002</v>
      </c>
      <c r="X28" s="28">
        <f t="shared" si="41"/>
        <v>53.499000000000002</v>
      </c>
      <c r="Y28" s="28">
        <f t="shared" si="41"/>
        <v>44.281999999999996</v>
      </c>
      <c r="Z28" s="28">
        <f t="shared" si="41"/>
        <v>153.33000000000001</v>
      </c>
      <c r="AA28" s="28">
        <f t="shared" si="41"/>
        <v>163.05600000000001</v>
      </c>
      <c r="AB28" s="28">
        <f t="shared" si="41"/>
        <v>477.98099999999999</v>
      </c>
      <c r="AC28" s="28">
        <f t="shared" si="41"/>
        <v>136.239</v>
      </c>
      <c r="AD28" s="28">
        <f t="shared" si="41"/>
        <v>54.255000000000003</v>
      </c>
      <c r="AE28" s="29">
        <f t="shared" si="41"/>
        <v>99.745999999999995</v>
      </c>
      <c r="AF28" s="29">
        <f t="shared" si="41"/>
        <v>91.569000000000003</v>
      </c>
      <c r="AG28" s="29">
        <f t="shared" si="41"/>
        <v>121.459</v>
      </c>
      <c r="AH28" s="29">
        <f t="shared" si="41"/>
        <v>103.61</v>
      </c>
      <c r="AI28" s="29">
        <f t="shared" si="41"/>
        <v>126.378</v>
      </c>
      <c r="AJ28" s="29">
        <f t="shared" si="41"/>
        <v>183.04900000000001</v>
      </c>
      <c r="AK28" s="29">
        <f t="shared" si="41"/>
        <v>334.19900000000001</v>
      </c>
      <c r="AL28" s="29">
        <f t="shared" si="41"/>
        <v>263.37599999999998</v>
      </c>
      <c r="AM28" s="29">
        <f t="shared" si="41"/>
        <v>365.65199999999999</v>
      </c>
      <c r="AN28" s="29">
        <f t="shared" si="41"/>
        <v>354.43200000000002</v>
      </c>
      <c r="AO28" s="29">
        <f t="shared" si="41"/>
        <v>387.14100000000002</v>
      </c>
      <c r="AP28" s="29">
        <f t="shared" si="41"/>
        <v>480.89499999999998</v>
      </c>
      <c r="AQ28" s="29">
        <f t="shared" si="41"/>
        <v>389.24</v>
      </c>
      <c r="AR28" s="29">
        <f t="shared" si="41"/>
        <v>736.06899999999996</v>
      </c>
      <c r="AS28" s="29">
        <f t="shared" si="41"/>
        <v>338.10599999999999</v>
      </c>
      <c r="AT28" s="29">
        <f t="shared" si="41"/>
        <v>397.27</v>
      </c>
      <c r="AU28" s="29">
        <f t="shared" si="41"/>
        <v>380.78199999999998</v>
      </c>
      <c r="AV28" s="29">
        <f t="shared" si="41"/>
        <v>782.35500000000002</v>
      </c>
      <c r="AW28" s="29">
        <f t="shared" si="41"/>
        <v>817.86699999999996</v>
      </c>
      <c r="AX28" s="29">
        <f t="shared" si="41"/>
        <v>467.20600000000002</v>
      </c>
      <c r="AY28" s="29">
        <f t="shared" si="41"/>
        <v>693.90800000000002</v>
      </c>
      <c r="AZ28" s="29">
        <f t="shared" si="41"/>
        <v>527.54100000000005</v>
      </c>
      <c r="BA28" s="29">
        <f t="shared" si="41"/>
        <v>707.70399999999995</v>
      </c>
      <c r="BB28" s="29">
        <f t="shared" si="41"/>
        <v>812.72299999999996</v>
      </c>
      <c r="BC28" s="29">
        <f t="shared" si="41"/>
        <v>751.048</v>
      </c>
      <c r="BD28" s="29">
        <f t="shared" si="41"/>
        <v>622.274</v>
      </c>
      <c r="BE28" s="29">
        <f t="shared" si="41"/>
        <v>516.70000000000005</v>
      </c>
      <c r="BF28" s="29">
        <f t="shared" si="41"/>
        <v>519.10199999999998</v>
      </c>
      <c r="BG28" s="29">
        <f t="shared" si="41"/>
        <v>550.68399999999997</v>
      </c>
      <c r="BH28" s="29">
        <f t="shared" si="41"/>
        <v>498.82799999999997</v>
      </c>
      <c r="BI28" s="30">
        <f>850-450</f>
        <v>400</v>
      </c>
      <c r="BJ28" s="30">
        <v>950</v>
      </c>
      <c r="BK28" s="30">
        <v>950</v>
      </c>
      <c r="BL28" s="30">
        <v>950</v>
      </c>
      <c r="BM28" s="30">
        <v>900</v>
      </c>
      <c r="BN28" s="30">
        <v>900</v>
      </c>
      <c r="BO28" s="30">
        <v>900</v>
      </c>
      <c r="BP28" s="30">
        <v>900</v>
      </c>
      <c r="BQ28" s="30">
        <v>900</v>
      </c>
      <c r="BR28" s="30">
        <v>900</v>
      </c>
      <c r="BS28" s="30">
        <v>900</v>
      </c>
      <c r="BT28" s="30">
        <v>900</v>
      </c>
      <c r="BU28" s="30">
        <v>900</v>
      </c>
    </row>
    <row r="29" spans="1:91" ht="16.5" thickBot="1">
      <c r="A29" s="47" t="s">
        <v>94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39"/>
      <c r="BO29" s="39"/>
      <c r="BP29" s="39"/>
      <c r="BQ29" s="39"/>
      <c r="BR29" s="39"/>
      <c r="BS29" s="39"/>
      <c r="BT29" s="39"/>
      <c r="BU29" s="39"/>
    </row>
    <row r="30" spans="1:91">
      <c r="A30" s="9" t="s">
        <v>79</v>
      </c>
      <c r="B30" s="10"/>
      <c r="C30" s="10">
        <v>0</v>
      </c>
      <c r="D30" s="10">
        <f t="shared" ref="D30:BO30" si="42">C39</f>
        <v>0</v>
      </c>
      <c r="E30" s="10">
        <f t="shared" si="42"/>
        <v>0</v>
      </c>
      <c r="F30" s="10">
        <f t="shared" si="42"/>
        <v>1</v>
      </c>
      <c r="G30" s="10">
        <f t="shared" si="42"/>
        <v>0</v>
      </c>
      <c r="H30" s="10">
        <f t="shared" si="42"/>
        <v>1</v>
      </c>
      <c r="I30" s="10">
        <f t="shared" si="42"/>
        <v>0</v>
      </c>
      <c r="J30" s="10">
        <f t="shared" si="42"/>
        <v>0</v>
      </c>
      <c r="K30" s="10">
        <f t="shared" si="42"/>
        <v>1</v>
      </c>
      <c r="L30" s="10">
        <f t="shared" si="42"/>
        <v>3</v>
      </c>
      <c r="M30" s="10">
        <f t="shared" si="42"/>
        <v>3</v>
      </c>
      <c r="N30" s="10">
        <f t="shared" si="42"/>
        <v>7.5060000000000002</v>
      </c>
      <c r="O30" s="10">
        <f t="shared" si="42"/>
        <v>4.476</v>
      </c>
      <c r="P30" s="10">
        <f t="shared" si="42"/>
        <v>3.089</v>
      </c>
      <c r="Q30" s="10">
        <f t="shared" si="42"/>
        <v>3.7519999999999998</v>
      </c>
      <c r="R30" s="10">
        <f t="shared" si="42"/>
        <v>4.4189999999999996</v>
      </c>
      <c r="S30" s="10">
        <f t="shared" si="42"/>
        <v>14</v>
      </c>
      <c r="T30" s="10">
        <f t="shared" si="42"/>
        <v>8.4030000000000005</v>
      </c>
      <c r="U30" s="10">
        <f t="shared" si="42"/>
        <v>24.445</v>
      </c>
      <c r="V30" s="10">
        <f t="shared" si="42"/>
        <v>40.055999999999997</v>
      </c>
      <c r="W30" s="10">
        <f t="shared" si="42"/>
        <v>50.87</v>
      </c>
      <c r="X30" s="10">
        <f t="shared" si="42"/>
        <v>40.332999999999998</v>
      </c>
      <c r="Y30" s="10">
        <f t="shared" si="42"/>
        <v>58.341000000000001</v>
      </c>
      <c r="Z30" s="10">
        <f t="shared" si="42"/>
        <v>18.268000000000001</v>
      </c>
      <c r="AA30" s="10">
        <f t="shared" si="42"/>
        <v>61.573</v>
      </c>
      <c r="AB30" s="10">
        <f t="shared" si="42"/>
        <v>76.918999999999997</v>
      </c>
      <c r="AC30" s="10">
        <f t="shared" si="42"/>
        <v>100.124</v>
      </c>
      <c r="AD30" s="10">
        <f t="shared" si="42"/>
        <v>35.71</v>
      </c>
      <c r="AE30" s="12">
        <f t="shared" si="42"/>
        <v>30.353000000000002</v>
      </c>
      <c r="AF30" s="12">
        <f t="shared" si="42"/>
        <v>52.93</v>
      </c>
      <c r="AG30" s="12">
        <f t="shared" si="42"/>
        <v>38.104999999999997</v>
      </c>
      <c r="AH30" s="12">
        <f t="shared" si="42"/>
        <v>47.996000000000002</v>
      </c>
      <c r="AI30" s="12">
        <f t="shared" si="42"/>
        <v>54.107999999999997</v>
      </c>
      <c r="AJ30" s="12">
        <f t="shared" si="42"/>
        <v>57.816000000000003</v>
      </c>
      <c r="AK30" s="12">
        <f t="shared" si="42"/>
        <v>134.19900000000001</v>
      </c>
      <c r="AL30" s="12">
        <f t="shared" si="42"/>
        <v>75.430999999999997</v>
      </c>
      <c r="AM30" s="12">
        <f t="shared" si="42"/>
        <v>92.947000000000003</v>
      </c>
      <c r="AN30" s="12">
        <f t="shared" si="42"/>
        <v>94.221000000000004</v>
      </c>
      <c r="AO30" s="12">
        <f t="shared" si="42"/>
        <v>190.733</v>
      </c>
      <c r="AP30" s="12">
        <f t="shared" si="42"/>
        <v>194.184</v>
      </c>
      <c r="AQ30" s="12">
        <f t="shared" si="42"/>
        <v>135.08799999999999</v>
      </c>
      <c r="AR30" s="12">
        <f t="shared" si="42"/>
        <v>182.37700000000001</v>
      </c>
      <c r="AS30" s="12">
        <f t="shared" si="42"/>
        <v>262.27100000000002</v>
      </c>
      <c r="AT30" s="12">
        <f t="shared" si="42"/>
        <v>88.463999999999999</v>
      </c>
      <c r="AU30" s="12">
        <f t="shared" si="42"/>
        <v>178.11199999999999</v>
      </c>
      <c r="AV30" s="12">
        <f t="shared" si="42"/>
        <v>228.82599999999999</v>
      </c>
      <c r="AW30" s="12">
        <f t="shared" si="42"/>
        <v>218.22399999999999</v>
      </c>
      <c r="AX30" s="12">
        <f t="shared" si="42"/>
        <v>187.524</v>
      </c>
      <c r="AY30" s="12">
        <f t="shared" si="42"/>
        <v>191.215</v>
      </c>
      <c r="AZ30" s="12">
        <f t="shared" si="42"/>
        <v>206.91499999999999</v>
      </c>
      <c r="BA30" s="12">
        <f t="shared" si="42"/>
        <v>195.63399999999999</v>
      </c>
      <c r="BB30" s="12">
        <f t="shared" si="42"/>
        <v>336.84199999999998</v>
      </c>
      <c r="BC30" s="12">
        <f t="shared" si="42"/>
        <v>259.51600000000002</v>
      </c>
      <c r="BD30" s="12">
        <f t="shared" si="42"/>
        <v>310.54199999999997</v>
      </c>
      <c r="BE30" s="12">
        <f t="shared" si="42"/>
        <v>171.69900000000001</v>
      </c>
      <c r="BF30" s="12">
        <f t="shared" si="42"/>
        <v>316.47800000000001</v>
      </c>
      <c r="BG30" s="12">
        <f t="shared" si="42"/>
        <v>228.33099999999999</v>
      </c>
      <c r="BH30" s="12">
        <f t="shared" si="42"/>
        <v>204.87</v>
      </c>
      <c r="BI30" s="13">
        <f t="shared" si="42"/>
        <v>200</v>
      </c>
      <c r="BJ30" s="13">
        <f t="shared" si="42"/>
        <v>200</v>
      </c>
      <c r="BK30" s="13">
        <f t="shared" si="42"/>
        <v>275</v>
      </c>
      <c r="BL30" s="13">
        <f t="shared" si="42"/>
        <v>250</v>
      </c>
      <c r="BM30" s="13">
        <f t="shared" si="42"/>
        <v>250</v>
      </c>
      <c r="BN30" s="13">
        <f t="shared" si="42"/>
        <v>250</v>
      </c>
      <c r="BO30" s="13">
        <f t="shared" si="42"/>
        <v>250</v>
      </c>
      <c r="BP30" s="13">
        <f t="shared" ref="BP30:BU30" si="43">BO39</f>
        <v>250</v>
      </c>
      <c r="BQ30" s="13">
        <f t="shared" si="43"/>
        <v>250</v>
      </c>
      <c r="BR30" s="13">
        <f t="shared" si="43"/>
        <v>250</v>
      </c>
      <c r="BS30" s="13">
        <f t="shared" si="43"/>
        <v>250</v>
      </c>
      <c r="BT30" s="13">
        <f t="shared" si="43"/>
        <v>250</v>
      </c>
      <c r="BU30" s="13">
        <f t="shared" si="43"/>
        <v>250</v>
      </c>
    </row>
    <row r="31" spans="1:91">
      <c r="A31" s="9" t="s">
        <v>80</v>
      </c>
      <c r="B31" s="10"/>
      <c r="C31" s="10">
        <f t="shared" ref="C31:BN31" si="44">C231</f>
        <v>1</v>
      </c>
      <c r="D31" s="10">
        <f t="shared" si="44"/>
        <v>1</v>
      </c>
      <c r="E31" s="10">
        <f t="shared" si="44"/>
        <v>1</v>
      </c>
      <c r="F31" s="10">
        <f t="shared" si="44"/>
        <v>2</v>
      </c>
      <c r="G31" s="10">
        <f t="shared" si="44"/>
        <v>3</v>
      </c>
      <c r="H31" s="10">
        <f t="shared" si="44"/>
        <v>4</v>
      </c>
      <c r="I31" s="10">
        <f t="shared" si="44"/>
        <v>6</v>
      </c>
      <c r="J31" s="10">
        <f t="shared" si="44"/>
        <v>8</v>
      </c>
      <c r="K31" s="10">
        <f t="shared" si="44"/>
        <v>29</v>
      </c>
      <c r="L31" s="10">
        <f t="shared" si="44"/>
        <v>47</v>
      </c>
      <c r="M31" s="10">
        <f t="shared" si="44"/>
        <v>92.188000000000002</v>
      </c>
      <c r="N31" s="10">
        <f t="shared" si="44"/>
        <v>80.715000000000003</v>
      </c>
      <c r="O31" s="10">
        <f t="shared" si="44"/>
        <v>96.443999999999988</v>
      </c>
      <c r="P31" s="10">
        <f t="shared" si="44"/>
        <v>110.49200000000002</v>
      </c>
      <c r="Q31" s="10">
        <f t="shared" si="44"/>
        <v>106.16700000000002</v>
      </c>
      <c r="R31" s="10">
        <f t="shared" si="44"/>
        <v>121.28599999999999</v>
      </c>
      <c r="S31" s="10">
        <f t="shared" si="44"/>
        <v>182.84100000000001</v>
      </c>
      <c r="T31" s="10">
        <f t="shared" si="44"/>
        <v>321.41100000000006</v>
      </c>
      <c r="U31" s="10">
        <f t="shared" si="44"/>
        <v>393.22899999999993</v>
      </c>
      <c r="V31" s="10">
        <f t="shared" si="44"/>
        <v>592.53300000000002</v>
      </c>
      <c r="W31" s="10">
        <f t="shared" si="44"/>
        <v>579.82799999999997</v>
      </c>
      <c r="X31" s="10">
        <f t="shared" si="44"/>
        <v>731.04000000000008</v>
      </c>
      <c r="Y31" s="10">
        <f t="shared" si="44"/>
        <v>852.83300000000008</v>
      </c>
      <c r="Z31" s="10">
        <f t="shared" si="44"/>
        <v>1199.6759999999999</v>
      </c>
      <c r="AA31" s="10">
        <f t="shared" si="44"/>
        <v>930.28800000000001</v>
      </c>
      <c r="AB31" s="10">
        <f t="shared" si="44"/>
        <v>1125.3409999999999</v>
      </c>
      <c r="AC31" s="10">
        <f t="shared" si="44"/>
        <v>1263.98</v>
      </c>
      <c r="AD31" s="10">
        <f t="shared" si="44"/>
        <v>1366.8239999999998</v>
      </c>
      <c r="AE31" s="12">
        <f t="shared" si="44"/>
        <v>1558.5030000000002</v>
      </c>
      <c r="AF31" s="12">
        <f t="shared" si="44"/>
        <v>1500.8220000000001</v>
      </c>
      <c r="AG31" s="12">
        <f t="shared" si="44"/>
        <v>1664.32</v>
      </c>
      <c r="AH31" s="12">
        <f t="shared" si="44"/>
        <v>1757.731</v>
      </c>
      <c r="AI31" s="12">
        <f t="shared" si="44"/>
        <v>1858.6070000000004</v>
      </c>
      <c r="AJ31" s="12">
        <f t="shared" si="44"/>
        <v>2952.9049999999997</v>
      </c>
      <c r="AK31" s="12">
        <f t="shared" si="44"/>
        <v>3117.6780000000003</v>
      </c>
      <c r="AL31" s="12">
        <f t="shared" si="44"/>
        <v>3017.1020000000003</v>
      </c>
      <c r="AM31" s="12">
        <f t="shared" si="44"/>
        <v>3630.3820000000005</v>
      </c>
      <c r="AN31" s="12">
        <f t="shared" si="44"/>
        <v>4164.9529999999995</v>
      </c>
      <c r="AO31" s="12">
        <f t="shared" si="44"/>
        <v>4667.8510000000006</v>
      </c>
      <c r="AP31" s="12">
        <f t="shared" si="44"/>
        <v>4724.0069999999996</v>
      </c>
      <c r="AQ31" s="12">
        <f t="shared" si="44"/>
        <v>5558.3856799999994</v>
      </c>
      <c r="AR31" s="12">
        <f t="shared" si="44"/>
        <v>6168.9667600000002</v>
      </c>
      <c r="AS31" s="12">
        <f t="shared" si="44"/>
        <v>6918.4520000000011</v>
      </c>
      <c r="AT31" s="12">
        <f t="shared" si="44"/>
        <v>6037.4389999999994</v>
      </c>
      <c r="AU31" s="12">
        <f t="shared" si="44"/>
        <v>5448.1860000000006</v>
      </c>
      <c r="AV31" s="12">
        <f t="shared" si="44"/>
        <v>7459.7929999999997</v>
      </c>
      <c r="AW31" s="12">
        <f t="shared" si="44"/>
        <v>7147.67</v>
      </c>
      <c r="AX31" s="12">
        <f t="shared" si="44"/>
        <v>5840.3</v>
      </c>
      <c r="AY31" s="12">
        <f t="shared" si="44"/>
        <v>6615.9149999999991</v>
      </c>
      <c r="AZ31" s="12">
        <f t="shared" si="44"/>
        <v>7191.2359999999999</v>
      </c>
      <c r="BA31" s="12">
        <f t="shared" si="44"/>
        <v>8755.3219999999983</v>
      </c>
      <c r="BB31" s="12">
        <f t="shared" si="44"/>
        <v>8381.8319999999985</v>
      </c>
      <c r="BC31" s="12">
        <f t="shared" si="44"/>
        <v>7928.8580000000002</v>
      </c>
      <c r="BD31" s="12">
        <f t="shared" si="44"/>
        <v>7197.0110000000004</v>
      </c>
      <c r="BE31" s="12">
        <f t="shared" si="44"/>
        <v>8042.380000000001</v>
      </c>
      <c r="BF31" s="12">
        <f t="shared" si="44"/>
        <v>7535.7730000000001</v>
      </c>
      <c r="BG31" s="12">
        <f t="shared" si="44"/>
        <v>8083.0140000000001</v>
      </c>
      <c r="BH31" s="13">
        <f t="shared" si="44"/>
        <v>6940.6260000000011</v>
      </c>
      <c r="BI31" s="13">
        <f t="shared" si="44"/>
        <v>5069.8239999999996</v>
      </c>
      <c r="BJ31" s="13">
        <f t="shared" si="44"/>
        <v>8822.7231952747716</v>
      </c>
      <c r="BK31" s="13">
        <f t="shared" si="44"/>
        <v>8679.8194306755777</v>
      </c>
      <c r="BL31" s="13">
        <f t="shared" si="44"/>
        <v>8937.717079408636</v>
      </c>
      <c r="BM31" s="13">
        <f t="shared" si="44"/>
        <v>9188.6471701949304</v>
      </c>
      <c r="BN31" s="13">
        <f t="shared" si="44"/>
        <v>9276.2441504402886</v>
      </c>
      <c r="BO31" s="13">
        <f t="shared" ref="BO31:BU31" si="45">BO231</f>
        <v>9383.4697166447913</v>
      </c>
      <c r="BP31" s="13">
        <f t="shared" si="45"/>
        <v>9420.6825128016753</v>
      </c>
      <c r="BQ31" s="13">
        <f t="shared" si="45"/>
        <v>9471.8707093016146</v>
      </c>
      <c r="BR31" s="13">
        <f t="shared" si="45"/>
        <v>9552.7475361697489</v>
      </c>
      <c r="BS31" s="13">
        <f t="shared" si="45"/>
        <v>9629.7715217433451</v>
      </c>
      <c r="BT31" s="13">
        <f t="shared" si="45"/>
        <v>9695.111282903219</v>
      </c>
      <c r="BU31" s="13">
        <f t="shared" si="45"/>
        <v>9751.3259823326662</v>
      </c>
    </row>
    <row r="32" spans="1:91">
      <c r="A32" s="9" t="s">
        <v>81</v>
      </c>
      <c r="B32" s="10"/>
      <c r="C32" s="10">
        <f t="shared" ref="C32:BH32" si="46">C279</f>
        <v>0</v>
      </c>
      <c r="D32" s="10">
        <f t="shared" si="46"/>
        <v>0</v>
      </c>
      <c r="E32" s="10">
        <f t="shared" si="46"/>
        <v>0</v>
      </c>
      <c r="F32" s="10">
        <f t="shared" si="46"/>
        <v>0</v>
      </c>
      <c r="G32" s="10">
        <f t="shared" si="46"/>
        <v>0</v>
      </c>
      <c r="H32" s="10">
        <f t="shared" si="46"/>
        <v>0</v>
      </c>
      <c r="I32" s="10">
        <f t="shared" si="46"/>
        <v>0</v>
      </c>
      <c r="J32" s="10">
        <f t="shared" si="46"/>
        <v>0</v>
      </c>
      <c r="K32" s="10">
        <f t="shared" si="46"/>
        <v>0</v>
      </c>
      <c r="L32" s="10">
        <f t="shared" si="46"/>
        <v>0</v>
      </c>
      <c r="M32" s="10">
        <f t="shared" si="46"/>
        <v>0</v>
      </c>
      <c r="N32" s="10">
        <f t="shared" si="46"/>
        <v>0</v>
      </c>
      <c r="O32" s="10">
        <f t="shared" si="46"/>
        <v>0</v>
      </c>
      <c r="P32" s="10">
        <f t="shared" si="46"/>
        <v>0</v>
      </c>
      <c r="Q32" s="10">
        <f t="shared" si="46"/>
        <v>0</v>
      </c>
      <c r="R32" s="10">
        <f t="shared" si="46"/>
        <v>0</v>
      </c>
      <c r="S32" s="10">
        <f t="shared" si="46"/>
        <v>0</v>
      </c>
      <c r="T32" s="10">
        <f t="shared" si="46"/>
        <v>0</v>
      </c>
      <c r="U32" s="10">
        <f t="shared" si="46"/>
        <v>0</v>
      </c>
      <c r="V32" s="10">
        <f t="shared" si="46"/>
        <v>0</v>
      </c>
      <c r="W32" s="10">
        <f t="shared" si="46"/>
        <v>0</v>
      </c>
      <c r="X32" s="10">
        <f t="shared" si="46"/>
        <v>0</v>
      </c>
      <c r="Y32" s="10">
        <f t="shared" si="46"/>
        <v>0</v>
      </c>
      <c r="Z32" s="10">
        <f t="shared" si="46"/>
        <v>0</v>
      </c>
      <c r="AA32" s="10">
        <f t="shared" si="46"/>
        <v>0</v>
      </c>
      <c r="AB32" s="10">
        <f t="shared" si="46"/>
        <v>0</v>
      </c>
      <c r="AC32" s="10">
        <f t="shared" si="46"/>
        <v>0</v>
      </c>
      <c r="AD32" s="10">
        <f t="shared" si="46"/>
        <v>0</v>
      </c>
      <c r="AE32" s="12">
        <f t="shared" si="46"/>
        <v>0</v>
      </c>
      <c r="AF32" s="12">
        <f t="shared" si="46"/>
        <v>0</v>
      </c>
      <c r="AG32" s="12">
        <f t="shared" si="46"/>
        <v>0</v>
      </c>
      <c r="AH32" s="12">
        <f t="shared" si="46"/>
        <v>0</v>
      </c>
      <c r="AI32" s="12">
        <f t="shared" si="46"/>
        <v>2.0000000000000004E-2</v>
      </c>
      <c r="AJ32" s="12">
        <f t="shared" si="46"/>
        <v>4.1999999999999996E-2</v>
      </c>
      <c r="AK32" s="12">
        <f t="shared" si="46"/>
        <v>1.2E-2</v>
      </c>
      <c r="AL32" s="12">
        <f t="shared" si="46"/>
        <v>0</v>
      </c>
      <c r="AM32" s="12">
        <f t="shared" si="46"/>
        <v>0</v>
      </c>
      <c r="AN32" s="12">
        <f t="shared" si="46"/>
        <v>8.2000000000000003E-2</v>
      </c>
      <c r="AO32" s="12">
        <f t="shared" si="46"/>
        <v>0</v>
      </c>
      <c r="AP32" s="12">
        <f t="shared" si="46"/>
        <v>0</v>
      </c>
      <c r="AQ32" s="12">
        <f t="shared" si="46"/>
        <v>0</v>
      </c>
      <c r="AR32" s="12">
        <f t="shared" si="46"/>
        <v>0</v>
      </c>
      <c r="AS32" s="12">
        <f t="shared" si="46"/>
        <v>0.10100000000000001</v>
      </c>
      <c r="AT32" s="12">
        <f t="shared" si="46"/>
        <v>0</v>
      </c>
      <c r="AU32" s="12">
        <f t="shared" si="46"/>
        <v>0</v>
      </c>
      <c r="AV32" s="12">
        <f t="shared" si="46"/>
        <v>1E-3</v>
      </c>
      <c r="AW32" s="12">
        <f t="shared" si="46"/>
        <v>0</v>
      </c>
      <c r="AX32" s="12">
        <f t="shared" si="46"/>
        <v>34.939</v>
      </c>
      <c r="AY32" s="12">
        <f t="shared" si="46"/>
        <v>59.157999999999994</v>
      </c>
      <c r="AZ32" s="12">
        <f t="shared" si="46"/>
        <v>25.884</v>
      </c>
      <c r="BA32" s="12">
        <f t="shared" si="46"/>
        <v>4.5409999999999995</v>
      </c>
      <c r="BB32" s="12">
        <f t="shared" si="46"/>
        <v>1.6E-2</v>
      </c>
      <c r="BC32" s="12">
        <f t="shared" si="46"/>
        <v>2.2000000000000002E-2</v>
      </c>
      <c r="BD32" s="12">
        <f t="shared" si="46"/>
        <v>0</v>
      </c>
      <c r="BE32" s="12">
        <f t="shared" si="46"/>
        <v>7.0000000000000001E-3</v>
      </c>
      <c r="BF32" s="12">
        <f t="shared" si="46"/>
        <v>6.0000000000000001E-3</v>
      </c>
      <c r="BG32" s="12">
        <f t="shared" si="46"/>
        <v>15.237</v>
      </c>
      <c r="BH32" s="12">
        <f t="shared" si="46"/>
        <v>77.698999999999998</v>
      </c>
      <c r="BI32" s="13">
        <f>75-50</f>
        <v>25</v>
      </c>
      <c r="BJ32" s="13">
        <v>75</v>
      </c>
      <c r="BK32" s="13">
        <v>75</v>
      </c>
      <c r="BL32" s="13">
        <v>75</v>
      </c>
      <c r="BM32" s="13">
        <v>75</v>
      </c>
      <c r="BN32" s="13">
        <v>75</v>
      </c>
      <c r="BO32" s="13">
        <v>75</v>
      </c>
      <c r="BP32" s="13">
        <v>75</v>
      </c>
      <c r="BQ32" s="13">
        <v>75</v>
      </c>
      <c r="BR32" s="13">
        <v>75</v>
      </c>
      <c r="BS32" s="13">
        <v>75</v>
      </c>
      <c r="BT32" s="13">
        <v>75</v>
      </c>
      <c r="BU32" s="13">
        <v>75</v>
      </c>
    </row>
    <row r="33" spans="1:73">
      <c r="A33" s="9" t="s">
        <v>82</v>
      </c>
      <c r="B33" s="10"/>
      <c r="C33" s="10">
        <f t="shared" ref="C33:AH33" si="47">SUM(C30:C32)</f>
        <v>1</v>
      </c>
      <c r="D33" s="10">
        <f t="shared" si="47"/>
        <v>1</v>
      </c>
      <c r="E33" s="10">
        <f t="shared" si="47"/>
        <v>1</v>
      </c>
      <c r="F33" s="10">
        <f t="shared" si="47"/>
        <v>3</v>
      </c>
      <c r="G33" s="10">
        <f t="shared" si="47"/>
        <v>3</v>
      </c>
      <c r="H33" s="10">
        <f t="shared" si="47"/>
        <v>5</v>
      </c>
      <c r="I33" s="10">
        <f t="shared" si="47"/>
        <v>6</v>
      </c>
      <c r="J33" s="10">
        <f t="shared" si="47"/>
        <v>8</v>
      </c>
      <c r="K33" s="10">
        <f t="shared" si="47"/>
        <v>30</v>
      </c>
      <c r="L33" s="10">
        <f t="shared" si="47"/>
        <v>50</v>
      </c>
      <c r="M33" s="10">
        <f t="shared" si="47"/>
        <v>95.188000000000002</v>
      </c>
      <c r="N33" s="10">
        <f t="shared" si="47"/>
        <v>88.221000000000004</v>
      </c>
      <c r="O33" s="10">
        <f t="shared" si="47"/>
        <v>100.91999999999999</v>
      </c>
      <c r="P33" s="10">
        <f t="shared" si="47"/>
        <v>113.58100000000002</v>
      </c>
      <c r="Q33" s="10">
        <f t="shared" si="47"/>
        <v>109.91900000000001</v>
      </c>
      <c r="R33" s="10">
        <f t="shared" si="47"/>
        <v>125.70499999999998</v>
      </c>
      <c r="S33" s="10">
        <f t="shared" si="47"/>
        <v>196.84100000000001</v>
      </c>
      <c r="T33" s="10">
        <f t="shared" si="47"/>
        <v>329.81400000000008</v>
      </c>
      <c r="U33" s="10">
        <f t="shared" si="47"/>
        <v>417.67399999999992</v>
      </c>
      <c r="V33" s="10">
        <f t="shared" si="47"/>
        <v>632.58900000000006</v>
      </c>
      <c r="W33" s="10">
        <f t="shared" si="47"/>
        <v>630.69799999999998</v>
      </c>
      <c r="X33" s="10">
        <f t="shared" si="47"/>
        <v>771.37300000000005</v>
      </c>
      <c r="Y33" s="10">
        <f t="shared" si="47"/>
        <v>911.17400000000009</v>
      </c>
      <c r="Z33" s="10">
        <f t="shared" si="47"/>
        <v>1217.944</v>
      </c>
      <c r="AA33" s="10">
        <f t="shared" si="47"/>
        <v>991.86099999999999</v>
      </c>
      <c r="AB33" s="10">
        <f t="shared" si="47"/>
        <v>1202.26</v>
      </c>
      <c r="AC33" s="10">
        <f t="shared" si="47"/>
        <v>1364.104</v>
      </c>
      <c r="AD33" s="10">
        <f t="shared" si="47"/>
        <v>1402.5339999999999</v>
      </c>
      <c r="AE33" s="12">
        <f t="shared" si="47"/>
        <v>1588.8560000000002</v>
      </c>
      <c r="AF33" s="12">
        <f t="shared" si="47"/>
        <v>1553.7520000000002</v>
      </c>
      <c r="AG33" s="12">
        <f t="shared" si="47"/>
        <v>1702.425</v>
      </c>
      <c r="AH33" s="12">
        <f t="shared" si="47"/>
        <v>1805.7270000000001</v>
      </c>
      <c r="AI33" s="12">
        <f t="shared" ref="AI33:BU33" si="48">SUM(AI30:AI32)</f>
        <v>1912.7350000000004</v>
      </c>
      <c r="AJ33" s="12">
        <f t="shared" si="48"/>
        <v>3010.7629999999995</v>
      </c>
      <c r="AK33" s="12">
        <f t="shared" si="48"/>
        <v>3251.8890000000006</v>
      </c>
      <c r="AL33" s="12">
        <f t="shared" si="48"/>
        <v>3092.5330000000004</v>
      </c>
      <c r="AM33" s="12">
        <f t="shared" si="48"/>
        <v>3723.3290000000006</v>
      </c>
      <c r="AN33" s="12">
        <f t="shared" si="48"/>
        <v>4259.2559999999994</v>
      </c>
      <c r="AO33" s="12">
        <f t="shared" si="48"/>
        <v>4858.5840000000007</v>
      </c>
      <c r="AP33" s="12">
        <f t="shared" si="48"/>
        <v>4918.1909999999998</v>
      </c>
      <c r="AQ33" s="12">
        <f t="shared" si="48"/>
        <v>5693.4736799999991</v>
      </c>
      <c r="AR33" s="12">
        <f t="shared" si="48"/>
        <v>6351.3437600000007</v>
      </c>
      <c r="AS33" s="12">
        <f t="shared" si="48"/>
        <v>7180.8240000000005</v>
      </c>
      <c r="AT33" s="12">
        <f t="shared" si="48"/>
        <v>6125.9029999999993</v>
      </c>
      <c r="AU33" s="12">
        <f t="shared" si="48"/>
        <v>5626.2980000000007</v>
      </c>
      <c r="AV33" s="12">
        <f t="shared" si="48"/>
        <v>7688.62</v>
      </c>
      <c r="AW33" s="12">
        <f t="shared" si="48"/>
        <v>7365.8940000000002</v>
      </c>
      <c r="AX33" s="12">
        <f t="shared" si="48"/>
        <v>6062.7630000000008</v>
      </c>
      <c r="AY33" s="12">
        <f t="shared" si="48"/>
        <v>6866.2879999999996</v>
      </c>
      <c r="AZ33" s="12">
        <f t="shared" si="48"/>
        <v>7424.0349999999999</v>
      </c>
      <c r="BA33" s="12">
        <f t="shared" si="48"/>
        <v>8955.4969999999976</v>
      </c>
      <c r="BB33" s="12">
        <f t="shared" si="48"/>
        <v>8718.6899999999987</v>
      </c>
      <c r="BC33" s="12">
        <f t="shared" si="48"/>
        <v>8188.3959999999997</v>
      </c>
      <c r="BD33" s="12">
        <f t="shared" si="48"/>
        <v>7507.5530000000008</v>
      </c>
      <c r="BE33" s="12">
        <f t="shared" si="48"/>
        <v>8214.0860000000011</v>
      </c>
      <c r="BF33" s="12">
        <f t="shared" si="48"/>
        <v>7852.2570000000005</v>
      </c>
      <c r="BG33" s="12">
        <f t="shared" si="48"/>
        <v>8326.5819999999985</v>
      </c>
      <c r="BH33" s="13">
        <f t="shared" si="48"/>
        <v>7223.1950000000006</v>
      </c>
      <c r="BI33" s="13">
        <f t="shared" si="48"/>
        <v>5294.8239999999996</v>
      </c>
      <c r="BJ33" s="13">
        <f t="shared" si="48"/>
        <v>9097.7231952747716</v>
      </c>
      <c r="BK33" s="13">
        <f t="shared" si="48"/>
        <v>9029.8194306755777</v>
      </c>
      <c r="BL33" s="13">
        <f t="shared" si="48"/>
        <v>9262.717079408636</v>
      </c>
      <c r="BM33" s="13">
        <f t="shared" si="48"/>
        <v>9513.6471701949304</v>
      </c>
      <c r="BN33" s="13">
        <f t="shared" si="48"/>
        <v>9601.2441504402886</v>
      </c>
      <c r="BO33" s="13">
        <f t="shared" si="48"/>
        <v>9708.4697166447913</v>
      </c>
      <c r="BP33" s="13">
        <f t="shared" si="48"/>
        <v>9745.6825128016753</v>
      </c>
      <c r="BQ33" s="13">
        <f t="shared" si="48"/>
        <v>9796.8707093016146</v>
      </c>
      <c r="BR33" s="13">
        <f t="shared" si="48"/>
        <v>9877.7475361697489</v>
      </c>
      <c r="BS33" s="13">
        <f t="shared" si="48"/>
        <v>9954.7715217433451</v>
      </c>
      <c r="BT33" s="13">
        <f t="shared" si="48"/>
        <v>10020.111282903219</v>
      </c>
      <c r="BU33" s="13">
        <f t="shared" si="48"/>
        <v>10076.325982332666</v>
      </c>
    </row>
    <row r="34" spans="1:73">
      <c r="A34" s="27" t="s">
        <v>95</v>
      </c>
      <c r="B34" s="28"/>
      <c r="C34" s="28">
        <f t="shared" ref="C34:BN34" si="49">C38-C37</f>
        <v>1</v>
      </c>
      <c r="D34" s="28">
        <f t="shared" si="49"/>
        <v>1</v>
      </c>
      <c r="E34" s="28">
        <f t="shared" si="49"/>
        <v>0</v>
      </c>
      <c r="F34" s="28">
        <f t="shared" si="49"/>
        <v>3</v>
      </c>
      <c r="G34" s="28">
        <f t="shared" si="49"/>
        <v>2</v>
      </c>
      <c r="H34" s="28">
        <f t="shared" si="49"/>
        <v>5</v>
      </c>
      <c r="I34" s="28">
        <f t="shared" si="49"/>
        <v>6</v>
      </c>
      <c r="J34" s="28">
        <f t="shared" si="49"/>
        <v>7</v>
      </c>
      <c r="K34" s="28">
        <f t="shared" si="49"/>
        <v>5</v>
      </c>
      <c r="L34" s="28">
        <f t="shared" si="49"/>
        <v>14</v>
      </c>
      <c r="M34" s="28">
        <f t="shared" si="49"/>
        <v>67.682000000000002</v>
      </c>
      <c r="N34" s="28">
        <f t="shared" si="49"/>
        <v>16.745000000000005</v>
      </c>
      <c r="O34" s="28">
        <f t="shared" si="49"/>
        <v>33.830999999999989</v>
      </c>
      <c r="P34" s="28">
        <f t="shared" si="49"/>
        <v>50.829000000000022</v>
      </c>
      <c r="Q34" s="28">
        <f t="shared" si="49"/>
        <v>3.5000000000000142</v>
      </c>
      <c r="R34" s="28">
        <f t="shared" si="49"/>
        <v>43.571621667229138</v>
      </c>
      <c r="S34" s="28">
        <f t="shared" si="49"/>
        <v>90.538000000000025</v>
      </c>
      <c r="T34" s="28">
        <f t="shared" si="49"/>
        <v>98.869000000000113</v>
      </c>
      <c r="U34" s="28">
        <f t="shared" si="49"/>
        <v>79.91799999999995</v>
      </c>
      <c r="V34" s="28">
        <f t="shared" si="49"/>
        <v>118.81900000000002</v>
      </c>
      <c r="W34" s="28">
        <f t="shared" si="49"/>
        <v>65.764999999999986</v>
      </c>
      <c r="X34" s="28">
        <f t="shared" si="49"/>
        <v>70.632000000000176</v>
      </c>
      <c r="Y34" s="28">
        <f t="shared" si="49"/>
        <v>120.40600000000006</v>
      </c>
      <c r="Z34" s="28">
        <f t="shared" si="49"/>
        <v>202.87099999999987</v>
      </c>
      <c r="AA34" s="28">
        <f t="shared" si="49"/>
        <v>176.74199999999996</v>
      </c>
      <c r="AB34" s="28">
        <f t="shared" si="49"/>
        <v>-174.76400000000035</v>
      </c>
      <c r="AC34" s="28">
        <f t="shared" si="49"/>
        <v>286.39400000000001</v>
      </c>
      <c r="AD34" s="28">
        <f t="shared" si="49"/>
        <v>456.5559999999997</v>
      </c>
      <c r="AE34" s="29">
        <f t="shared" si="49"/>
        <v>246.10000000000014</v>
      </c>
      <c r="AF34" s="29">
        <f t="shared" si="49"/>
        <v>111.01299999999992</v>
      </c>
      <c r="AG34" s="29">
        <f t="shared" si="49"/>
        <v>121.36799999999994</v>
      </c>
      <c r="AH34" s="29">
        <f t="shared" si="49"/>
        <v>79.615000000000236</v>
      </c>
      <c r="AI34" s="29">
        <f t="shared" si="49"/>
        <v>-21.435999999999922</v>
      </c>
      <c r="AJ34" s="29">
        <f t="shared" si="49"/>
        <v>478.48899999999958</v>
      </c>
      <c r="AK34" s="29">
        <f t="shared" si="49"/>
        <v>41.619000000000597</v>
      </c>
      <c r="AL34" s="29">
        <f t="shared" si="49"/>
        <v>174.63400000000001</v>
      </c>
      <c r="AM34" s="29">
        <f t="shared" si="49"/>
        <v>199.54000000000042</v>
      </c>
      <c r="AN34" s="29">
        <f t="shared" si="49"/>
        <v>462.78299999999945</v>
      </c>
      <c r="AO34" s="29">
        <f t="shared" si="49"/>
        <v>371.875</v>
      </c>
      <c r="AP34" s="29">
        <f t="shared" si="49"/>
        <v>550.74300000000039</v>
      </c>
      <c r="AQ34" s="29">
        <f t="shared" si="49"/>
        <v>405.70567999999821</v>
      </c>
      <c r="AR34" s="29">
        <f t="shared" si="49"/>
        <v>468.83776000000125</v>
      </c>
      <c r="AS34" s="29">
        <f t="shared" si="49"/>
        <v>400.41000000000076</v>
      </c>
      <c r="AT34" s="29">
        <f t="shared" si="49"/>
        <v>1100.1930000000002</v>
      </c>
      <c r="AU34" s="29">
        <f t="shared" si="49"/>
        <v>1371.8580000000006</v>
      </c>
      <c r="AV34" s="29">
        <f t="shared" si="49"/>
        <v>2506.0939999999991</v>
      </c>
      <c r="AW34" s="29">
        <f t="shared" si="49"/>
        <v>2902.2199999999993</v>
      </c>
      <c r="AX34" s="29">
        <f t="shared" si="49"/>
        <v>2315.2180000000008</v>
      </c>
      <c r="AY34" s="29">
        <f t="shared" si="49"/>
        <v>2468.326</v>
      </c>
      <c r="AZ34" s="29">
        <f t="shared" si="49"/>
        <v>3005.2939999999999</v>
      </c>
      <c r="BA34" s="29">
        <f t="shared" si="49"/>
        <v>2494.7489999999971</v>
      </c>
      <c r="BB34" s="29">
        <f t="shared" si="49"/>
        <v>3134.5594159999991</v>
      </c>
      <c r="BC34" s="29">
        <f t="shared" si="49"/>
        <v>3036.533868999999</v>
      </c>
      <c r="BD34" s="29">
        <f t="shared" si="49"/>
        <v>2691.4126130000013</v>
      </c>
      <c r="BE34" s="29">
        <f t="shared" si="49"/>
        <v>2626.4229790000009</v>
      </c>
      <c r="BF34" s="29">
        <f t="shared" si="49"/>
        <v>1785.5071340000013</v>
      </c>
      <c r="BG34" s="29">
        <f t="shared" si="49"/>
        <v>2556.4648739999984</v>
      </c>
      <c r="BH34" s="30">
        <f t="shared" si="49"/>
        <v>2232.1430000000009</v>
      </c>
      <c r="BI34" s="30">
        <f t="shared" si="49"/>
        <v>1994.8239999999996</v>
      </c>
      <c r="BJ34" s="30">
        <f t="shared" si="49"/>
        <v>2672.7231952747716</v>
      </c>
      <c r="BK34" s="30">
        <f t="shared" si="49"/>
        <v>2429.8194306755777</v>
      </c>
      <c r="BL34" s="30">
        <f t="shared" si="49"/>
        <v>2412.717079408636</v>
      </c>
      <c r="BM34" s="30">
        <f t="shared" si="49"/>
        <v>2263.6471701949304</v>
      </c>
      <c r="BN34" s="30">
        <f t="shared" si="49"/>
        <v>2351.2441504402886</v>
      </c>
      <c r="BO34" s="30">
        <f t="shared" ref="BO34:BU34" si="50">BO38-BO37</f>
        <v>2458.4697166447913</v>
      </c>
      <c r="BP34" s="30">
        <f t="shared" si="50"/>
        <v>2495.6825128016753</v>
      </c>
      <c r="BQ34" s="30">
        <f t="shared" si="50"/>
        <v>2546.8707093016146</v>
      </c>
      <c r="BR34" s="30">
        <f t="shared" si="50"/>
        <v>2627.7475361697489</v>
      </c>
      <c r="BS34" s="30">
        <f t="shared" si="50"/>
        <v>2704.7715217433451</v>
      </c>
      <c r="BT34" s="30">
        <f t="shared" si="50"/>
        <v>2770.111282903219</v>
      </c>
      <c r="BU34" s="30">
        <f t="shared" si="50"/>
        <v>2826.3259823326662</v>
      </c>
    </row>
    <row r="35" spans="1:73">
      <c r="A35" s="9" t="s">
        <v>96</v>
      </c>
      <c r="B35" s="10"/>
      <c r="C35" s="10">
        <f t="shared" ref="C35:BN35" si="51">C327</f>
        <v>0</v>
      </c>
      <c r="D35" s="10">
        <f t="shared" si="51"/>
        <v>0</v>
      </c>
      <c r="E35" s="10">
        <f t="shared" si="51"/>
        <v>0</v>
      </c>
      <c r="F35" s="10">
        <f t="shared" si="51"/>
        <v>0</v>
      </c>
      <c r="G35" s="10">
        <f t="shared" si="51"/>
        <v>0</v>
      </c>
      <c r="H35" s="10">
        <f t="shared" si="51"/>
        <v>0</v>
      </c>
      <c r="I35" s="10">
        <f t="shared" si="51"/>
        <v>0</v>
      </c>
      <c r="J35" s="10">
        <f t="shared" si="51"/>
        <v>0</v>
      </c>
      <c r="K35" s="10">
        <f t="shared" si="51"/>
        <v>0</v>
      </c>
      <c r="L35" s="10">
        <f t="shared" si="51"/>
        <v>0</v>
      </c>
      <c r="M35" s="10">
        <f t="shared" si="51"/>
        <v>0</v>
      </c>
      <c r="N35" s="10">
        <f t="shared" si="51"/>
        <v>0</v>
      </c>
      <c r="O35" s="10">
        <f t="shared" si="51"/>
        <v>0</v>
      </c>
      <c r="P35" s="10">
        <f t="shared" si="51"/>
        <v>0</v>
      </c>
      <c r="Q35" s="10">
        <f t="shared" si="51"/>
        <v>0</v>
      </c>
      <c r="R35" s="10">
        <f t="shared" si="51"/>
        <v>0</v>
      </c>
      <c r="S35" s="10">
        <f t="shared" si="51"/>
        <v>0</v>
      </c>
      <c r="T35" s="10">
        <f t="shared" si="51"/>
        <v>0</v>
      </c>
      <c r="U35" s="10">
        <f t="shared" si="51"/>
        <v>0</v>
      </c>
      <c r="V35" s="10">
        <f t="shared" si="51"/>
        <v>0</v>
      </c>
      <c r="W35" s="10">
        <f t="shared" si="51"/>
        <v>0</v>
      </c>
      <c r="X35" s="10">
        <f t="shared" si="51"/>
        <v>0</v>
      </c>
      <c r="Y35" s="10">
        <f t="shared" si="51"/>
        <v>0</v>
      </c>
      <c r="Z35" s="10">
        <f t="shared" si="51"/>
        <v>0</v>
      </c>
      <c r="AA35" s="10">
        <f t="shared" si="51"/>
        <v>0</v>
      </c>
      <c r="AB35" s="10">
        <f t="shared" si="51"/>
        <v>0</v>
      </c>
      <c r="AC35" s="10">
        <f t="shared" si="51"/>
        <v>0</v>
      </c>
      <c r="AD35" s="10">
        <f t="shared" si="51"/>
        <v>0</v>
      </c>
      <c r="AE35" s="12">
        <f t="shared" si="51"/>
        <v>0</v>
      </c>
      <c r="AF35" s="12">
        <f t="shared" si="51"/>
        <v>0</v>
      </c>
      <c r="AG35" s="12">
        <f t="shared" si="51"/>
        <v>0</v>
      </c>
      <c r="AH35" s="12">
        <f t="shared" si="51"/>
        <v>0</v>
      </c>
      <c r="AI35" s="12">
        <f t="shared" si="51"/>
        <v>0</v>
      </c>
      <c r="AJ35" s="12">
        <f t="shared" si="51"/>
        <v>0</v>
      </c>
      <c r="AK35" s="12">
        <f t="shared" si="51"/>
        <v>0</v>
      </c>
      <c r="AL35" s="12">
        <f t="shared" si="51"/>
        <v>0</v>
      </c>
      <c r="AM35" s="12">
        <f t="shared" si="51"/>
        <v>0</v>
      </c>
      <c r="AN35" s="12">
        <f t="shared" si="51"/>
        <v>0</v>
      </c>
      <c r="AO35" s="12">
        <f t="shared" si="51"/>
        <v>0</v>
      </c>
      <c r="AP35" s="12">
        <f t="shared" si="51"/>
        <v>0</v>
      </c>
      <c r="AQ35" s="12">
        <f t="shared" si="51"/>
        <v>0</v>
      </c>
      <c r="AR35" s="12">
        <f t="shared" si="51"/>
        <v>0</v>
      </c>
      <c r="AS35" s="12">
        <f t="shared" si="51"/>
        <v>300.63035532994923</v>
      </c>
      <c r="AT35" s="12">
        <f t="shared" si="51"/>
        <v>737.55736040609133</v>
      </c>
      <c r="AU35" s="12">
        <f t="shared" si="51"/>
        <v>1418.4172588832487</v>
      </c>
      <c r="AV35" s="12">
        <f t="shared" si="51"/>
        <v>1969.2649746192892</v>
      </c>
      <c r="AW35" s="12">
        <f t="shared" si="51"/>
        <v>2700.8883248730972</v>
      </c>
      <c r="AX35" s="12">
        <f t="shared" si="51"/>
        <v>2168.5796954314719</v>
      </c>
      <c r="AY35" s="12">
        <f t="shared" si="51"/>
        <v>2040.5508020304567</v>
      </c>
      <c r="AZ35" s="12">
        <f t="shared" si="51"/>
        <v>2607.712</v>
      </c>
      <c r="BA35" s="12">
        <f t="shared" si="51"/>
        <v>1947.306</v>
      </c>
      <c r="BB35" s="12">
        <f t="shared" si="51"/>
        <v>2880.5719999999997</v>
      </c>
      <c r="BC35" s="12">
        <f t="shared" si="51"/>
        <v>3028.7049999999999</v>
      </c>
      <c r="BD35" s="12">
        <f t="shared" si="51"/>
        <v>2306.0909999999999</v>
      </c>
      <c r="BE35" s="12">
        <f t="shared" si="51"/>
        <v>1482.675776661363</v>
      </c>
      <c r="BF35" s="12">
        <f t="shared" si="51"/>
        <v>2011.4263993456452</v>
      </c>
      <c r="BG35" s="12">
        <f t="shared" si="51"/>
        <v>1974.8079999999995</v>
      </c>
      <c r="BH35" s="13">
        <f t="shared" si="51"/>
        <v>1631.1729999999998</v>
      </c>
      <c r="BI35" s="13">
        <f t="shared" si="51"/>
        <v>1030.9519462254605</v>
      </c>
      <c r="BJ35" s="13">
        <f t="shared" si="51"/>
        <v>1242.4292678070371</v>
      </c>
      <c r="BK35" s="13">
        <f t="shared" si="51"/>
        <v>1242.4191424982773</v>
      </c>
      <c r="BL35" s="13">
        <f t="shared" si="51"/>
        <v>1242.3618302372313</v>
      </c>
      <c r="BM35" s="13">
        <f t="shared" si="51"/>
        <v>1242.4351647722824</v>
      </c>
      <c r="BN35" s="13">
        <f t="shared" si="51"/>
        <v>1242.4456809371466</v>
      </c>
      <c r="BO35" s="13">
        <f t="shared" ref="BO35:BU35" si="52">BO327</f>
        <v>1242.4188106486406</v>
      </c>
      <c r="BP35" s="13">
        <f t="shared" si="52"/>
        <v>1242.416275698112</v>
      </c>
      <c r="BQ35" s="13">
        <f t="shared" si="52"/>
        <v>1242.4156776883831</v>
      </c>
      <c r="BR35" s="13">
        <f t="shared" si="52"/>
        <v>1242.4263130099289</v>
      </c>
      <c r="BS35" s="13">
        <f t="shared" si="52"/>
        <v>1242.4246518181158</v>
      </c>
      <c r="BT35" s="13">
        <f t="shared" si="52"/>
        <v>1242.4203507370075</v>
      </c>
      <c r="BU35" s="13">
        <f t="shared" si="52"/>
        <v>1242.4206434307214</v>
      </c>
    </row>
    <row r="36" spans="1:73">
      <c r="A36" s="9" t="s">
        <v>97</v>
      </c>
      <c r="B36" s="10"/>
      <c r="C36" s="10">
        <f t="shared" ref="C36:BN36" si="53">C343</f>
        <v>0.99999999999999989</v>
      </c>
      <c r="D36" s="10">
        <f t="shared" si="53"/>
        <v>0.99999999999999989</v>
      </c>
      <c r="E36" s="10">
        <f t="shared" si="53"/>
        <v>0</v>
      </c>
      <c r="F36" s="10">
        <f t="shared" si="53"/>
        <v>2.9999999999999996</v>
      </c>
      <c r="G36" s="10">
        <f t="shared" si="53"/>
        <v>1.9999999999999993</v>
      </c>
      <c r="H36" s="10">
        <f t="shared" si="53"/>
        <v>4.9999999999999991</v>
      </c>
      <c r="I36" s="10">
        <f t="shared" si="53"/>
        <v>5.9999999999999982</v>
      </c>
      <c r="J36" s="10">
        <f t="shared" si="53"/>
        <v>5.5039003522898842</v>
      </c>
      <c r="K36" s="10">
        <f t="shared" si="53"/>
        <v>4.2519501761449385</v>
      </c>
      <c r="L36" s="10">
        <f t="shared" si="53"/>
        <v>14.88405888273779</v>
      </c>
      <c r="M36" s="10">
        <f t="shared" si="53"/>
        <v>64.485787116255665</v>
      </c>
      <c r="N36" s="10">
        <f t="shared" si="53"/>
        <v>16.949013588324103</v>
      </c>
      <c r="O36" s="10">
        <f t="shared" si="53"/>
        <v>34.171022647206847</v>
      </c>
      <c r="P36" s="10">
        <f t="shared" si="53"/>
        <v>47.90480523402114</v>
      </c>
      <c r="Q36" s="10">
        <f t="shared" si="53"/>
        <v>5.8030836702487738</v>
      </c>
      <c r="R36" s="10">
        <f t="shared" si="53"/>
        <v>35.105000000000004</v>
      </c>
      <c r="S36" s="10">
        <f t="shared" si="53"/>
        <v>89.738000000000014</v>
      </c>
      <c r="T36" s="10">
        <f t="shared" si="53"/>
        <v>84.668999999999983</v>
      </c>
      <c r="U36" s="10">
        <f t="shared" si="53"/>
        <v>77.917999999999992</v>
      </c>
      <c r="V36" s="10">
        <f t="shared" si="53"/>
        <v>126.01900000000001</v>
      </c>
      <c r="W36" s="10">
        <f t="shared" si="53"/>
        <v>62.664999999999978</v>
      </c>
      <c r="X36" s="10">
        <f t="shared" si="53"/>
        <v>85.33200000000005</v>
      </c>
      <c r="Y36" s="10">
        <f t="shared" si="53"/>
        <v>113.006</v>
      </c>
      <c r="Z36" s="10">
        <f t="shared" si="53"/>
        <v>176.27099999999999</v>
      </c>
      <c r="AA36" s="10">
        <f t="shared" si="53"/>
        <v>142.74200000000002</v>
      </c>
      <c r="AB36" s="10">
        <f t="shared" si="53"/>
        <v>-160.86400000000003</v>
      </c>
      <c r="AC36" s="10">
        <f t="shared" si="53"/>
        <v>260.714</v>
      </c>
      <c r="AD36" s="10">
        <f t="shared" si="53"/>
        <v>480.53300000000002</v>
      </c>
      <c r="AE36" s="12">
        <f t="shared" si="53"/>
        <v>239.18500000000012</v>
      </c>
      <c r="AF36" s="12">
        <f t="shared" si="53"/>
        <v>98.079000000000008</v>
      </c>
      <c r="AG36" s="12">
        <f t="shared" si="53"/>
        <v>109.90499999999992</v>
      </c>
      <c r="AH36" s="12">
        <f t="shared" si="53"/>
        <v>71.32099999999997</v>
      </c>
      <c r="AI36" s="12">
        <f t="shared" si="53"/>
        <v>43.293999999999969</v>
      </c>
      <c r="AJ36" s="12">
        <f t="shared" si="53"/>
        <v>332.93200000000019</v>
      </c>
      <c r="AK36" s="12">
        <f t="shared" si="53"/>
        <v>91.350999999999885</v>
      </c>
      <c r="AL36" s="12">
        <f t="shared" si="53"/>
        <v>162.88299999999984</v>
      </c>
      <c r="AM36" s="12">
        <f t="shared" si="53"/>
        <v>119.32699999999997</v>
      </c>
      <c r="AN36" s="12">
        <f t="shared" si="53"/>
        <v>429.26900000000023</v>
      </c>
      <c r="AO36" s="12">
        <f t="shared" si="53"/>
        <v>419.41600000000022</v>
      </c>
      <c r="AP36" s="12">
        <f t="shared" si="53"/>
        <v>336.79599999999994</v>
      </c>
      <c r="AQ36" s="12">
        <f t="shared" si="53"/>
        <v>429.46567999999985</v>
      </c>
      <c r="AR36" s="12">
        <f t="shared" si="53"/>
        <v>422.39676000000014</v>
      </c>
      <c r="AS36" s="12">
        <f t="shared" si="53"/>
        <v>277.0566446700509</v>
      </c>
      <c r="AT36" s="12">
        <f t="shared" si="53"/>
        <v>223.52763959390899</v>
      </c>
      <c r="AU36" s="12">
        <f t="shared" si="53"/>
        <v>269.6317411167513</v>
      </c>
      <c r="AV36" s="12">
        <f t="shared" si="53"/>
        <v>321.21402538071072</v>
      </c>
      <c r="AW36" s="12">
        <f t="shared" si="53"/>
        <v>250.80967512690378</v>
      </c>
      <c r="AX36" s="12">
        <f t="shared" si="53"/>
        <v>263.96430456852829</v>
      </c>
      <c r="AY36" s="12">
        <f t="shared" si="53"/>
        <v>338.14919796954337</v>
      </c>
      <c r="AZ36" s="12">
        <f t="shared" si="53"/>
        <v>324.99599999999987</v>
      </c>
      <c r="BA36" s="12">
        <f t="shared" si="53"/>
        <v>359.7349999999999</v>
      </c>
      <c r="BB36" s="12">
        <f t="shared" si="53"/>
        <v>192.62037100000023</v>
      </c>
      <c r="BC36" s="12">
        <f t="shared" si="53"/>
        <v>127.82552399999992</v>
      </c>
      <c r="BD36" s="12">
        <f t="shared" si="53"/>
        <v>462.58555799999993</v>
      </c>
      <c r="BE36" s="12">
        <f t="shared" si="53"/>
        <v>1301.793098338637</v>
      </c>
      <c r="BF36" s="12">
        <f t="shared" si="53"/>
        <v>-518.55451334564555</v>
      </c>
      <c r="BG36" s="12">
        <f t="shared" si="53"/>
        <v>668.6686709999999</v>
      </c>
      <c r="BH36" s="13">
        <f t="shared" si="53"/>
        <v>600.97000000000071</v>
      </c>
      <c r="BI36" s="13">
        <f t="shared" si="53"/>
        <v>963.87205377453915</v>
      </c>
      <c r="BJ36" s="13">
        <f t="shared" si="53"/>
        <v>1430.2939274677346</v>
      </c>
      <c r="BK36" s="13">
        <f t="shared" si="53"/>
        <v>1187.4002881773001</v>
      </c>
      <c r="BL36" s="13">
        <f t="shared" si="53"/>
        <v>1170.3552491714045</v>
      </c>
      <c r="BM36" s="13">
        <f t="shared" si="53"/>
        <v>1021.2120054226477</v>
      </c>
      <c r="BN36" s="13">
        <f t="shared" si="53"/>
        <v>1108.7984695031421</v>
      </c>
      <c r="BO36" s="13">
        <f t="shared" ref="BO36:BU36" si="54">BO343</f>
        <v>1216.0509059961505</v>
      </c>
      <c r="BP36" s="13">
        <f t="shared" si="54"/>
        <v>1253.2662371035628</v>
      </c>
      <c r="BQ36" s="13">
        <f t="shared" si="54"/>
        <v>1304.4550316132322</v>
      </c>
      <c r="BR36" s="13">
        <f t="shared" si="54"/>
        <v>1385.3212231598202</v>
      </c>
      <c r="BS36" s="13">
        <f t="shared" si="54"/>
        <v>1462.3468699252292</v>
      </c>
      <c r="BT36" s="13">
        <f t="shared" si="54"/>
        <v>1527.6909321662115</v>
      </c>
      <c r="BU36" s="13">
        <f t="shared" si="54"/>
        <v>1583.905338901945</v>
      </c>
    </row>
    <row r="37" spans="1:73">
      <c r="A37" s="9" t="s">
        <v>84</v>
      </c>
      <c r="B37" s="10"/>
      <c r="C37" s="10">
        <f t="shared" ref="C37:BH37" si="55">C295</f>
        <v>0</v>
      </c>
      <c r="D37" s="10">
        <f t="shared" si="55"/>
        <v>0</v>
      </c>
      <c r="E37" s="10">
        <f t="shared" si="55"/>
        <v>0</v>
      </c>
      <c r="F37" s="10">
        <f t="shared" si="55"/>
        <v>0</v>
      </c>
      <c r="G37" s="10">
        <f t="shared" si="55"/>
        <v>0</v>
      </c>
      <c r="H37" s="10">
        <f t="shared" si="55"/>
        <v>0</v>
      </c>
      <c r="I37" s="10">
        <f t="shared" si="55"/>
        <v>0</v>
      </c>
      <c r="J37" s="10">
        <f t="shared" si="55"/>
        <v>0</v>
      </c>
      <c r="K37" s="10">
        <f t="shared" si="55"/>
        <v>22</v>
      </c>
      <c r="L37" s="10">
        <f t="shared" si="55"/>
        <v>33</v>
      </c>
      <c r="M37" s="10">
        <f t="shared" si="55"/>
        <v>20</v>
      </c>
      <c r="N37" s="10">
        <f t="shared" si="55"/>
        <v>67</v>
      </c>
      <c r="O37" s="10">
        <f t="shared" si="55"/>
        <v>64</v>
      </c>
      <c r="P37" s="10">
        <f t="shared" si="55"/>
        <v>59</v>
      </c>
      <c r="Q37" s="10">
        <f t="shared" si="55"/>
        <v>102</v>
      </c>
      <c r="R37" s="10">
        <f t="shared" si="55"/>
        <v>68.133378332770846</v>
      </c>
      <c r="S37" s="10">
        <f t="shared" si="55"/>
        <v>97.899999999999991</v>
      </c>
      <c r="T37" s="10">
        <f t="shared" si="55"/>
        <v>206.49999999999997</v>
      </c>
      <c r="U37" s="10">
        <f t="shared" si="55"/>
        <v>297.7</v>
      </c>
      <c r="V37" s="10">
        <f t="shared" si="55"/>
        <v>462.90000000000003</v>
      </c>
      <c r="W37" s="10">
        <f t="shared" si="55"/>
        <v>524.6</v>
      </c>
      <c r="X37" s="10">
        <f t="shared" si="55"/>
        <v>642.39999999999986</v>
      </c>
      <c r="Y37" s="10">
        <f t="shared" si="55"/>
        <v>772.5</v>
      </c>
      <c r="Z37" s="10">
        <f t="shared" si="55"/>
        <v>953.5</v>
      </c>
      <c r="AA37" s="10">
        <f t="shared" si="55"/>
        <v>738.2</v>
      </c>
      <c r="AB37" s="10">
        <f t="shared" si="55"/>
        <v>1276.9000000000003</v>
      </c>
      <c r="AC37" s="10">
        <f t="shared" si="55"/>
        <v>1042</v>
      </c>
      <c r="AD37" s="10">
        <f t="shared" si="55"/>
        <v>915.62500000000011</v>
      </c>
      <c r="AE37" s="12">
        <f t="shared" si="55"/>
        <v>1289.826</v>
      </c>
      <c r="AF37" s="12">
        <f t="shared" si="55"/>
        <v>1404.6340000000002</v>
      </c>
      <c r="AG37" s="12">
        <f t="shared" si="55"/>
        <v>1533.0609999999999</v>
      </c>
      <c r="AH37" s="12">
        <f t="shared" si="55"/>
        <v>1672.0039999999999</v>
      </c>
      <c r="AI37" s="12">
        <f t="shared" si="55"/>
        <v>1876.3550000000002</v>
      </c>
      <c r="AJ37" s="12">
        <f t="shared" si="55"/>
        <v>2398.0749999999998</v>
      </c>
      <c r="AK37" s="12">
        <f t="shared" si="55"/>
        <v>3134.8389999999999</v>
      </c>
      <c r="AL37" s="12">
        <f t="shared" si="55"/>
        <v>2824.9520000000002</v>
      </c>
      <c r="AM37" s="12">
        <f t="shared" si="55"/>
        <v>3429.5680000000002</v>
      </c>
      <c r="AN37" s="12">
        <f t="shared" si="55"/>
        <v>3605.74</v>
      </c>
      <c r="AO37" s="12">
        <f t="shared" si="55"/>
        <v>4292.5250000000005</v>
      </c>
      <c r="AP37" s="12">
        <f t="shared" si="55"/>
        <v>4232.3599999999997</v>
      </c>
      <c r="AQ37" s="12">
        <f t="shared" si="55"/>
        <v>5105.3910000000005</v>
      </c>
      <c r="AR37" s="12">
        <f t="shared" si="55"/>
        <v>5620.2349999999997</v>
      </c>
      <c r="AS37" s="12">
        <f t="shared" si="55"/>
        <v>6691.95</v>
      </c>
      <c r="AT37" s="12">
        <f t="shared" si="55"/>
        <v>4847.597999999999</v>
      </c>
      <c r="AU37" s="12">
        <f t="shared" si="55"/>
        <v>4025.614</v>
      </c>
      <c r="AV37" s="12">
        <f t="shared" si="55"/>
        <v>4964.3020000000006</v>
      </c>
      <c r="AW37" s="12">
        <f t="shared" si="55"/>
        <v>4276.1500000000005</v>
      </c>
      <c r="AX37" s="12">
        <f t="shared" si="55"/>
        <v>3556.33</v>
      </c>
      <c r="AY37" s="12">
        <f t="shared" si="55"/>
        <v>4191.0469999999996</v>
      </c>
      <c r="AZ37" s="12">
        <f t="shared" si="55"/>
        <v>4223.107</v>
      </c>
      <c r="BA37" s="12">
        <f t="shared" si="55"/>
        <v>6123.9059999999999</v>
      </c>
      <c r="BB37" s="12">
        <f t="shared" si="55"/>
        <v>5324.6145839999999</v>
      </c>
      <c r="BC37" s="12">
        <f t="shared" si="55"/>
        <v>4841.3201310000004</v>
      </c>
      <c r="BD37" s="12">
        <f t="shared" si="55"/>
        <v>4644.4413869999998</v>
      </c>
      <c r="BE37" s="12">
        <f t="shared" si="55"/>
        <v>5271.1850210000002</v>
      </c>
      <c r="BF37" s="12">
        <f t="shared" si="55"/>
        <v>5838.4188659999991</v>
      </c>
      <c r="BG37" s="12">
        <f t="shared" si="55"/>
        <v>5565.2471260000002</v>
      </c>
      <c r="BH37" s="12">
        <f t="shared" si="55"/>
        <v>4791.0519999999997</v>
      </c>
      <c r="BI37" s="13">
        <f>5750-750-2000+750+250-900</f>
        <v>3100</v>
      </c>
      <c r="BJ37" s="13">
        <v>6150</v>
      </c>
      <c r="BK37" s="13">
        <v>6350</v>
      </c>
      <c r="BL37" s="13">
        <v>6600</v>
      </c>
      <c r="BM37" s="13">
        <v>7000</v>
      </c>
      <c r="BN37" s="13">
        <v>7000</v>
      </c>
      <c r="BO37" s="13">
        <v>7000</v>
      </c>
      <c r="BP37" s="13">
        <v>7000</v>
      </c>
      <c r="BQ37" s="13">
        <v>7000</v>
      </c>
      <c r="BR37" s="13">
        <v>7000</v>
      </c>
      <c r="BS37" s="13">
        <v>7000</v>
      </c>
      <c r="BT37" s="13">
        <v>7000</v>
      </c>
      <c r="BU37" s="13">
        <v>7000</v>
      </c>
    </row>
    <row r="38" spans="1:73">
      <c r="A38" s="27" t="s">
        <v>87</v>
      </c>
      <c r="B38" s="28"/>
      <c r="C38" s="28">
        <f t="shared" ref="C38:BN38" si="56">C33-C39</f>
        <v>1</v>
      </c>
      <c r="D38" s="28">
        <f t="shared" si="56"/>
        <v>1</v>
      </c>
      <c r="E38" s="28">
        <f t="shared" si="56"/>
        <v>0</v>
      </c>
      <c r="F38" s="28">
        <f t="shared" si="56"/>
        <v>3</v>
      </c>
      <c r="G38" s="28">
        <f t="shared" si="56"/>
        <v>2</v>
      </c>
      <c r="H38" s="28">
        <f t="shared" si="56"/>
        <v>5</v>
      </c>
      <c r="I38" s="28">
        <f t="shared" si="56"/>
        <v>6</v>
      </c>
      <c r="J38" s="28">
        <f t="shared" si="56"/>
        <v>7</v>
      </c>
      <c r="K38" s="28">
        <f t="shared" si="56"/>
        <v>27</v>
      </c>
      <c r="L38" s="28">
        <f t="shared" si="56"/>
        <v>47</v>
      </c>
      <c r="M38" s="28">
        <f t="shared" si="56"/>
        <v>87.682000000000002</v>
      </c>
      <c r="N38" s="28">
        <f t="shared" si="56"/>
        <v>83.745000000000005</v>
      </c>
      <c r="O38" s="28">
        <f t="shared" si="56"/>
        <v>97.830999999999989</v>
      </c>
      <c r="P38" s="28">
        <f t="shared" si="56"/>
        <v>109.82900000000002</v>
      </c>
      <c r="Q38" s="28">
        <f t="shared" si="56"/>
        <v>105.50000000000001</v>
      </c>
      <c r="R38" s="28">
        <f t="shared" si="56"/>
        <v>111.70499999999998</v>
      </c>
      <c r="S38" s="28">
        <f t="shared" si="56"/>
        <v>188.43800000000002</v>
      </c>
      <c r="T38" s="28">
        <f t="shared" si="56"/>
        <v>305.36900000000009</v>
      </c>
      <c r="U38" s="28">
        <f t="shared" si="56"/>
        <v>377.61799999999994</v>
      </c>
      <c r="V38" s="28">
        <f t="shared" si="56"/>
        <v>581.71900000000005</v>
      </c>
      <c r="W38" s="28">
        <f t="shared" si="56"/>
        <v>590.36500000000001</v>
      </c>
      <c r="X38" s="28">
        <f t="shared" si="56"/>
        <v>713.03200000000004</v>
      </c>
      <c r="Y38" s="28">
        <f t="shared" si="56"/>
        <v>892.90600000000006</v>
      </c>
      <c r="Z38" s="28">
        <f t="shared" si="56"/>
        <v>1156.3709999999999</v>
      </c>
      <c r="AA38" s="28">
        <f t="shared" si="56"/>
        <v>914.94200000000001</v>
      </c>
      <c r="AB38" s="28">
        <f t="shared" si="56"/>
        <v>1102.136</v>
      </c>
      <c r="AC38" s="28">
        <f t="shared" si="56"/>
        <v>1328.394</v>
      </c>
      <c r="AD38" s="28">
        <f t="shared" si="56"/>
        <v>1372.1809999999998</v>
      </c>
      <c r="AE38" s="29">
        <f t="shared" si="56"/>
        <v>1535.9260000000002</v>
      </c>
      <c r="AF38" s="29">
        <f t="shared" si="56"/>
        <v>1515.6470000000002</v>
      </c>
      <c r="AG38" s="29">
        <f t="shared" si="56"/>
        <v>1654.4289999999999</v>
      </c>
      <c r="AH38" s="29">
        <f t="shared" si="56"/>
        <v>1751.6190000000001</v>
      </c>
      <c r="AI38" s="29">
        <f t="shared" si="56"/>
        <v>1854.9190000000003</v>
      </c>
      <c r="AJ38" s="29">
        <f t="shared" si="56"/>
        <v>2876.5639999999994</v>
      </c>
      <c r="AK38" s="29">
        <f t="shared" si="56"/>
        <v>3176.4580000000005</v>
      </c>
      <c r="AL38" s="29">
        <f t="shared" si="56"/>
        <v>2999.5860000000002</v>
      </c>
      <c r="AM38" s="29">
        <f t="shared" si="56"/>
        <v>3629.1080000000006</v>
      </c>
      <c r="AN38" s="29">
        <f t="shared" si="56"/>
        <v>4068.5229999999992</v>
      </c>
      <c r="AO38" s="29">
        <f t="shared" si="56"/>
        <v>4664.4000000000005</v>
      </c>
      <c r="AP38" s="29">
        <f t="shared" si="56"/>
        <v>4783.1030000000001</v>
      </c>
      <c r="AQ38" s="29">
        <f t="shared" si="56"/>
        <v>5511.0966799999987</v>
      </c>
      <c r="AR38" s="29">
        <f t="shared" si="56"/>
        <v>6089.0727600000009</v>
      </c>
      <c r="AS38" s="29">
        <f t="shared" si="56"/>
        <v>7092.3600000000006</v>
      </c>
      <c r="AT38" s="29">
        <f t="shared" si="56"/>
        <v>5947.7909999999993</v>
      </c>
      <c r="AU38" s="29">
        <f t="shared" si="56"/>
        <v>5397.4720000000007</v>
      </c>
      <c r="AV38" s="29">
        <f t="shared" si="56"/>
        <v>7470.3959999999997</v>
      </c>
      <c r="AW38" s="29">
        <f t="shared" si="56"/>
        <v>7178.37</v>
      </c>
      <c r="AX38" s="29">
        <f t="shared" si="56"/>
        <v>5871.5480000000007</v>
      </c>
      <c r="AY38" s="29">
        <f t="shared" si="56"/>
        <v>6659.3729999999996</v>
      </c>
      <c r="AZ38" s="29">
        <f t="shared" si="56"/>
        <v>7228.4009999999998</v>
      </c>
      <c r="BA38" s="29">
        <f t="shared" si="56"/>
        <v>8618.654999999997</v>
      </c>
      <c r="BB38" s="29">
        <f t="shared" si="56"/>
        <v>8459.1739999999991</v>
      </c>
      <c r="BC38" s="29">
        <f t="shared" si="56"/>
        <v>7877.8539999999994</v>
      </c>
      <c r="BD38" s="29">
        <f t="shared" si="56"/>
        <v>7335.8540000000012</v>
      </c>
      <c r="BE38" s="29">
        <f t="shared" si="56"/>
        <v>7897.6080000000011</v>
      </c>
      <c r="BF38" s="29">
        <f t="shared" si="56"/>
        <v>7623.9260000000004</v>
      </c>
      <c r="BG38" s="29">
        <f t="shared" si="56"/>
        <v>8121.7119999999986</v>
      </c>
      <c r="BH38" s="30">
        <f t="shared" si="56"/>
        <v>7023.1950000000006</v>
      </c>
      <c r="BI38" s="30">
        <f t="shared" si="56"/>
        <v>5094.8239999999996</v>
      </c>
      <c r="BJ38" s="30">
        <f t="shared" si="56"/>
        <v>8822.7231952747716</v>
      </c>
      <c r="BK38" s="30">
        <f t="shared" si="56"/>
        <v>8779.8194306755777</v>
      </c>
      <c r="BL38" s="30">
        <f t="shared" si="56"/>
        <v>9012.717079408636</v>
      </c>
      <c r="BM38" s="30">
        <f t="shared" si="56"/>
        <v>9263.6471701949304</v>
      </c>
      <c r="BN38" s="30">
        <f t="shared" si="56"/>
        <v>9351.2441504402886</v>
      </c>
      <c r="BO38" s="30">
        <f t="shared" ref="BO38:BU38" si="57">BO33-BO39</f>
        <v>9458.4697166447913</v>
      </c>
      <c r="BP38" s="30">
        <f t="shared" si="57"/>
        <v>9495.6825128016753</v>
      </c>
      <c r="BQ38" s="30">
        <f t="shared" si="57"/>
        <v>9546.8707093016146</v>
      </c>
      <c r="BR38" s="30">
        <f t="shared" si="57"/>
        <v>9627.7475361697489</v>
      </c>
      <c r="BS38" s="30">
        <f t="shared" si="57"/>
        <v>9704.7715217433451</v>
      </c>
      <c r="BT38" s="30">
        <f t="shared" si="57"/>
        <v>9770.111282903219</v>
      </c>
      <c r="BU38" s="30">
        <f t="shared" si="57"/>
        <v>9826.3259823326662</v>
      </c>
    </row>
    <row r="39" spans="1:73" ht="15.75" thickBot="1">
      <c r="A39" s="40" t="s">
        <v>88</v>
      </c>
      <c r="B39" s="42"/>
      <c r="C39" s="42">
        <f t="shared" ref="C39:BG39" si="58">C358</f>
        <v>0</v>
      </c>
      <c r="D39" s="42">
        <f t="shared" si="58"/>
        <v>0</v>
      </c>
      <c r="E39" s="42">
        <f t="shared" si="58"/>
        <v>1</v>
      </c>
      <c r="F39" s="42">
        <f t="shared" si="58"/>
        <v>0</v>
      </c>
      <c r="G39" s="42">
        <f t="shared" si="58"/>
        <v>1</v>
      </c>
      <c r="H39" s="42">
        <f t="shared" si="58"/>
        <v>0</v>
      </c>
      <c r="I39" s="42">
        <f t="shared" si="58"/>
        <v>0</v>
      </c>
      <c r="J39" s="42">
        <f t="shared" si="58"/>
        <v>1</v>
      </c>
      <c r="K39" s="42">
        <f t="shared" si="58"/>
        <v>3</v>
      </c>
      <c r="L39" s="42">
        <f t="shared" si="58"/>
        <v>3</v>
      </c>
      <c r="M39" s="42">
        <f t="shared" si="58"/>
        <v>7.5060000000000002</v>
      </c>
      <c r="N39" s="42">
        <f t="shared" si="58"/>
        <v>4.476</v>
      </c>
      <c r="O39" s="42">
        <f t="shared" si="58"/>
        <v>3.089</v>
      </c>
      <c r="P39" s="42">
        <f t="shared" si="58"/>
        <v>3.7519999999999998</v>
      </c>
      <c r="Q39" s="42">
        <f t="shared" si="58"/>
        <v>4.4189999999999996</v>
      </c>
      <c r="R39" s="42">
        <f t="shared" si="58"/>
        <v>14</v>
      </c>
      <c r="S39" s="42">
        <f t="shared" si="58"/>
        <v>8.4030000000000005</v>
      </c>
      <c r="T39" s="42">
        <f t="shared" si="58"/>
        <v>24.445</v>
      </c>
      <c r="U39" s="42">
        <f t="shared" si="58"/>
        <v>40.055999999999997</v>
      </c>
      <c r="V39" s="42">
        <f t="shared" si="58"/>
        <v>50.87</v>
      </c>
      <c r="W39" s="42">
        <f t="shared" si="58"/>
        <v>40.332999999999998</v>
      </c>
      <c r="X39" s="42">
        <f t="shared" si="58"/>
        <v>58.341000000000001</v>
      </c>
      <c r="Y39" s="42">
        <f t="shared" si="58"/>
        <v>18.268000000000001</v>
      </c>
      <c r="Z39" s="42">
        <f t="shared" si="58"/>
        <v>61.573</v>
      </c>
      <c r="AA39" s="42">
        <f t="shared" si="58"/>
        <v>76.918999999999997</v>
      </c>
      <c r="AB39" s="42">
        <f t="shared" si="58"/>
        <v>100.124</v>
      </c>
      <c r="AC39" s="42">
        <f t="shared" si="58"/>
        <v>35.71</v>
      </c>
      <c r="AD39" s="42">
        <f t="shared" si="58"/>
        <v>30.353000000000002</v>
      </c>
      <c r="AE39" s="43">
        <f t="shared" si="58"/>
        <v>52.93</v>
      </c>
      <c r="AF39" s="43">
        <f t="shared" si="58"/>
        <v>38.104999999999997</v>
      </c>
      <c r="AG39" s="43">
        <f t="shared" si="58"/>
        <v>47.996000000000002</v>
      </c>
      <c r="AH39" s="43">
        <f t="shared" si="58"/>
        <v>54.107999999999997</v>
      </c>
      <c r="AI39" s="43">
        <f t="shared" si="58"/>
        <v>57.816000000000003</v>
      </c>
      <c r="AJ39" s="43">
        <f t="shared" si="58"/>
        <v>134.19900000000001</v>
      </c>
      <c r="AK39" s="43">
        <f t="shared" si="58"/>
        <v>75.430999999999997</v>
      </c>
      <c r="AL39" s="43">
        <f t="shared" si="58"/>
        <v>92.947000000000003</v>
      </c>
      <c r="AM39" s="43">
        <f t="shared" si="58"/>
        <v>94.221000000000004</v>
      </c>
      <c r="AN39" s="43">
        <f t="shared" si="58"/>
        <v>190.733</v>
      </c>
      <c r="AO39" s="43">
        <f t="shared" si="58"/>
        <v>194.184</v>
      </c>
      <c r="AP39" s="43">
        <f t="shared" si="58"/>
        <v>135.08799999999999</v>
      </c>
      <c r="AQ39" s="43">
        <f t="shared" si="58"/>
        <v>182.37700000000001</v>
      </c>
      <c r="AR39" s="43">
        <f t="shared" si="58"/>
        <v>262.27100000000002</v>
      </c>
      <c r="AS39" s="43">
        <f t="shared" si="58"/>
        <v>88.463999999999999</v>
      </c>
      <c r="AT39" s="43">
        <f t="shared" si="58"/>
        <v>178.11199999999999</v>
      </c>
      <c r="AU39" s="43">
        <f t="shared" si="58"/>
        <v>228.82599999999999</v>
      </c>
      <c r="AV39" s="43">
        <f t="shared" si="58"/>
        <v>218.22399999999999</v>
      </c>
      <c r="AW39" s="43">
        <f t="shared" si="58"/>
        <v>187.524</v>
      </c>
      <c r="AX39" s="43">
        <f t="shared" si="58"/>
        <v>191.215</v>
      </c>
      <c r="AY39" s="43">
        <f t="shared" si="58"/>
        <v>206.91499999999999</v>
      </c>
      <c r="AZ39" s="43">
        <f t="shared" si="58"/>
        <v>195.63399999999999</v>
      </c>
      <c r="BA39" s="43">
        <f t="shared" si="58"/>
        <v>336.84199999999998</v>
      </c>
      <c r="BB39" s="43">
        <f t="shared" si="58"/>
        <v>259.51600000000002</v>
      </c>
      <c r="BC39" s="43">
        <f t="shared" si="58"/>
        <v>310.54199999999997</v>
      </c>
      <c r="BD39" s="43">
        <f t="shared" si="58"/>
        <v>171.69900000000001</v>
      </c>
      <c r="BE39" s="43">
        <f t="shared" si="58"/>
        <v>316.47800000000001</v>
      </c>
      <c r="BF39" s="43">
        <f t="shared" si="58"/>
        <v>228.33099999999999</v>
      </c>
      <c r="BG39" s="43">
        <f t="shared" si="58"/>
        <v>204.87</v>
      </c>
      <c r="BH39" s="45">
        <f>350-150</f>
        <v>200</v>
      </c>
      <c r="BI39" s="45">
        <v>200</v>
      </c>
      <c r="BJ39" s="45">
        <v>275</v>
      </c>
      <c r="BK39" s="45">
        <v>250</v>
      </c>
      <c r="BL39" s="45">
        <v>250</v>
      </c>
      <c r="BM39" s="45">
        <v>250</v>
      </c>
      <c r="BN39" s="45">
        <v>250</v>
      </c>
      <c r="BO39" s="45">
        <v>250</v>
      </c>
      <c r="BP39" s="45">
        <v>250</v>
      </c>
      <c r="BQ39" s="45">
        <v>250</v>
      </c>
      <c r="BR39" s="45">
        <v>250</v>
      </c>
      <c r="BS39" s="45">
        <v>250</v>
      </c>
      <c r="BT39" s="45">
        <v>250</v>
      </c>
      <c r="BU39" s="45">
        <v>250</v>
      </c>
    </row>
    <row r="40" spans="1:73">
      <c r="A40" s="51" t="s">
        <v>98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52">
        <f t="shared" ref="AV40:BG40" si="59">AV35/AV37</f>
        <v>0.39668516835182249</v>
      </c>
      <c r="AW40" s="52">
        <f t="shared" si="59"/>
        <v>0.63161683403835156</v>
      </c>
      <c r="AX40" s="52">
        <f t="shared" si="59"/>
        <v>0.60978022158558742</v>
      </c>
      <c r="AY40" s="52">
        <f t="shared" si="59"/>
        <v>0.4868833019602159</v>
      </c>
      <c r="AZ40" s="52">
        <f t="shared" si="59"/>
        <v>0.61748660405715505</v>
      </c>
      <c r="BA40" s="52">
        <f t="shared" si="59"/>
        <v>0.31798430609483558</v>
      </c>
      <c r="BB40" s="52">
        <f t="shared" si="59"/>
        <v>0.54099164447617787</v>
      </c>
      <c r="BC40" s="52">
        <f t="shared" si="59"/>
        <v>0.6255948621547579</v>
      </c>
      <c r="BD40" s="52">
        <f t="shared" si="59"/>
        <v>0.496527097199429</v>
      </c>
      <c r="BE40" s="52">
        <f t="shared" si="59"/>
        <v>0.2812794031616222</v>
      </c>
      <c r="BF40" s="52">
        <f t="shared" si="59"/>
        <v>0.34451560354108474</v>
      </c>
      <c r="BG40" s="52">
        <f t="shared" si="59"/>
        <v>0.35484641657222959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>
      <c r="AM41" s="16"/>
      <c r="AN41" s="16"/>
      <c r="AO41" s="16"/>
      <c r="AP41" s="16"/>
      <c r="AQ41" s="16"/>
      <c r="AR41" s="16"/>
      <c r="AS41" s="16">
        <f t="shared" ref="AS41:BU41" si="60">AS15/AS11</f>
        <v>-0.35577098474760455</v>
      </c>
      <c r="AT41" s="16">
        <f t="shared" si="60"/>
        <v>0.11857143070439266</v>
      </c>
      <c r="AU41" s="16">
        <f t="shared" si="60"/>
        <v>0.21238701162765555</v>
      </c>
      <c r="AV41" s="16">
        <f t="shared" si="60"/>
        <v>-0.10222092696223856</v>
      </c>
      <c r="AW41" s="16">
        <f t="shared" si="60"/>
        <v>-1.6137551820102493E-2</v>
      </c>
      <c r="AX41" s="16">
        <f t="shared" si="60"/>
        <v>0.19212829063531311</v>
      </c>
      <c r="AY41" s="16">
        <f t="shared" si="60"/>
        <v>0.26360073198856609</v>
      </c>
      <c r="AZ41" s="16">
        <f t="shared" si="60"/>
        <v>3.9178653902933987E-3</v>
      </c>
      <c r="BA41" s="16">
        <f t="shared" si="60"/>
        <v>0.1193230591141007</v>
      </c>
      <c r="BB41" s="16">
        <f t="shared" si="60"/>
        <v>-0.39804747123968459</v>
      </c>
      <c r="BC41" s="16">
        <f t="shared" si="60"/>
        <v>3.3167130777012929E-2</v>
      </c>
      <c r="BD41" s="16">
        <f t="shared" si="60"/>
        <v>0.12830976142632547</v>
      </c>
      <c r="BE41" s="16">
        <f t="shared" si="60"/>
        <v>4.7150735428927525E-2</v>
      </c>
      <c r="BF41" s="16">
        <f t="shared" si="60"/>
        <v>0.15902478281230287</v>
      </c>
      <c r="BG41" s="16">
        <f t="shared" si="60"/>
        <v>-0.51146930442815042</v>
      </c>
      <c r="BH41" s="16">
        <f t="shared" si="60"/>
        <v>0.15299569723089393</v>
      </c>
      <c r="BI41" s="16">
        <f t="shared" si="60"/>
        <v>0.37033745148579383</v>
      </c>
      <c r="BJ41" s="16">
        <f t="shared" si="60"/>
        <v>3.0472891277828124E-2</v>
      </c>
      <c r="BK41" s="16">
        <f t="shared" si="60"/>
        <v>2.7477360543980294E-2</v>
      </c>
      <c r="BL41" s="16">
        <f t="shared" si="60"/>
        <v>2.4537108972797483E-2</v>
      </c>
      <c r="BM41" s="16">
        <f t="shared" si="60"/>
        <v>2.3188622224242207E-2</v>
      </c>
      <c r="BN41" s="16">
        <f t="shared" si="60"/>
        <v>2.1507875189155038E-2</v>
      </c>
      <c r="BO41" s="16">
        <f t="shared" si="60"/>
        <v>1.9468662243483946E-2</v>
      </c>
      <c r="BP41" s="16">
        <f t="shared" si="60"/>
        <v>1.7625929222464299E-2</v>
      </c>
      <c r="BQ41" s="16">
        <f t="shared" si="60"/>
        <v>1.5973267777977487E-2</v>
      </c>
      <c r="BR41" s="16">
        <f t="shared" si="60"/>
        <v>1.4765683915655607E-2</v>
      </c>
      <c r="BS41" s="16">
        <f t="shared" si="60"/>
        <v>1.3634269381599647E-2</v>
      </c>
      <c r="BT41" s="16">
        <f t="shared" si="60"/>
        <v>1.2663902959804234E-2</v>
      </c>
      <c r="BU41" s="16">
        <f t="shared" si="60"/>
        <v>1.178764359670593E-2</v>
      </c>
    </row>
    <row r="42" spans="1:73" ht="15.75" thickBot="1">
      <c r="A42" s="53" t="s">
        <v>99</v>
      </c>
    </row>
    <row r="43" spans="1:73" s="4" customFormat="1" ht="15.75" thickBot="1">
      <c r="A43" s="54"/>
      <c r="B43" s="55" t="str">
        <f t="shared" ref="B43:BM43" si="61">B2</f>
        <v xml:space="preserve">64/65 </v>
      </c>
      <c r="C43" s="55" t="str">
        <f t="shared" si="61"/>
        <v xml:space="preserve">65/66 </v>
      </c>
      <c r="D43" s="55" t="str">
        <f t="shared" si="61"/>
        <v xml:space="preserve">66/67 </v>
      </c>
      <c r="E43" s="55" t="str">
        <f t="shared" si="61"/>
        <v xml:space="preserve">67/68 </v>
      </c>
      <c r="F43" s="55" t="str">
        <f t="shared" si="61"/>
        <v xml:space="preserve">68/69 </v>
      </c>
      <c r="G43" s="55" t="str">
        <f t="shared" si="61"/>
        <v xml:space="preserve">69/70 </v>
      </c>
      <c r="H43" s="55" t="str">
        <f t="shared" si="61"/>
        <v xml:space="preserve">70/71 </v>
      </c>
      <c r="I43" s="55" t="str">
        <f t="shared" si="61"/>
        <v xml:space="preserve">71/72 </v>
      </c>
      <c r="J43" s="55" t="str">
        <f t="shared" si="61"/>
        <v xml:space="preserve">72/73 </v>
      </c>
      <c r="K43" s="55" t="str">
        <f t="shared" si="61"/>
        <v xml:space="preserve">73/74 </v>
      </c>
      <c r="L43" s="55" t="str">
        <f t="shared" si="61"/>
        <v xml:space="preserve">74/75 </v>
      </c>
      <c r="M43" s="55" t="str">
        <f t="shared" si="61"/>
        <v xml:space="preserve">75/76 </v>
      </c>
      <c r="N43" s="55" t="str">
        <f t="shared" si="61"/>
        <v xml:space="preserve">76/77 </v>
      </c>
      <c r="O43" s="55" t="str">
        <f t="shared" si="61"/>
        <v xml:space="preserve">77/78 </v>
      </c>
      <c r="P43" s="55" t="str">
        <f t="shared" si="61"/>
        <v xml:space="preserve">78/79 </v>
      </c>
      <c r="Q43" s="55" t="str">
        <f t="shared" si="61"/>
        <v xml:space="preserve">79/80 </v>
      </c>
      <c r="R43" s="55" t="str">
        <f t="shared" si="61"/>
        <v xml:space="preserve">80/81 </v>
      </c>
      <c r="S43" s="55" t="str">
        <f t="shared" si="61"/>
        <v xml:space="preserve">81/82 </v>
      </c>
      <c r="T43" s="55" t="str">
        <f t="shared" si="61"/>
        <v xml:space="preserve">82/83 </v>
      </c>
      <c r="U43" s="55" t="str">
        <f t="shared" si="61"/>
        <v xml:space="preserve">83/84 </v>
      </c>
      <c r="V43" s="55" t="str">
        <f t="shared" si="61"/>
        <v xml:space="preserve">84/85 </v>
      </c>
      <c r="W43" s="55" t="str">
        <f t="shared" si="61"/>
        <v xml:space="preserve">85/86 </v>
      </c>
      <c r="X43" s="55" t="str">
        <f t="shared" si="61"/>
        <v xml:space="preserve">86/87 </v>
      </c>
      <c r="Y43" s="55" t="str">
        <f t="shared" si="61"/>
        <v xml:space="preserve">87/88 </v>
      </c>
      <c r="Z43" s="55" t="str">
        <f t="shared" si="61"/>
        <v xml:space="preserve">88/89 </v>
      </c>
      <c r="AA43" s="55" t="str">
        <f t="shared" si="61"/>
        <v xml:space="preserve">89/90 </v>
      </c>
      <c r="AB43" s="55" t="str">
        <f t="shared" si="61"/>
        <v xml:space="preserve">90/91 </v>
      </c>
      <c r="AC43" s="55" t="str">
        <f t="shared" si="61"/>
        <v xml:space="preserve">91/92 </v>
      </c>
      <c r="AD43" s="55" t="str">
        <f t="shared" si="61"/>
        <v xml:space="preserve">92/93 </v>
      </c>
      <c r="AE43" s="55" t="str">
        <f t="shared" si="61"/>
        <v xml:space="preserve">93/94 </v>
      </c>
      <c r="AF43" s="55" t="str">
        <f t="shared" si="61"/>
        <v xml:space="preserve">94/95 </v>
      </c>
      <c r="AG43" s="55" t="str">
        <f t="shared" si="61"/>
        <v xml:space="preserve">95/96 </v>
      </c>
      <c r="AH43" s="55" t="str">
        <f t="shared" si="61"/>
        <v xml:space="preserve">96/97 </v>
      </c>
      <c r="AI43" s="55" t="str">
        <f t="shared" si="61"/>
        <v xml:space="preserve">97/98 </v>
      </c>
      <c r="AJ43" s="55" t="str">
        <f t="shared" si="61"/>
        <v xml:space="preserve">98/99 </v>
      </c>
      <c r="AK43" s="55" t="str">
        <f t="shared" si="61"/>
        <v xml:space="preserve">99/00 </v>
      </c>
      <c r="AL43" s="55" t="str">
        <f t="shared" si="61"/>
        <v xml:space="preserve">00/01 </v>
      </c>
      <c r="AM43" s="55" t="str">
        <f t="shared" si="61"/>
        <v xml:space="preserve">01/02 </v>
      </c>
      <c r="AN43" s="55" t="str">
        <f t="shared" si="61"/>
        <v xml:space="preserve">02/03 </v>
      </c>
      <c r="AO43" s="55" t="str">
        <f t="shared" si="61"/>
        <v xml:space="preserve">03/04 </v>
      </c>
      <c r="AP43" s="55" t="str">
        <f t="shared" si="61"/>
        <v xml:space="preserve">04/05 </v>
      </c>
      <c r="AQ43" s="55" t="str">
        <f t="shared" si="61"/>
        <v xml:space="preserve">05/06 </v>
      </c>
      <c r="AR43" s="55" t="str">
        <f t="shared" si="61"/>
        <v xml:space="preserve">06/07 </v>
      </c>
      <c r="AS43" s="55" t="str">
        <f t="shared" si="61"/>
        <v xml:space="preserve">07/08 </v>
      </c>
      <c r="AT43" s="55" t="str">
        <f t="shared" si="61"/>
        <v xml:space="preserve">08/09 </v>
      </c>
      <c r="AU43" s="55" t="str">
        <f t="shared" si="61"/>
        <v xml:space="preserve">09/10 </v>
      </c>
      <c r="AV43" s="55" t="str">
        <f t="shared" si="61"/>
        <v xml:space="preserve">10/11 </v>
      </c>
      <c r="AW43" s="55" t="str">
        <f t="shared" si="61"/>
        <v xml:space="preserve">11/12 </v>
      </c>
      <c r="AX43" s="55" t="str">
        <f t="shared" si="61"/>
        <v xml:space="preserve">12/13 </v>
      </c>
      <c r="AY43" s="55" t="str">
        <f t="shared" si="61"/>
        <v xml:space="preserve">13/14 </v>
      </c>
      <c r="AZ43" s="55" t="str">
        <f t="shared" si="61"/>
        <v xml:space="preserve">14/15 </v>
      </c>
      <c r="BA43" s="55" t="str">
        <f t="shared" si="61"/>
        <v xml:space="preserve">15/16 </v>
      </c>
      <c r="BB43" s="55" t="str">
        <f t="shared" si="61"/>
        <v xml:space="preserve">16/17 </v>
      </c>
      <c r="BC43" s="55" t="str">
        <f t="shared" si="61"/>
        <v xml:space="preserve">17/18 </v>
      </c>
      <c r="BD43" s="55" t="str">
        <f t="shared" si="61"/>
        <v xml:space="preserve">18/19 </v>
      </c>
      <c r="BE43" s="55" t="str">
        <f t="shared" si="61"/>
        <v>19/20</v>
      </c>
      <c r="BF43" s="55" t="str">
        <f t="shared" si="61"/>
        <v>20/21</v>
      </c>
      <c r="BG43" s="55" t="str">
        <f t="shared" si="61"/>
        <v>21/22</v>
      </c>
      <c r="BH43" s="55" t="str">
        <f t="shared" si="61"/>
        <v>22/23</v>
      </c>
      <c r="BI43" s="55" t="str">
        <f t="shared" si="61"/>
        <v>23/24</v>
      </c>
      <c r="BJ43" s="55" t="str">
        <f t="shared" si="61"/>
        <v>24/25</v>
      </c>
      <c r="BK43" s="55" t="str">
        <f t="shared" si="61"/>
        <v>25/26</v>
      </c>
      <c r="BL43" s="55" t="str">
        <f t="shared" si="61"/>
        <v>26/27</v>
      </c>
      <c r="BM43" s="55" t="str">
        <f t="shared" si="61"/>
        <v>27/28</v>
      </c>
      <c r="BN43" s="55" t="str">
        <f t="shared" ref="BN43:BU43" si="62">BN2</f>
        <v>28/29</v>
      </c>
      <c r="BO43" s="55" t="str">
        <f t="shared" si="62"/>
        <v>29/30</v>
      </c>
      <c r="BP43" s="55" t="str">
        <f t="shared" si="62"/>
        <v>30/31</v>
      </c>
      <c r="BQ43" s="55" t="str">
        <f t="shared" si="62"/>
        <v>31/32</v>
      </c>
      <c r="BR43" s="55" t="str">
        <f t="shared" si="62"/>
        <v>32/33</v>
      </c>
      <c r="BS43" s="55" t="str">
        <f t="shared" si="62"/>
        <v>33/34</v>
      </c>
      <c r="BT43" s="55" t="str">
        <f t="shared" si="62"/>
        <v>34/35</v>
      </c>
      <c r="BU43" s="55" t="str">
        <f t="shared" si="62"/>
        <v>34/35</v>
      </c>
    </row>
    <row r="44" spans="1:73" s="56" customFormat="1" ht="14.25">
      <c r="A44" s="4" t="s">
        <v>100</v>
      </c>
      <c r="C44" s="57">
        <f t="shared" ref="C44:L55" si="63">(SUM($AI44:$AM44)/SUM($AI$56:$AM$56))*C$56</f>
        <v>0</v>
      </c>
      <c r="D44" s="57">
        <f t="shared" si="63"/>
        <v>0</v>
      </c>
      <c r="E44" s="57">
        <f t="shared" si="63"/>
        <v>0</v>
      </c>
      <c r="F44" s="57">
        <f t="shared" si="63"/>
        <v>0</v>
      </c>
      <c r="G44" s="57">
        <f t="shared" si="63"/>
        <v>0</v>
      </c>
      <c r="H44" s="57">
        <f t="shared" si="63"/>
        <v>0</v>
      </c>
      <c r="I44" s="57">
        <f t="shared" si="63"/>
        <v>0</v>
      </c>
      <c r="J44" s="57">
        <f t="shared" si="63"/>
        <v>0</v>
      </c>
      <c r="K44" s="57">
        <f t="shared" si="63"/>
        <v>0</v>
      </c>
      <c r="L44" s="57">
        <f t="shared" si="63"/>
        <v>0</v>
      </c>
      <c r="M44" s="57">
        <f t="shared" ref="M44:U55" si="64">(SUM($AI44:$AM44)/SUM($AI$56:$AM$56))*M$56</f>
        <v>0</v>
      </c>
      <c r="N44" s="57">
        <f t="shared" si="64"/>
        <v>0</v>
      </c>
      <c r="O44" s="57">
        <f t="shared" si="64"/>
        <v>0</v>
      </c>
      <c r="P44" s="57">
        <f t="shared" si="64"/>
        <v>0</v>
      </c>
      <c r="Q44" s="57">
        <f t="shared" si="64"/>
        <v>0</v>
      </c>
      <c r="R44" s="57">
        <f t="shared" si="64"/>
        <v>0</v>
      </c>
      <c r="S44" s="57">
        <f t="shared" si="64"/>
        <v>0</v>
      </c>
      <c r="T44" s="57">
        <f t="shared" si="64"/>
        <v>0</v>
      </c>
      <c r="U44" s="57">
        <f t="shared" si="64"/>
        <v>0</v>
      </c>
      <c r="V44" s="57" t="s">
        <v>101</v>
      </c>
      <c r="W44" s="57">
        <f t="shared" ref="W44:AH55" si="65">(SUM($AI44:$AM44)/SUM($AI$56:$AM$56))*W$56</f>
        <v>0</v>
      </c>
      <c r="X44" s="57">
        <f t="shared" si="65"/>
        <v>0</v>
      </c>
      <c r="Y44" s="57">
        <f t="shared" si="65"/>
        <v>0</v>
      </c>
      <c r="Z44" s="57">
        <f t="shared" si="65"/>
        <v>0</v>
      </c>
      <c r="AA44" s="57">
        <f t="shared" si="65"/>
        <v>0</v>
      </c>
      <c r="AB44" s="57">
        <f t="shared" si="65"/>
        <v>0</v>
      </c>
      <c r="AC44" s="57">
        <f t="shared" si="65"/>
        <v>0</v>
      </c>
      <c r="AD44" s="57">
        <f t="shared" si="65"/>
        <v>0</v>
      </c>
      <c r="AE44" s="58">
        <f t="shared" si="65"/>
        <v>3.5393797313240141</v>
      </c>
      <c r="AF44" s="58">
        <f t="shared" si="65"/>
        <v>11.843309100968817</v>
      </c>
      <c r="AG44" s="58">
        <f t="shared" si="65"/>
        <v>12.660089038966666</v>
      </c>
      <c r="AH44" s="58">
        <f t="shared" si="65"/>
        <v>13.749128956297133</v>
      </c>
      <c r="AI44" s="59">
        <f>'[1]Argentina Soybean Imports'!BV$290</f>
        <v>0</v>
      </c>
      <c r="AJ44" s="59">
        <f>'[1]Argentina Soybean Imports'!CH$290</f>
        <v>239.416</v>
      </c>
      <c r="AK44" s="59">
        <f>'[1]Argentina Soybean Imports'!CT$290</f>
        <v>0.55600000000000005</v>
      </c>
      <c r="AL44" s="59">
        <f>'[1]Argentina Soybean Imports'!DF$290</f>
        <v>10.702999999999999</v>
      </c>
      <c r="AM44" s="59">
        <f>'[1]Argentina Soybean Imports'!DR$290</f>
        <v>35.715000000000003</v>
      </c>
      <c r="AN44" s="59">
        <f>'[1]Argentina Soybean Imports'!ED$290</f>
        <v>6.6000000000000003E-2</v>
      </c>
      <c r="AO44" s="59">
        <f>'[1]Argentina Soybean Imports'!EP$290</f>
        <v>27.45</v>
      </c>
      <c r="AP44" s="59">
        <f>'[1]Argentina Soybean Imports'!FB$290</f>
        <v>9.0160789999999995</v>
      </c>
      <c r="AQ44" s="59">
        <f>'[1]Argentina Soybean Imports'!FN$290</f>
        <v>3.6978800000000001</v>
      </c>
      <c r="AR44" s="59">
        <f>'[1]Argentina Soybean Imports'!FZ$290</f>
        <v>27.468</v>
      </c>
      <c r="AS44" s="59">
        <f>'[1]Argentina Soybean Imports'!GL$290</f>
        <v>62.776000000000003</v>
      </c>
      <c r="AT44" s="59">
        <f>'[1]Argentina Soybean Imports'!GX$290</f>
        <v>173.15</v>
      </c>
      <c r="AU44" s="59">
        <f>'[1]Argentina Soybean Imports'!HJ$290</f>
        <v>121.27</v>
      </c>
      <c r="AV44" s="59">
        <f>'[1]Argentina Soybean Imports'!HV$290</f>
        <v>0.42099999999999999</v>
      </c>
      <c r="AW44" s="59">
        <f>'[1]Argentina Soybean Imports'!IH$290</f>
        <v>0.08</v>
      </c>
      <c r="AX44" s="59">
        <f>'[1]Argentina Soybean Imports'!IT$290</f>
        <v>4.8000000000000001E-2</v>
      </c>
      <c r="AY44" s="59">
        <f>'[1]Argentina Soybean Imports'!JF$290</f>
        <v>0.54</v>
      </c>
      <c r="AZ44" s="59">
        <f>'[1]Argentina Soybean Imports'!JR$290</f>
        <v>0.28799999999999998</v>
      </c>
      <c r="BA44" s="59">
        <f>'[1]Argentina Soybean Imports'!KD$290</f>
        <v>0.20399999999999999</v>
      </c>
      <c r="BB44" s="59">
        <f>'[1]Argentina Soybean Imports'!KP$290</f>
        <v>0.13300000000000001</v>
      </c>
      <c r="BC44" s="59">
        <f>'[1]Argentina Soybean Imports'!LB$290</f>
        <v>63.49</v>
      </c>
      <c r="BD44" s="59">
        <f>'[1]Argentina Soybean Imports'!LN$290</f>
        <v>55.505406000000001</v>
      </c>
      <c r="BE44" s="59">
        <f>'[1]Argentina Soybean Imports'!LZ$290</f>
        <v>767.22882300000003</v>
      </c>
      <c r="BF44" s="59">
        <f>'[1]Argentina Soybean Imports'!ML$290</f>
        <v>66.638870999999995</v>
      </c>
      <c r="BG44" s="59">
        <f>'[1]Argentina Soybean Imports'!MX$290</f>
        <v>155.45875699999999</v>
      </c>
      <c r="BH44" s="59">
        <f>'[1]Argentina Soybean Imports'!NJ$290</f>
        <v>200.90299999999999</v>
      </c>
      <c r="BI44" s="59">
        <f>'[1]Argentina Soybean Imports'!NV$290</f>
        <v>52.523000000000003</v>
      </c>
      <c r="BJ44" s="58">
        <f t="shared" ref="BJ44:BJ54" si="66">(SUM(BE44:BI44)/SUM(BE$56:BI$56))*BJ$56</f>
        <v>210.94810352437113</v>
      </c>
      <c r="BK44" s="58">
        <f t="shared" ref="BK44:BK54" si="67">(SUM(BF44:BJ44)/SUM(BF$56:BJ$56))*BK$56</f>
        <v>117.51399748775273</v>
      </c>
      <c r="BL44" s="58">
        <f t="shared" ref="BL44:BU54" si="68">(SUM(BG44:BK44)/SUM(BG$56:BK$56))*BL$56</f>
        <v>127.2184088983369</v>
      </c>
      <c r="BM44" s="58">
        <f t="shared" si="68"/>
        <v>121.59312346365311</v>
      </c>
      <c r="BN44" s="58">
        <f t="shared" si="68"/>
        <v>102.57274159187524</v>
      </c>
      <c r="BO44" s="58">
        <f t="shared" si="68"/>
        <v>135.96927499319781</v>
      </c>
      <c r="BP44" s="58">
        <f t="shared" si="68"/>
        <v>120.97350928696314</v>
      </c>
      <c r="BQ44" s="58">
        <f t="shared" si="68"/>
        <v>121.66541164680525</v>
      </c>
      <c r="BR44" s="58">
        <f t="shared" si="68"/>
        <v>120.55481219649892</v>
      </c>
      <c r="BS44" s="58">
        <f t="shared" si="68"/>
        <v>120.34714994306806</v>
      </c>
      <c r="BT44" s="58">
        <f t="shared" si="68"/>
        <v>123.90203161330662</v>
      </c>
      <c r="BU44" s="58">
        <f t="shared" si="68"/>
        <v>121.4885829373284</v>
      </c>
    </row>
    <row r="45" spans="1:73" s="56" customFormat="1" ht="14.25">
      <c r="A45" s="4" t="s">
        <v>102</v>
      </c>
      <c r="C45" s="57">
        <f t="shared" si="63"/>
        <v>0</v>
      </c>
      <c r="D45" s="57">
        <f t="shared" si="63"/>
        <v>0</v>
      </c>
      <c r="E45" s="57">
        <f t="shared" si="63"/>
        <v>0</v>
      </c>
      <c r="F45" s="57">
        <f t="shared" si="63"/>
        <v>0</v>
      </c>
      <c r="G45" s="57">
        <f t="shared" si="63"/>
        <v>0</v>
      </c>
      <c r="H45" s="57">
        <f t="shared" si="63"/>
        <v>0</v>
      </c>
      <c r="I45" s="57">
        <f t="shared" si="63"/>
        <v>0</v>
      </c>
      <c r="J45" s="57">
        <f t="shared" si="63"/>
        <v>0</v>
      </c>
      <c r="K45" s="57">
        <f t="shared" si="63"/>
        <v>0</v>
      </c>
      <c r="L45" s="57">
        <f t="shared" si="63"/>
        <v>0</v>
      </c>
      <c r="M45" s="57">
        <f t="shared" si="64"/>
        <v>0</v>
      </c>
      <c r="N45" s="57">
        <f t="shared" si="64"/>
        <v>0</v>
      </c>
      <c r="O45" s="57">
        <f t="shared" si="64"/>
        <v>0</v>
      </c>
      <c r="P45" s="57">
        <f t="shared" si="64"/>
        <v>0</v>
      </c>
      <c r="Q45" s="57">
        <f t="shared" si="64"/>
        <v>0</v>
      </c>
      <c r="R45" s="57">
        <f t="shared" si="64"/>
        <v>0</v>
      </c>
      <c r="S45" s="57">
        <f t="shared" si="64"/>
        <v>0</v>
      </c>
      <c r="T45" s="57">
        <f t="shared" si="64"/>
        <v>0</v>
      </c>
      <c r="U45" s="57">
        <f t="shared" si="64"/>
        <v>0</v>
      </c>
      <c r="V45" s="57">
        <f t="shared" ref="V45:V55" si="69">(SUM($AI45:$AM45)/SUM($AI$56:$AM$56))*V$56</f>
        <v>0</v>
      </c>
      <c r="W45" s="57">
        <f t="shared" si="65"/>
        <v>0</v>
      </c>
      <c r="X45" s="57">
        <f t="shared" si="65"/>
        <v>0</v>
      </c>
      <c r="Y45" s="57">
        <f t="shared" si="65"/>
        <v>0</v>
      </c>
      <c r="Z45" s="57">
        <f t="shared" si="65"/>
        <v>0</v>
      </c>
      <c r="AA45" s="57">
        <f t="shared" si="65"/>
        <v>0</v>
      </c>
      <c r="AB45" s="57">
        <f t="shared" si="65"/>
        <v>0</v>
      </c>
      <c r="AC45" s="57">
        <f t="shared" si="65"/>
        <v>0</v>
      </c>
      <c r="AD45" s="57">
        <f t="shared" si="65"/>
        <v>0</v>
      </c>
      <c r="AE45" s="58">
        <f t="shared" si="65"/>
        <v>2.6067873436518143</v>
      </c>
      <c r="AF45" s="58">
        <f t="shared" si="65"/>
        <v>8.7227114960656849</v>
      </c>
      <c r="AG45" s="58">
        <f t="shared" si="65"/>
        <v>9.3242778061391807</v>
      </c>
      <c r="AH45" s="58">
        <f t="shared" si="65"/>
        <v>10.126366219570508</v>
      </c>
      <c r="AI45" s="59">
        <f>'[1]Argentina Soybean Imports'!BW$290</f>
        <v>0.21</v>
      </c>
      <c r="AJ45" s="59">
        <f>'[1]Argentina Soybean Imports'!CI$290</f>
        <v>164.89500000000001</v>
      </c>
      <c r="AK45" s="59">
        <f>'[1]Argentina Soybean Imports'!CU$290</f>
        <v>0.03</v>
      </c>
      <c r="AL45" s="59">
        <f>'[1]Argentina Soybean Imports'!DG$290</f>
        <v>0.26500000000000001</v>
      </c>
      <c r="AM45" s="59">
        <f>'[1]Argentina Soybean Imports'!DS$290</f>
        <v>45.529000000000003</v>
      </c>
      <c r="AN45" s="59">
        <f>'[1]Argentina Soybean Imports'!EE$290</f>
        <v>0</v>
      </c>
      <c r="AO45" s="59">
        <f>'[1]Argentina Soybean Imports'!EQ$290</f>
        <v>2.1056520000000001</v>
      </c>
      <c r="AP45" s="59">
        <f>'[1]Argentina Soybean Imports'!FC$290</f>
        <v>5.082192</v>
      </c>
      <c r="AQ45" s="59">
        <f>'[1]Argentina Soybean Imports'!FO$290</f>
        <v>31.140307</v>
      </c>
      <c r="AR45" s="59">
        <f>'[1]Argentina Soybean Imports'!GA$290</f>
        <v>11.388999999999999</v>
      </c>
      <c r="AS45" s="59">
        <f>'[1]Argentina Soybean Imports'!GM$290</f>
        <v>121.16800000000001</v>
      </c>
      <c r="AT45" s="59">
        <f>'[1]Argentina Soybean Imports'!GY$290</f>
        <v>203.61199999999999</v>
      </c>
      <c r="AU45" s="59">
        <f>'[1]Argentina Soybean Imports'!H$290</f>
        <v>0</v>
      </c>
      <c r="AV45" s="59">
        <f>'[1]Argentina Soybean Imports'!HW$290</f>
        <v>1.7999999999999999E-2</v>
      </c>
      <c r="AW45" s="59">
        <f>'[1]Argentina Soybean Imports'!II$290</f>
        <v>3.3000000000000002E-2</v>
      </c>
      <c r="AX45" s="59">
        <f>'[1]Argentina Soybean Imports'!IU$290</f>
        <v>5.8999999999999997E-2</v>
      </c>
      <c r="AY45" s="59">
        <f>'[1]Argentina Soybean Imports'!JG$290</f>
        <v>0.17299999999999999</v>
      </c>
      <c r="AZ45" s="59">
        <f>'[1]Argentina Soybean Imports'!JS$290</f>
        <v>0.76</v>
      </c>
      <c r="BA45" s="59">
        <f>'[1]Argentina Soybean Imports'!KE$290</f>
        <v>5.5E-2</v>
      </c>
      <c r="BB45" s="59">
        <f>'[1]Argentina Soybean Imports'!KQ$290</f>
        <v>1E-3</v>
      </c>
      <c r="BC45" s="59">
        <f>'[1]Argentina Soybean Imports'!LC$290</f>
        <v>3.9786570000000001</v>
      </c>
      <c r="BD45" s="59">
        <f>'[1]Argentina Soybean Imports'!LO$290</f>
        <v>1.015045</v>
      </c>
      <c r="BE45" s="59">
        <f>'[1]Argentina Soybean Imports'!MA$290</f>
        <v>717.20227999999997</v>
      </c>
      <c r="BF45" s="59">
        <f>'[1]Argentina Soybean Imports'!MM$290</f>
        <v>6.1102999999999998E-2</v>
      </c>
      <c r="BG45" s="59">
        <f>'[1]Argentina Soybean Imports'!MY$290</f>
        <v>59.320912999999997</v>
      </c>
      <c r="BH45" s="59">
        <f>'[1]Argentina Soybean Imports'!NK$290</f>
        <v>0</v>
      </c>
      <c r="BI45" s="59">
        <f>'[1]Argentina Soybean Imports'!NW$290</f>
        <v>17.632000000000001</v>
      </c>
      <c r="BJ45" s="58">
        <f t="shared" si="66"/>
        <v>134.81238463423526</v>
      </c>
      <c r="BK45" s="58">
        <f t="shared" si="67"/>
        <v>36.261605494948903</v>
      </c>
      <c r="BL45" s="58">
        <f t="shared" si="68"/>
        <v>42.793412133259437</v>
      </c>
      <c r="BM45" s="58">
        <f t="shared" si="68"/>
        <v>39.69606118072948</v>
      </c>
      <c r="BN45" s="58">
        <f t="shared" si="68"/>
        <v>44.168642254588448</v>
      </c>
      <c r="BO45" s="58">
        <f t="shared" si="68"/>
        <v>59.546421139552308</v>
      </c>
      <c r="BP45" s="58">
        <f t="shared" ref="BP45:BU45" si="70">(SUM(BK45:BO45)/SUM(BK$56:BO$56))*BP$56</f>
        <v>44.493228440615709</v>
      </c>
      <c r="BQ45" s="58">
        <f t="shared" si="70"/>
        <v>46.139553029749088</v>
      </c>
      <c r="BR45" s="58">
        <f t="shared" si="70"/>
        <v>46.808781209047005</v>
      </c>
      <c r="BS45" s="58">
        <f t="shared" si="70"/>
        <v>48.231325214710509</v>
      </c>
      <c r="BT45" s="58">
        <f t="shared" si="70"/>
        <v>49.043861806734931</v>
      </c>
      <c r="BU45" s="58">
        <f t="shared" si="70"/>
        <v>46.943349940171444</v>
      </c>
    </row>
    <row r="46" spans="1:73" s="56" customFormat="1" ht="14.25">
      <c r="A46" s="4" t="s">
        <v>103</v>
      </c>
      <c r="C46" s="57">
        <f t="shared" si="63"/>
        <v>0</v>
      </c>
      <c r="D46" s="57">
        <f t="shared" si="63"/>
        <v>0</v>
      </c>
      <c r="E46" s="57">
        <f t="shared" si="63"/>
        <v>0</v>
      </c>
      <c r="F46" s="57">
        <f t="shared" si="63"/>
        <v>0</v>
      </c>
      <c r="G46" s="57">
        <f t="shared" si="63"/>
        <v>0</v>
      </c>
      <c r="H46" s="57">
        <f t="shared" si="63"/>
        <v>0</v>
      </c>
      <c r="I46" s="57">
        <f t="shared" si="63"/>
        <v>0</v>
      </c>
      <c r="J46" s="57">
        <f t="shared" si="63"/>
        <v>0</v>
      </c>
      <c r="K46" s="57">
        <f t="shared" si="63"/>
        <v>0</v>
      </c>
      <c r="L46" s="57">
        <f t="shared" si="63"/>
        <v>0</v>
      </c>
      <c r="M46" s="57">
        <f t="shared" si="64"/>
        <v>0</v>
      </c>
      <c r="N46" s="57">
        <f t="shared" si="64"/>
        <v>0</v>
      </c>
      <c r="O46" s="57">
        <f t="shared" si="64"/>
        <v>0</v>
      </c>
      <c r="P46" s="57">
        <f t="shared" si="64"/>
        <v>0</v>
      </c>
      <c r="Q46" s="57">
        <f t="shared" si="64"/>
        <v>0</v>
      </c>
      <c r="R46" s="57">
        <f t="shared" si="64"/>
        <v>0</v>
      </c>
      <c r="S46" s="57">
        <f t="shared" si="64"/>
        <v>0</v>
      </c>
      <c r="T46" s="57">
        <f t="shared" si="64"/>
        <v>0</v>
      </c>
      <c r="U46" s="57">
        <f t="shared" si="64"/>
        <v>0</v>
      </c>
      <c r="V46" s="57">
        <f t="shared" si="69"/>
        <v>0</v>
      </c>
      <c r="W46" s="57">
        <f t="shared" si="65"/>
        <v>0</v>
      </c>
      <c r="X46" s="57">
        <f t="shared" si="65"/>
        <v>0</v>
      </c>
      <c r="Y46" s="57">
        <f t="shared" si="65"/>
        <v>0</v>
      </c>
      <c r="Z46" s="57">
        <f t="shared" si="65"/>
        <v>0</v>
      </c>
      <c r="AA46" s="57">
        <f t="shared" si="65"/>
        <v>0</v>
      </c>
      <c r="AB46" s="57">
        <f t="shared" si="65"/>
        <v>0</v>
      </c>
      <c r="AC46" s="57">
        <f t="shared" si="65"/>
        <v>0</v>
      </c>
      <c r="AD46" s="57">
        <f t="shared" si="65"/>
        <v>0</v>
      </c>
      <c r="AE46" s="58">
        <f t="shared" si="65"/>
        <v>5.7380984296020808E-2</v>
      </c>
      <c r="AF46" s="58">
        <f t="shared" si="65"/>
        <v>0.19200560129822347</v>
      </c>
      <c r="AG46" s="58">
        <f t="shared" si="65"/>
        <v>0.20524736690499751</v>
      </c>
      <c r="AH46" s="58">
        <f t="shared" si="65"/>
        <v>0.22290305438069621</v>
      </c>
      <c r="AI46" s="59">
        <f>'[1]Argentina Soybean Imports'!BX$290</f>
        <v>4.0000000000000001E-3</v>
      </c>
      <c r="AJ46" s="59">
        <f>'[1]Argentina Soybean Imports'!CJ$290</f>
        <v>2.6120000000000001</v>
      </c>
      <c r="AK46" s="59">
        <f>'[1]Argentina Soybean Imports'!CV$290</f>
        <v>0</v>
      </c>
      <c r="AL46" s="59">
        <f>'[1]Argentina Soybean Imports'!DH$290</f>
        <v>5.0000000000000001E-3</v>
      </c>
      <c r="AM46" s="59">
        <f>'[1]Argentina Soybean Imports'!DT$290</f>
        <v>2.0219999999999998</v>
      </c>
      <c r="AN46" s="59">
        <f>'[1]Argentina Soybean Imports'!EF$290</f>
        <v>1.1000000000000001</v>
      </c>
      <c r="AO46" s="59">
        <f>'[1]Argentina Soybean Imports'!ER$290</f>
        <v>3.9999999999999998E-6</v>
      </c>
      <c r="AP46" s="59">
        <f>'[1]Argentina Soybean Imports'!FD$290</f>
        <v>40.403649999999999</v>
      </c>
      <c r="AQ46" s="59">
        <f>'[1]Argentina Soybean Imports'!FP$290</f>
        <v>122.42149200000001</v>
      </c>
      <c r="AR46" s="59">
        <f>'[1]Argentina Soybean Imports'!GB$290</f>
        <v>137.19</v>
      </c>
      <c r="AS46" s="59">
        <f>'[1]Argentina Soybean Imports'!GN$290</f>
        <v>180.35599999999999</v>
      </c>
      <c r="AT46" s="59">
        <f>'[1]Argentina Soybean Imports'!GZ$290</f>
        <v>178.828</v>
      </c>
      <c r="AU46" s="59">
        <f>'[1]Argentina Soybean Imports'!HL$290</f>
        <v>279.57499999999999</v>
      </c>
      <c r="AV46" s="59">
        <f>'[1]Argentina Soybean Imports'!HX$290</f>
        <v>5.0000000000000001E-3</v>
      </c>
      <c r="AW46" s="59">
        <f>'[1]Argentina Soybean Imports'!IJ$290</f>
        <v>0</v>
      </c>
      <c r="AX46" s="59">
        <f>'[1]Argentina Soybean Imports'!IV$290</f>
        <v>0</v>
      </c>
      <c r="AY46" s="59">
        <f>'[1]Argentina Soybean Imports'!JH$290</f>
        <v>9.4E-2</v>
      </c>
      <c r="AZ46" s="59">
        <f>'[1]Argentina Soybean Imports'!JT$290</f>
        <v>0</v>
      </c>
      <c r="BA46" s="59">
        <f>'[1]Argentina Soybean Imports'!KF$290</f>
        <v>0.14399999999999999</v>
      </c>
      <c r="BB46" s="59">
        <f>'[1]Argentina Soybean Imports'!KR$290</f>
        <v>25.984999999999999</v>
      </c>
      <c r="BC46" s="59">
        <f>'[1]Argentina Soybean Imports'!LD$290</f>
        <v>243.70236600000001</v>
      </c>
      <c r="BD46" s="59">
        <f>'[1]Argentina Soybean Imports'!LP$290</f>
        <v>363.00524200000001</v>
      </c>
      <c r="BE46" s="59">
        <f>'[1]Argentina Soybean Imports'!MB$290</f>
        <v>680.25665800000002</v>
      </c>
      <c r="BF46" s="59">
        <f>'[1]Argentina Soybean Imports'!MN$290</f>
        <v>587.85111400000005</v>
      </c>
      <c r="BG46" s="59">
        <f>'[1]Argentina Soybean Imports'!MZ$290</f>
        <v>22.118145999999999</v>
      </c>
      <c r="BH46" s="59">
        <f>'[1]Argentina Soybean Imports'!NL$290</f>
        <v>152.685</v>
      </c>
      <c r="BI46" s="59">
        <f>'[1]Argentina Soybean Imports'!NX$290</f>
        <v>395.58800000000002</v>
      </c>
      <c r="BJ46" s="58">
        <f t="shared" si="66"/>
        <v>312.0716919702204</v>
      </c>
      <c r="BK46" s="58">
        <f t="shared" si="67"/>
        <v>251.69640951471888</v>
      </c>
      <c r="BL46" s="58">
        <f t="shared" si="68"/>
        <v>195.68257914784073</v>
      </c>
      <c r="BM46" s="58">
        <f t="shared" si="68"/>
        <v>224.24023011099251</v>
      </c>
      <c r="BN46" s="58">
        <f t="shared" si="68"/>
        <v>224.63825907879033</v>
      </c>
      <c r="BO46" s="58">
        <f t="shared" si="68"/>
        <v>241.66583396451256</v>
      </c>
      <c r="BP46" s="58">
        <f t="shared" ref="BP46:BU46" si="71">(SUM(BK46:BO46)/SUM(BK$56:BO$56))*BP$56</f>
        <v>227.584662363371</v>
      </c>
      <c r="BQ46" s="58">
        <f t="shared" si="71"/>
        <v>222.76231293310144</v>
      </c>
      <c r="BR46" s="58">
        <f t="shared" si="71"/>
        <v>228.17825969015357</v>
      </c>
      <c r="BS46" s="58">
        <f t="shared" si="71"/>
        <v>228.96586560598575</v>
      </c>
      <c r="BT46" s="58">
        <f t="shared" si="71"/>
        <v>229.83138691142483</v>
      </c>
      <c r="BU46" s="58">
        <f t="shared" si="71"/>
        <v>227.46449750080731</v>
      </c>
    </row>
    <row r="47" spans="1:73" s="56" customFormat="1" ht="14.25">
      <c r="A47" s="4" t="s">
        <v>104</v>
      </c>
      <c r="C47" s="57">
        <f t="shared" si="63"/>
        <v>0</v>
      </c>
      <c r="D47" s="57">
        <f t="shared" si="63"/>
        <v>0</v>
      </c>
      <c r="E47" s="57">
        <f t="shared" si="63"/>
        <v>0</v>
      </c>
      <c r="F47" s="57">
        <f t="shared" si="63"/>
        <v>0</v>
      </c>
      <c r="G47" s="57">
        <f t="shared" si="63"/>
        <v>0</v>
      </c>
      <c r="H47" s="57">
        <f t="shared" si="63"/>
        <v>0</v>
      </c>
      <c r="I47" s="57">
        <f t="shared" si="63"/>
        <v>0</v>
      </c>
      <c r="J47" s="57">
        <f t="shared" si="63"/>
        <v>0</v>
      </c>
      <c r="K47" s="57">
        <f t="shared" si="63"/>
        <v>0</v>
      </c>
      <c r="L47" s="57">
        <f t="shared" si="63"/>
        <v>0</v>
      </c>
      <c r="M47" s="57">
        <f t="shared" si="64"/>
        <v>0</v>
      </c>
      <c r="N47" s="57">
        <f t="shared" si="64"/>
        <v>0</v>
      </c>
      <c r="O47" s="57">
        <f t="shared" si="64"/>
        <v>0</v>
      </c>
      <c r="P47" s="57">
        <f t="shared" si="64"/>
        <v>0</v>
      </c>
      <c r="Q47" s="57">
        <f t="shared" si="64"/>
        <v>0</v>
      </c>
      <c r="R47" s="57">
        <f t="shared" si="64"/>
        <v>0</v>
      </c>
      <c r="S47" s="57">
        <f t="shared" si="64"/>
        <v>0</v>
      </c>
      <c r="T47" s="57">
        <f t="shared" si="64"/>
        <v>0</v>
      </c>
      <c r="U47" s="57">
        <f t="shared" si="64"/>
        <v>0</v>
      </c>
      <c r="V47" s="57">
        <f t="shared" si="69"/>
        <v>0</v>
      </c>
      <c r="W47" s="57">
        <f t="shared" si="65"/>
        <v>0</v>
      </c>
      <c r="X47" s="57">
        <f t="shared" si="65"/>
        <v>0</v>
      </c>
      <c r="Y47" s="57">
        <f t="shared" si="65"/>
        <v>0</v>
      </c>
      <c r="Z47" s="57">
        <f t="shared" si="65"/>
        <v>0</v>
      </c>
      <c r="AA47" s="57">
        <f t="shared" si="65"/>
        <v>0</v>
      </c>
      <c r="AB47" s="57">
        <f t="shared" si="65"/>
        <v>0</v>
      </c>
      <c r="AC47" s="57">
        <f t="shared" si="65"/>
        <v>0</v>
      </c>
      <c r="AD47" s="57">
        <f t="shared" si="65"/>
        <v>0</v>
      </c>
      <c r="AE47" s="58">
        <f t="shared" si="65"/>
        <v>1.3447764471684069</v>
      </c>
      <c r="AF47" s="58">
        <f t="shared" si="65"/>
        <v>4.4998288809096696</v>
      </c>
      <c r="AG47" s="58">
        <f t="shared" si="65"/>
        <v>4.8101619071793023</v>
      </c>
      <c r="AH47" s="58">
        <f t="shared" si="65"/>
        <v>5.2239392755388119</v>
      </c>
      <c r="AI47" s="59">
        <f>'[1]Argentina Soybean Imports'!BY$290</f>
        <v>4.4999999999999998E-2</v>
      </c>
      <c r="AJ47" s="59">
        <f>'[1]Argentina Soybean Imports'!CK$290</f>
        <v>49.945</v>
      </c>
      <c r="AK47" s="59">
        <f>'[1]Argentina Soybean Imports'!CW$290</f>
        <v>43.238</v>
      </c>
      <c r="AL47" s="59">
        <f>'[1]Argentina Soybean Imports'!DI$290</f>
        <v>0</v>
      </c>
      <c r="AM47" s="59">
        <f>'[1]Argentina Soybean Imports'!DU$290</f>
        <v>15.585000000000001</v>
      </c>
      <c r="AN47" s="59">
        <f>'[1]Argentina Soybean Imports'!EG$290</f>
        <v>24.42</v>
      </c>
      <c r="AO47" s="59">
        <f>'[1]Argentina Soybean Imports'!ES$290</f>
        <v>59.326120000000003</v>
      </c>
      <c r="AP47" s="59">
        <f>'[1]Argentina Soybean Imports'!FE$290</f>
        <v>55.094114000000005</v>
      </c>
      <c r="AQ47" s="59">
        <f>'[1]Argentina Soybean Imports'!FQ$290</f>
        <v>106.43180500000001</v>
      </c>
      <c r="AR47" s="59">
        <f>'[1]Argentina Soybean Imports'!GC$290</f>
        <v>72.465000000000003</v>
      </c>
      <c r="AS47" s="59">
        <f>'[1]Argentina Soybean Imports'!GO$290</f>
        <v>219.63300000000001</v>
      </c>
      <c r="AT47" s="59">
        <f>'[1]Argentina Soybean Imports'!HA$290</f>
        <v>229.08500000000001</v>
      </c>
      <c r="AU47" s="59">
        <f>'[1]Argentina Soybean Imports'!HM$290</f>
        <v>359.08199999999999</v>
      </c>
      <c r="AV47" s="59">
        <f>'[1]Argentina Soybean Imports'!HY$290</f>
        <v>0</v>
      </c>
      <c r="AW47" s="59">
        <f>'[1]Argentina Soybean Imports'!IK$290</f>
        <v>0</v>
      </c>
      <c r="AX47" s="59">
        <f>'[1]Argentina Soybean Imports'!IW$290</f>
        <v>0</v>
      </c>
      <c r="AY47" s="59">
        <f>'[1]Argentina Soybean Imports'!JI$290</f>
        <v>0.41399999999999998</v>
      </c>
      <c r="AZ47" s="59">
        <f>'[1]Argentina Soybean Imports'!JU$290</f>
        <v>0</v>
      </c>
      <c r="BA47" s="59">
        <f>'[1]Argentina Soybean Imports'!KG$290</f>
        <v>0</v>
      </c>
      <c r="BB47" s="59">
        <f>'[1]Argentina Soybean Imports'!KS$290</f>
        <v>114.167</v>
      </c>
      <c r="BC47" s="59">
        <f>'[1]Argentina Soybean Imports'!LE$290</f>
        <v>342.35738600000002</v>
      </c>
      <c r="BD47" s="59">
        <f>'[1]Argentina Soybean Imports'!LQ$290</f>
        <v>928.43466699999999</v>
      </c>
      <c r="BE47" s="59">
        <f>'[1]Argentina Soybean Imports'!MC$290</f>
        <v>707.26856299999997</v>
      </c>
      <c r="BF47" s="59">
        <f>'[1]Argentina Soybean Imports'!MO$290</f>
        <v>757.65179999999998</v>
      </c>
      <c r="BG47" s="59">
        <f>'[1]Argentina Soybean Imports'!NA$290</f>
        <v>885.87094200000001</v>
      </c>
      <c r="BH47" s="59">
        <f>'[1]Argentina Soybean Imports'!NM$290</f>
        <v>386.68599999999998</v>
      </c>
      <c r="BI47" s="59">
        <f>'[1]Argentina Soybean Imports'!NY$290</f>
        <v>1387.001</v>
      </c>
      <c r="BJ47" s="58">
        <f t="shared" si="66"/>
        <v>700.0999078835556</v>
      </c>
      <c r="BK47" s="58">
        <f t="shared" si="67"/>
        <v>704.82365643564583</v>
      </c>
      <c r="BL47" s="58">
        <f t="shared" si="68"/>
        <v>701.26679813171779</v>
      </c>
      <c r="BM47" s="58">
        <f t="shared" si="68"/>
        <v>665.29696253373515</v>
      </c>
      <c r="BN47" s="58">
        <f t="shared" si="68"/>
        <v>677.27822882486225</v>
      </c>
      <c r="BO47" s="58">
        <f t="shared" si="68"/>
        <v>689.75311076190326</v>
      </c>
      <c r="BP47" s="58">
        <f t="shared" si="68"/>
        <v>687.68375133757286</v>
      </c>
      <c r="BQ47" s="58">
        <f t="shared" si="68"/>
        <v>684.25577031795819</v>
      </c>
      <c r="BR47" s="58">
        <f t="shared" si="68"/>
        <v>680.85356475520632</v>
      </c>
      <c r="BS47" s="58">
        <f t="shared" si="68"/>
        <v>683.96488519950049</v>
      </c>
      <c r="BT47" s="58">
        <f t="shared" si="68"/>
        <v>685.30221647442806</v>
      </c>
      <c r="BU47" s="58">
        <f t="shared" si="68"/>
        <v>684.41203761693328</v>
      </c>
    </row>
    <row r="48" spans="1:73" s="56" customFormat="1" ht="14.25">
      <c r="A48" s="4" t="s">
        <v>105</v>
      </c>
      <c r="C48" s="57">
        <f t="shared" si="63"/>
        <v>0</v>
      </c>
      <c r="D48" s="57">
        <f t="shared" si="63"/>
        <v>0</v>
      </c>
      <c r="E48" s="57">
        <f t="shared" si="63"/>
        <v>0</v>
      </c>
      <c r="F48" s="57">
        <f t="shared" si="63"/>
        <v>0</v>
      </c>
      <c r="G48" s="57">
        <f t="shared" si="63"/>
        <v>0</v>
      </c>
      <c r="H48" s="57">
        <f t="shared" si="63"/>
        <v>0</v>
      </c>
      <c r="I48" s="57">
        <f t="shared" si="63"/>
        <v>0</v>
      </c>
      <c r="J48" s="57">
        <f t="shared" si="63"/>
        <v>0</v>
      </c>
      <c r="K48" s="57">
        <f t="shared" si="63"/>
        <v>0</v>
      </c>
      <c r="L48" s="57">
        <f t="shared" si="63"/>
        <v>0</v>
      </c>
      <c r="M48" s="57">
        <f t="shared" si="64"/>
        <v>0</v>
      </c>
      <c r="N48" s="57">
        <f t="shared" si="64"/>
        <v>0</v>
      </c>
      <c r="O48" s="57">
        <f t="shared" si="64"/>
        <v>0</v>
      </c>
      <c r="P48" s="57">
        <f t="shared" si="64"/>
        <v>0</v>
      </c>
      <c r="Q48" s="57">
        <f t="shared" si="64"/>
        <v>0</v>
      </c>
      <c r="R48" s="57">
        <f t="shared" si="64"/>
        <v>0</v>
      </c>
      <c r="S48" s="57">
        <f t="shared" si="64"/>
        <v>0</v>
      </c>
      <c r="T48" s="57">
        <f t="shared" si="64"/>
        <v>0</v>
      </c>
      <c r="U48" s="57">
        <f t="shared" si="64"/>
        <v>0</v>
      </c>
      <c r="V48" s="57">
        <f t="shared" si="69"/>
        <v>0</v>
      </c>
      <c r="W48" s="57">
        <f t="shared" si="65"/>
        <v>0</v>
      </c>
      <c r="X48" s="57">
        <f t="shared" si="65"/>
        <v>0</v>
      </c>
      <c r="Y48" s="57">
        <f t="shared" si="65"/>
        <v>0</v>
      </c>
      <c r="Z48" s="57">
        <f t="shared" si="65"/>
        <v>0</v>
      </c>
      <c r="AA48" s="57">
        <f t="shared" si="65"/>
        <v>0</v>
      </c>
      <c r="AB48" s="57">
        <f t="shared" si="65"/>
        <v>0</v>
      </c>
      <c r="AC48" s="57">
        <f t="shared" si="65"/>
        <v>0</v>
      </c>
      <c r="AD48" s="57">
        <f t="shared" si="65"/>
        <v>0</v>
      </c>
      <c r="AE48" s="58">
        <f t="shared" si="65"/>
        <v>4.395163413977957</v>
      </c>
      <c r="AF48" s="58">
        <f t="shared" si="65"/>
        <v>14.70689296215701</v>
      </c>
      <c r="AG48" s="58">
        <f t="shared" si="65"/>
        <v>15.721161442305769</v>
      </c>
      <c r="AH48" s="58">
        <f t="shared" si="65"/>
        <v>17.073519415837449</v>
      </c>
      <c r="AI48" s="59">
        <f>'[1]Argentina Soybean Imports'!BZ$290</f>
        <v>22.645</v>
      </c>
      <c r="AJ48" s="59">
        <f>'[1]Argentina Soybean Imports'!CL$290</f>
        <v>113.871</v>
      </c>
      <c r="AK48" s="59">
        <f>'[1]Argentina Soybean Imports'!CX$290</f>
        <v>108.86</v>
      </c>
      <c r="AL48" s="59">
        <f>'[1]Argentina Soybean Imports'!DJ$290</f>
        <v>41.206000000000003</v>
      </c>
      <c r="AM48" s="59">
        <f>'[1]Argentina Soybean Imports'!DV$290</f>
        <v>69.054000000000002</v>
      </c>
      <c r="AN48" s="59">
        <f>'[1]Argentina Soybean Imports'!EH$290</f>
        <v>43.506999999999998</v>
      </c>
      <c r="AO48" s="59">
        <f>'[1]Argentina Soybean Imports'!ET$290</f>
        <v>62.837148999999997</v>
      </c>
      <c r="AP48" s="59">
        <f>'[1]Argentina Soybean Imports'!FF$290</f>
        <v>59.112068000000008</v>
      </c>
      <c r="AQ48" s="59">
        <f>'[1]Argentina Soybean Imports'!FR$290</f>
        <v>112.32764</v>
      </c>
      <c r="AR48" s="59">
        <f>'[1]Argentina Soybean Imports'!GD$290</f>
        <v>13.835000000000001</v>
      </c>
      <c r="AS48" s="59">
        <f>'[1]Argentina Soybean Imports'!GP$290</f>
        <v>232.005</v>
      </c>
      <c r="AT48" s="59">
        <f>'[1]Argentina Soybean Imports'!HB$290</f>
        <v>359.91800000000001</v>
      </c>
      <c r="AU48" s="59">
        <f>'[1]Argentina Soybean Imports'!HN$290</f>
        <v>141.65</v>
      </c>
      <c r="AV48" s="59">
        <f>'[1]Argentina Soybean Imports'!HZ$290</f>
        <v>0</v>
      </c>
      <c r="AW48" s="59">
        <f>'[1]Argentina Soybean Imports'!IL$290</f>
        <v>0</v>
      </c>
      <c r="AX48" s="59">
        <f>'[1]Argentina Soybean Imports'!IX$290</f>
        <v>0</v>
      </c>
      <c r="AY48" s="59">
        <f>'[1]Argentina Soybean Imports'!JJ$290</f>
        <v>0.114</v>
      </c>
      <c r="AZ48" s="59">
        <f>'[1]Argentina Soybean Imports'!JV$290</f>
        <v>0</v>
      </c>
      <c r="BA48" s="59">
        <f>'[1]Argentina Soybean Imports'!KH$290</f>
        <v>0</v>
      </c>
      <c r="BB48" s="59">
        <f>'[1]Argentina Soybean Imports'!KT$290</f>
        <v>136.13</v>
      </c>
      <c r="BC48" s="59">
        <f>'[1]Argentina Soybean Imports'!LF$290</f>
        <v>140.52289300000001</v>
      </c>
      <c r="BD48" s="59">
        <f>'[1]Argentina Soybean Imports'!LR$290</f>
        <v>556.13867300000004</v>
      </c>
      <c r="BE48" s="59">
        <f>'[1]Argentina Soybean Imports'!MD$290</f>
        <v>553.27210200000002</v>
      </c>
      <c r="BF48" s="59">
        <f>'[1]Argentina Soybean Imports'!MP$290</f>
        <v>377.54288300000002</v>
      </c>
      <c r="BG48" s="59">
        <f>'[1]Argentina Soybean Imports'!NB$290</f>
        <v>719.10179800000003</v>
      </c>
      <c r="BH48" s="59">
        <f>'[1]Argentina Soybean Imports'!NN$290</f>
        <v>403.88099999999997</v>
      </c>
      <c r="BI48" s="59">
        <f>'[1]Argentina Soybean Imports'!NZ$290</f>
        <v>1249.3</v>
      </c>
      <c r="BJ48" s="58">
        <f t="shared" si="66"/>
        <v>560.67659534183849</v>
      </c>
      <c r="BK48" s="58">
        <f t="shared" si="67"/>
        <v>566.70994349812236</v>
      </c>
      <c r="BL48" s="58">
        <f t="shared" si="68"/>
        <v>603.81672460555478</v>
      </c>
      <c r="BM48" s="58">
        <f t="shared" si="68"/>
        <v>580.33292297025719</v>
      </c>
      <c r="BN48" s="58">
        <f t="shared" si="68"/>
        <v>579.94074697325289</v>
      </c>
      <c r="BO48" s="58">
        <f t="shared" si="68"/>
        <v>578.29538667780514</v>
      </c>
      <c r="BP48" s="58">
        <f t="shared" si="68"/>
        <v>581.81914494499847</v>
      </c>
      <c r="BQ48" s="58">
        <f t="shared" si="68"/>
        <v>584.84098523437365</v>
      </c>
      <c r="BR48" s="58">
        <f t="shared" si="68"/>
        <v>581.04583736013763</v>
      </c>
      <c r="BS48" s="58">
        <f t="shared" si="68"/>
        <v>581.18842023811362</v>
      </c>
      <c r="BT48" s="58">
        <f t="shared" si="68"/>
        <v>581.43795489108561</v>
      </c>
      <c r="BU48" s="58">
        <f t="shared" si="68"/>
        <v>582.06646853374184</v>
      </c>
    </row>
    <row r="49" spans="1:76" s="56" customFormat="1" ht="14.25">
      <c r="A49" s="4" t="s">
        <v>106</v>
      </c>
      <c r="C49" s="57">
        <f t="shared" si="63"/>
        <v>0</v>
      </c>
      <c r="D49" s="57">
        <f t="shared" si="63"/>
        <v>0</v>
      </c>
      <c r="E49" s="57">
        <f t="shared" si="63"/>
        <v>0</v>
      </c>
      <c r="F49" s="57">
        <f t="shared" si="63"/>
        <v>0</v>
      </c>
      <c r="G49" s="57">
        <f t="shared" si="63"/>
        <v>0</v>
      </c>
      <c r="H49" s="57">
        <f t="shared" si="63"/>
        <v>0</v>
      </c>
      <c r="I49" s="57">
        <f t="shared" si="63"/>
        <v>0</v>
      </c>
      <c r="J49" s="57">
        <f t="shared" si="63"/>
        <v>0</v>
      </c>
      <c r="K49" s="57">
        <f t="shared" si="63"/>
        <v>0</v>
      </c>
      <c r="L49" s="57">
        <f t="shared" si="63"/>
        <v>0</v>
      </c>
      <c r="M49" s="57">
        <f t="shared" si="64"/>
        <v>0</v>
      </c>
      <c r="N49" s="57">
        <f t="shared" si="64"/>
        <v>0</v>
      </c>
      <c r="O49" s="57">
        <f t="shared" si="64"/>
        <v>0</v>
      </c>
      <c r="P49" s="57">
        <f t="shared" si="64"/>
        <v>0</v>
      </c>
      <c r="Q49" s="57">
        <f t="shared" si="64"/>
        <v>0</v>
      </c>
      <c r="R49" s="57">
        <f t="shared" si="64"/>
        <v>0</v>
      </c>
      <c r="S49" s="57">
        <f t="shared" si="64"/>
        <v>0</v>
      </c>
      <c r="T49" s="57">
        <f t="shared" si="64"/>
        <v>0</v>
      </c>
      <c r="U49" s="57">
        <f t="shared" si="64"/>
        <v>0</v>
      </c>
      <c r="V49" s="57">
        <f t="shared" si="69"/>
        <v>0</v>
      </c>
      <c r="W49" s="57">
        <f t="shared" si="65"/>
        <v>0</v>
      </c>
      <c r="X49" s="57">
        <f t="shared" si="65"/>
        <v>0</v>
      </c>
      <c r="Y49" s="57">
        <f t="shared" si="65"/>
        <v>0</v>
      </c>
      <c r="Z49" s="57">
        <f t="shared" si="65"/>
        <v>0</v>
      </c>
      <c r="AA49" s="57">
        <f t="shared" si="65"/>
        <v>0</v>
      </c>
      <c r="AB49" s="57">
        <f t="shared" si="65"/>
        <v>0</v>
      </c>
      <c r="AC49" s="57">
        <f t="shared" si="65"/>
        <v>0</v>
      </c>
      <c r="AD49" s="57">
        <f t="shared" si="65"/>
        <v>0</v>
      </c>
      <c r="AE49" s="58">
        <f t="shared" si="65"/>
        <v>2.3641509308403181</v>
      </c>
      <c r="AF49" s="58">
        <f t="shared" si="65"/>
        <v>7.9108127301195257</v>
      </c>
      <c r="AG49" s="58">
        <f t="shared" si="65"/>
        <v>8.4563860218519071</v>
      </c>
      <c r="AH49" s="58">
        <f t="shared" si="65"/>
        <v>9.1838170774950818</v>
      </c>
      <c r="AI49" s="59">
        <f>'[1]Argentina Soybean Imports'!CA$290</f>
        <v>20.515000000000001</v>
      </c>
      <c r="AJ49" s="59">
        <f>'[1]Argentina Soybean Imports'!CM$290</f>
        <v>67.944999999999993</v>
      </c>
      <c r="AK49" s="59">
        <f>'[1]Argentina Soybean Imports'!CY$290</f>
        <v>38.049999999999997</v>
      </c>
      <c r="AL49" s="59">
        <f>'[1]Argentina Soybean Imports'!DK$290</f>
        <v>53.533999999999999</v>
      </c>
      <c r="AM49" s="59">
        <f>'[1]Argentina Soybean Imports'!DW$290</f>
        <v>11.252000000000001</v>
      </c>
      <c r="AN49" s="59">
        <f>'[1]Argentina Soybean Imports'!EI$290</f>
        <v>46.04</v>
      </c>
      <c r="AO49" s="59">
        <f>'[1]Argentina Soybean Imports'!EU$290</f>
        <v>35.658839999999998</v>
      </c>
      <c r="AP49" s="59">
        <f>'[1]Argentina Soybean Imports'!FG$290</f>
        <v>52.480677999999997</v>
      </c>
      <c r="AQ49" s="59">
        <f>'[1]Argentina Soybean Imports'!FS$290</f>
        <v>43.833978999999999</v>
      </c>
      <c r="AR49" s="59">
        <f>'[1]Argentina Soybean Imports'!GE$290</f>
        <v>36.698</v>
      </c>
      <c r="AS49" s="59">
        <f>'[1]Argentina Soybean Imports'!GQ$290</f>
        <v>231.31700000000001</v>
      </c>
      <c r="AT49" s="59">
        <f>'[1]Argentina Soybean Imports'!HC$290</f>
        <v>294.87900000000002</v>
      </c>
      <c r="AU49" s="59">
        <f>'[1]Argentina Soybean Imports'!HO$290</f>
        <v>6.0629999999999997</v>
      </c>
      <c r="AV49" s="59">
        <f>'[1]Argentina Soybean Imports'!IA$290</f>
        <v>0</v>
      </c>
      <c r="AW49" s="59">
        <f>'[1]Argentina Soybean Imports'!IM$290</f>
        <v>0</v>
      </c>
      <c r="AX49" s="59">
        <f>'[1]Argentina Soybean Imports'!IY$290</f>
        <v>0</v>
      </c>
      <c r="AY49" s="59">
        <f>'[1]Argentina Soybean Imports'!JK$290</f>
        <v>9.6000000000000002E-2</v>
      </c>
      <c r="AZ49" s="59">
        <f>'[1]Argentina Soybean Imports'!JW$290</f>
        <v>0</v>
      </c>
      <c r="BA49" s="59">
        <f>'[1]Argentina Soybean Imports'!KI$290</f>
        <v>0</v>
      </c>
      <c r="BB49" s="59">
        <f>'[1]Argentina Soybean Imports'!KU$290</f>
        <v>129.85</v>
      </c>
      <c r="BC49" s="59">
        <f>'[1]Argentina Soybean Imports'!LG$290</f>
        <v>205.75932399999999</v>
      </c>
      <c r="BD49" s="59">
        <f>'[1]Argentina Soybean Imports'!LS$290</f>
        <v>578.51467400000001</v>
      </c>
      <c r="BE49" s="59">
        <f>'[1]Argentina Soybean Imports'!ME$290</f>
        <v>470.59333400000003</v>
      </c>
      <c r="BF49" s="59">
        <f>'[1]Argentina Soybean Imports'!MQ$290</f>
        <v>666.10695599999997</v>
      </c>
      <c r="BG49" s="59">
        <f>'[1]Argentina Soybean Imports'!NC$290</f>
        <v>648.50961099999995</v>
      </c>
      <c r="BH49" s="59">
        <f>'[1]Argentina Soybean Imports'!NO$290</f>
        <v>533.70000000000005</v>
      </c>
      <c r="BI49" s="59">
        <f>'[1]Argentina Soybean Imports'!OA$290</f>
        <v>1367.0640000000001</v>
      </c>
      <c r="BJ49" s="58">
        <f t="shared" si="66"/>
        <v>625.66700506654513</v>
      </c>
      <c r="BK49" s="58">
        <f t="shared" si="67"/>
        <v>657.53159817935193</v>
      </c>
      <c r="BL49" s="58">
        <f t="shared" si="68"/>
        <v>661.23699036014932</v>
      </c>
      <c r="BM49" s="58">
        <f t="shared" si="68"/>
        <v>659.35063688354319</v>
      </c>
      <c r="BN49" s="58">
        <f t="shared" si="68"/>
        <v>646.71827858136635</v>
      </c>
      <c r="BO49" s="58">
        <f t="shared" si="68"/>
        <v>650.10090181419127</v>
      </c>
      <c r="BP49" s="58">
        <f t="shared" si="68"/>
        <v>654.98768116372048</v>
      </c>
      <c r="BQ49" s="58">
        <f t="shared" si="68"/>
        <v>654.47889776059424</v>
      </c>
      <c r="BR49" s="58">
        <f t="shared" si="68"/>
        <v>653.12727924068304</v>
      </c>
      <c r="BS49" s="58">
        <f t="shared" si="68"/>
        <v>651.88260771211105</v>
      </c>
      <c r="BT49" s="58">
        <f t="shared" si="68"/>
        <v>652.91547353826002</v>
      </c>
      <c r="BU49" s="58">
        <f t="shared" si="68"/>
        <v>653.47838788307365</v>
      </c>
    </row>
    <row r="50" spans="1:76" s="56" customFormat="1" ht="14.25">
      <c r="A50" s="4" t="s">
        <v>107</v>
      </c>
      <c r="C50" s="57">
        <f t="shared" si="63"/>
        <v>0</v>
      </c>
      <c r="D50" s="57">
        <f t="shared" si="63"/>
        <v>0</v>
      </c>
      <c r="E50" s="57">
        <f t="shared" si="63"/>
        <v>0</v>
      </c>
      <c r="F50" s="57">
        <f t="shared" si="63"/>
        <v>0</v>
      </c>
      <c r="G50" s="57">
        <f t="shared" si="63"/>
        <v>0</v>
      </c>
      <c r="H50" s="57">
        <f t="shared" si="63"/>
        <v>0</v>
      </c>
      <c r="I50" s="57">
        <f t="shared" si="63"/>
        <v>0</v>
      </c>
      <c r="J50" s="57">
        <f t="shared" si="63"/>
        <v>0</v>
      </c>
      <c r="K50" s="57">
        <f t="shared" si="63"/>
        <v>0</v>
      </c>
      <c r="L50" s="57">
        <f t="shared" si="63"/>
        <v>0</v>
      </c>
      <c r="M50" s="57">
        <f t="shared" si="64"/>
        <v>0</v>
      </c>
      <c r="N50" s="57">
        <f t="shared" si="64"/>
        <v>0</v>
      </c>
      <c r="O50" s="57">
        <f t="shared" si="64"/>
        <v>0</v>
      </c>
      <c r="P50" s="57">
        <f t="shared" si="64"/>
        <v>0</v>
      </c>
      <c r="Q50" s="57">
        <f t="shared" si="64"/>
        <v>0</v>
      </c>
      <c r="R50" s="57">
        <f t="shared" si="64"/>
        <v>0</v>
      </c>
      <c r="S50" s="57">
        <f t="shared" si="64"/>
        <v>0</v>
      </c>
      <c r="T50" s="57">
        <f t="shared" si="64"/>
        <v>0</v>
      </c>
      <c r="U50" s="57">
        <f t="shared" si="64"/>
        <v>0</v>
      </c>
      <c r="V50" s="57">
        <f t="shared" si="69"/>
        <v>0</v>
      </c>
      <c r="W50" s="57">
        <f t="shared" si="65"/>
        <v>0</v>
      </c>
      <c r="X50" s="57">
        <f t="shared" si="65"/>
        <v>0</v>
      </c>
      <c r="Y50" s="57">
        <f t="shared" si="65"/>
        <v>0</v>
      </c>
      <c r="Z50" s="57">
        <f t="shared" si="65"/>
        <v>0</v>
      </c>
      <c r="AA50" s="57">
        <f t="shared" si="65"/>
        <v>0</v>
      </c>
      <c r="AB50" s="57">
        <f t="shared" si="65"/>
        <v>0</v>
      </c>
      <c r="AC50" s="57">
        <f t="shared" si="65"/>
        <v>0</v>
      </c>
      <c r="AD50" s="57">
        <f t="shared" si="65"/>
        <v>0</v>
      </c>
      <c r="AE50" s="58">
        <f t="shared" si="65"/>
        <v>2.2731916277133069</v>
      </c>
      <c r="AF50" s="58">
        <f t="shared" si="65"/>
        <v>7.6064489081176045</v>
      </c>
      <c r="AG50" s="58">
        <f t="shared" si="65"/>
        <v>8.1310315914360594</v>
      </c>
      <c r="AH50" s="58">
        <f t="shared" si="65"/>
        <v>8.8304751691940009</v>
      </c>
      <c r="AI50" s="59">
        <f>'[1]Argentina Soybean Imports'!CB$290</f>
        <v>48.929000000000002</v>
      </c>
      <c r="AJ50" s="59">
        <f>'[1]Argentina Soybean Imports'!CN$290</f>
        <v>22.274999999999999</v>
      </c>
      <c r="AK50" s="59">
        <f>'[1]Argentina Soybean Imports'!CZ$290</f>
        <v>2.1000000000000001E-2</v>
      </c>
      <c r="AL50" s="59">
        <f>'[1]Argentina Soybean Imports'!DL$290</f>
        <v>91.721999999999994</v>
      </c>
      <c r="AM50" s="59">
        <f>'[1]Argentina Soybean Imports'!DX$290</f>
        <v>20.989000000000001</v>
      </c>
      <c r="AN50" s="59">
        <f>'[1]Argentina Soybean Imports'!EJ$290</f>
        <v>15.263</v>
      </c>
      <c r="AO50" s="59">
        <f>'[1]Argentina Soybean Imports'!EV$290</f>
        <v>48.408138999999998</v>
      </c>
      <c r="AP50" s="59">
        <f>'[1]Argentina Soybean Imports'!FH$290</f>
        <v>59.658033000000003</v>
      </c>
      <c r="AQ50" s="59">
        <f>'[1]Argentina Soybean Imports'!FT$290</f>
        <v>71.978895000000009</v>
      </c>
      <c r="AR50" s="59">
        <f>'[1]Argentina Soybean Imports'!GF$290</f>
        <v>60.918999999999997</v>
      </c>
      <c r="AS50" s="59">
        <f>'[1]Argentina Soybean Imports'!GR$290</f>
        <v>203.99199999999999</v>
      </c>
      <c r="AT50" s="59">
        <f>'[1]Argentina Soybean Imports'!HD$290</f>
        <v>344.471</v>
      </c>
      <c r="AU50" s="59">
        <f>'[1]Argentina Soybean Imports'!HP$290</f>
        <v>8.375</v>
      </c>
      <c r="AV50" s="59">
        <f>'[1]Argentina Soybean Imports'!IB$290</f>
        <v>0</v>
      </c>
      <c r="AW50" s="59">
        <f>'[1]Argentina Soybean Imports'!IN$290</f>
        <v>3.9929999999999999</v>
      </c>
      <c r="AX50" s="59">
        <f>'[1]Argentina Soybean Imports'!IZ$290</f>
        <v>0</v>
      </c>
      <c r="AY50" s="59">
        <f>'[1]Argentina Soybean Imports'!JL$290</f>
        <v>0</v>
      </c>
      <c r="AZ50" s="59">
        <f>'[1]Argentina Soybean Imports'!JX$290</f>
        <v>0</v>
      </c>
      <c r="BA50" s="59">
        <f>'[1]Argentina Soybean Imports'!KJ$290</f>
        <v>0</v>
      </c>
      <c r="BB50" s="59">
        <f>'[1]Argentina Soybean Imports'!KV$290</f>
        <v>77.88</v>
      </c>
      <c r="BC50" s="59">
        <f>'[1]Argentina Soybean Imports'!LH$290</f>
        <v>173.750992</v>
      </c>
      <c r="BD50" s="59">
        <f>'[1]Argentina Soybean Imports'!LT$290</f>
        <v>518.42220699999996</v>
      </c>
      <c r="BE50" s="59">
        <f>'[1]Argentina Soybean Imports'!MF$290</f>
        <v>414.71498500000001</v>
      </c>
      <c r="BF50" s="59">
        <f>'[1]Argentina Soybean Imports'!MR$290</f>
        <v>588.60709199999997</v>
      </c>
      <c r="BG50" s="59">
        <f>'[1]Argentina Soybean Imports'!ND$290</f>
        <v>614.32346199999995</v>
      </c>
      <c r="BH50" s="59">
        <f>'[1]Argentina Soybean Imports'!NP$290</f>
        <v>638.55200000000002</v>
      </c>
      <c r="BI50" s="59">
        <f>'[1]Argentina Soybean Imports'!OB$290</f>
        <v>1704.3689999999999</v>
      </c>
      <c r="BJ50" s="58">
        <f t="shared" si="66"/>
        <v>672.27708914342145</v>
      </c>
      <c r="BK50" s="58">
        <f t="shared" si="67"/>
        <v>722.08240486851844</v>
      </c>
      <c r="BL50" s="58">
        <f t="shared" si="68"/>
        <v>750.80557464102571</v>
      </c>
      <c r="BM50" s="58">
        <f t="shared" si="68"/>
        <v>769.588765346591</v>
      </c>
      <c r="BN50" s="58">
        <f t="shared" si="68"/>
        <v>752.30013583054654</v>
      </c>
      <c r="BO50" s="58">
        <f t="shared" si="68"/>
        <v>733.41079396602061</v>
      </c>
      <c r="BP50" s="58">
        <f t="shared" si="68"/>
        <v>745.63753493054048</v>
      </c>
      <c r="BQ50" s="58">
        <f t="shared" si="68"/>
        <v>750.34856094294491</v>
      </c>
      <c r="BR50" s="58">
        <f t="shared" si="68"/>
        <v>750.2571582033288</v>
      </c>
      <c r="BS50" s="58">
        <f t="shared" si="68"/>
        <v>746.39083677467613</v>
      </c>
      <c r="BT50" s="58">
        <f t="shared" si="68"/>
        <v>745.20897696350221</v>
      </c>
      <c r="BU50" s="58">
        <f t="shared" si="68"/>
        <v>747.56861356299839</v>
      </c>
    </row>
    <row r="51" spans="1:76" s="56" customFormat="1" ht="14.25">
      <c r="A51" s="4" t="s">
        <v>108</v>
      </c>
      <c r="C51" s="57">
        <f t="shared" si="63"/>
        <v>0</v>
      </c>
      <c r="D51" s="57">
        <f t="shared" si="63"/>
        <v>0</v>
      </c>
      <c r="E51" s="57">
        <f t="shared" si="63"/>
        <v>0</v>
      </c>
      <c r="F51" s="57">
        <f t="shared" si="63"/>
        <v>0</v>
      </c>
      <c r="G51" s="57">
        <f t="shared" si="63"/>
        <v>0</v>
      </c>
      <c r="H51" s="57">
        <f t="shared" si="63"/>
        <v>0</v>
      </c>
      <c r="I51" s="57">
        <f t="shared" si="63"/>
        <v>0</v>
      </c>
      <c r="J51" s="57">
        <f t="shared" si="63"/>
        <v>0</v>
      </c>
      <c r="K51" s="57">
        <f t="shared" si="63"/>
        <v>0</v>
      </c>
      <c r="L51" s="57">
        <f t="shared" si="63"/>
        <v>0</v>
      </c>
      <c r="M51" s="57">
        <f t="shared" si="64"/>
        <v>0</v>
      </c>
      <c r="N51" s="57">
        <f t="shared" si="64"/>
        <v>0</v>
      </c>
      <c r="O51" s="57">
        <f t="shared" si="64"/>
        <v>0</v>
      </c>
      <c r="P51" s="57">
        <f t="shared" si="64"/>
        <v>0</v>
      </c>
      <c r="Q51" s="57">
        <f t="shared" si="64"/>
        <v>0</v>
      </c>
      <c r="R51" s="57">
        <f t="shared" si="64"/>
        <v>0</v>
      </c>
      <c r="S51" s="57">
        <f t="shared" si="64"/>
        <v>0</v>
      </c>
      <c r="T51" s="57">
        <f t="shared" si="64"/>
        <v>0</v>
      </c>
      <c r="U51" s="57">
        <f t="shared" si="64"/>
        <v>0</v>
      </c>
      <c r="V51" s="57">
        <f t="shared" si="69"/>
        <v>0</v>
      </c>
      <c r="W51" s="57">
        <f t="shared" si="65"/>
        <v>0</v>
      </c>
      <c r="X51" s="57">
        <f t="shared" si="65"/>
        <v>0</v>
      </c>
      <c r="Y51" s="57">
        <f t="shared" si="65"/>
        <v>0</v>
      </c>
      <c r="Z51" s="57">
        <f t="shared" si="65"/>
        <v>0</v>
      </c>
      <c r="AA51" s="57">
        <f t="shared" si="65"/>
        <v>0</v>
      </c>
      <c r="AB51" s="57">
        <f t="shared" si="65"/>
        <v>0</v>
      </c>
      <c r="AC51" s="57">
        <f t="shared" si="65"/>
        <v>0</v>
      </c>
      <c r="AD51" s="57">
        <f t="shared" si="65"/>
        <v>0</v>
      </c>
      <c r="AE51" s="58">
        <f t="shared" si="65"/>
        <v>1.6102268373674657</v>
      </c>
      <c r="AF51" s="58">
        <f t="shared" si="65"/>
        <v>5.3880667250372891</v>
      </c>
      <c r="AG51" s="58">
        <f t="shared" si="65"/>
        <v>5.7596575336605502</v>
      </c>
      <c r="AH51" s="58">
        <f t="shared" si="65"/>
        <v>6.255111945158232</v>
      </c>
      <c r="AI51" s="59">
        <f>'[1]Argentina Soybean Imports'!CC$290</f>
        <v>62.216000000000001</v>
      </c>
      <c r="AJ51" s="59">
        <f>'[1]Argentina Soybean Imports'!CO$290</f>
        <v>16.02</v>
      </c>
      <c r="AK51" s="59">
        <f>'[1]Argentina Soybean Imports'!DA$290</f>
        <v>8.81</v>
      </c>
      <c r="AL51" s="59">
        <f>'[1]Argentina Soybean Imports'!DM$290</f>
        <v>0</v>
      </c>
      <c r="AM51" s="59">
        <f>'[1]Argentina Soybean Imports'!DY$290</f>
        <v>43.246000000000002</v>
      </c>
      <c r="AN51" s="59">
        <f>'[1]Argentina Soybean Imports'!EK$290</f>
        <v>43.543999999999997</v>
      </c>
      <c r="AO51" s="59">
        <f>'[1]Argentina Soybean Imports'!EW$290</f>
        <v>42.921588</v>
      </c>
      <c r="AP51" s="59">
        <f>'[1]Argentina Soybean Imports'!FI$290</f>
        <v>62.725434999999997</v>
      </c>
      <c r="AQ51" s="59">
        <f>'[1]Argentina Soybean Imports'!FU$290</f>
        <v>81.235438000000016</v>
      </c>
      <c r="AR51" s="59">
        <f>'[1]Argentina Soybean Imports'!GG$290</f>
        <v>55.802999999999997</v>
      </c>
      <c r="AS51" s="59">
        <f>'[1]Argentina Soybean Imports'!GS$290</f>
        <v>204.09399999999999</v>
      </c>
      <c r="AT51" s="59">
        <f>'[1]Argentina Soybean Imports'!HE$290</f>
        <v>484.43799999999999</v>
      </c>
      <c r="AU51" s="59">
        <f>'[1]Argentina Soybean Imports'!HQ$290</f>
        <v>0</v>
      </c>
      <c r="AV51" s="59">
        <f>'[1]Argentina Soybean Imports'!IC$290</f>
        <v>0</v>
      </c>
      <c r="AW51" s="59">
        <f>'[1]Argentina Soybean Imports'!IO$290</f>
        <v>1E-3</v>
      </c>
      <c r="AX51" s="59">
        <f>'[1]Argentina Soybean Imports'!JA$290</f>
        <v>2E-3</v>
      </c>
      <c r="AY51" s="59">
        <f>'[1]Argentina Soybean Imports'!JM$290</f>
        <v>7.0000000000000001E-3</v>
      </c>
      <c r="AZ51" s="59">
        <f>'[1]Argentina Soybean Imports'!JY$290</f>
        <v>0</v>
      </c>
      <c r="BA51" s="59">
        <f>'[1]Argentina Soybean Imports'!KK$290</f>
        <v>0</v>
      </c>
      <c r="BB51" s="59">
        <f>'[1]Argentina Soybean Imports'!KW$290</f>
        <v>82.613</v>
      </c>
      <c r="BC51" s="59">
        <f>'[1]Argentina Soybean Imports'!LI$290</f>
        <v>191.217725</v>
      </c>
      <c r="BD51" s="59">
        <f>'[1]Argentina Soybean Imports'!LU$290</f>
        <v>394.88229799999999</v>
      </c>
      <c r="BE51" s="59">
        <f>'[1]Argentina Soybean Imports'!MG$290</f>
        <v>374.29291799999999</v>
      </c>
      <c r="BF51" s="59">
        <f>'[1]Argentina Soybean Imports'!MS$290</f>
        <v>586.54240800000002</v>
      </c>
      <c r="BG51" s="59">
        <f>'[1]Argentina Soybean Imports'!NE$290</f>
        <v>501.37463100000002</v>
      </c>
      <c r="BH51" s="59">
        <f>'[1]Argentina Soybean Imports'!NQ$290</f>
        <v>381.73599999999999</v>
      </c>
      <c r="BI51" s="59">
        <f>'[1]Argentina Soybean Imports'!OC$290</f>
        <v>1065.3989999999999</v>
      </c>
      <c r="BJ51" s="58">
        <f t="shared" si="66"/>
        <v>493.83994429743683</v>
      </c>
      <c r="BK51" s="58">
        <f t="shared" si="67"/>
        <v>518.50234841498764</v>
      </c>
      <c r="BL51" s="58">
        <f t="shared" si="68"/>
        <v>510.85166584120873</v>
      </c>
      <c r="BM51" s="58">
        <f t="shared" si="68"/>
        <v>509.33332403150746</v>
      </c>
      <c r="BN51" s="58">
        <f t="shared" si="68"/>
        <v>504.54825449269379</v>
      </c>
      <c r="BO51" s="58">
        <f t="shared" si="68"/>
        <v>507.41510741556687</v>
      </c>
      <c r="BP51" s="58">
        <f t="shared" si="68"/>
        <v>510.1301400391929</v>
      </c>
      <c r="BQ51" s="58">
        <f t="shared" si="68"/>
        <v>508.45569836403394</v>
      </c>
      <c r="BR51" s="58">
        <f t="shared" si="68"/>
        <v>507.97650486859897</v>
      </c>
      <c r="BS51" s="58">
        <f t="shared" si="68"/>
        <v>507.70514103601727</v>
      </c>
      <c r="BT51" s="58">
        <f t="shared" si="68"/>
        <v>508.33651834468202</v>
      </c>
      <c r="BU51" s="58">
        <f t="shared" si="68"/>
        <v>508.52080053050503</v>
      </c>
    </row>
    <row r="52" spans="1:76" s="56" customFormat="1" ht="14.25">
      <c r="A52" s="4" t="s">
        <v>109</v>
      </c>
      <c r="C52" s="57">
        <f t="shared" si="63"/>
        <v>0</v>
      </c>
      <c r="D52" s="57">
        <f t="shared" si="63"/>
        <v>0</v>
      </c>
      <c r="E52" s="57">
        <f t="shared" si="63"/>
        <v>0</v>
      </c>
      <c r="F52" s="57">
        <f t="shared" si="63"/>
        <v>0</v>
      </c>
      <c r="G52" s="57">
        <f t="shared" si="63"/>
        <v>0</v>
      </c>
      <c r="H52" s="57">
        <f t="shared" si="63"/>
        <v>0</v>
      </c>
      <c r="I52" s="57">
        <f t="shared" si="63"/>
        <v>0</v>
      </c>
      <c r="J52" s="57">
        <f t="shared" si="63"/>
        <v>0</v>
      </c>
      <c r="K52" s="57">
        <f t="shared" si="63"/>
        <v>0</v>
      </c>
      <c r="L52" s="57">
        <f t="shared" si="63"/>
        <v>0</v>
      </c>
      <c r="M52" s="57">
        <f t="shared" si="64"/>
        <v>0</v>
      </c>
      <c r="N52" s="57">
        <f t="shared" si="64"/>
        <v>0</v>
      </c>
      <c r="O52" s="57">
        <f t="shared" si="64"/>
        <v>0</v>
      </c>
      <c r="P52" s="57">
        <f t="shared" si="64"/>
        <v>0</v>
      </c>
      <c r="Q52" s="57">
        <f t="shared" si="64"/>
        <v>0</v>
      </c>
      <c r="R52" s="57">
        <f t="shared" si="64"/>
        <v>0</v>
      </c>
      <c r="S52" s="57">
        <f t="shared" si="64"/>
        <v>0</v>
      </c>
      <c r="T52" s="57">
        <f t="shared" si="64"/>
        <v>0</v>
      </c>
      <c r="U52" s="57">
        <f t="shared" si="64"/>
        <v>0</v>
      </c>
      <c r="V52" s="57">
        <f t="shared" si="69"/>
        <v>0</v>
      </c>
      <c r="W52" s="57">
        <f t="shared" si="65"/>
        <v>0</v>
      </c>
      <c r="X52" s="57">
        <f t="shared" si="65"/>
        <v>0</v>
      </c>
      <c r="Y52" s="57">
        <f t="shared" si="65"/>
        <v>0</v>
      </c>
      <c r="Z52" s="57">
        <f t="shared" si="65"/>
        <v>0</v>
      </c>
      <c r="AA52" s="57">
        <f t="shared" si="65"/>
        <v>0</v>
      </c>
      <c r="AB52" s="57">
        <f t="shared" si="65"/>
        <v>0</v>
      </c>
      <c r="AC52" s="57">
        <f t="shared" si="65"/>
        <v>0</v>
      </c>
      <c r="AD52" s="57">
        <f t="shared" si="65"/>
        <v>0</v>
      </c>
      <c r="AE52" s="58">
        <f t="shared" si="65"/>
        <v>2.6608685814892872</v>
      </c>
      <c r="AF52" s="58">
        <f t="shared" si="65"/>
        <v>8.9036756380603066</v>
      </c>
      <c r="AG52" s="58">
        <f t="shared" si="65"/>
        <v>9.5177222337886036</v>
      </c>
      <c r="AH52" s="58">
        <f t="shared" si="65"/>
        <v>10.336451028093</v>
      </c>
      <c r="AI52" s="59">
        <f>'[1]Argentina Soybean Imports'!CD$290</f>
        <v>90.411000000000001</v>
      </c>
      <c r="AJ52" s="59">
        <f>'[1]Argentina Soybean Imports'!CP$290</f>
        <v>24.123000000000001</v>
      </c>
      <c r="AK52" s="59">
        <f>'[1]Argentina Soybean Imports'!DB$290</f>
        <v>49.625999999999998</v>
      </c>
      <c r="AL52" s="59">
        <f>'[1]Argentina Soybean Imports'!DN$290</f>
        <v>0</v>
      </c>
      <c r="AM52" s="59">
        <f>'[1]Argentina Soybean Imports'!DZ$290</f>
        <v>51.145000000000003</v>
      </c>
      <c r="AN52" s="59">
        <f>'[1]Argentina Soybean Imports'!EL$290</f>
        <v>1.1399999999999999</v>
      </c>
      <c r="AO52" s="59">
        <f>'[1]Argentina Soybean Imports'!EX$290</f>
        <v>30.319662000000001</v>
      </c>
      <c r="AP52" s="59">
        <f>'[1]Argentina Soybean Imports'!FJ$290</f>
        <v>120.027209</v>
      </c>
      <c r="AQ52" s="59">
        <f>'[1]Argentina Soybean Imports'!FV$290</f>
        <v>26.210976000000002</v>
      </c>
      <c r="AR52" s="59">
        <f>'[1]Argentina Soybean Imports'!GH$290</f>
        <v>56.078000000000003</v>
      </c>
      <c r="AS52" s="59">
        <f>'[1]Argentina Soybean Imports'!GT$290</f>
        <v>228.29900000000001</v>
      </c>
      <c r="AT52" s="59">
        <f>'[1]Argentina Soybean Imports'!HF$290</f>
        <v>210.15199999999999</v>
      </c>
      <c r="AU52" s="59">
        <f>'[1]Argentina Soybean Imports'!HR$290</f>
        <v>0</v>
      </c>
      <c r="AV52" s="59">
        <f>'[1]Argentina Soybean Imports'!ID$290</f>
        <v>0</v>
      </c>
      <c r="AW52" s="59">
        <f>'[1]Argentina Soybean Imports'!IP$290</f>
        <v>5.266</v>
      </c>
      <c r="AX52" s="59">
        <f>'[1]Argentina Soybean Imports'!JB$290</f>
        <v>0</v>
      </c>
      <c r="AY52" s="59">
        <f>'[1]Argentina Soybean Imports'!JN$290</f>
        <v>0</v>
      </c>
      <c r="AZ52" s="59">
        <f>'[1]Argentina Soybean Imports'!JZ$290</f>
        <v>0</v>
      </c>
      <c r="BA52" s="59">
        <f>'[1]Argentina Soybean Imports'!KL$290</f>
        <v>0</v>
      </c>
      <c r="BB52" s="59">
        <f>'[1]Argentina Soybean Imports'!KX$290</f>
        <v>46.921999999999997</v>
      </c>
      <c r="BC52" s="59">
        <f>'[1]Argentina Soybean Imports'!LJ$290</f>
        <v>114.343549</v>
      </c>
      <c r="BD52" s="59">
        <f>'[1]Argentina Soybean Imports'!LV$290</f>
        <v>630.312274</v>
      </c>
      <c r="BE52" s="59">
        <f>'[1]Argentina Soybean Imports'!MH$290</f>
        <v>222.92784700000001</v>
      </c>
      <c r="BF52" s="59">
        <f>'[1]Argentina Soybean Imports'!MT$290</f>
        <v>471.43573700000002</v>
      </c>
      <c r="BG52" s="59">
        <f>'[1]Argentina Soybean Imports'!NF$290</f>
        <v>396.53493700000001</v>
      </c>
      <c r="BH52" s="59">
        <f>'[1]Argentina Soybean Imports'!NR$290</f>
        <v>345.42599999999999</v>
      </c>
      <c r="BI52" s="59">
        <f>'[1]Argentina Soybean Imports'!OD$290</f>
        <v>986.048</v>
      </c>
      <c r="BJ52" s="58">
        <f t="shared" si="66"/>
        <v>411.17994892974872</v>
      </c>
      <c r="BK52" s="58">
        <f t="shared" si="67"/>
        <v>446.90104674694891</v>
      </c>
      <c r="BL52" s="58">
        <f t="shared" si="68"/>
        <v>446.19196912306785</v>
      </c>
      <c r="BM52" s="58">
        <f t="shared" si="68"/>
        <v>451.96130853503962</v>
      </c>
      <c r="BN52" s="58">
        <f t="shared" si="68"/>
        <v>446.62577741609209</v>
      </c>
      <c r="BO52" s="58">
        <f t="shared" si="68"/>
        <v>440.57201015017944</v>
      </c>
      <c r="BP52" s="58">
        <f t="shared" si="68"/>
        <v>446.45042239426556</v>
      </c>
      <c r="BQ52" s="58">
        <f t="shared" si="68"/>
        <v>446.36029752372895</v>
      </c>
      <c r="BR52" s="58">
        <f t="shared" si="68"/>
        <v>446.39396320386112</v>
      </c>
      <c r="BS52" s="58">
        <f t="shared" si="68"/>
        <v>445.2804941376254</v>
      </c>
      <c r="BT52" s="58">
        <f t="shared" si="68"/>
        <v>445.01143748193209</v>
      </c>
      <c r="BU52" s="58">
        <f t="shared" si="68"/>
        <v>445.89932294828265</v>
      </c>
    </row>
    <row r="53" spans="1:76" s="56" customFormat="1" ht="14.25">
      <c r="A53" s="4" t="s">
        <v>110</v>
      </c>
      <c r="C53" s="57">
        <f t="shared" si="63"/>
        <v>0</v>
      </c>
      <c r="D53" s="57">
        <f t="shared" si="63"/>
        <v>0</v>
      </c>
      <c r="E53" s="57">
        <f t="shared" si="63"/>
        <v>0</v>
      </c>
      <c r="F53" s="57">
        <f t="shared" si="63"/>
        <v>0</v>
      </c>
      <c r="G53" s="57">
        <f t="shared" si="63"/>
        <v>0</v>
      </c>
      <c r="H53" s="57">
        <f t="shared" si="63"/>
        <v>0</v>
      </c>
      <c r="I53" s="57">
        <f t="shared" si="63"/>
        <v>0</v>
      </c>
      <c r="J53" s="57">
        <f t="shared" si="63"/>
        <v>0</v>
      </c>
      <c r="K53" s="57">
        <f t="shared" si="63"/>
        <v>0</v>
      </c>
      <c r="L53" s="57">
        <f t="shared" si="63"/>
        <v>0</v>
      </c>
      <c r="M53" s="57">
        <f t="shared" si="64"/>
        <v>0</v>
      </c>
      <c r="N53" s="57">
        <f t="shared" si="64"/>
        <v>0</v>
      </c>
      <c r="O53" s="57">
        <f t="shared" si="64"/>
        <v>0</v>
      </c>
      <c r="P53" s="57">
        <f t="shared" si="64"/>
        <v>0</v>
      </c>
      <c r="Q53" s="57">
        <f t="shared" si="64"/>
        <v>0</v>
      </c>
      <c r="R53" s="57">
        <f t="shared" si="64"/>
        <v>0</v>
      </c>
      <c r="S53" s="57">
        <f t="shared" si="64"/>
        <v>0</v>
      </c>
      <c r="T53" s="57">
        <f t="shared" si="64"/>
        <v>0</v>
      </c>
      <c r="U53" s="57">
        <f t="shared" si="64"/>
        <v>0</v>
      </c>
      <c r="V53" s="57">
        <f t="shared" si="69"/>
        <v>0</v>
      </c>
      <c r="W53" s="57">
        <f t="shared" si="65"/>
        <v>0</v>
      </c>
      <c r="X53" s="57">
        <f t="shared" si="65"/>
        <v>0</v>
      </c>
      <c r="Y53" s="57">
        <f t="shared" si="65"/>
        <v>0</v>
      </c>
      <c r="Z53" s="57">
        <f t="shared" si="65"/>
        <v>0</v>
      </c>
      <c r="AA53" s="57">
        <f t="shared" si="65"/>
        <v>0</v>
      </c>
      <c r="AB53" s="57">
        <f t="shared" si="65"/>
        <v>0</v>
      </c>
      <c r="AC53" s="57">
        <f t="shared" si="65"/>
        <v>0</v>
      </c>
      <c r="AD53" s="57">
        <f t="shared" si="65"/>
        <v>0</v>
      </c>
      <c r="AE53" s="58">
        <f t="shared" si="65"/>
        <v>1.292252393052945</v>
      </c>
      <c r="AF53" s="58">
        <f t="shared" si="65"/>
        <v>4.3240753152156239</v>
      </c>
      <c r="AG53" s="58">
        <f t="shared" si="65"/>
        <v>4.62228740592015</v>
      </c>
      <c r="AH53" s="58">
        <f t="shared" si="65"/>
        <v>5.0199035268595171</v>
      </c>
      <c r="AI53" s="59">
        <f>'[1]Argentina Soybean Imports'!CE$290</f>
        <v>48.707999999999998</v>
      </c>
      <c r="AJ53" s="59">
        <f>'[1]Argentina Soybean Imports'!CQ$290</f>
        <v>0.193</v>
      </c>
      <c r="AK53" s="59">
        <f>'[1]Argentina Soybean Imports'!DC$290</f>
        <v>24.975999999999999</v>
      </c>
      <c r="AL53" s="59">
        <f>'[1]Argentina Soybean Imports'!DO$290</f>
        <v>10.471</v>
      </c>
      <c r="AM53" s="59">
        <f>'[1]Argentina Soybean Imports'!EA$290</f>
        <v>20.215</v>
      </c>
      <c r="AN53" s="59">
        <f>'[1]Argentina Soybean Imports'!EM$290</f>
        <v>26.728000000000002</v>
      </c>
      <c r="AO53" s="59">
        <f>'[1]Argentina Soybean Imports'!EY$290</f>
        <v>42.048687000000001</v>
      </c>
      <c r="AP53" s="59">
        <f>'[1]Argentina Soybean Imports'!FK$290</f>
        <v>68.022544999999994</v>
      </c>
      <c r="AQ53" s="59">
        <f>'[1]Argentina Soybean Imports'!FW$290</f>
        <v>59.554000000000002</v>
      </c>
      <c r="AR53" s="59">
        <f>'[1]Argentina Soybean Imports'!GI$290</f>
        <v>47.383000000000003</v>
      </c>
      <c r="AS53" s="59">
        <f>'[1]Argentina Soybean Imports'!GU$290</f>
        <v>144.72900000000001</v>
      </c>
      <c r="AT53" s="59">
        <f>'[1]Argentina Soybean Imports'!HG$290</f>
        <v>169.11199999999999</v>
      </c>
      <c r="AU53" s="59">
        <f>'[1]Argentina Soybean Imports'!HS$290</f>
        <v>2E-3</v>
      </c>
      <c r="AV53" s="59">
        <f>'[1]Argentina Soybean Imports'!IE$290</f>
        <v>0</v>
      </c>
      <c r="AW53" s="59">
        <f>'[1]Argentina Soybean Imports'!IQ$290</f>
        <v>3.2770000000000001</v>
      </c>
      <c r="AX53" s="59">
        <f>'[1]Argentina Soybean Imports'!JC$290</f>
        <v>1E-3</v>
      </c>
      <c r="AY53" s="59">
        <f>'[1]Argentina Soybean Imports'!JO$290</f>
        <v>0</v>
      </c>
      <c r="AZ53" s="59">
        <f>'[1]Argentina Soybean Imports'!KA$290</f>
        <v>2E-3</v>
      </c>
      <c r="BA53" s="59">
        <f>'[1]Argentina Soybean Imports'!KM$290</f>
        <v>0</v>
      </c>
      <c r="BB53" s="59">
        <f>'[1]Argentina Soybean Imports'!KY$290</f>
        <v>61.942</v>
      </c>
      <c r="BC53" s="59">
        <f>'[1]Argentina Soybean Imports'!LK$290</f>
        <v>79.761080000000007</v>
      </c>
      <c r="BD53" s="59">
        <f>'[1]Argentina Soybean Imports'!LW$290</f>
        <v>329.38050500000003</v>
      </c>
      <c r="BE53" s="59">
        <f>'[1]Argentina Soybean Imports'!MI$290</f>
        <v>124.44255099999999</v>
      </c>
      <c r="BF53" s="59">
        <f>'[1]Argentina Soybean Imports'!MU$290</f>
        <v>563.87442599999997</v>
      </c>
      <c r="BG53" s="59">
        <f>'[1]Argentina Soybean Imports'!NG$290</f>
        <v>251.06239600000001</v>
      </c>
      <c r="BH53" s="59">
        <f>'[1]Argentina Soybean Imports'!NS$290</f>
        <v>228.398</v>
      </c>
      <c r="BI53" s="58">
        <f>(SUM(BD53:BH53)/SUM(BD$56:BH$56))*BI$56</f>
        <v>654.18443564502172</v>
      </c>
      <c r="BJ53" s="58">
        <f t="shared" si="66"/>
        <v>309.26463908257506</v>
      </c>
      <c r="BK53" s="58">
        <f t="shared" si="67"/>
        <v>343.53227812431368</v>
      </c>
      <c r="BL53" s="58">
        <f t="shared" si="68"/>
        <v>308.22437826779964</v>
      </c>
      <c r="BM53" s="58">
        <f t="shared" si="68"/>
        <v>316.12957004780077</v>
      </c>
      <c r="BN53" s="58">
        <f t="shared" si="68"/>
        <v>314.5497233171842</v>
      </c>
      <c r="BO53" s="58">
        <f t="shared" si="68"/>
        <v>318.34011776793466</v>
      </c>
      <c r="BP53" s="58">
        <f t="shared" ref="BP53:BU54" si="72">(SUM(BK53:BO53)/SUM(BK$56:BO$56))*BP$56</f>
        <v>320.15521350500654</v>
      </c>
      <c r="BQ53" s="58">
        <f t="shared" si="72"/>
        <v>315.47980058114518</v>
      </c>
      <c r="BR53" s="58">
        <f t="shared" si="72"/>
        <v>316.93088504381427</v>
      </c>
      <c r="BS53" s="58">
        <f t="shared" si="72"/>
        <v>317.09114804301691</v>
      </c>
      <c r="BT53" s="58">
        <f t="shared" si="72"/>
        <v>317.59943298818348</v>
      </c>
      <c r="BU53" s="58">
        <f t="shared" si="72"/>
        <v>317.4512960322333</v>
      </c>
    </row>
    <row r="54" spans="1:76" s="56" customFormat="1" ht="14.25">
      <c r="A54" s="4" t="s">
        <v>111</v>
      </c>
      <c r="C54" s="57">
        <f t="shared" si="63"/>
        <v>0</v>
      </c>
      <c r="D54" s="57">
        <f t="shared" si="63"/>
        <v>0</v>
      </c>
      <c r="E54" s="57">
        <f t="shared" si="63"/>
        <v>0</v>
      </c>
      <c r="F54" s="57">
        <f t="shared" si="63"/>
        <v>0</v>
      </c>
      <c r="G54" s="57">
        <f t="shared" si="63"/>
        <v>0</v>
      </c>
      <c r="H54" s="57">
        <f t="shared" si="63"/>
        <v>0</v>
      </c>
      <c r="I54" s="57">
        <f t="shared" si="63"/>
        <v>0</v>
      </c>
      <c r="J54" s="57">
        <f t="shared" si="63"/>
        <v>0</v>
      </c>
      <c r="K54" s="57">
        <f t="shared" si="63"/>
        <v>0</v>
      </c>
      <c r="L54" s="57">
        <f t="shared" si="63"/>
        <v>0</v>
      </c>
      <c r="M54" s="57">
        <f t="shared" si="64"/>
        <v>0</v>
      </c>
      <c r="N54" s="57">
        <f t="shared" si="64"/>
        <v>0</v>
      </c>
      <c r="O54" s="57">
        <f t="shared" si="64"/>
        <v>0</v>
      </c>
      <c r="P54" s="57">
        <f t="shared" si="64"/>
        <v>0</v>
      </c>
      <c r="Q54" s="57">
        <f t="shared" si="64"/>
        <v>0</v>
      </c>
      <c r="R54" s="57">
        <f t="shared" si="64"/>
        <v>0</v>
      </c>
      <c r="S54" s="57">
        <f t="shared" si="64"/>
        <v>0</v>
      </c>
      <c r="T54" s="57">
        <f t="shared" si="64"/>
        <v>0</v>
      </c>
      <c r="U54" s="57">
        <f t="shared" si="64"/>
        <v>0</v>
      </c>
      <c r="V54" s="57">
        <f t="shared" si="69"/>
        <v>0</v>
      </c>
      <c r="W54" s="57">
        <f t="shared" si="65"/>
        <v>0</v>
      </c>
      <c r="X54" s="57">
        <f t="shared" si="65"/>
        <v>0</v>
      </c>
      <c r="Y54" s="57">
        <f t="shared" si="65"/>
        <v>0</v>
      </c>
      <c r="Z54" s="57">
        <f t="shared" si="65"/>
        <v>0</v>
      </c>
      <c r="AA54" s="57">
        <f t="shared" si="65"/>
        <v>0</v>
      </c>
      <c r="AB54" s="57">
        <f t="shared" si="65"/>
        <v>0</v>
      </c>
      <c r="AC54" s="57">
        <f t="shared" si="65"/>
        <v>0</v>
      </c>
      <c r="AD54" s="57">
        <f t="shared" si="65"/>
        <v>0</v>
      </c>
      <c r="AE54" s="58">
        <f t="shared" si="65"/>
        <v>1.034773300478468</v>
      </c>
      <c r="AF54" s="58">
        <f t="shared" si="65"/>
        <v>3.4625106592933355</v>
      </c>
      <c r="AG54" s="58">
        <f t="shared" si="65"/>
        <v>3.7013044978652894</v>
      </c>
      <c r="AH54" s="58">
        <f t="shared" si="65"/>
        <v>4.019696282627895</v>
      </c>
      <c r="AI54" s="59">
        <f>'[1]Argentina Soybean Imports'!CF$290</f>
        <v>21.36</v>
      </c>
      <c r="AJ54" s="59">
        <f>'[1]Argentina Soybean Imports'!CR$290</f>
        <v>6.6000000000000003E-2</v>
      </c>
      <c r="AK54" s="59">
        <f>'[1]Argentina Soybean Imports'!DD$290</f>
        <v>9.5280000000000005</v>
      </c>
      <c r="AL54" s="59">
        <f>'[1]Argentina Soybean Imports'!DP$290</f>
        <v>5.069</v>
      </c>
      <c r="AM54" s="59">
        <f>'[1]Argentina Soybean Imports'!EB$290</f>
        <v>47.706000000000003</v>
      </c>
      <c r="AN54" s="59">
        <f>'[1]Argentina Soybean Imports'!EN$290</f>
        <v>30.893999999999998</v>
      </c>
      <c r="AO54" s="59">
        <f>'[1]Argentina Soybean Imports'!EZ$290</f>
        <v>1.1313040000000001</v>
      </c>
      <c r="AP54" s="59">
        <f>'[1]Argentina Soybean Imports'!FL$290</f>
        <v>10.257974000000001</v>
      </c>
      <c r="AQ54" s="59">
        <f>'[1]Argentina Soybean Imports'!FX$290</f>
        <v>33.579000000000001</v>
      </c>
      <c r="AR54" s="59">
        <f>'[1]Argentina Soybean Imports'!GJ$290</f>
        <v>94.775999999999996</v>
      </c>
      <c r="AS54" s="59">
        <f>'[1]Argentina Soybean Imports'!GV$290</f>
        <v>78.317999999999998</v>
      </c>
      <c r="AT54" s="59">
        <f>'[1]Argentina Soybean Imports'!HH$290</f>
        <v>186.404</v>
      </c>
      <c r="AU54" s="59">
        <f>'[1]Argentina Soybean Imports'!HT$290</f>
        <v>8.0000000000000002E-3</v>
      </c>
      <c r="AV54" s="59">
        <f>'[1]Argentina Soybean Imports'!IF$290</f>
        <v>0.01</v>
      </c>
      <c r="AW54" s="59">
        <f>'[1]Argentina Soybean Imports'!IR$290</f>
        <v>6.0000000000000001E-3</v>
      </c>
      <c r="AX54" s="59">
        <f>'[1]Argentina Soybean Imports'!JD$290</f>
        <v>0.01</v>
      </c>
      <c r="AY54" s="59">
        <f>'[1]Argentina Soybean Imports'!JP$290</f>
        <v>0.24299999999999999</v>
      </c>
      <c r="AZ54" s="59">
        <f>'[1]Argentina Soybean Imports'!KB$290</f>
        <v>0.49199999999999999</v>
      </c>
      <c r="BA54" s="59">
        <f>'[1]Argentina Soybean Imports'!KN$290</f>
        <v>0.127</v>
      </c>
      <c r="BB54" s="59">
        <f>'[1]Argentina Soybean Imports'!KZ$290</f>
        <v>6.5629999999999997</v>
      </c>
      <c r="BC54" s="59">
        <f>'[1]Argentina Soybean Imports'!LL$290</f>
        <v>198.459214</v>
      </c>
      <c r="BD54" s="59">
        <f>'[1]Argentina Soybean Imports'!LX$290</f>
        <v>666.05008399999997</v>
      </c>
      <c r="BE54" s="59">
        <f>'[1]Argentina Soybean Imports'!MJ$290</f>
        <v>78.523696000000001</v>
      </c>
      <c r="BF54" s="59">
        <f>'[1]Argentina Soybean Imports'!MV$290</f>
        <v>392.904988</v>
      </c>
      <c r="BG54" s="59">
        <f>'[1]Argentina Soybean Imports'!NH$290</f>
        <v>262.89150899999999</v>
      </c>
      <c r="BH54" s="59">
        <f>'[1]Argentina Soybean Imports'!NT$290</f>
        <v>126.081</v>
      </c>
      <c r="BI54" s="58">
        <f>(SUM(BD54:BH54)/SUM(BD$56:BH$56))*BI$56</f>
        <v>666.98421179056686</v>
      </c>
      <c r="BJ54" s="58">
        <f t="shared" si="66"/>
        <v>259.26245748468381</v>
      </c>
      <c r="BK54" s="58">
        <f t="shared" si="67"/>
        <v>292.40606680001838</v>
      </c>
      <c r="BL54" s="58">
        <f t="shared" si="68"/>
        <v>277.37220761292213</v>
      </c>
      <c r="BM54" s="58">
        <f t="shared" si="68"/>
        <v>278.14852285999882</v>
      </c>
      <c r="BN54" s="58">
        <f t="shared" si="68"/>
        <v>288.95333331403748</v>
      </c>
      <c r="BO54" s="58">
        <f t="shared" si="68"/>
        <v>279.22851761433213</v>
      </c>
      <c r="BP54" s="58">
        <f t="shared" si="72"/>
        <v>283.2217296402618</v>
      </c>
      <c r="BQ54" s="58">
        <f t="shared" si="72"/>
        <v>281.38486220831044</v>
      </c>
      <c r="BR54" s="58">
        <f t="shared" si="72"/>
        <v>282.18739312738819</v>
      </c>
      <c r="BS54" s="58">
        <f t="shared" si="72"/>
        <v>282.99516718086596</v>
      </c>
      <c r="BT54" s="58">
        <f t="shared" si="72"/>
        <v>281.80353395423174</v>
      </c>
      <c r="BU54" s="58">
        <f t="shared" si="72"/>
        <v>282.3185372222116</v>
      </c>
    </row>
    <row r="55" spans="1:76" s="56" customFormat="1" ht="14.25">
      <c r="A55" s="4" t="s">
        <v>112</v>
      </c>
      <c r="C55" s="57">
        <f t="shared" si="63"/>
        <v>0</v>
      </c>
      <c r="D55" s="57">
        <f t="shared" si="63"/>
        <v>0</v>
      </c>
      <c r="E55" s="57">
        <f t="shared" si="63"/>
        <v>0</v>
      </c>
      <c r="F55" s="57">
        <f t="shared" si="63"/>
        <v>0</v>
      </c>
      <c r="G55" s="57">
        <f t="shared" si="63"/>
        <v>0</v>
      </c>
      <c r="H55" s="57">
        <f t="shared" si="63"/>
        <v>0</v>
      </c>
      <c r="I55" s="57">
        <f t="shared" si="63"/>
        <v>0</v>
      </c>
      <c r="J55" s="57">
        <f t="shared" si="63"/>
        <v>0</v>
      </c>
      <c r="K55" s="57">
        <f t="shared" si="63"/>
        <v>0</v>
      </c>
      <c r="L55" s="57">
        <f t="shared" si="63"/>
        <v>0</v>
      </c>
      <c r="M55" s="57">
        <f t="shared" si="64"/>
        <v>0</v>
      </c>
      <c r="N55" s="57">
        <f t="shared" si="64"/>
        <v>0</v>
      </c>
      <c r="O55" s="57">
        <f t="shared" si="64"/>
        <v>0</v>
      </c>
      <c r="P55" s="57">
        <f t="shared" si="64"/>
        <v>0</v>
      </c>
      <c r="Q55" s="57">
        <f t="shared" si="64"/>
        <v>0</v>
      </c>
      <c r="R55" s="57">
        <f t="shared" si="64"/>
        <v>0</v>
      </c>
      <c r="S55" s="57">
        <f t="shared" si="64"/>
        <v>0</v>
      </c>
      <c r="T55" s="57">
        <f t="shared" si="64"/>
        <v>0</v>
      </c>
      <c r="U55" s="57">
        <f t="shared" si="64"/>
        <v>0</v>
      </c>
      <c r="V55" s="57">
        <f t="shared" si="69"/>
        <v>0</v>
      </c>
      <c r="W55" s="57">
        <f t="shared" si="65"/>
        <v>0</v>
      </c>
      <c r="X55" s="57">
        <f t="shared" si="65"/>
        <v>0</v>
      </c>
      <c r="Y55" s="57">
        <f t="shared" si="65"/>
        <v>0</v>
      </c>
      <c r="Z55" s="57">
        <f t="shared" si="65"/>
        <v>0</v>
      </c>
      <c r="AA55" s="57">
        <f t="shared" si="65"/>
        <v>0</v>
      </c>
      <c r="AB55" s="57">
        <f t="shared" si="65"/>
        <v>0</v>
      </c>
      <c r="AC55" s="57">
        <f t="shared" si="65"/>
        <v>0</v>
      </c>
      <c r="AD55" s="57">
        <f t="shared" si="65"/>
        <v>0</v>
      </c>
      <c r="AE55" s="58">
        <f t="shared" si="65"/>
        <v>2.8210484086399932</v>
      </c>
      <c r="AF55" s="58">
        <f t="shared" si="65"/>
        <v>9.4396619827568991</v>
      </c>
      <c r="AG55" s="58">
        <f t="shared" si="65"/>
        <v>10.090673153981513</v>
      </c>
      <c r="AH55" s="58">
        <f t="shared" si="65"/>
        <v>10.958688048947666</v>
      </c>
      <c r="AI55" s="59">
        <f>'[1]Argentina Soybean Imports'!CG$290</f>
        <v>225.47300000000001</v>
      </c>
      <c r="AJ55" s="59">
        <f>'[1]Argentina Soybean Imports'!CS$290</f>
        <v>0.42699999999999999</v>
      </c>
      <c r="AK55" s="59">
        <f>'[1]Argentina Soybean Imports'!DE$290</f>
        <v>0.26400000000000001</v>
      </c>
      <c r="AL55" s="59">
        <f>'[1]Argentina Soybean Imports'!DQ$290</f>
        <v>0.317</v>
      </c>
      <c r="AM55" s="59">
        <f>'[1]Argentina Soybean Imports'!EC$290</f>
        <v>1.7849999999999999</v>
      </c>
      <c r="AN55" s="59">
        <f>'[1]Argentina Soybean Imports'!EO$290</f>
        <v>0.58699999999999997</v>
      </c>
      <c r="AO55" s="59">
        <f>'[1]Argentina Soybean Imports'!FA$290</f>
        <v>4.3035129999999997</v>
      </c>
      <c r="AP55" s="59">
        <f>'[1]Argentina Soybean Imports'!FM$290</f>
        <v>22.876134999999998</v>
      </c>
      <c r="AQ55" s="59">
        <f>'[1]Argentina Soybean Imports'!FY$290</f>
        <v>31.550999999999998</v>
      </c>
      <c r="AR55" s="59">
        <f>'[1]Argentina Soybean Imports'!GK$290</f>
        <v>63.128</v>
      </c>
      <c r="AS55" s="59">
        <f>'[1]Argentina Soybean Imports'!GW$290</f>
        <v>228.32900000000001</v>
      </c>
      <c r="AT55" s="59">
        <f>'[1]Argentina Soybean Imports'!HI$290</f>
        <v>109.601</v>
      </c>
      <c r="AU55" s="59">
        <f>'[1]Argentina Soybean Imports'!HU$290</f>
        <v>0.16900000000000001</v>
      </c>
      <c r="AV55" s="59">
        <f>'[1]Argentina Soybean Imports'!IG$290</f>
        <v>7.6999999999999999E-2</v>
      </c>
      <c r="AW55" s="59">
        <f>'[1]Argentina Soybean Imports'!IS$290</f>
        <v>0.23699999999999999</v>
      </c>
      <c r="AX55" s="59">
        <f>'[1]Argentina Soybean Imports'!JE$290</f>
        <v>0.81699999999999995</v>
      </c>
      <c r="AY55" s="59">
        <f>'[1]Argentina Soybean Imports'!JQ$290</f>
        <v>0.186</v>
      </c>
      <c r="AZ55" s="59">
        <f>'[1]Argentina Soybean Imports'!KC$290</f>
        <v>0.76800000000000002</v>
      </c>
      <c r="BA55" s="59">
        <f>'[1]Argentina Soybean Imports'!KO$290</f>
        <v>0.107</v>
      </c>
      <c r="BB55" s="59">
        <f>'[1]Argentina Soybean Imports'!LA$290</f>
        <v>108.30500000000001</v>
      </c>
      <c r="BC55" s="59">
        <f>'[1]Argentina Soybean Imports'!LM$290</f>
        <v>148.47452799999999</v>
      </c>
      <c r="BD55" s="59">
        <f>'[1]Argentina Soybean Imports'!LY$290</f>
        <v>709.86276399999997</v>
      </c>
      <c r="BE55" s="59">
        <f>'[1]Argentina Soybean Imports'!MK$290</f>
        <v>137.54783399999999</v>
      </c>
      <c r="BF55" s="59">
        <f>'[1]Argentina Soybean Imports'!MW$290</f>
        <v>169.30007599999999</v>
      </c>
      <c r="BG55" s="59">
        <f>'[1]Argentina Soybean Imports'!NI$290</f>
        <v>304.01</v>
      </c>
      <c r="BH55" s="59">
        <f>'[1]Argentina Soybean Imports'!NU$290</f>
        <v>60.941000000000003</v>
      </c>
      <c r="BI55" s="58">
        <f>BI56-SUM(BI44:BI54)</f>
        <v>1153.9073525644108</v>
      </c>
      <c r="BJ55" s="58">
        <f t="shared" ref="BJ55:BO55" si="73">BJ56-SUM(BJ44:BJ54)</f>
        <v>309.90023264136744</v>
      </c>
      <c r="BK55" s="58">
        <f t="shared" si="73"/>
        <v>342.03864443467228</v>
      </c>
      <c r="BL55" s="58">
        <f t="shared" si="73"/>
        <v>374.53929123711714</v>
      </c>
      <c r="BM55" s="58">
        <f t="shared" si="73"/>
        <v>384.32857203615185</v>
      </c>
      <c r="BN55" s="58">
        <f t="shared" si="73"/>
        <v>417.70587832471028</v>
      </c>
      <c r="BO55" s="58">
        <f t="shared" si="73"/>
        <v>365.70252373480344</v>
      </c>
      <c r="BP55" s="58">
        <f t="shared" ref="BP55:BU55" si="74">BP56-SUM(BP44:BP54)</f>
        <v>376.86298195349082</v>
      </c>
      <c r="BQ55" s="58">
        <f t="shared" si="74"/>
        <v>383.82784945725416</v>
      </c>
      <c r="BR55" s="58">
        <f t="shared" si="74"/>
        <v>385.68556110128156</v>
      </c>
      <c r="BS55" s="58">
        <f t="shared" si="74"/>
        <v>385.95695891430933</v>
      </c>
      <c r="BT55" s="58">
        <f t="shared" si="74"/>
        <v>379.60717503222804</v>
      </c>
      <c r="BU55" s="58">
        <f t="shared" si="74"/>
        <v>382.38810529171315</v>
      </c>
    </row>
    <row r="56" spans="1:76" s="56" customFormat="1" thickBot="1">
      <c r="A56" s="4" t="s">
        <v>113</v>
      </c>
      <c r="C56" s="56">
        <v>0</v>
      </c>
      <c r="D56" s="56">
        <v>0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56">
        <v>0</v>
      </c>
      <c r="AC56" s="56">
        <v>0</v>
      </c>
      <c r="AD56" s="56">
        <v>0</v>
      </c>
      <c r="AE56" s="59">
        <v>26</v>
      </c>
      <c r="AF56" s="59">
        <v>87</v>
      </c>
      <c r="AG56" s="59">
        <v>93</v>
      </c>
      <c r="AH56" s="59">
        <v>101</v>
      </c>
      <c r="AI56" s="59">
        <f t="shared" ref="AI56:BH56" si="75">SUM(AI44:AI55)</f>
        <v>540.51600000000008</v>
      </c>
      <c r="AJ56" s="59">
        <f t="shared" si="75"/>
        <v>701.78800000000001</v>
      </c>
      <c r="AK56" s="59">
        <f t="shared" si="75"/>
        <v>283.959</v>
      </c>
      <c r="AL56" s="59">
        <f t="shared" si="75"/>
        <v>213.292</v>
      </c>
      <c r="AM56" s="59">
        <f t="shared" si="75"/>
        <v>364.24300000000005</v>
      </c>
      <c r="AN56" s="59">
        <f t="shared" si="75"/>
        <v>233.28899999999999</v>
      </c>
      <c r="AO56" s="59">
        <f t="shared" si="75"/>
        <v>356.51065799999998</v>
      </c>
      <c r="AP56" s="59">
        <f t="shared" si="75"/>
        <v>564.75611200000003</v>
      </c>
      <c r="AQ56" s="59">
        <f t="shared" si="75"/>
        <v>723.96241199999997</v>
      </c>
      <c r="AR56" s="59">
        <f t="shared" si="75"/>
        <v>677.13199999999995</v>
      </c>
      <c r="AS56" s="59">
        <f t="shared" si="75"/>
        <v>2135.0160000000001</v>
      </c>
      <c r="AT56" s="59">
        <f t="shared" si="75"/>
        <v>2943.6500000000005</v>
      </c>
      <c r="AU56" s="59">
        <f t="shared" si="75"/>
        <v>916.19399999999985</v>
      </c>
      <c r="AV56" s="59">
        <f t="shared" si="75"/>
        <v>0.53100000000000003</v>
      </c>
      <c r="AW56" s="59">
        <f t="shared" si="75"/>
        <v>12.893000000000002</v>
      </c>
      <c r="AX56" s="59">
        <f t="shared" si="75"/>
        <v>0.93699999999999994</v>
      </c>
      <c r="AY56" s="59">
        <f t="shared" si="75"/>
        <v>1.867</v>
      </c>
      <c r="AZ56" s="59">
        <f t="shared" si="75"/>
        <v>2.31</v>
      </c>
      <c r="BA56" s="59">
        <f t="shared" si="75"/>
        <v>0.63700000000000001</v>
      </c>
      <c r="BB56" s="59">
        <f t="shared" si="75"/>
        <v>790.49099999999999</v>
      </c>
      <c r="BC56" s="59">
        <f t="shared" si="75"/>
        <v>1905.817714</v>
      </c>
      <c r="BD56" s="59">
        <f t="shared" si="75"/>
        <v>5731.5238389999995</v>
      </c>
      <c r="BE56" s="59">
        <f t="shared" si="75"/>
        <v>5248.2715910000006</v>
      </c>
      <c r="BF56" s="59">
        <f t="shared" si="75"/>
        <v>5228.5174540000007</v>
      </c>
      <c r="BG56" s="59">
        <f t="shared" si="75"/>
        <v>4820.5771020000002</v>
      </c>
      <c r="BH56" s="59">
        <f t="shared" si="75"/>
        <v>3458.9889999999996</v>
      </c>
      <c r="BI56" s="58">
        <f t="shared" ref="BI56:BU56" si="76">BI10</f>
        <v>10700</v>
      </c>
      <c r="BJ56" s="58">
        <f t="shared" si="76"/>
        <v>5000</v>
      </c>
      <c r="BK56" s="58">
        <f t="shared" si="76"/>
        <v>5000</v>
      </c>
      <c r="BL56" s="58">
        <f t="shared" si="76"/>
        <v>5000</v>
      </c>
      <c r="BM56" s="58">
        <f t="shared" si="76"/>
        <v>5000</v>
      </c>
      <c r="BN56" s="58">
        <f t="shared" si="76"/>
        <v>5000</v>
      </c>
      <c r="BO56" s="58">
        <f t="shared" si="76"/>
        <v>5000</v>
      </c>
      <c r="BP56" s="58">
        <f t="shared" si="76"/>
        <v>5000</v>
      </c>
      <c r="BQ56" s="58">
        <f t="shared" si="76"/>
        <v>5000</v>
      </c>
      <c r="BR56" s="58">
        <f t="shared" si="76"/>
        <v>5000</v>
      </c>
      <c r="BS56" s="58">
        <f t="shared" si="76"/>
        <v>5000</v>
      </c>
      <c r="BT56" s="58">
        <f t="shared" si="76"/>
        <v>5000</v>
      </c>
      <c r="BU56" s="58">
        <f t="shared" si="76"/>
        <v>5000</v>
      </c>
    </row>
    <row r="57" spans="1:76">
      <c r="A57" s="60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2"/>
      <c r="AF57" s="62"/>
      <c r="AG57" s="62"/>
      <c r="AH57" s="62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1:76" ht="15.75" thickBot="1">
      <c r="A58" s="53" t="s">
        <v>114</v>
      </c>
    </row>
    <row r="59" spans="1:76" s="4" customFormat="1" ht="15.75" thickBot="1">
      <c r="A59" s="54"/>
      <c r="B59" s="63" t="str">
        <f t="shared" ref="B59:BM59" si="77">B2</f>
        <v xml:space="preserve">64/65 </v>
      </c>
      <c r="C59" s="63" t="str">
        <f t="shared" si="77"/>
        <v xml:space="preserve">65/66 </v>
      </c>
      <c r="D59" s="63" t="str">
        <f t="shared" si="77"/>
        <v xml:space="preserve">66/67 </v>
      </c>
      <c r="E59" s="63" t="str">
        <f t="shared" si="77"/>
        <v xml:space="preserve">67/68 </v>
      </c>
      <c r="F59" s="63" t="str">
        <f t="shared" si="77"/>
        <v xml:space="preserve">68/69 </v>
      </c>
      <c r="G59" s="63" t="str">
        <f t="shared" si="77"/>
        <v xml:space="preserve">69/70 </v>
      </c>
      <c r="H59" s="63" t="str">
        <f t="shared" si="77"/>
        <v xml:space="preserve">70/71 </v>
      </c>
      <c r="I59" s="63" t="str">
        <f t="shared" si="77"/>
        <v xml:space="preserve">71/72 </v>
      </c>
      <c r="J59" s="63" t="str">
        <f t="shared" si="77"/>
        <v xml:space="preserve">72/73 </v>
      </c>
      <c r="K59" s="63" t="str">
        <f t="shared" si="77"/>
        <v xml:space="preserve">73/74 </v>
      </c>
      <c r="L59" s="63" t="str">
        <f t="shared" si="77"/>
        <v xml:space="preserve">74/75 </v>
      </c>
      <c r="M59" s="63" t="str">
        <f t="shared" si="77"/>
        <v xml:space="preserve">75/76 </v>
      </c>
      <c r="N59" s="63" t="str">
        <f t="shared" si="77"/>
        <v xml:space="preserve">76/77 </v>
      </c>
      <c r="O59" s="63" t="str">
        <f t="shared" si="77"/>
        <v xml:space="preserve">77/78 </v>
      </c>
      <c r="P59" s="63" t="str">
        <f t="shared" si="77"/>
        <v xml:space="preserve">78/79 </v>
      </c>
      <c r="Q59" s="63" t="str">
        <f t="shared" si="77"/>
        <v xml:space="preserve">79/80 </v>
      </c>
      <c r="R59" s="63" t="str">
        <f t="shared" si="77"/>
        <v xml:space="preserve">80/81 </v>
      </c>
      <c r="S59" s="63" t="str">
        <f t="shared" si="77"/>
        <v xml:space="preserve">81/82 </v>
      </c>
      <c r="T59" s="63" t="str">
        <f t="shared" si="77"/>
        <v xml:space="preserve">82/83 </v>
      </c>
      <c r="U59" s="63" t="str">
        <f t="shared" si="77"/>
        <v xml:space="preserve">83/84 </v>
      </c>
      <c r="V59" s="63" t="str">
        <f t="shared" si="77"/>
        <v xml:space="preserve">84/85 </v>
      </c>
      <c r="W59" s="63" t="str">
        <f t="shared" si="77"/>
        <v xml:space="preserve">85/86 </v>
      </c>
      <c r="X59" s="63" t="str">
        <f t="shared" si="77"/>
        <v xml:space="preserve">86/87 </v>
      </c>
      <c r="Y59" s="63" t="str">
        <f t="shared" si="77"/>
        <v xml:space="preserve">87/88 </v>
      </c>
      <c r="Z59" s="63" t="str">
        <f t="shared" si="77"/>
        <v xml:space="preserve">88/89 </v>
      </c>
      <c r="AA59" s="63" t="str">
        <f t="shared" si="77"/>
        <v xml:space="preserve">89/90 </v>
      </c>
      <c r="AB59" s="63" t="str">
        <f t="shared" si="77"/>
        <v xml:space="preserve">90/91 </v>
      </c>
      <c r="AC59" s="63" t="str">
        <f t="shared" si="77"/>
        <v xml:space="preserve">91/92 </v>
      </c>
      <c r="AD59" s="63" t="str">
        <f t="shared" si="77"/>
        <v xml:space="preserve">92/93 </v>
      </c>
      <c r="AE59" s="63" t="str">
        <f t="shared" si="77"/>
        <v xml:space="preserve">93/94 </v>
      </c>
      <c r="AF59" s="63" t="str">
        <f t="shared" si="77"/>
        <v xml:space="preserve">94/95 </v>
      </c>
      <c r="AG59" s="63" t="str">
        <f t="shared" si="77"/>
        <v xml:space="preserve">95/96 </v>
      </c>
      <c r="AH59" s="63" t="str">
        <f t="shared" si="77"/>
        <v xml:space="preserve">96/97 </v>
      </c>
      <c r="AI59" s="63" t="str">
        <f t="shared" si="77"/>
        <v xml:space="preserve">97/98 </v>
      </c>
      <c r="AJ59" s="63" t="str">
        <f t="shared" si="77"/>
        <v xml:space="preserve">98/99 </v>
      </c>
      <c r="AK59" s="63" t="str">
        <f t="shared" si="77"/>
        <v xml:space="preserve">99/00 </v>
      </c>
      <c r="AL59" s="63" t="str">
        <f t="shared" si="77"/>
        <v xml:space="preserve">00/01 </v>
      </c>
      <c r="AM59" s="63" t="str">
        <f t="shared" si="77"/>
        <v xml:space="preserve">01/02 </v>
      </c>
      <c r="AN59" s="63" t="str">
        <f t="shared" si="77"/>
        <v xml:space="preserve">02/03 </v>
      </c>
      <c r="AO59" s="63" t="str">
        <f t="shared" si="77"/>
        <v xml:space="preserve">03/04 </v>
      </c>
      <c r="AP59" s="63" t="str">
        <f t="shared" si="77"/>
        <v xml:space="preserve">04/05 </v>
      </c>
      <c r="AQ59" s="63" t="str">
        <f t="shared" si="77"/>
        <v xml:space="preserve">05/06 </v>
      </c>
      <c r="AR59" s="63" t="str">
        <f t="shared" si="77"/>
        <v xml:space="preserve">06/07 </v>
      </c>
      <c r="AS59" s="63" t="str">
        <f t="shared" si="77"/>
        <v xml:space="preserve">07/08 </v>
      </c>
      <c r="AT59" s="63" t="str">
        <f t="shared" si="77"/>
        <v xml:space="preserve">08/09 </v>
      </c>
      <c r="AU59" s="63" t="str">
        <f t="shared" si="77"/>
        <v xml:space="preserve">09/10 </v>
      </c>
      <c r="AV59" s="63" t="str">
        <f t="shared" si="77"/>
        <v xml:space="preserve">10/11 </v>
      </c>
      <c r="AW59" s="63" t="str">
        <f t="shared" si="77"/>
        <v xml:space="preserve">11/12 </v>
      </c>
      <c r="AX59" s="63" t="str">
        <f t="shared" si="77"/>
        <v xml:space="preserve">12/13 </v>
      </c>
      <c r="AY59" s="63" t="str">
        <f t="shared" si="77"/>
        <v xml:space="preserve">13/14 </v>
      </c>
      <c r="AZ59" s="63" t="str">
        <f t="shared" si="77"/>
        <v xml:space="preserve">14/15 </v>
      </c>
      <c r="BA59" s="63" t="str">
        <f t="shared" si="77"/>
        <v xml:space="preserve">15/16 </v>
      </c>
      <c r="BB59" s="63" t="str">
        <f t="shared" si="77"/>
        <v xml:space="preserve">16/17 </v>
      </c>
      <c r="BC59" s="63" t="str">
        <f t="shared" si="77"/>
        <v xml:space="preserve">17/18 </v>
      </c>
      <c r="BD59" s="63" t="str">
        <f t="shared" si="77"/>
        <v xml:space="preserve">18/19 </v>
      </c>
      <c r="BE59" s="63" t="str">
        <f t="shared" si="77"/>
        <v>19/20</v>
      </c>
      <c r="BF59" s="63" t="str">
        <f t="shared" si="77"/>
        <v>20/21</v>
      </c>
      <c r="BG59" s="63" t="str">
        <f t="shared" si="77"/>
        <v>21/22</v>
      </c>
      <c r="BH59" s="63" t="str">
        <f t="shared" si="77"/>
        <v>22/23</v>
      </c>
      <c r="BI59" s="63" t="str">
        <f t="shared" si="77"/>
        <v>23/24</v>
      </c>
      <c r="BJ59" s="63" t="str">
        <f t="shared" si="77"/>
        <v>24/25</v>
      </c>
      <c r="BK59" s="63" t="str">
        <f t="shared" si="77"/>
        <v>25/26</v>
      </c>
      <c r="BL59" s="63" t="str">
        <f t="shared" si="77"/>
        <v>26/27</v>
      </c>
      <c r="BM59" s="63" t="str">
        <f t="shared" si="77"/>
        <v>27/28</v>
      </c>
      <c r="BN59" s="63" t="str">
        <f t="shared" ref="BN59:BU59" si="78">BN2</f>
        <v>28/29</v>
      </c>
      <c r="BO59" s="63" t="str">
        <f t="shared" si="78"/>
        <v>29/30</v>
      </c>
      <c r="BP59" s="63" t="str">
        <f t="shared" si="78"/>
        <v>30/31</v>
      </c>
      <c r="BQ59" s="63" t="str">
        <f t="shared" si="78"/>
        <v>31/32</v>
      </c>
      <c r="BR59" s="63" t="str">
        <f t="shared" si="78"/>
        <v>32/33</v>
      </c>
      <c r="BS59" s="63" t="str">
        <f t="shared" si="78"/>
        <v>33/34</v>
      </c>
      <c r="BT59" s="63" t="str">
        <f t="shared" si="78"/>
        <v>34/35</v>
      </c>
      <c r="BU59" s="63" t="str">
        <f t="shared" si="78"/>
        <v>34/35</v>
      </c>
      <c r="BW59" s="55" t="s">
        <v>115</v>
      </c>
      <c r="BX59" s="55" t="s">
        <v>116</v>
      </c>
    </row>
    <row r="60" spans="1:76" s="14" customFormat="1" ht="16.5">
      <c r="A60" s="4" t="s">
        <v>100</v>
      </c>
      <c r="B60" s="64"/>
      <c r="C60" s="57">
        <f t="shared" ref="C60:M71" si="79">(SUM($N60:$R60)/SUM($N$72:$R$72))*C$72</f>
        <v>0</v>
      </c>
      <c r="D60" s="57">
        <f t="shared" si="79"/>
        <v>0</v>
      </c>
      <c r="E60" s="57">
        <f t="shared" si="79"/>
        <v>0</v>
      </c>
      <c r="F60" s="57">
        <f t="shared" si="79"/>
        <v>0</v>
      </c>
      <c r="G60" s="57">
        <f t="shared" si="79"/>
        <v>0</v>
      </c>
      <c r="H60" s="57">
        <f t="shared" si="79"/>
        <v>0</v>
      </c>
      <c r="I60" s="57">
        <f t="shared" si="79"/>
        <v>0</v>
      </c>
      <c r="J60" s="57">
        <f t="shared" si="79"/>
        <v>0</v>
      </c>
      <c r="K60" s="57">
        <f t="shared" si="79"/>
        <v>0</v>
      </c>
      <c r="L60" s="57">
        <f t="shared" si="79"/>
        <v>0</v>
      </c>
      <c r="M60" s="57">
        <f t="shared" si="79"/>
        <v>0</v>
      </c>
      <c r="N60" s="14">
        <v>0</v>
      </c>
      <c r="O60" s="14">
        <v>2</v>
      </c>
      <c r="P60" s="14">
        <v>13.8</v>
      </c>
      <c r="Q60" s="14">
        <v>48.5</v>
      </c>
      <c r="R60" s="14">
        <v>9.4</v>
      </c>
      <c r="S60" s="14">
        <v>0</v>
      </c>
      <c r="T60" s="14">
        <v>0</v>
      </c>
      <c r="U60" s="14">
        <v>0</v>
      </c>
      <c r="V60" s="14">
        <v>1.4</v>
      </c>
      <c r="W60" s="14">
        <v>22.5</v>
      </c>
      <c r="X60" s="14">
        <v>5</v>
      </c>
      <c r="Y60" s="14">
        <v>0</v>
      </c>
      <c r="Z60" s="14">
        <v>26.9</v>
      </c>
      <c r="AA60" s="14">
        <v>0</v>
      </c>
      <c r="AB60" s="14">
        <v>127.9</v>
      </c>
      <c r="AC60" s="14">
        <v>310.3</v>
      </c>
      <c r="AD60" s="14">
        <v>53.1</v>
      </c>
      <c r="AE60" s="65">
        <v>70.076999999999998</v>
      </c>
      <c r="AF60" s="65">
        <f>'[1]Argentina Soybean Exports'!AO$290</f>
        <v>0</v>
      </c>
      <c r="AG60" s="65">
        <f>'[1]Argentina Soybean Exports'!BA$290</f>
        <v>990.12900000000002</v>
      </c>
      <c r="AH60" s="65">
        <f>'[1]Argentina Soybean Exports'!BM$290</f>
        <v>937.23599999999999</v>
      </c>
      <c r="AI60" s="59">
        <f>'[1]Argentina Soybean Exports'!BY$290</f>
        <v>735.76499999999999</v>
      </c>
      <c r="AJ60" s="59">
        <f>'[1]Argentina Soybean Exports'!CK$290</f>
        <v>164.721</v>
      </c>
      <c r="AK60" s="59">
        <f>'[1]Argentina Soybean Exports'!CW$290</f>
        <v>646.37800000000004</v>
      </c>
      <c r="AL60" s="59">
        <f>'[1]Argentina Soybean Exports'!DI$290</f>
        <v>631.86800000000005</v>
      </c>
      <c r="AM60" s="59">
        <f>'[1]Argentina Soybean Exports'!DU$290</f>
        <v>1426.6510000000001</v>
      </c>
      <c r="AN60" s="59">
        <f>'[1]Argentina Soybean Exports'!EG$290</f>
        <v>1610.12</v>
      </c>
      <c r="AO60" s="59">
        <f>'[1]Argentina Soybean Exports'!ES$290</f>
        <v>1516.576</v>
      </c>
      <c r="AP60" s="59">
        <f>'[1]Argentina Soybean Exports'!FE$290</f>
        <v>2134.1869999999999</v>
      </c>
      <c r="AQ60" s="59">
        <f>'[1]Argentina Soybean Exports'!FQ$290</f>
        <v>1440.133</v>
      </c>
      <c r="AR60" s="59">
        <f>'[1]Argentina Soybean Exports'!GC$290</f>
        <v>2266.4</v>
      </c>
      <c r="AS60" s="59">
        <f>'[1]Argentina Soybean Exports'!GO$290</f>
        <v>1183.5160000000001</v>
      </c>
      <c r="AT60" s="59">
        <f>'[1]Argentina Soybean Exports'!HA$290</f>
        <v>1482.5709999999999</v>
      </c>
      <c r="AU60" s="59">
        <f>'[1]Argentina Soybean Exports'!HM$290</f>
        <v>1588.5350000000001</v>
      </c>
      <c r="AV60" s="59">
        <f>'[1]Argentina Soybean Exports'!HY$290</f>
        <v>860.56399999999996</v>
      </c>
      <c r="AW60" s="59">
        <f>'[1]Argentina Soybean Exports'!IK$290</f>
        <v>2762.6959999999999</v>
      </c>
      <c r="AX60" s="59">
        <f>'[1]Argentina Soybean Exports'!IW$290</f>
        <v>1538.2719999999999</v>
      </c>
      <c r="AY60" s="59">
        <f>'[1]Argentina Soybean Exports'!JI$290</f>
        <v>1267.817</v>
      </c>
      <c r="AZ60" s="59">
        <f>'[1]Argentina Soybean Exports'!JU$290</f>
        <v>1592.0630000000001</v>
      </c>
      <c r="BA60" s="59">
        <f>'[1]Argentina Soybean Exports'!KG$290</f>
        <v>1552.9349999999999</v>
      </c>
      <c r="BB60" s="59">
        <f>'[1]Argentina Soybean Exports'!KS$290</f>
        <v>2488.6260000000002</v>
      </c>
      <c r="BC60" s="59">
        <f>'[1]Argentina Soybean Exports'!LE$290</f>
        <v>2192.02</v>
      </c>
      <c r="BD60" s="59">
        <f>'[1]Argentina Soybean Exports'!LQ$290</f>
        <v>1681.0799529999999</v>
      </c>
      <c r="BE60" s="59">
        <f>'[1]Argentina Soybean Exports'!MC$290</f>
        <v>472.38920000000002</v>
      </c>
      <c r="BF60" s="59">
        <f>'[1]Argentina Soybean Exports'!MO$290</f>
        <v>1851.9308129999999</v>
      </c>
      <c r="BG60" s="59">
        <f>'[1]Argentina Soybean Exports'!NA$290</f>
        <v>2173.4312479999999</v>
      </c>
      <c r="BH60" s="59">
        <f>'[1]Argentina Soybean Exports'!NM$290</f>
        <v>882.03121999999996</v>
      </c>
      <c r="BI60" s="59">
        <f>'[1]Argentina Soybean Exports'!NY$290</f>
        <v>218.74320900000001</v>
      </c>
      <c r="BJ60" s="58">
        <f t="shared" ref="BJ60:BJ70" si="80">(SUM(BD60:BH60)/SUM(BD$72:BH$72))*BJ$72</f>
        <v>977.68960102315214</v>
      </c>
      <c r="BK60" s="58">
        <f t="shared" ref="BK60:BK70" si="81">(SUM(BE60:BI60)/SUM(BE$72:BI$72))*BK$72</f>
        <v>906.03255877596655</v>
      </c>
      <c r="BL60" s="58">
        <f t="shared" ref="BL60:BU70" si="82">(SUM(BF60:BJ60)/SUM(BF$72:BJ$72))*BL$72</f>
        <v>971.94051137639838</v>
      </c>
      <c r="BM60" s="58">
        <f t="shared" si="82"/>
        <v>1045.2085437650355</v>
      </c>
      <c r="BN60" s="58">
        <f t="shared" si="82"/>
        <v>875.90049131603598</v>
      </c>
      <c r="BO60" s="58">
        <f t="shared" si="82"/>
        <v>931.5711008910796</v>
      </c>
      <c r="BP60" s="58">
        <f t="shared" si="82"/>
        <v>955.35434125131781</v>
      </c>
      <c r="BQ60" s="58">
        <f t="shared" si="82"/>
        <v>946.13064122490323</v>
      </c>
      <c r="BR60" s="58">
        <f t="shared" si="82"/>
        <v>955.99499771997364</v>
      </c>
      <c r="BS60" s="58">
        <f t="shared" si="82"/>
        <v>950.83302368967463</v>
      </c>
      <c r="BT60" s="58">
        <f t="shared" si="82"/>
        <v>932.99031448066194</v>
      </c>
      <c r="BU60" s="58">
        <f t="shared" si="82"/>
        <v>947.97682095538983</v>
      </c>
      <c r="BW60" s="14">
        <v>691.78899999999999</v>
      </c>
      <c r="BX60" s="14">
        <v>146.62</v>
      </c>
    </row>
    <row r="61" spans="1:76" s="14" customFormat="1" ht="16.5">
      <c r="A61" s="4" t="s">
        <v>102</v>
      </c>
      <c r="B61" s="64"/>
      <c r="C61" s="57">
        <f t="shared" si="79"/>
        <v>0</v>
      </c>
      <c r="D61" s="57">
        <f t="shared" si="79"/>
        <v>0</v>
      </c>
      <c r="E61" s="57">
        <f t="shared" si="79"/>
        <v>0</v>
      </c>
      <c r="F61" s="57">
        <f t="shared" si="79"/>
        <v>0</v>
      </c>
      <c r="G61" s="57">
        <f t="shared" si="79"/>
        <v>0</v>
      </c>
      <c r="H61" s="57">
        <f t="shared" si="79"/>
        <v>0</v>
      </c>
      <c r="I61" s="57">
        <f t="shared" si="79"/>
        <v>0</v>
      </c>
      <c r="J61" s="57">
        <f t="shared" si="79"/>
        <v>0</v>
      </c>
      <c r="K61" s="57">
        <f t="shared" si="79"/>
        <v>0</v>
      </c>
      <c r="L61" s="57">
        <f t="shared" si="79"/>
        <v>0</v>
      </c>
      <c r="M61" s="57">
        <f t="shared" si="79"/>
        <v>0</v>
      </c>
      <c r="N61" s="14">
        <v>0</v>
      </c>
      <c r="O61" s="14">
        <v>53</v>
      </c>
      <c r="P61" s="14">
        <v>219.1</v>
      </c>
      <c r="Q61" s="14">
        <v>449.6</v>
      </c>
      <c r="R61" s="14">
        <v>275.60000000000002</v>
      </c>
      <c r="S61" s="14">
        <v>286.3</v>
      </c>
      <c r="T61" s="14">
        <v>222.3</v>
      </c>
      <c r="U61" s="14">
        <v>19.3</v>
      </c>
      <c r="V61" s="14">
        <v>392.7</v>
      </c>
      <c r="W61" s="14">
        <v>407.1</v>
      </c>
      <c r="X61" s="14">
        <v>606.9</v>
      </c>
      <c r="Y61" s="14">
        <v>356.1</v>
      </c>
      <c r="Z61" s="14">
        <v>466.9</v>
      </c>
      <c r="AA61" s="14">
        <v>199.7</v>
      </c>
      <c r="AB61" s="14">
        <v>673</v>
      </c>
      <c r="AC61" s="14">
        <v>838.5</v>
      </c>
      <c r="AD61" s="14">
        <v>664</v>
      </c>
      <c r="AE61" s="65">
        <v>623.59199999999998</v>
      </c>
      <c r="AF61" s="65">
        <f>'[1]Argentina Soybean Exports'!AP$290</f>
        <v>0</v>
      </c>
      <c r="AG61" s="65">
        <f>'[1]Argentina Soybean Exports'!BB$290</f>
        <v>985.79600000000005</v>
      </c>
      <c r="AH61" s="65">
        <f>'[1]Argentina Soybean Exports'!BN$290</f>
        <v>758.40200000000004</v>
      </c>
      <c r="AI61" s="59">
        <f>'[1]Argentina Soybean Exports'!BZ$290</f>
        <v>447.52699999999999</v>
      </c>
      <c r="AJ61" s="59">
        <f>'[1]Argentina Soybean Exports'!CL$290</f>
        <v>60.500999999999998</v>
      </c>
      <c r="AK61" s="59">
        <f>'[1]Argentina Soybean Exports'!CX$290</f>
        <v>751.07600000000002</v>
      </c>
      <c r="AL61" s="59">
        <f>'[1]Argentina Soybean Exports'!DJ$290</f>
        <v>864.65200000000004</v>
      </c>
      <c r="AM61" s="59">
        <f>'[1]Argentina Soybean Exports'!DV$290</f>
        <v>927.01900000000001</v>
      </c>
      <c r="AN61" s="59">
        <f>'[1]Argentina Soybean Exports'!EH$290</f>
        <v>1455.2429999999999</v>
      </c>
      <c r="AO61" s="59">
        <f>'[1]Argentina Soybean Exports'!ET$290</f>
        <v>1027.607</v>
      </c>
      <c r="AP61" s="59">
        <f>'[1]Argentina Soybean Exports'!FF$290</f>
        <v>2061.7359999999999</v>
      </c>
      <c r="AQ61" s="59">
        <f>'[1]Argentina Soybean Exports'!FR$290</f>
        <v>698.90899999999999</v>
      </c>
      <c r="AR61" s="59">
        <f>'[1]Argentina Soybean Exports'!GD$290</f>
        <v>1345.269</v>
      </c>
      <c r="AS61" s="59">
        <f>'[1]Argentina Soybean Exports'!GP$290</f>
        <v>896.97500000000002</v>
      </c>
      <c r="AT61" s="59">
        <f>'[1]Argentina Soybean Exports'!HB$290</f>
        <v>1069.9939999999999</v>
      </c>
      <c r="AU61" s="59">
        <f>'[1]Argentina Soybean Exports'!H$290</f>
        <v>0</v>
      </c>
      <c r="AV61" s="59">
        <f>'[1]Argentina Soybean Exports'!HZ$290</f>
        <v>296.553</v>
      </c>
      <c r="AW61" s="59">
        <f>'[1]Argentina Soybean Exports'!IL$290</f>
        <v>2529.3530000000001</v>
      </c>
      <c r="AX61" s="59">
        <f>'[1]Argentina Soybean Exports'!IX$290</f>
        <v>1533.124</v>
      </c>
      <c r="AY61" s="59">
        <f>'[1]Argentina Soybean Exports'!JJ$290</f>
        <v>901.44</v>
      </c>
      <c r="AZ61" s="59">
        <f>'[1]Argentina Soybean Exports'!JV$290</f>
        <v>856.69200000000001</v>
      </c>
      <c r="BA61" s="59">
        <f>'[1]Argentina Soybean Exports'!KH$290</f>
        <v>1583.675</v>
      </c>
      <c r="BB61" s="59">
        <f>'[1]Argentina Soybean Exports'!KT$290</f>
        <v>2367.7139999999999</v>
      </c>
      <c r="BC61" s="59">
        <f>'[1]Argentina Soybean Exports'!LF$290</f>
        <v>2066.65</v>
      </c>
      <c r="BD61" s="59">
        <f>'[1]Argentina Soybean Exports'!LR$290</f>
        <v>1462.117978</v>
      </c>
      <c r="BE61" s="59">
        <f>'[1]Argentina Soybean Exports'!MD$290</f>
        <v>559.398595</v>
      </c>
      <c r="BF61" s="59">
        <f>'[1]Argentina Soybean Exports'!MP$290</f>
        <v>489.760605</v>
      </c>
      <c r="BG61" s="59">
        <f>'[1]Argentina Soybean Exports'!NB$290</f>
        <v>1328.7512489999999</v>
      </c>
      <c r="BH61" s="59">
        <f>'[1]Argentina Soybean Exports'!NN$290</f>
        <v>511.19915600000002</v>
      </c>
      <c r="BI61" s="59">
        <f>'[1]Argentina Soybean Exports'!NZ$290</f>
        <v>281.99851200000001</v>
      </c>
      <c r="BJ61" s="58">
        <f t="shared" si="80"/>
        <v>602.49721607650918</v>
      </c>
      <c r="BK61" s="58">
        <f t="shared" si="81"/>
        <v>513.19353710079122</v>
      </c>
      <c r="BL61" s="58">
        <f t="shared" si="82"/>
        <v>511.81303236506284</v>
      </c>
      <c r="BM61" s="58">
        <f t="shared" si="82"/>
        <v>656.07909842374966</v>
      </c>
      <c r="BN61" s="58">
        <f t="shared" si="82"/>
        <v>535.90984484326486</v>
      </c>
      <c r="BO61" s="58">
        <f t="shared" si="82"/>
        <v>580.15659707776422</v>
      </c>
      <c r="BP61" s="58">
        <f t="shared" si="82"/>
        <v>563.89854576187554</v>
      </c>
      <c r="BQ61" s="58">
        <f t="shared" si="82"/>
        <v>559.4304219621265</v>
      </c>
      <c r="BR61" s="58">
        <f t="shared" si="82"/>
        <v>569.57142369434337</v>
      </c>
      <c r="BS61" s="58">
        <f t="shared" si="82"/>
        <v>579.09490161375618</v>
      </c>
      <c r="BT61" s="58">
        <f t="shared" si="82"/>
        <v>561.79336666787492</v>
      </c>
      <c r="BU61" s="58">
        <f t="shared" si="82"/>
        <v>570.43037802197307</v>
      </c>
      <c r="BW61" s="14">
        <v>1613.7280000000001</v>
      </c>
      <c r="BX61" s="14">
        <v>460.71699999999998</v>
      </c>
    </row>
    <row r="62" spans="1:76" s="14" customFormat="1" ht="16.5">
      <c r="A62" s="4" t="s">
        <v>103</v>
      </c>
      <c r="B62" s="64"/>
      <c r="C62" s="57">
        <f t="shared" si="79"/>
        <v>0</v>
      </c>
      <c r="D62" s="57">
        <f t="shared" si="79"/>
        <v>0</v>
      </c>
      <c r="E62" s="57">
        <f t="shared" si="79"/>
        <v>0</v>
      </c>
      <c r="F62" s="57">
        <f t="shared" si="79"/>
        <v>0</v>
      </c>
      <c r="G62" s="57">
        <f t="shared" si="79"/>
        <v>0</v>
      </c>
      <c r="H62" s="57">
        <f t="shared" si="79"/>
        <v>0</v>
      </c>
      <c r="I62" s="57">
        <f t="shared" si="79"/>
        <v>0</v>
      </c>
      <c r="J62" s="57">
        <f t="shared" si="79"/>
        <v>0</v>
      </c>
      <c r="K62" s="57">
        <f t="shared" si="79"/>
        <v>0</v>
      </c>
      <c r="L62" s="57">
        <f t="shared" si="79"/>
        <v>0</v>
      </c>
      <c r="M62" s="57">
        <f t="shared" si="79"/>
        <v>0</v>
      </c>
      <c r="N62" s="14">
        <v>25.5</v>
      </c>
      <c r="O62" s="14">
        <v>125.2</v>
      </c>
      <c r="P62" s="14">
        <v>367</v>
      </c>
      <c r="Q62" s="14">
        <v>901</v>
      </c>
      <c r="R62" s="14">
        <v>498.6</v>
      </c>
      <c r="S62" s="14">
        <v>873.5</v>
      </c>
      <c r="T62" s="14">
        <v>605.9</v>
      </c>
      <c r="U62" s="14">
        <v>161.9</v>
      </c>
      <c r="V62" s="14">
        <v>606.1</v>
      </c>
      <c r="W62" s="14">
        <v>943.2</v>
      </c>
      <c r="X62" s="14">
        <v>605.29999999999995</v>
      </c>
      <c r="Y62" s="14">
        <v>459.5</v>
      </c>
      <c r="Z62" s="14">
        <v>746.2</v>
      </c>
      <c r="AA62" s="14">
        <v>183.5</v>
      </c>
      <c r="AB62" s="14">
        <v>625.70000000000005</v>
      </c>
      <c r="AC62" s="14">
        <v>963.3</v>
      </c>
      <c r="AD62" s="14">
        <v>714.1</v>
      </c>
      <c r="AE62" s="65">
        <v>364.60899999999998</v>
      </c>
      <c r="AF62" s="65">
        <f>'[1]Argentina Soybean Exports'!AQ$290</f>
        <v>0</v>
      </c>
      <c r="AG62" s="65">
        <f>'[1]Argentina Soybean Exports'!BC$290</f>
        <v>537.15700000000004</v>
      </c>
      <c r="AH62" s="65">
        <f>'[1]Argentina Soybean Exports'!BO$290</f>
        <v>439.48500000000001</v>
      </c>
      <c r="AI62" s="59">
        <f>'[1]Argentina Soybean Exports'!CA$290</f>
        <v>254.64400000000001</v>
      </c>
      <c r="AJ62" s="59">
        <f>'[1]Argentina Soybean Exports'!CM$290</f>
        <v>43.134999999999998</v>
      </c>
      <c r="AK62" s="59">
        <f>'[1]Argentina Soybean Exports'!CY$290</f>
        <v>288.27600000000001</v>
      </c>
      <c r="AL62" s="59">
        <f>'[1]Argentina Soybean Exports'!DK$290</f>
        <v>680.12900000000002</v>
      </c>
      <c r="AM62" s="59">
        <f>'[1]Argentina Soybean Exports'!DW$290</f>
        <v>519.54700000000003</v>
      </c>
      <c r="AN62" s="59">
        <f>'[1]Argentina Soybean Exports'!EI$290</f>
        <v>1358.4490000000001</v>
      </c>
      <c r="AO62" s="59">
        <f>'[1]Argentina Soybean Exports'!EU$290</f>
        <v>1007.2190000000001</v>
      </c>
      <c r="AP62" s="59">
        <f>'[1]Argentina Soybean Exports'!FG$290</f>
        <v>1921.3140000000001</v>
      </c>
      <c r="AQ62" s="59">
        <f>'[1]Argentina Soybean Exports'!FS$290</f>
        <v>869.23599999999999</v>
      </c>
      <c r="AR62" s="59">
        <f>'[1]Argentina Soybean Exports'!GE$290</f>
        <v>1670.672</v>
      </c>
      <c r="AS62" s="59">
        <f>'[1]Argentina Soybean Exports'!GQ$290</f>
        <v>378.95400000000001</v>
      </c>
      <c r="AT62" s="59">
        <f>'[1]Argentina Soybean Exports'!HC$290</f>
        <v>1051.826</v>
      </c>
      <c r="AU62" s="59">
        <f>'[1]Argentina Soybean Exports'!HO$290</f>
        <v>2090.1579999999999</v>
      </c>
      <c r="AV62" s="59">
        <f>'[1]Argentina Soybean Exports'!IA$290</f>
        <v>406.483</v>
      </c>
      <c r="AW62" s="59">
        <f>'[1]Argentina Soybean Exports'!IM$290</f>
        <v>1795.575</v>
      </c>
      <c r="AX62" s="59">
        <f>'[1]Argentina Soybean Exports'!IY$290</f>
        <v>1304.732</v>
      </c>
      <c r="AY62" s="59">
        <f>'[1]Argentina Soybean Exports'!JK$290</f>
        <v>1155.4110000000001</v>
      </c>
      <c r="AZ62" s="59">
        <f>'[1]Argentina Soybean Exports'!JW$290</f>
        <v>827.40899999999999</v>
      </c>
      <c r="BA62" s="59">
        <f>'[1]Argentina Soybean Exports'!KI$290</f>
        <v>1267.165</v>
      </c>
      <c r="BB62" s="59">
        <f>'[1]Argentina Soybean Exports'!KU$290</f>
        <v>1442.838</v>
      </c>
      <c r="BC62" s="59">
        <f>'[1]Argentina Soybean Exports'!LG$290</f>
        <v>1327.0619999999999</v>
      </c>
      <c r="BD62" s="59">
        <f>'[1]Argentina Soybean Exports'!LS$290</f>
        <v>583.47414500000002</v>
      </c>
      <c r="BE62" s="59">
        <f>'[1]Argentina Soybean Exports'!ME$290</f>
        <v>45.74615</v>
      </c>
      <c r="BF62" s="59">
        <f>'[1]Argentina Soybean Exports'!MQ$290</f>
        <v>1351.7079160000001</v>
      </c>
      <c r="BG62" s="59">
        <f>'[1]Argentina Soybean Exports'!NC$290</f>
        <v>1061.3613350000001</v>
      </c>
      <c r="BH62" s="59">
        <f>'[1]Argentina Soybean Exports'!NO$290</f>
        <v>796.64685999999995</v>
      </c>
      <c r="BI62" s="59">
        <f>'[1]Argentina Soybean Exports'!OA$290</f>
        <v>430.95469500000002</v>
      </c>
      <c r="BJ62" s="58">
        <f t="shared" si="80"/>
        <v>531.56228976537989</v>
      </c>
      <c r="BK62" s="58">
        <f t="shared" si="81"/>
        <v>596.58809699233336</v>
      </c>
      <c r="BL62" s="58">
        <f t="shared" si="82"/>
        <v>664.36400844441334</v>
      </c>
      <c r="BM62" s="58">
        <f t="shared" si="82"/>
        <v>692.44784046776078</v>
      </c>
      <c r="BN62" s="58">
        <f t="shared" si="82"/>
        <v>668.61192978300767</v>
      </c>
      <c r="BO62" s="58">
        <f t="shared" si="82"/>
        <v>659.37820040273834</v>
      </c>
      <c r="BP62" s="58">
        <f t="shared" si="82"/>
        <v>630.71483309057908</v>
      </c>
      <c r="BQ62" s="58">
        <f t="shared" si="82"/>
        <v>656.27801521805077</v>
      </c>
      <c r="BR62" s="58">
        <f t="shared" si="82"/>
        <v>663.10336243769984</v>
      </c>
      <c r="BS62" s="58">
        <f t="shared" si="82"/>
        <v>661.48616379242731</v>
      </c>
      <c r="BT62" s="58">
        <f t="shared" si="82"/>
        <v>655.61726818641512</v>
      </c>
      <c r="BU62" s="58">
        <f t="shared" si="82"/>
        <v>654.19211498829907</v>
      </c>
      <c r="BW62" s="14">
        <v>1391.9860000000001</v>
      </c>
      <c r="BX62" s="14">
        <v>507.31099999999998</v>
      </c>
    </row>
    <row r="63" spans="1:76" s="14" customFormat="1" ht="16.5">
      <c r="A63" s="4" t="s">
        <v>104</v>
      </c>
      <c r="B63" s="64"/>
      <c r="C63" s="57">
        <f t="shared" si="79"/>
        <v>0</v>
      </c>
      <c r="D63" s="57">
        <f t="shared" si="79"/>
        <v>0</v>
      </c>
      <c r="E63" s="57">
        <f t="shared" si="79"/>
        <v>0</v>
      </c>
      <c r="F63" s="57">
        <f t="shared" si="79"/>
        <v>0</v>
      </c>
      <c r="G63" s="57">
        <f t="shared" si="79"/>
        <v>0</v>
      </c>
      <c r="H63" s="57">
        <f t="shared" si="79"/>
        <v>0</v>
      </c>
      <c r="I63" s="57">
        <f t="shared" si="79"/>
        <v>0</v>
      </c>
      <c r="J63" s="57">
        <f t="shared" si="79"/>
        <v>0</v>
      </c>
      <c r="K63" s="57">
        <f t="shared" si="79"/>
        <v>0</v>
      </c>
      <c r="L63" s="57">
        <f t="shared" si="79"/>
        <v>0</v>
      </c>
      <c r="M63" s="57">
        <f t="shared" si="79"/>
        <v>0</v>
      </c>
      <c r="N63" s="14">
        <v>13.8</v>
      </c>
      <c r="O63" s="14">
        <v>173.1</v>
      </c>
      <c r="P63" s="14">
        <v>459.9</v>
      </c>
      <c r="Q63" s="14">
        <v>626</v>
      </c>
      <c r="R63" s="14">
        <v>627</v>
      </c>
      <c r="S63" s="14">
        <v>659.8</v>
      </c>
      <c r="T63" s="14">
        <v>588.29999999999995</v>
      </c>
      <c r="U63" s="14">
        <v>420.5</v>
      </c>
      <c r="V63" s="14">
        <v>932.5</v>
      </c>
      <c r="W63" s="14">
        <v>782.3</v>
      </c>
      <c r="X63" s="14">
        <v>782</v>
      </c>
      <c r="Y63" s="14">
        <v>355.5</v>
      </c>
      <c r="Z63" s="14">
        <v>438.8</v>
      </c>
      <c r="AA63" s="14">
        <v>46.5</v>
      </c>
      <c r="AB63" s="14">
        <v>737.1</v>
      </c>
      <c r="AC63" s="14">
        <v>915.5</v>
      </c>
      <c r="AD63" s="14">
        <v>795.7</v>
      </c>
      <c r="AE63" s="65">
        <v>458.64400000000001</v>
      </c>
      <c r="AF63" s="65">
        <f>'[1]Argentina Soybean Exports'!AR$290</f>
        <v>0</v>
      </c>
      <c r="AG63" s="65">
        <f>'[1]Argentina Soybean Exports'!BD$290</f>
        <v>235.38399999999999</v>
      </c>
      <c r="AH63" s="65">
        <f>'[1]Argentina Soybean Exports'!BP$290</f>
        <v>260.74099999999999</v>
      </c>
      <c r="AI63" s="59">
        <f>'[1]Argentina Soybean Exports'!CB$290</f>
        <v>239.471</v>
      </c>
      <c r="AJ63" s="59">
        <f>'[1]Argentina Soybean Exports'!CN$290</f>
        <v>40.015999999999998</v>
      </c>
      <c r="AK63" s="59">
        <f>'[1]Argentina Soybean Exports'!CZ$290</f>
        <v>592.94000000000005</v>
      </c>
      <c r="AL63" s="59">
        <f>'[1]Argentina Soybean Exports'!DL$290</f>
        <v>268.41800000000001</v>
      </c>
      <c r="AM63" s="59">
        <f>'[1]Argentina Soybean Exports'!DX$290</f>
        <v>205.91300000000001</v>
      </c>
      <c r="AN63" s="59">
        <f>'[1]Argentina Soybean Exports'!EJ$290</f>
        <v>912.71199999999999</v>
      </c>
      <c r="AO63" s="59">
        <f>'[1]Argentina Soybean Exports'!EV$290</f>
        <v>812.21500000000003</v>
      </c>
      <c r="AP63" s="59">
        <f>'[1]Argentina Soybean Exports'!FH$290</f>
        <v>437.82299999999998</v>
      </c>
      <c r="AQ63" s="59">
        <f>'[1]Argentina Soybean Exports'!FT$290</f>
        <v>899.39400000000001</v>
      </c>
      <c r="AR63" s="59">
        <f>'[1]Argentina Soybean Exports'!GF$290</f>
        <v>1117.5029999999999</v>
      </c>
      <c r="AS63" s="59">
        <f>'[1]Argentina Soybean Exports'!GR$290</f>
        <v>540.62300000000005</v>
      </c>
      <c r="AT63" s="59">
        <f>'[1]Argentina Soybean Exports'!HD$290</f>
        <v>1454.7429999999999</v>
      </c>
      <c r="AU63" s="59">
        <f>'[1]Argentina Soybean Exports'!HP$290</f>
        <v>1812.1469999999999</v>
      </c>
      <c r="AV63" s="59">
        <f>'[1]Argentina Soybean Exports'!IB$290</f>
        <v>691.67100000000005</v>
      </c>
      <c r="AW63" s="59">
        <f>'[1]Argentina Soybean Exports'!IN$290</f>
        <v>2418.4780000000001</v>
      </c>
      <c r="AX63" s="59">
        <f>'[1]Argentina Soybean Exports'!IZ$290</f>
        <v>1415.124</v>
      </c>
      <c r="AY63" s="59">
        <f>'[1]Argentina Soybean Exports'!JL$290</f>
        <v>882.78</v>
      </c>
      <c r="AZ63" s="59">
        <f>'[1]Argentina Soybean Exports'!JX$290</f>
        <v>1633.9870000000001</v>
      </c>
      <c r="BA63" s="59">
        <f>'[1]Argentina Soybean Exports'!KJ$290</f>
        <v>1171.5129999999999</v>
      </c>
      <c r="BB63" s="59">
        <f>'[1]Argentina Soybean Exports'!KV$290</f>
        <v>1258.0329999999999</v>
      </c>
      <c r="BC63" s="59">
        <f>'[1]Argentina Soybean Exports'!LH$290</f>
        <v>1309.895</v>
      </c>
      <c r="BD63" s="59">
        <f>'[1]Argentina Soybean Exports'!LT$290</f>
        <v>889.50290299999995</v>
      </c>
      <c r="BE63" s="59">
        <f>'[1]Argentina Soybean Exports'!MF$290</f>
        <v>15.737563</v>
      </c>
      <c r="BF63" s="59">
        <f>'[1]Argentina Soybean Exports'!MR$290</f>
        <v>979.99314000000004</v>
      </c>
      <c r="BG63" s="59">
        <f>'[1]Argentina Soybean Exports'!ND$290</f>
        <v>987.10016099999996</v>
      </c>
      <c r="BH63" s="59">
        <f>'[1]Argentina Soybean Exports'!NP$290</f>
        <v>1469.8493980000001</v>
      </c>
      <c r="BI63" s="59">
        <f>'[1]Argentina Soybean Exports'!OB$290</f>
        <v>332.60425400000003</v>
      </c>
      <c r="BJ63" s="58">
        <f t="shared" si="80"/>
        <v>601.24487140777205</v>
      </c>
      <c r="BK63" s="58">
        <f t="shared" si="81"/>
        <v>612.58824298197089</v>
      </c>
      <c r="BL63" s="58">
        <f t="shared" si="82"/>
        <v>695.98143485483467</v>
      </c>
      <c r="BM63" s="58">
        <f t="shared" si="82"/>
        <v>811.25102035195061</v>
      </c>
      <c r="BN63" s="58">
        <f t="shared" si="82"/>
        <v>821.84487179709606</v>
      </c>
      <c r="BO63" s="58">
        <f t="shared" si="82"/>
        <v>690.52835206956672</v>
      </c>
      <c r="BP63" s="58">
        <f t="shared" si="82"/>
        <v>708.58208827872488</v>
      </c>
      <c r="BQ63" s="58">
        <f t="shared" si="82"/>
        <v>726.4387844110837</v>
      </c>
      <c r="BR63" s="58">
        <f t="shared" si="82"/>
        <v>745.63755347043457</v>
      </c>
      <c r="BS63" s="58">
        <f t="shared" si="82"/>
        <v>751.72902338168444</v>
      </c>
      <c r="BT63" s="58">
        <f t="shared" si="82"/>
        <v>738.60633000538132</v>
      </c>
      <c r="BU63" s="58">
        <f t="shared" si="82"/>
        <v>724.5831603222988</v>
      </c>
      <c r="BW63" s="14">
        <v>514.57100000000003</v>
      </c>
    </row>
    <row r="64" spans="1:76" s="14" customFormat="1" ht="16.5">
      <c r="A64" s="4" t="s">
        <v>105</v>
      </c>
      <c r="B64" s="64"/>
      <c r="C64" s="57">
        <f t="shared" si="79"/>
        <v>0</v>
      </c>
      <c r="D64" s="57">
        <f t="shared" si="79"/>
        <v>0</v>
      </c>
      <c r="E64" s="57">
        <f t="shared" si="79"/>
        <v>0</v>
      </c>
      <c r="F64" s="57">
        <f t="shared" si="79"/>
        <v>0</v>
      </c>
      <c r="G64" s="57">
        <f t="shared" si="79"/>
        <v>0</v>
      </c>
      <c r="H64" s="57">
        <f t="shared" si="79"/>
        <v>0</v>
      </c>
      <c r="I64" s="57">
        <f t="shared" si="79"/>
        <v>0</v>
      </c>
      <c r="J64" s="57">
        <f t="shared" si="79"/>
        <v>0</v>
      </c>
      <c r="K64" s="57">
        <f t="shared" si="79"/>
        <v>0</v>
      </c>
      <c r="L64" s="57">
        <f t="shared" si="79"/>
        <v>0</v>
      </c>
      <c r="M64" s="57">
        <f t="shared" si="79"/>
        <v>0</v>
      </c>
      <c r="N64" s="14">
        <v>7</v>
      </c>
      <c r="O64" s="14">
        <v>112</v>
      </c>
      <c r="P64" s="14">
        <v>476.1</v>
      </c>
      <c r="Q64" s="14">
        <v>487.5</v>
      </c>
      <c r="R64" s="14">
        <v>399.5</v>
      </c>
      <c r="S64" s="14">
        <v>233.7</v>
      </c>
      <c r="T64" s="14">
        <v>262.7</v>
      </c>
      <c r="U64" s="14">
        <v>345.4</v>
      </c>
      <c r="V64" s="14">
        <v>627.29999999999995</v>
      </c>
      <c r="W64" s="14">
        <v>633.29999999999995</v>
      </c>
      <c r="X64" s="14">
        <v>500.6</v>
      </c>
      <c r="Y64" s="14">
        <v>114.8</v>
      </c>
      <c r="Z64" s="14">
        <v>261.3</v>
      </c>
      <c r="AA64" s="14">
        <v>0</v>
      </c>
      <c r="AB64" s="14">
        <v>437</v>
      </c>
      <c r="AC64" s="14">
        <v>451.6</v>
      </c>
      <c r="AD64" s="14">
        <v>477.3</v>
      </c>
      <c r="AE64" s="65">
        <v>332.60899999999998</v>
      </c>
      <c r="AF64" s="65">
        <f>'[1]Argentina Soybean Exports'!AS$290</f>
        <v>259.596</v>
      </c>
      <c r="AG64" s="65">
        <f>'[1]Argentina Soybean Exports'!BE$290</f>
        <v>52.197000000000003</v>
      </c>
      <c r="AH64" s="65">
        <f>'[1]Argentina Soybean Exports'!BQ$290</f>
        <v>1.4670000000000001</v>
      </c>
      <c r="AI64" s="59">
        <f>'[1]Argentina Soybean Exports'!CC$290</f>
        <v>106.848</v>
      </c>
      <c r="AJ64" s="59">
        <f>'[1]Argentina Soybean Exports'!CO$290</f>
        <v>10.705</v>
      </c>
      <c r="AK64" s="59">
        <f>'[1]Argentina Soybean Exports'!DA$290</f>
        <v>210.43299999999999</v>
      </c>
      <c r="AL64" s="59">
        <f>'[1]Argentina Soybean Exports'!DM$290</f>
        <v>298.88600000000002</v>
      </c>
      <c r="AM64" s="59">
        <f>'[1]Argentina Soybean Exports'!DY$290</f>
        <v>23.201000000000001</v>
      </c>
      <c r="AN64" s="59">
        <f>'[1]Argentina Soybean Exports'!EK$290</f>
        <v>601.80799999999999</v>
      </c>
      <c r="AO64" s="59">
        <f>'[1]Argentina Soybean Exports'!EW$290</f>
        <v>703.63499999999999</v>
      </c>
      <c r="AP64" s="59">
        <f>'[1]Argentina Soybean Exports'!FI$290</f>
        <v>99.551000000000002</v>
      </c>
      <c r="AQ64" s="59">
        <f>'[1]Argentina Soybean Exports'!FU$290</f>
        <v>692.11599999999999</v>
      </c>
      <c r="AR64" s="59">
        <f>'[1]Argentina Soybean Exports'!GG$290</f>
        <v>767.00300000000004</v>
      </c>
      <c r="AS64" s="59">
        <f>'[1]Argentina Soybean Exports'!GS$290</f>
        <v>562.66700000000003</v>
      </c>
      <c r="AT64" s="59">
        <f>'[1]Argentina Soybean Exports'!HE$290</f>
        <v>1614.222</v>
      </c>
      <c r="AU64" s="59">
        <f>'[1]Argentina Soybean Exports'!HQ$290</f>
        <v>1104.6099999999999</v>
      </c>
      <c r="AV64" s="59">
        <f>'[1]Argentina Soybean Exports'!IC$290</f>
        <v>98.542000000000002</v>
      </c>
      <c r="AW64" s="59">
        <f>'[1]Argentina Soybean Exports'!IO$290</f>
        <v>1214.019</v>
      </c>
      <c r="AX64" s="59">
        <f>'[1]Argentina Soybean Exports'!JA$290</f>
        <v>1780.539</v>
      </c>
      <c r="AY64" s="59">
        <f>'[1]Argentina Soybean Exports'!JM$290</f>
        <v>635.995</v>
      </c>
      <c r="AZ64" s="59">
        <f>'[1]Argentina Soybean Exports'!JY$290</f>
        <v>1086.376</v>
      </c>
      <c r="BA64" s="59">
        <f>'[1]Argentina Soybean Exports'!KK$290</f>
        <v>374.274</v>
      </c>
      <c r="BB64" s="59">
        <f>'[1]Argentina Soybean Exports'!KW$290</f>
        <v>1400.3910000000001</v>
      </c>
      <c r="BC64" s="59">
        <f>'[1]Argentina Soybean Exports'!LI$290</f>
        <v>977.83600000000001</v>
      </c>
      <c r="BD64" s="59">
        <f>'[1]Argentina Soybean Exports'!LU$290</f>
        <v>1064.1028759999999</v>
      </c>
      <c r="BE64" s="59">
        <f>'[1]Argentina Soybean Exports'!MG$290</f>
        <v>125.74481400000001</v>
      </c>
      <c r="BF64" s="59">
        <f>'[1]Argentina Soybean Exports'!MS$290</f>
        <v>1602.7948060000001</v>
      </c>
      <c r="BG64" s="59">
        <f>'[1]Argentina Soybean Exports'!NE$290</f>
        <v>145.02632</v>
      </c>
      <c r="BH64" s="59">
        <f>'[1]Argentina Soybean Exports'!NQ$290</f>
        <v>842.32317399999999</v>
      </c>
      <c r="BI64" s="59">
        <f>'[1]Argentina Soybean Exports'!OC$290</f>
        <v>1166.128305</v>
      </c>
      <c r="BJ64" s="58">
        <f t="shared" si="80"/>
        <v>523.40049039593157</v>
      </c>
      <c r="BK64" s="58">
        <f t="shared" si="81"/>
        <v>628.24292860384173</v>
      </c>
      <c r="BL64" s="58">
        <f t="shared" si="82"/>
        <v>681.47217742333885</v>
      </c>
      <c r="BM64" s="58">
        <f t="shared" si="82"/>
        <v>669.75363838674139</v>
      </c>
      <c r="BN64" s="58">
        <f t="shared" si="82"/>
        <v>850.46985547611496</v>
      </c>
      <c r="BO64" s="58">
        <f t="shared" si="82"/>
        <v>829.6728105097659</v>
      </c>
      <c r="BP64" s="58">
        <f t="shared" si="82"/>
        <v>670.6678180571937</v>
      </c>
      <c r="BQ64" s="58">
        <f t="shared" si="82"/>
        <v>731.9222820799605</v>
      </c>
      <c r="BR64" s="58">
        <f t="shared" si="82"/>
        <v>740.40725997063089</v>
      </c>
      <c r="BS64" s="58">
        <f t="shared" si="82"/>
        <v>750.49728090195526</v>
      </c>
      <c r="BT64" s="58">
        <f t="shared" si="82"/>
        <v>764.62800521873305</v>
      </c>
      <c r="BU64" s="58">
        <f t="shared" si="82"/>
        <v>744.63349030390123</v>
      </c>
      <c r="BW64" s="14">
        <v>742.24099999999999</v>
      </c>
    </row>
    <row r="65" spans="1:119" s="14" customFormat="1" ht="16.5">
      <c r="A65" s="4" t="s">
        <v>106</v>
      </c>
      <c r="B65" s="64"/>
      <c r="C65" s="57">
        <f t="shared" si="79"/>
        <v>0</v>
      </c>
      <c r="D65" s="57">
        <f t="shared" si="79"/>
        <v>0</v>
      </c>
      <c r="E65" s="57">
        <f t="shared" si="79"/>
        <v>0</v>
      </c>
      <c r="F65" s="57">
        <f t="shared" si="79"/>
        <v>0</v>
      </c>
      <c r="G65" s="57">
        <f t="shared" si="79"/>
        <v>0</v>
      </c>
      <c r="H65" s="57">
        <f t="shared" si="79"/>
        <v>0</v>
      </c>
      <c r="I65" s="57">
        <f t="shared" si="79"/>
        <v>0</v>
      </c>
      <c r="J65" s="57">
        <f t="shared" si="79"/>
        <v>0</v>
      </c>
      <c r="K65" s="57">
        <f t="shared" si="79"/>
        <v>0</v>
      </c>
      <c r="L65" s="57">
        <f t="shared" si="79"/>
        <v>0</v>
      </c>
      <c r="M65" s="57">
        <f t="shared" si="79"/>
        <v>0</v>
      </c>
      <c r="N65" s="14">
        <v>7.3</v>
      </c>
      <c r="O65" s="14">
        <v>47.1</v>
      </c>
      <c r="P65" s="14">
        <v>324</v>
      </c>
      <c r="Q65" s="14">
        <v>173.7</v>
      </c>
      <c r="R65" s="14">
        <v>403.9</v>
      </c>
      <c r="S65" s="14">
        <v>133.5</v>
      </c>
      <c r="T65" s="14">
        <v>43.8</v>
      </c>
      <c r="U65" s="14">
        <v>192.8</v>
      </c>
      <c r="V65" s="14">
        <v>198</v>
      </c>
      <c r="W65" s="14">
        <v>150.69999999999999</v>
      </c>
      <c r="X65" s="14">
        <v>58.3</v>
      </c>
      <c r="Y65" s="14">
        <v>0</v>
      </c>
      <c r="Z65" s="14">
        <v>140.69999999999999</v>
      </c>
      <c r="AA65" s="14">
        <v>0.2</v>
      </c>
      <c r="AB65" s="14">
        <v>281.10000000000002</v>
      </c>
      <c r="AC65" s="14">
        <v>359.7</v>
      </c>
      <c r="AD65" s="14">
        <v>220.8</v>
      </c>
      <c r="AE65" s="65">
        <f>'[1]Argentina Soybean Exports'!AH$290</f>
        <v>0</v>
      </c>
      <c r="AF65" s="65">
        <f>'[1]Argentina Soybean Exports'!AT$290</f>
        <v>108.694</v>
      </c>
      <c r="AG65" s="65">
        <f>'[1]Argentina Soybean Exports'!BF$290</f>
        <v>2.1000000000000001E-2</v>
      </c>
      <c r="AH65" s="65">
        <f>'[1]Argentina Soybean Exports'!BR$290</f>
        <v>6</v>
      </c>
      <c r="AI65" s="59">
        <f>'[1]Argentina Soybean Exports'!CD$290</f>
        <v>38.241999999999997</v>
      </c>
      <c r="AJ65" s="59">
        <f>'[1]Argentina Soybean Exports'!CP$290</f>
        <v>6.1180000000000003</v>
      </c>
      <c r="AK65" s="59">
        <f>'[1]Argentina Soybean Exports'!DB$290</f>
        <v>22.321000000000002</v>
      </c>
      <c r="AL65" s="59">
        <f>'[1]Argentina Soybean Exports'!DN$290</f>
        <v>21.888999999999999</v>
      </c>
      <c r="AM65" s="59">
        <f>'[1]Argentina Soybean Exports'!DZ$290</f>
        <v>24.074000000000002</v>
      </c>
      <c r="AN65" s="59">
        <f>'[1]Argentina Soybean Exports'!EL$290</f>
        <v>56.4</v>
      </c>
      <c r="AO65" s="59">
        <f>'[1]Argentina Soybean Exports'!EX$290</f>
        <v>205.87899999999999</v>
      </c>
      <c r="AP65" s="59">
        <f>'[1]Argentina Soybean Exports'!FJ$290</f>
        <v>99.549000000000007</v>
      </c>
      <c r="AQ65" s="59">
        <f>'[1]Argentina Soybean Exports'!FV$290</f>
        <v>126.69799999999999</v>
      </c>
      <c r="AR65" s="59">
        <f>'[1]Argentina Soybean Exports'!GH$290</f>
        <v>289.27600000000001</v>
      </c>
      <c r="AS65" s="59">
        <f>'[1]Argentina Soybean Exports'!GT$290</f>
        <v>537.49599999999998</v>
      </c>
      <c r="AT65" s="59">
        <f>'[1]Argentina Soybean Exports'!HF$290</f>
        <v>1591.0940000000001</v>
      </c>
      <c r="AU65" s="59">
        <f>'[1]Argentina Soybean Exports'!HR$290</f>
        <v>875.40899999999999</v>
      </c>
      <c r="AV65" s="59">
        <f>'[1]Argentina Soybean Exports'!ID$290</f>
        <v>34.003</v>
      </c>
      <c r="AW65" s="59">
        <f>'[1]Argentina Soybean Exports'!IP$290</f>
        <v>399.51900000000001</v>
      </c>
      <c r="AX65" s="59">
        <f>'[1]Argentina Soybean Exports'!JB$290</f>
        <v>1202.354</v>
      </c>
      <c r="AY65" s="59">
        <f>'[1]Argentina Soybean Exports'!JN$290</f>
        <v>480.82</v>
      </c>
      <c r="AZ65" s="59">
        <f>'[1]Argentina Soybean Exports'!JZ$290</f>
        <v>547.49199999999996</v>
      </c>
      <c r="BA65" s="59">
        <f>'[1]Argentina Soybean Exports'!KL$290</f>
        <v>173.483</v>
      </c>
      <c r="BB65" s="59">
        <f>'[1]Argentina Soybean Exports'!KX$290</f>
        <v>928.30799999999999</v>
      </c>
      <c r="BC65" s="59">
        <f>'[1]Argentina Soybean Exports'!LJ$290</f>
        <v>220.626</v>
      </c>
      <c r="BD65" s="59">
        <f>'[1]Argentina Soybean Exports'!LV$290</f>
        <v>485.49547100000001</v>
      </c>
      <c r="BE65" s="59">
        <f>'[1]Argentina Soybean Exports'!MH$290</f>
        <v>449.53497499999997</v>
      </c>
      <c r="BF65" s="59">
        <f>'[1]Argentina Soybean Exports'!MT$290</f>
        <v>1555.83968</v>
      </c>
      <c r="BG65" s="59">
        <f>'[1]Argentina Soybean Exports'!NF$290</f>
        <v>164.41816299999999</v>
      </c>
      <c r="BH65" s="59">
        <f>'[1]Argentina Soybean Exports'!NR$290</f>
        <v>358.638667</v>
      </c>
      <c r="BI65" s="58">
        <f>(SUM(BC65:BG65)/SUM(BC$72:BG$72))*BI$72+150</f>
        <v>298.52409797925895</v>
      </c>
      <c r="BJ65" s="58">
        <f t="shared" si="80"/>
        <v>417.32650517810146</v>
      </c>
      <c r="BK65" s="58">
        <f t="shared" si="81"/>
        <v>457.49790966712567</v>
      </c>
      <c r="BL65" s="58">
        <f t="shared" si="82"/>
        <v>445.02053266634829</v>
      </c>
      <c r="BM65" s="58">
        <f t="shared" si="82"/>
        <v>343.76156745712581</v>
      </c>
      <c r="BN65" s="58">
        <f t="shared" si="82"/>
        <v>437.68218294927357</v>
      </c>
      <c r="BO65" s="58">
        <f t="shared" si="82"/>
        <v>443.69787729979004</v>
      </c>
      <c r="BP65" s="58">
        <f t="shared" si="82"/>
        <v>420.25773958359497</v>
      </c>
      <c r="BQ65" s="58">
        <f t="shared" si="82"/>
        <v>425.53201400793273</v>
      </c>
      <c r="BR65" s="58">
        <f t="shared" si="82"/>
        <v>418.0839799912265</v>
      </c>
      <c r="BS65" s="58">
        <f t="shared" si="82"/>
        <v>414.18627625954343</v>
      </c>
      <c r="BT65" s="58">
        <f t="shared" si="82"/>
        <v>429.05075876636351</v>
      </c>
      <c r="BU65" s="58">
        <f t="shared" si="82"/>
        <v>424.3515774284175</v>
      </c>
      <c r="BW65" s="14">
        <v>1025.9190000000001</v>
      </c>
    </row>
    <row r="66" spans="1:119" s="14" customFormat="1" ht="16.5">
      <c r="A66" s="4" t="s">
        <v>107</v>
      </c>
      <c r="B66" s="64"/>
      <c r="C66" s="57">
        <f t="shared" si="79"/>
        <v>0</v>
      </c>
      <c r="D66" s="57">
        <f t="shared" si="79"/>
        <v>0</v>
      </c>
      <c r="E66" s="57">
        <f t="shared" si="79"/>
        <v>0</v>
      </c>
      <c r="F66" s="57">
        <f t="shared" si="79"/>
        <v>0</v>
      </c>
      <c r="G66" s="57">
        <f t="shared" si="79"/>
        <v>0</v>
      </c>
      <c r="H66" s="57">
        <f t="shared" si="79"/>
        <v>0</v>
      </c>
      <c r="I66" s="57">
        <f t="shared" si="79"/>
        <v>0</v>
      </c>
      <c r="J66" s="57">
        <f t="shared" si="79"/>
        <v>0</v>
      </c>
      <c r="K66" s="57">
        <f t="shared" si="79"/>
        <v>0</v>
      </c>
      <c r="L66" s="57">
        <f t="shared" si="79"/>
        <v>0</v>
      </c>
      <c r="M66" s="57">
        <f t="shared" si="79"/>
        <v>0</v>
      </c>
      <c r="N66" s="14">
        <v>8</v>
      </c>
      <c r="O66" s="14">
        <v>16.600000000000001</v>
      </c>
      <c r="P66" s="14">
        <v>72.900000000000006</v>
      </c>
      <c r="Q66" s="14">
        <v>74.7</v>
      </c>
      <c r="R66" s="14">
        <v>390.5</v>
      </c>
      <c r="S66" s="14">
        <v>0</v>
      </c>
      <c r="T66" s="14">
        <v>10.5</v>
      </c>
      <c r="U66" s="14">
        <v>91.4</v>
      </c>
      <c r="V66" s="14">
        <v>127.1</v>
      </c>
      <c r="W66" s="14">
        <v>21</v>
      </c>
      <c r="X66" s="14">
        <v>24.5</v>
      </c>
      <c r="Y66" s="14">
        <v>0</v>
      </c>
      <c r="Z66" s="14">
        <v>15.4</v>
      </c>
      <c r="AA66" s="14">
        <v>0</v>
      </c>
      <c r="AB66" s="14">
        <v>137.69999999999999</v>
      </c>
      <c r="AC66" s="14">
        <v>155.5</v>
      </c>
      <c r="AD66" s="14">
        <v>54.8</v>
      </c>
      <c r="AE66" s="65">
        <f>'[1]Argentina Soybean Exports'!AI$290</f>
        <v>0</v>
      </c>
      <c r="AF66" s="65">
        <f>'[1]Argentina Soybean Exports'!AU$290</f>
        <v>0</v>
      </c>
      <c r="AG66" s="65">
        <f>'[1]Argentina Soybean Exports'!BG$290</f>
        <v>0</v>
      </c>
      <c r="AH66" s="65">
        <f>'[1]Argentina Soybean Exports'!BS$290</f>
        <v>21.152999999999999</v>
      </c>
      <c r="AI66" s="59">
        <f>'[1]Argentina Soybean Exports'!CE$290</f>
        <v>4.2999999999999997E-2</v>
      </c>
      <c r="AJ66" s="59">
        <f>'[1]Argentina Soybean Exports'!CQ$290</f>
        <v>0.03</v>
      </c>
      <c r="AK66" s="59">
        <f>'[1]Argentina Soybean Exports'!DC$290</f>
        <v>0.27900000000000003</v>
      </c>
      <c r="AL66" s="59">
        <f>'[1]Argentina Soybean Exports'!DO$290</f>
        <v>7.8760000000000003</v>
      </c>
      <c r="AM66" s="59">
        <f>'[1]Argentina Soybean Exports'!EA$290</f>
        <v>5.27</v>
      </c>
      <c r="AN66" s="59">
        <f>'[1]Argentina Soybean Exports'!EM$290</f>
        <v>25.378</v>
      </c>
      <c r="AO66" s="59">
        <f>'[1]Argentina Soybean Exports'!EY$290</f>
        <v>56.75</v>
      </c>
      <c r="AP66" s="59">
        <f>'[1]Argentina Soybean Exports'!FK$290</f>
        <v>253.88800000000001</v>
      </c>
      <c r="AQ66" s="59">
        <f>'[1]Argentina Soybean Exports'!FW$290</f>
        <v>21.161999999999999</v>
      </c>
      <c r="AR66" s="59">
        <f>'[1]Argentina Soybean Exports'!GI$290</f>
        <v>105.196</v>
      </c>
      <c r="AS66" s="59">
        <f>'[1]Argentina Soybean Exports'!GU$290</f>
        <v>472.1</v>
      </c>
      <c r="AT66" s="59">
        <f>'[1]Argentina Soybean Exports'!HG$290</f>
        <v>1340.9110000000001</v>
      </c>
      <c r="AU66" s="59">
        <f>'[1]Argentina Soybean Exports'!HS$290</f>
        <v>231.37200000000001</v>
      </c>
      <c r="AV66" s="59">
        <f>'[1]Argentina Soybean Exports'!IE$290</f>
        <v>38.018999999999998</v>
      </c>
      <c r="AW66" s="59">
        <f>'[1]Argentina Soybean Exports'!IQ$290</f>
        <v>184.012</v>
      </c>
      <c r="AX66" s="59">
        <f>'[1]Argentina Soybean Exports'!JC$290</f>
        <v>582.09900000000005</v>
      </c>
      <c r="AY66" s="59">
        <f>'[1]Argentina Soybean Exports'!JO$290</f>
        <v>77.295000000000002</v>
      </c>
      <c r="AZ66" s="59">
        <f>'[1]Argentina Soybean Exports'!KA$290</f>
        <v>41.978000000000002</v>
      </c>
      <c r="BA66" s="59">
        <f>'[1]Argentina Soybean Exports'!KM$290</f>
        <v>10.343</v>
      </c>
      <c r="BB66" s="59">
        <f>'[1]Argentina Soybean Exports'!KY$290</f>
        <v>281.46300000000002</v>
      </c>
      <c r="BC66" s="59">
        <f>'[1]Argentina Soybean Exports'!LK$290</f>
        <v>12.17</v>
      </c>
      <c r="BD66" s="59">
        <f>'[1]Argentina Soybean Exports'!LW$290</f>
        <v>57.399737999999999</v>
      </c>
      <c r="BE66" s="59">
        <f>'[1]Argentina Soybean Exports'!MI$290</f>
        <v>924.969067</v>
      </c>
      <c r="BF66" s="59">
        <f>'[1]Argentina Soybean Exports'!MU$290</f>
        <v>1414.4035019999999</v>
      </c>
      <c r="BG66" s="59">
        <f>'[1]Argentina Soybean Exports'!NG$290</f>
        <v>19.397814</v>
      </c>
      <c r="BH66" s="59">
        <f>'[1]Argentina Soybean Exports'!NS$290</f>
        <v>35.315508000000001</v>
      </c>
      <c r="BI66" s="58">
        <f>(SUM(BC66:BG66)/SUM(BC$72:BG$72))*BI$72+250</f>
        <v>375.40951844005724</v>
      </c>
      <c r="BJ66" s="58">
        <f t="shared" si="80"/>
        <v>339.44748661152016</v>
      </c>
      <c r="BK66" s="58">
        <f t="shared" si="81"/>
        <v>448.19889222179643</v>
      </c>
      <c r="BL66" s="58">
        <f t="shared" si="82"/>
        <v>347.76427253766087</v>
      </c>
      <c r="BM66" s="58">
        <f t="shared" si="82"/>
        <v>246.77018224987222</v>
      </c>
      <c r="BN66" s="58">
        <f t="shared" si="82"/>
        <v>342.2930696347629</v>
      </c>
      <c r="BO66" s="58">
        <f t="shared" si="82"/>
        <v>397.44505448613472</v>
      </c>
      <c r="BP66" s="58">
        <f t="shared" si="82"/>
        <v>344.89478065112252</v>
      </c>
      <c r="BQ66" s="58">
        <f t="shared" si="82"/>
        <v>356.49429422604544</v>
      </c>
      <c r="BR66" s="58">
        <f t="shared" si="82"/>
        <v>335.83347191191064</v>
      </c>
      <c r="BS66" s="58">
        <f t="shared" si="82"/>
        <v>337.57947624958751</v>
      </c>
      <c r="BT66" s="58">
        <f t="shared" si="82"/>
        <v>355.39213418199523</v>
      </c>
      <c r="BU66" s="58">
        <f t="shared" si="82"/>
        <v>354.4494155049602</v>
      </c>
      <c r="BW66" s="14">
        <v>466.9</v>
      </c>
    </row>
    <row r="67" spans="1:119" s="14" customFormat="1" ht="16.5">
      <c r="A67" s="4" t="s">
        <v>108</v>
      </c>
      <c r="B67" s="64"/>
      <c r="C67" s="57">
        <f t="shared" si="79"/>
        <v>0</v>
      </c>
      <c r="D67" s="57">
        <f t="shared" si="79"/>
        <v>0</v>
      </c>
      <c r="E67" s="57">
        <f t="shared" si="79"/>
        <v>0</v>
      </c>
      <c r="F67" s="57">
        <f t="shared" si="79"/>
        <v>0</v>
      </c>
      <c r="G67" s="57">
        <f t="shared" si="79"/>
        <v>0</v>
      </c>
      <c r="H67" s="57">
        <f t="shared" si="79"/>
        <v>0</v>
      </c>
      <c r="I67" s="57">
        <f t="shared" si="79"/>
        <v>0</v>
      </c>
      <c r="J67" s="57">
        <f t="shared" si="79"/>
        <v>0</v>
      </c>
      <c r="K67" s="57">
        <f t="shared" si="79"/>
        <v>0</v>
      </c>
      <c r="L67" s="57">
        <f t="shared" si="79"/>
        <v>0</v>
      </c>
      <c r="M67" s="57">
        <f t="shared" si="79"/>
        <v>0</v>
      </c>
      <c r="N67" s="14">
        <v>5.3</v>
      </c>
      <c r="O67" s="14">
        <v>31.3</v>
      </c>
      <c r="P67" s="14">
        <v>8.1</v>
      </c>
      <c r="Q67" s="14">
        <v>10.199999999999999</v>
      </c>
      <c r="R67" s="14">
        <v>95.6</v>
      </c>
      <c r="S67" s="14">
        <v>3.1</v>
      </c>
      <c r="T67" s="14">
        <v>64.900000000000006</v>
      </c>
      <c r="U67" s="14">
        <v>72.8</v>
      </c>
      <c r="V67" s="14">
        <v>179.4</v>
      </c>
      <c r="W67" s="14">
        <v>0</v>
      </c>
      <c r="X67" s="14">
        <v>3</v>
      </c>
      <c r="Y67" s="14">
        <v>6</v>
      </c>
      <c r="Z67" s="14">
        <v>0</v>
      </c>
      <c r="AA67" s="14">
        <v>0</v>
      </c>
      <c r="AB67" s="14">
        <v>152.9</v>
      </c>
      <c r="AC67" s="14">
        <v>53.4</v>
      </c>
      <c r="AD67" s="14">
        <v>31.3</v>
      </c>
      <c r="AE67" s="65">
        <f>'[1]Argentina Soybean Exports'!AJ$290</f>
        <v>0</v>
      </c>
      <c r="AF67" s="65">
        <f>'[1]Argentina Soybean Exports'!AV$290</f>
        <v>0</v>
      </c>
      <c r="AG67" s="65">
        <f>'[1]Argentina Soybean Exports'!BH$290</f>
        <v>0</v>
      </c>
      <c r="AH67" s="65">
        <f>'[1]Argentina Soybean Exports'!BT$290</f>
        <v>0.26700000000000002</v>
      </c>
      <c r="AI67" s="59">
        <f>'[1]Argentina Soybean Exports'!CF$290</f>
        <v>7.6999999999999999E-2</v>
      </c>
      <c r="AJ67" s="59">
        <f>'[1]Argentina Soybean Exports'!CR$290</f>
        <v>0</v>
      </c>
      <c r="AK67" s="59">
        <f>'[1]Argentina Soybean Exports'!DD$290</f>
        <v>5.9779999999999998</v>
      </c>
      <c r="AL67" s="59">
        <f>'[1]Argentina Soybean Exports'!DP$290</f>
        <v>4.5439999999999996</v>
      </c>
      <c r="AM67" s="59">
        <f>'[1]Argentina Soybean Exports'!EB$290</f>
        <v>10.35</v>
      </c>
      <c r="AN67" s="59">
        <f>'[1]Argentina Soybean Exports'!EN$290</f>
        <v>18.303000000000001</v>
      </c>
      <c r="AO67" s="59">
        <f>'[1]Argentina Soybean Exports'!EZ$290</f>
        <v>41.195</v>
      </c>
      <c r="AP67" s="59">
        <f>'[1]Argentina Soybean Exports'!FL$290</f>
        <v>48.643999999999998</v>
      </c>
      <c r="AQ67" s="59">
        <f>'[1]Argentina Soybean Exports'!FX$290</f>
        <v>28.744</v>
      </c>
      <c r="AR67" s="59">
        <f>'[1]Argentina Soybean Exports'!GJ$290</f>
        <v>176.298</v>
      </c>
      <c r="AS67" s="59">
        <f>'[1]Argentina Soybean Exports'!GV$290</f>
        <v>184.63399999999999</v>
      </c>
      <c r="AT67" s="59">
        <f>'[1]Argentina Soybean Exports'!HH$290</f>
        <v>545.45399999999995</v>
      </c>
      <c r="AU67" s="59">
        <f>'[1]Argentina Soybean Exports'!HT$290</f>
        <v>265.64499999999998</v>
      </c>
      <c r="AV67" s="59">
        <f>'[1]Argentina Soybean Exports'!IF$290</f>
        <v>2.129</v>
      </c>
      <c r="AW67" s="59">
        <f>'[1]Argentina Soybean Exports'!IR$290</f>
        <v>13.599</v>
      </c>
      <c r="AX67" s="59">
        <f>'[1]Argentina Soybean Exports'!JD$290</f>
        <v>23.349</v>
      </c>
      <c r="AY67" s="59">
        <f>'[1]Argentina Soybean Exports'!JP$290</f>
        <v>38.776000000000003</v>
      </c>
      <c r="AZ67" s="59">
        <f>'[1]Argentina Soybean Exports'!KB$290</f>
        <v>46.030999999999999</v>
      </c>
      <c r="BA67" s="59">
        <f>'[1]Argentina Soybean Exports'!KN$290</f>
        <v>26.132999999999999</v>
      </c>
      <c r="BB67" s="59">
        <f>'[1]Argentina Soybean Exports'!KZ$290</f>
        <v>76.801000000000002</v>
      </c>
      <c r="BC67" s="59">
        <f>'[1]Argentina Soybean Exports'!LL$290</f>
        <v>79.256339999999994</v>
      </c>
      <c r="BD67" s="59">
        <f>'[1]Argentina Soybean Exports'!LX$290</f>
        <v>145.48781</v>
      </c>
      <c r="BE67" s="59">
        <f>'[1]Argentina Soybean Exports'!MJ$290</f>
        <v>872.66519000000005</v>
      </c>
      <c r="BF67" s="59">
        <f>'[1]Argentina Soybean Exports'!MV$290</f>
        <v>414.10007400000001</v>
      </c>
      <c r="BG67" s="59">
        <f>'[1]Argentina Soybean Exports'!NH$290</f>
        <v>13.706823999999999</v>
      </c>
      <c r="BH67" s="59">
        <f>'[1]Argentina Soybean Exports'!NT$290</f>
        <v>7.6782450000000004</v>
      </c>
      <c r="BI67" s="58">
        <f>(SUM(BC67:BG67)/SUM(BC$72:BG$72))*BI$72+50</f>
        <v>128.76846915734654</v>
      </c>
      <c r="BJ67" s="58">
        <f t="shared" si="80"/>
        <v>201.27950506700185</v>
      </c>
      <c r="BK67" s="58">
        <f t="shared" si="81"/>
        <v>232.54251050367475</v>
      </c>
      <c r="BL67" s="58">
        <f t="shared" si="82"/>
        <v>121.89938545675042</v>
      </c>
      <c r="BM67" s="58">
        <f t="shared" si="82"/>
        <v>118.33749083337925</v>
      </c>
      <c r="BN67" s="58">
        <f t="shared" si="82"/>
        <v>153.23645411593733</v>
      </c>
      <c r="BO67" s="58">
        <f t="shared" si="82"/>
        <v>181.54387560711999</v>
      </c>
      <c r="BP67" s="58">
        <f t="shared" si="82"/>
        <v>165.45906919534872</v>
      </c>
      <c r="BQ67" s="58">
        <f t="shared" si="82"/>
        <v>161.51194330337233</v>
      </c>
      <c r="BR67" s="58">
        <f t="shared" si="82"/>
        <v>148.09525504170713</v>
      </c>
      <c r="BS67" s="58">
        <f t="shared" si="82"/>
        <v>156.01776661103153</v>
      </c>
      <c r="BT67" s="58">
        <f t="shared" si="82"/>
        <v>161.96931945269708</v>
      </c>
      <c r="BU67" s="58">
        <f t="shared" si="82"/>
        <v>162.52558195171596</v>
      </c>
      <c r="BW67" s="14" t="s">
        <v>117</v>
      </c>
    </row>
    <row r="68" spans="1:119" s="14" customFormat="1" ht="16.5">
      <c r="A68" s="4" t="s">
        <v>109</v>
      </c>
      <c r="B68" s="64"/>
      <c r="C68" s="57">
        <f t="shared" si="79"/>
        <v>0</v>
      </c>
      <c r="D68" s="57">
        <f t="shared" si="79"/>
        <v>0</v>
      </c>
      <c r="E68" s="57">
        <f t="shared" si="79"/>
        <v>0</v>
      </c>
      <c r="F68" s="57">
        <f t="shared" si="79"/>
        <v>0</v>
      </c>
      <c r="G68" s="57">
        <f t="shared" si="79"/>
        <v>0</v>
      </c>
      <c r="H68" s="57">
        <f t="shared" si="79"/>
        <v>0</v>
      </c>
      <c r="I68" s="57">
        <f t="shared" si="79"/>
        <v>0</v>
      </c>
      <c r="J68" s="57">
        <f t="shared" si="79"/>
        <v>0</v>
      </c>
      <c r="K68" s="57">
        <f t="shared" si="79"/>
        <v>0</v>
      </c>
      <c r="L68" s="57">
        <f t="shared" si="79"/>
        <v>0</v>
      </c>
      <c r="M68" s="57">
        <f t="shared" si="79"/>
        <v>0</v>
      </c>
      <c r="N68" s="14">
        <v>10.1</v>
      </c>
      <c r="O68" s="14">
        <v>18.899999999999999</v>
      </c>
      <c r="P68" s="14">
        <v>0.3</v>
      </c>
      <c r="Q68" s="14">
        <v>10</v>
      </c>
      <c r="R68" s="14">
        <v>8.8000000000000007</v>
      </c>
      <c r="S68" s="14">
        <v>0</v>
      </c>
      <c r="T68" s="14">
        <v>124.4</v>
      </c>
      <c r="U68" s="14">
        <v>23.9</v>
      </c>
      <c r="V68" s="14">
        <v>25.6</v>
      </c>
      <c r="W68" s="14">
        <v>1</v>
      </c>
      <c r="X68" s="14">
        <v>19</v>
      </c>
      <c r="Y68" s="14">
        <v>0</v>
      </c>
      <c r="Z68" s="14">
        <v>0</v>
      </c>
      <c r="AA68" s="14">
        <v>0</v>
      </c>
      <c r="AB68" s="14">
        <v>0</v>
      </c>
      <c r="AC68" s="14">
        <v>19.399999999999999</v>
      </c>
      <c r="AD68" s="14">
        <v>14.6</v>
      </c>
      <c r="AE68" s="65">
        <f>'[1]Argentina Soybean Exports'!AK$290</f>
        <v>0</v>
      </c>
      <c r="AF68" s="65">
        <f>'[1]Argentina Soybean Exports'!AW$290</f>
        <v>1</v>
      </c>
      <c r="AG68" s="65">
        <f>'[1]Argentina Soybean Exports'!BI$290</f>
        <v>0</v>
      </c>
      <c r="AH68" s="65">
        <f>'[1]Argentina Soybean Exports'!BU$290</f>
        <v>0</v>
      </c>
      <c r="AI68" s="59">
        <f>'[1]Argentina Soybean Exports'!CG$290</f>
        <v>5.5E-2</v>
      </c>
      <c r="AJ68" s="59">
        <f>'[1]Argentina Soybean Exports'!CS$290</f>
        <v>0</v>
      </c>
      <c r="AK68" s="59">
        <f>'[1]Argentina Soybean Exports'!DE$290</f>
        <v>7.3999999999999996E-2</v>
      </c>
      <c r="AL68" s="59">
        <f>'[1]Argentina Soybean Exports'!DQ$290</f>
        <v>17.736000000000001</v>
      </c>
      <c r="AM68" s="59">
        <f>'[1]Argentina Soybean Exports'!EC$290</f>
        <v>0.25</v>
      </c>
      <c r="AN68" s="59">
        <f>'[1]Argentina Soybean Exports'!EO$290</f>
        <v>12.164</v>
      </c>
      <c r="AO68" s="59">
        <f>'[1]Argentina Soybean Exports'!FA$290</f>
        <v>26.712</v>
      </c>
      <c r="AP68" s="59">
        <f>'[1]Argentina Soybean Exports'!FM$290</f>
        <v>65.995000000000005</v>
      </c>
      <c r="AQ68" s="59">
        <f>'[1]Argentina Soybean Exports'!FY$290</f>
        <v>73.450999999999993</v>
      </c>
      <c r="AR68" s="59">
        <f>'[1]Argentina Soybean Exports'!GK$290</f>
        <v>664.72</v>
      </c>
      <c r="AS68" s="59">
        <f>'[1]Argentina Soybean Exports'!GW$290</f>
        <v>21.437999999999999</v>
      </c>
      <c r="AT68" s="59">
        <f>'[1]Argentina Soybean Exports'!HI$290</f>
        <v>484.75700000000001</v>
      </c>
      <c r="AU68" s="59">
        <f>'[1]Argentina Soybean Exports'!HU$290</f>
        <v>511.39100000000002</v>
      </c>
      <c r="AV68" s="59">
        <f>'[1]Argentina Soybean Exports'!IG$290</f>
        <v>2.2890000000000001</v>
      </c>
      <c r="AW68" s="59">
        <f>'[1]Argentina Soybean Exports'!IS$290</f>
        <v>22.401</v>
      </c>
      <c r="AX68" s="59">
        <f>'[1]Argentina Soybean Exports'!JE$290</f>
        <v>20.117000000000001</v>
      </c>
      <c r="AY68" s="59">
        <f>'[1]Argentina Soybean Exports'!JQ$290</f>
        <v>0.52300000000000002</v>
      </c>
      <c r="AZ68" s="59">
        <f>'[1]Argentina Soybean Exports'!KC$290</f>
        <v>8.5530000000000008</v>
      </c>
      <c r="BA68" s="59">
        <f>'[1]Argentina Soybean Exports'!KO$290</f>
        <v>43.523000000000003</v>
      </c>
      <c r="BB68" s="59">
        <f>'[1]Argentina Soybean Exports'!LA$290</f>
        <v>44.65</v>
      </c>
      <c r="BC68" s="59">
        <f>'[1]Argentina Soybean Exports'!LM$290</f>
        <v>87.260186000000004</v>
      </c>
      <c r="BD68" s="59">
        <f>'[1]Argentina Soybean Exports'!LY$290</f>
        <v>9.9619309999999999</v>
      </c>
      <c r="BE68" s="59">
        <f>'[1]Argentina Soybean Exports'!MK$290</f>
        <v>140.580265</v>
      </c>
      <c r="BF68" s="59">
        <f>'[1]Argentina Soybean Exports'!MW$290</f>
        <v>157.36585099999999</v>
      </c>
      <c r="BG68" s="59">
        <f>'[1]Argentina Soybean Exports'!NI$290</f>
        <v>11.107239999999999</v>
      </c>
      <c r="BH68" s="59">
        <f>'[1]Argentina Soybean Exports'!NU$290</f>
        <v>3.3276309999999998</v>
      </c>
      <c r="BI68" s="58">
        <f>(SUM(BC68:BG68)/SUM(BC$72:BG$72))*BI$72-50</f>
        <v>-29.018255728544844</v>
      </c>
      <c r="BJ68" s="58">
        <f t="shared" si="80"/>
        <v>44.633544675012807</v>
      </c>
      <c r="BK68" s="58">
        <f t="shared" si="81"/>
        <v>45.857762327357129</v>
      </c>
      <c r="BL68" s="58">
        <f t="shared" si="82"/>
        <v>29.84311984041155</v>
      </c>
      <c r="BM68" s="58">
        <f t="shared" si="82"/>
        <v>15.382070360505553</v>
      </c>
      <c r="BN68" s="58">
        <f t="shared" si="82"/>
        <v>20.952829698265635</v>
      </c>
      <c r="BO68" s="58">
        <f t="shared" si="82"/>
        <v>24.127743047052252</v>
      </c>
      <c r="BP68" s="58">
        <f t="shared" si="82"/>
        <v>31.333865380310542</v>
      </c>
      <c r="BQ68" s="58">
        <f t="shared" si="82"/>
        <v>27.232705054718423</v>
      </c>
      <c r="BR68" s="58">
        <f t="shared" si="82"/>
        <v>24.32792566530911</v>
      </c>
      <c r="BS68" s="58">
        <f t="shared" si="82"/>
        <v>23.805842708170481</v>
      </c>
      <c r="BT68" s="58">
        <f t="shared" si="82"/>
        <v>25.595013769131196</v>
      </c>
      <c r="BU68" s="58">
        <f t="shared" si="82"/>
        <v>26.165616371112165</v>
      </c>
      <c r="BW68" s="14">
        <v>24.15</v>
      </c>
    </row>
    <row r="69" spans="1:119" s="14" customFormat="1" ht="16.5">
      <c r="A69" s="4" t="s">
        <v>110</v>
      </c>
      <c r="B69" s="64"/>
      <c r="C69" s="57">
        <f t="shared" si="79"/>
        <v>0</v>
      </c>
      <c r="D69" s="57">
        <f t="shared" si="79"/>
        <v>0</v>
      </c>
      <c r="E69" s="57">
        <f t="shared" si="79"/>
        <v>0</v>
      </c>
      <c r="F69" s="57">
        <f t="shared" si="79"/>
        <v>0</v>
      </c>
      <c r="G69" s="57">
        <f t="shared" si="79"/>
        <v>0</v>
      </c>
      <c r="H69" s="57">
        <f t="shared" si="79"/>
        <v>0</v>
      </c>
      <c r="I69" s="57">
        <f t="shared" si="79"/>
        <v>0</v>
      </c>
      <c r="J69" s="57">
        <f t="shared" si="79"/>
        <v>0</v>
      </c>
      <c r="K69" s="57">
        <f t="shared" si="79"/>
        <v>0</v>
      </c>
      <c r="L69" s="57">
        <f t="shared" si="79"/>
        <v>0</v>
      </c>
      <c r="M69" s="57">
        <f t="shared" si="79"/>
        <v>0</v>
      </c>
      <c r="N69" s="14">
        <v>16.3</v>
      </c>
      <c r="O69" s="14">
        <v>29.1</v>
      </c>
      <c r="P69" s="14">
        <v>0.2</v>
      </c>
      <c r="Q69" s="14">
        <v>0</v>
      </c>
      <c r="R69" s="14">
        <v>17</v>
      </c>
      <c r="S69" s="14">
        <v>0</v>
      </c>
      <c r="T69" s="14">
        <v>78.5</v>
      </c>
      <c r="U69" s="14">
        <v>2</v>
      </c>
      <c r="V69" s="14">
        <v>21.2</v>
      </c>
      <c r="W69" s="14">
        <v>0</v>
      </c>
      <c r="X69" s="14">
        <v>0</v>
      </c>
      <c r="Y69" s="14">
        <v>0</v>
      </c>
      <c r="Z69" s="14">
        <v>0</v>
      </c>
      <c r="AA69" s="14">
        <v>55</v>
      </c>
      <c r="AB69" s="14">
        <v>0</v>
      </c>
      <c r="AC69" s="14">
        <v>31.1</v>
      </c>
      <c r="AD69" s="14">
        <v>1.585</v>
      </c>
      <c r="AE69" s="65">
        <f>'[1]Argentina Soybean Exports'!AL$290</f>
        <v>0</v>
      </c>
      <c r="AF69" s="65">
        <f>'[1]Argentina Soybean Exports'!AX$290</f>
        <v>0</v>
      </c>
      <c r="AG69" s="65">
        <f>'[1]Argentina Soybean Exports'!BJ$290</f>
        <v>0</v>
      </c>
      <c r="AH69" s="65">
        <f>'[1]Argentina Soybean Exports'!BV$290</f>
        <v>14.512</v>
      </c>
      <c r="AI69" s="59">
        <f>'[1]Argentina Soybean Exports'!CH$290</f>
        <v>0</v>
      </c>
      <c r="AJ69" s="59">
        <f>'[1]Argentina Soybean Exports'!CT$290</f>
        <v>0.02</v>
      </c>
      <c r="AK69" s="59">
        <f>'[1]Argentina Soybean Exports'!DF$290</f>
        <v>0.38100000000000001</v>
      </c>
      <c r="AL69" s="59">
        <f>'[1]Argentina Soybean Exports'!DR$290</f>
        <v>0</v>
      </c>
      <c r="AM69" s="59">
        <f>'[1]Argentina Soybean Exports'!ED$290</f>
        <v>12.051</v>
      </c>
      <c r="AN69" s="59">
        <f>'[1]Argentina Soybean Exports'!EP$290</f>
        <v>8.6959999999999997</v>
      </c>
      <c r="AO69" s="59">
        <f>'[1]Argentina Soybean Exports'!FB$290</f>
        <v>5.6360000000000001</v>
      </c>
      <c r="AP69" s="59">
        <f>'[1]Argentina Soybean Exports'!FN$290</f>
        <v>64.635000000000005</v>
      </c>
      <c r="AQ69" s="59">
        <f>'[1]Argentina Soybean Exports'!FZ$290</f>
        <v>141.88399999999999</v>
      </c>
      <c r="AR69" s="59">
        <f>'[1]Argentina Soybean Exports'!GL$290</f>
        <v>219.434</v>
      </c>
      <c r="AS69" s="59">
        <f>'[1]Argentina Soybean Exports'!GX$290</f>
        <v>18.379000000000001</v>
      </c>
      <c r="AT69" s="59">
        <f>'[1]Argentina Soybean Exports'!HJ$290</f>
        <v>196.208</v>
      </c>
      <c r="AU69" s="59">
        <f>'[1]Argentina Soybean Exports'!HV$290</f>
        <v>232.37899999999999</v>
      </c>
      <c r="AV69" s="59">
        <f>'[1]Argentina Soybean Exports'!IH$290</f>
        <v>1.919</v>
      </c>
      <c r="AW69" s="59">
        <f>'[1]Argentina Soybean Exports'!IT$290</f>
        <v>63.003</v>
      </c>
      <c r="AX69" s="59">
        <f>'[1]Argentina Soybean Exports'!JF$290</f>
        <v>10.669</v>
      </c>
      <c r="AY69" s="59">
        <f>'[1]Argentina Soybean Exports'!JR$290</f>
        <v>2.774</v>
      </c>
      <c r="AZ69" s="59">
        <f>'[1]Argentina Soybean Exports'!KD$290</f>
        <v>29.189</v>
      </c>
      <c r="BA69" s="59">
        <f>'[1]Argentina Soybean Exports'!KP$290</f>
        <v>9.0280000000000005</v>
      </c>
      <c r="BB69" s="59">
        <f>'[1]Argentina Soybean Exports'!LB$290</f>
        <v>6.359</v>
      </c>
      <c r="BC69" s="59">
        <f>'[1]Argentina Soybean Exports'!LN$290</f>
        <v>24.371454</v>
      </c>
      <c r="BD69" s="59">
        <f>'[1]Argentina Soybean Exports'!LZ$290</f>
        <v>6.4246819999999998</v>
      </c>
      <c r="BE69" s="59">
        <f>'[1]Argentina Soybean Exports'!ML$290</f>
        <v>2.7432099999999999</v>
      </c>
      <c r="BF69" s="59">
        <f>'[1]Argentina Soybean Exports'!MX$290</f>
        <v>21.359514000000001</v>
      </c>
      <c r="BG69" s="59">
        <f>'[1]Argentina Soybean Exports'!NJ$290</f>
        <v>11.05199</v>
      </c>
      <c r="BH69" s="59">
        <f>'[1]Argentina Soybean Exports'!NV$290</f>
        <v>5.7866879999999998</v>
      </c>
      <c r="BI69" s="58">
        <f>(SUM(BC69:BG69)/SUM(BC$72:BG$72))*BI$72</f>
        <v>3.4059744216582288</v>
      </c>
      <c r="BJ69" s="58">
        <f t="shared" si="80"/>
        <v>6.5585936846746824</v>
      </c>
      <c r="BK69" s="58">
        <f t="shared" si="81"/>
        <v>7.1769192746735389</v>
      </c>
      <c r="BL69" s="58">
        <f t="shared" si="82"/>
        <v>7.6691794603868324</v>
      </c>
      <c r="BM69" s="58">
        <f t="shared" si="82"/>
        <v>6.8857805495815931</v>
      </c>
      <c r="BN69" s="58">
        <f t="shared" si="82"/>
        <v>6.7738314700765851</v>
      </c>
      <c r="BO69" s="58">
        <f t="shared" si="82"/>
        <v>7.167538354743062</v>
      </c>
      <c r="BP69" s="58">
        <f t="shared" si="82"/>
        <v>7.0128608878786469</v>
      </c>
      <c r="BQ69" s="58">
        <f t="shared" si="82"/>
        <v>7.1346498218923218</v>
      </c>
      <c r="BR69" s="58">
        <f t="shared" si="82"/>
        <v>7.1018381445333443</v>
      </c>
      <c r="BS69" s="58">
        <f t="shared" si="82"/>
        <v>6.9949322168344423</v>
      </c>
      <c r="BT69" s="58">
        <f t="shared" si="82"/>
        <v>7.0381437358247929</v>
      </c>
      <c r="BU69" s="58">
        <f t="shared" si="82"/>
        <v>7.0823638851763633</v>
      </c>
      <c r="BW69" s="14" t="s">
        <v>117</v>
      </c>
    </row>
    <row r="70" spans="1:119" s="14" customFormat="1" ht="16.5">
      <c r="A70" s="4" t="s">
        <v>111</v>
      </c>
      <c r="B70" s="64"/>
      <c r="C70" s="57">
        <f t="shared" si="79"/>
        <v>0</v>
      </c>
      <c r="D70" s="57">
        <f t="shared" si="79"/>
        <v>0</v>
      </c>
      <c r="E70" s="57">
        <f t="shared" si="79"/>
        <v>0</v>
      </c>
      <c r="F70" s="57">
        <f t="shared" si="79"/>
        <v>0</v>
      </c>
      <c r="G70" s="57">
        <f t="shared" si="79"/>
        <v>0</v>
      </c>
      <c r="H70" s="57">
        <f t="shared" si="79"/>
        <v>0</v>
      </c>
      <c r="I70" s="57">
        <f t="shared" si="79"/>
        <v>0</v>
      </c>
      <c r="J70" s="57">
        <f t="shared" si="79"/>
        <v>0</v>
      </c>
      <c r="K70" s="57">
        <f t="shared" si="79"/>
        <v>0</v>
      </c>
      <c r="L70" s="57">
        <f t="shared" si="79"/>
        <v>0</v>
      </c>
      <c r="M70" s="57">
        <f t="shared" si="79"/>
        <v>0</v>
      </c>
      <c r="N70" s="14">
        <v>7.3</v>
      </c>
      <c r="O70" s="14">
        <v>4.4000000000000004</v>
      </c>
      <c r="P70" s="14">
        <v>10.8</v>
      </c>
      <c r="Q70" s="14">
        <v>0</v>
      </c>
      <c r="R70" s="14">
        <v>0</v>
      </c>
      <c r="S70" s="14">
        <v>0</v>
      </c>
      <c r="T70" s="14">
        <v>0</v>
      </c>
      <c r="U70" s="14">
        <v>8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6.1</v>
      </c>
      <c r="AB70" s="14">
        <v>77.2</v>
      </c>
      <c r="AC70" s="14">
        <v>28.3</v>
      </c>
      <c r="AD70" s="14">
        <v>0</v>
      </c>
      <c r="AE70" s="65">
        <f>'[1]Argentina Soybean Exports'!AM$290</f>
        <v>0</v>
      </c>
      <c r="AF70" s="65">
        <f>'[1]Argentina Soybean Exports'!AY$290</f>
        <v>4.6399999999999997</v>
      </c>
      <c r="AG70" s="65">
        <f>'[1]Argentina Soybean Exports'!BK$290</f>
        <v>0</v>
      </c>
      <c r="AH70" s="65">
        <f>'[1]Argentina Soybean Exports'!BW$290</f>
        <v>87.784000000000006</v>
      </c>
      <c r="AI70" s="59">
        <f>'[1]Argentina Soybean Exports'!CI$290</f>
        <v>7.8339999999999996</v>
      </c>
      <c r="AJ70" s="59">
        <f>'[1]Argentina Soybean Exports'!CU$290</f>
        <v>7.149</v>
      </c>
      <c r="AK70" s="59">
        <f>'[1]Argentina Soybean Exports'!DG$290</f>
        <v>18.064</v>
      </c>
      <c r="AL70" s="59">
        <f>'[1]Argentina Soybean Exports'!DS$290</f>
        <v>31.655999999999999</v>
      </c>
      <c r="AM70" s="59">
        <f>'[1]Argentina Soybean Exports'!EE$290</f>
        <v>15.54</v>
      </c>
      <c r="AN70" s="59">
        <f>'[1]Argentina Soybean Exports'!EQ$290</f>
        <v>18.936</v>
      </c>
      <c r="AO70" s="59">
        <f>'[1]Argentina Soybean Exports'!FC$290</f>
        <v>64.613</v>
      </c>
      <c r="AP70" s="59">
        <f>'[1]Argentina Soybean Exports'!FO$290</f>
        <v>53.902000000000001</v>
      </c>
      <c r="AQ70" s="59">
        <f>'[1]Argentina Soybean Exports'!GA$290</f>
        <v>252.327</v>
      </c>
      <c r="AR70" s="59">
        <f>'[1]Argentina Soybean Exports'!GM$290</f>
        <v>307.60300000000001</v>
      </c>
      <c r="AS70" s="59">
        <f>'[1]Argentina Soybean Exports'!GY$290</f>
        <v>411.39400000000001</v>
      </c>
      <c r="AT70" s="59">
        <f>'[1]Argentina Soybean Exports'!HK$290</f>
        <v>60.317</v>
      </c>
      <c r="AU70" s="59">
        <f>'[1]Argentina Soybean Exports'!HW$290</f>
        <v>67.084999999999994</v>
      </c>
      <c r="AV70" s="59">
        <f>'[1]Argentina Soybean Exports'!II$290</f>
        <v>1.335</v>
      </c>
      <c r="AW70" s="59">
        <f>'[1]Argentina Soybean Exports'!IU$290</f>
        <v>9.4670000000000005</v>
      </c>
      <c r="AX70" s="59">
        <f>'[1]Argentina Soybean Exports'!JG$290</f>
        <v>36.052999999999997</v>
      </c>
      <c r="AY70" s="59">
        <f>'[1]Argentina Soybean Exports'!JS$290</f>
        <v>4.3419999999999996</v>
      </c>
      <c r="AZ70" s="59">
        <f>'[1]Argentina Soybean Exports'!KE$290</f>
        <v>10.307</v>
      </c>
      <c r="BA70" s="59">
        <f>'[1]Argentina Soybean Exports'!KQ$290</f>
        <v>13.217000000000001</v>
      </c>
      <c r="BB70" s="59">
        <f>'[1]Argentina Soybean Exports'!LC$290</f>
        <v>33.618000000000002</v>
      </c>
      <c r="BC70" s="59">
        <f>'[1]Argentina Soybean Exports'!LO$290</f>
        <v>72.137867999999997</v>
      </c>
      <c r="BD70" s="59">
        <f>'[1]Argentina Soybean Exports'!MA$290</f>
        <v>12.529070000000001</v>
      </c>
      <c r="BE70" s="59">
        <f>'[1]Argentina Soybean Exports'!MM$290</f>
        <v>36.452646000000001</v>
      </c>
      <c r="BF70" s="59">
        <f>'[1]Argentina Soybean Exports'!MY$290</f>
        <v>15.682897000000001</v>
      </c>
      <c r="BG70" s="59">
        <f>'[1]Argentina Soybean Exports'!NK$290</f>
        <v>17.181749</v>
      </c>
      <c r="BH70" s="59">
        <f>'[1]Argentina Soybean Exports'!NW$290</f>
        <v>5.7852649999999999</v>
      </c>
      <c r="BI70" s="58">
        <f>(SUM(BC70:BG70)/SUM(BC$72:BG$72))*BI$72</f>
        <v>7.9523819438072074</v>
      </c>
      <c r="BJ70" s="58">
        <f t="shared" si="80"/>
        <v>12.134003634751975</v>
      </c>
      <c r="BK70" s="58">
        <f t="shared" si="81"/>
        <v>13.441124148925592</v>
      </c>
      <c r="BL70" s="58">
        <f t="shared" si="82"/>
        <v>9.3528526667690848</v>
      </c>
      <c r="BM70" s="58">
        <f t="shared" si="82"/>
        <v>11.448116519704488</v>
      </c>
      <c r="BN70" s="58">
        <f t="shared" si="82"/>
        <v>10.773897288279674</v>
      </c>
      <c r="BO70" s="58">
        <f t="shared" si="82"/>
        <v>12.285334427779523</v>
      </c>
      <c r="BP70" s="58">
        <f t="shared" si="82"/>
        <v>11.429998851686163</v>
      </c>
      <c r="BQ70" s="58">
        <f t="shared" si="82"/>
        <v>11.460265010291671</v>
      </c>
      <c r="BR70" s="58">
        <f t="shared" si="82"/>
        <v>11.058039950843787</v>
      </c>
      <c r="BS70" s="58">
        <f t="shared" si="82"/>
        <v>11.479522419548305</v>
      </c>
      <c r="BT70" s="58">
        <f t="shared" si="82"/>
        <v>11.401507105776163</v>
      </c>
      <c r="BU70" s="58">
        <f t="shared" si="82"/>
        <v>11.54263213202989</v>
      </c>
      <c r="BW70" s="14" t="s">
        <v>117</v>
      </c>
    </row>
    <row r="71" spans="1:119" s="14" customFormat="1" ht="16.5">
      <c r="A71" s="4" t="s">
        <v>112</v>
      </c>
      <c r="B71" s="64"/>
      <c r="C71" s="57">
        <f t="shared" si="79"/>
        <v>0</v>
      </c>
      <c r="D71" s="57">
        <f t="shared" si="79"/>
        <v>0</v>
      </c>
      <c r="E71" s="57">
        <f t="shared" si="79"/>
        <v>0</v>
      </c>
      <c r="F71" s="57">
        <f t="shared" si="79"/>
        <v>0</v>
      </c>
      <c r="G71" s="57">
        <f t="shared" si="79"/>
        <v>0</v>
      </c>
      <c r="H71" s="57">
        <f t="shared" si="79"/>
        <v>0</v>
      </c>
      <c r="I71" s="57">
        <f t="shared" si="79"/>
        <v>0</v>
      </c>
      <c r="J71" s="57">
        <f t="shared" si="79"/>
        <v>0</v>
      </c>
      <c r="K71" s="57">
        <f t="shared" si="79"/>
        <v>0</v>
      </c>
      <c r="L71" s="57">
        <f t="shared" si="79"/>
        <v>0</v>
      </c>
      <c r="M71" s="57">
        <f t="shared" si="79"/>
        <v>0</v>
      </c>
      <c r="N71" s="14">
        <v>10.3</v>
      </c>
      <c r="O71" s="14">
        <v>10</v>
      </c>
      <c r="P71" s="14">
        <v>17.600000000000001</v>
      </c>
      <c r="Q71" s="14">
        <v>0.4</v>
      </c>
      <c r="R71" s="14">
        <v>0</v>
      </c>
      <c r="S71" s="14">
        <v>0</v>
      </c>
      <c r="T71" s="14">
        <v>0</v>
      </c>
      <c r="U71" s="14">
        <v>0</v>
      </c>
      <c r="V71" s="14">
        <v>5.5</v>
      </c>
      <c r="W71" s="14">
        <v>0</v>
      </c>
      <c r="X71" s="14">
        <v>0</v>
      </c>
      <c r="Y71" s="14">
        <v>0</v>
      </c>
      <c r="Z71" s="14">
        <v>0</v>
      </c>
      <c r="AA71" s="14">
        <v>25.3</v>
      </c>
      <c r="AB71" s="14">
        <v>261.3</v>
      </c>
      <c r="AC71" s="14">
        <v>0.2</v>
      </c>
      <c r="AD71" s="14">
        <v>0</v>
      </c>
      <c r="AE71" s="65">
        <f>'[1]Argentina Soybean Exports'!AN$290</f>
        <v>0</v>
      </c>
      <c r="AF71" s="65">
        <f>'[1]Argentina Soybean Exports'!AZ$290</f>
        <v>108.126</v>
      </c>
      <c r="AG71" s="65">
        <f>'[1]Argentina Soybean Exports'!BL$290</f>
        <v>183.51499999999999</v>
      </c>
      <c r="AH71" s="65">
        <f>'[1]Argentina Soybean Exports'!BX$290</f>
        <v>189.447</v>
      </c>
      <c r="AI71" s="59">
        <f>'[1]Argentina Soybean Exports'!CJ$290</f>
        <v>156.94999999999999</v>
      </c>
      <c r="AJ71" s="59">
        <f>'[1]Argentina Soybean Exports'!CV$290</f>
        <v>318.45100000000002</v>
      </c>
      <c r="AK71" s="59">
        <f>'[1]Argentina Soybean Exports'!DH$290</f>
        <v>269.62700000000001</v>
      </c>
      <c r="AL71" s="59">
        <f>'[1]Argentina Soybean Exports'!DT$290</f>
        <v>938.86699999999996</v>
      </c>
      <c r="AM71" s="59">
        <f>'[1]Argentina Soybean Exports'!EF$290</f>
        <v>1298.6300000000001</v>
      </c>
      <c r="AN71" s="59">
        <f>'[1]Argentina Soybean Exports'!ER$290</f>
        <v>752.52</v>
      </c>
      <c r="AO71" s="59">
        <f>'[1]Argentina Soybean Exports'!FD$290</f>
        <v>1568.127</v>
      </c>
      <c r="AP71" s="59">
        <f>'[1]Argentina Soybean Exports'!FP$290</f>
        <v>1554.8430000000001</v>
      </c>
      <c r="AQ71" s="59">
        <f>'[1]Argentina Soybean Exports'!GB$290</f>
        <v>1756.8309999999999</v>
      </c>
      <c r="AR71" s="59">
        <f>'[1]Argentina Soybean Exports'!GN$290</f>
        <v>1924.1420000000001</v>
      </c>
      <c r="AS71" s="59">
        <f>'[1]Argentina Soybean Exports'!GZ$290</f>
        <v>1241.223</v>
      </c>
      <c r="AT71" s="59">
        <f>'[1]Argentina Soybean Exports'!HL$290</f>
        <v>1449.7270000000001</v>
      </c>
      <c r="AU71" s="59">
        <f>'[1]Argentina Soybean Exports'!HX$290</f>
        <v>1052.886</v>
      </c>
      <c r="AV71" s="59">
        <f>'[1]Argentina Soybean Exports'!IJ$290</f>
        <v>2288.6779999999999</v>
      </c>
      <c r="AW71" s="59">
        <f>'[1]Argentina Soybean Exports'!IV$290</f>
        <v>942.14200000000005</v>
      </c>
      <c r="AX71" s="59">
        <f>'[1]Argentina Soybean Exports'!JH$290</f>
        <v>649.69000000000005</v>
      </c>
      <c r="AY71" s="59">
        <f>'[1]Argentina Soybean Exports'!JT$290</f>
        <v>1136.7840000000001</v>
      </c>
      <c r="AZ71" s="59">
        <f>'[1]Argentina Soybean Exports'!KF$290</f>
        <v>1208.8689999999999</v>
      </c>
      <c r="BA71" s="59">
        <f>'[1]Argentina Soybean Exports'!KR$290</f>
        <v>1341.6969999999999</v>
      </c>
      <c r="BB71" s="59">
        <f>'[1]Argentina Soybean Exports'!LD$290</f>
        <v>676.81500000000005</v>
      </c>
      <c r="BC71" s="59">
        <f>'[1]Argentina Soybean Exports'!LP$290</f>
        <v>848.48150699999997</v>
      </c>
      <c r="BD71" s="59">
        <f>'[1]Argentina Soybean Exports'!MB$290</f>
        <v>195.121298</v>
      </c>
      <c r="BE71" s="59">
        <f>'[1]Argentina Soybean Exports'!MN$290</f>
        <v>400.102148</v>
      </c>
      <c r="BF71" s="59">
        <f>'[1]Argentina Soybean Exports'!MZ$290</f>
        <v>698.50406499999997</v>
      </c>
      <c r="BG71" s="59">
        <f>'[1]Argentina Soybean Exports'!NL$290</f>
        <v>447.73459800000001</v>
      </c>
      <c r="BH71" s="59">
        <f>'[1]Argentina Soybean Exports'!NX$290</f>
        <v>7.8903470000000002</v>
      </c>
      <c r="BI71" s="58">
        <f t="shared" ref="BI71:BO71" si="83">BI72-SUM(BI60:BI70)</f>
        <v>-1315.4711612135829</v>
      </c>
      <c r="BJ71" s="58">
        <f t="shared" si="83"/>
        <v>242.22589248019267</v>
      </c>
      <c r="BK71" s="58">
        <f t="shared" si="83"/>
        <v>38.639517401544254</v>
      </c>
      <c r="BL71" s="58">
        <f t="shared" si="83"/>
        <v>12.879492907625718</v>
      </c>
      <c r="BM71" s="58">
        <f t="shared" si="83"/>
        <v>-117.32534936540651</v>
      </c>
      <c r="BN71" s="58">
        <f t="shared" si="83"/>
        <v>-224.44925837211485</v>
      </c>
      <c r="BO71" s="58">
        <f t="shared" si="83"/>
        <v>-257.57448417353316</v>
      </c>
      <c r="BP71" s="58">
        <f t="shared" ref="BP71:BU71" si="84">BP72-SUM(BP60:BP70)</f>
        <v>-9.6059409896315628</v>
      </c>
      <c r="BQ71" s="58">
        <f t="shared" si="84"/>
        <v>-109.56601632037746</v>
      </c>
      <c r="BR71" s="58">
        <f t="shared" si="84"/>
        <v>-119.21510799861335</v>
      </c>
      <c r="BS71" s="58">
        <f t="shared" si="84"/>
        <v>-143.70420984421253</v>
      </c>
      <c r="BT71" s="58">
        <f t="shared" si="84"/>
        <v>-144.08216157085462</v>
      </c>
      <c r="BU71" s="58">
        <f t="shared" si="84"/>
        <v>-127.93315186527434</v>
      </c>
      <c r="BW71" s="14" t="s">
        <v>117</v>
      </c>
    </row>
    <row r="72" spans="1:119" s="14" customFormat="1" ht="15.75" thickBot="1">
      <c r="A72" s="4" t="s">
        <v>113</v>
      </c>
      <c r="B72" s="64"/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f t="shared" ref="N72:BH72" si="85">SUM(N60:N71)</f>
        <v>110.89999999999998</v>
      </c>
      <c r="O72" s="14">
        <f t="shared" si="85"/>
        <v>622.69999999999993</v>
      </c>
      <c r="P72" s="14">
        <f t="shared" si="85"/>
        <v>1969.8</v>
      </c>
      <c r="Q72" s="14">
        <f t="shared" si="85"/>
        <v>2781.5999999999995</v>
      </c>
      <c r="R72" s="14">
        <f t="shared" si="85"/>
        <v>2725.9</v>
      </c>
      <c r="S72" s="14">
        <f t="shared" si="85"/>
        <v>2189.8999999999996</v>
      </c>
      <c r="T72" s="14">
        <f t="shared" si="85"/>
        <v>2001.3000000000002</v>
      </c>
      <c r="U72" s="14">
        <f t="shared" si="85"/>
        <v>1338.0000000000002</v>
      </c>
      <c r="V72" s="14">
        <f t="shared" si="85"/>
        <v>3116.7999999999997</v>
      </c>
      <c r="W72" s="14">
        <f t="shared" si="85"/>
        <v>2961.1000000000004</v>
      </c>
      <c r="X72" s="14">
        <f t="shared" si="85"/>
        <v>2604.6</v>
      </c>
      <c r="Y72" s="14">
        <f t="shared" si="85"/>
        <v>1291.8999999999999</v>
      </c>
      <c r="Z72" s="14">
        <f t="shared" si="85"/>
        <v>2096.1999999999998</v>
      </c>
      <c r="AA72" s="14">
        <f t="shared" si="85"/>
        <v>516.29999999999995</v>
      </c>
      <c r="AB72" s="66">
        <f t="shared" si="85"/>
        <v>3510.8999999999996</v>
      </c>
      <c r="AC72" s="66">
        <f t="shared" si="85"/>
        <v>4126.8</v>
      </c>
      <c r="AD72" s="66">
        <f t="shared" si="85"/>
        <v>3027.2850000000008</v>
      </c>
      <c r="AE72" s="59">
        <f t="shared" si="85"/>
        <v>1849.5309999999999</v>
      </c>
      <c r="AF72" s="59">
        <f t="shared" si="85"/>
        <v>482.05600000000004</v>
      </c>
      <c r="AG72" s="59">
        <f t="shared" si="85"/>
        <v>2984.1990000000005</v>
      </c>
      <c r="AH72" s="59">
        <f t="shared" si="85"/>
        <v>2716.4940000000001</v>
      </c>
      <c r="AI72" s="59">
        <f t="shared" si="85"/>
        <v>1987.4559999999999</v>
      </c>
      <c r="AJ72" s="59">
        <f t="shared" si="85"/>
        <v>650.846</v>
      </c>
      <c r="AK72" s="59">
        <f t="shared" si="85"/>
        <v>2805.8269999999998</v>
      </c>
      <c r="AL72" s="59">
        <f t="shared" si="85"/>
        <v>3766.5209999999997</v>
      </c>
      <c r="AM72" s="59">
        <f t="shared" si="85"/>
        <v>4468.4960000000001</v>
      </c>
      <c r="AN72" s="59">
        <f t="shared" si="85"/>
        <v>6830.7289999999975</v>
      </c>
      <c r="AO72" s="59">
        <f t="shared" si="85"/>
        <v>7036.1640000000007</v>
      </c>
      <c r="AP72" s="59">
        <f t="shared" si="85"/>
        <v>8796.0670000000009</v>
      </c>
      <c r="AQ72" s="59">
        <f t="shared" si="85"/>
        <v>7000.8850000000002</v>
      </c>
      <c r="AR72" s="59">
        <f t="shared" si="85"/>
        <v>10853.515999999998</v>
      </c>
      <c r="AS72" s="59">
        <f t="shared" si="85"/>
        <v>6449.3990000000003</v>
      </c>
      <c r="AT72" s="59">
        <f t="shared" si="85"/>
        <v>12341.824000000001</v>
      </c>
      <c r="AU72" s="59">
        <f t="shared" si="85"/>
        <v>9831.6170000000002</v>
      </c>
      <c r="AV72" s="59">
        <f t="shared" si="85"/>
        <v>4722.1849999999995</v>
      </c>
      <c r="AW72" s="59">
        <f t="shared" si="85"/>
        <v>12354.264000000001</v>
      </c>
      <c r="AX72" s="59">
        <f t="shared" si="85"/>
        <v>10096.121999999999</v>
      </c>
      <c r="AY72" s="59">
        <f t="shared" si="85"/>
        <v>6584.7569999999996</v>
      </c>
      <c r="AZ72" s="59">
        <f t="shared" si="85"/>
        <v>7888.9459999999999</v>
      </c>
      <c r="BA72" s="59">
        <f t="shared" si="85"/>
        <v>7566.9859999999999</v>
      </c>
      <c r="BB72" s="59">
        <f t="shared" si="85"/>
        <v>11005.616</v>
      </c>
      <c r="BC72" s="59">
        <f t="shared" si="85"/>
        <v>9217.7663550000016</v>
      </c>
      <c r="BD72" s="59">
        <f t="shared" si="85"/>
        <v>6592.6978549999985</v>
      </c>
      <c r="BE72" s="59">
        <f t="shared" si="85"/>
        <v>4046.0638230000004</v>
      </c>
      <c r="BF72" s="59">
        <f t="shared" si="85"/>
        <v>10553.442863</v>
      </c>
      <c r="BG72" s="59">
        <f t="shared" si="85"/>
        <v>6380.2686910000002</v>
      </c>
      <c r="BH72" s="59">
        <f t="shared" si="85"/>
        <v>4926.4721589999999</v>
      </c>
      <c r="BI72" s="58">
        <f t="shared" ref="BI72:BU72" si="86">BI13</f>
        <v>1900</v>
      </c>
      <c r="BJ72" s="58">
        <f t="shared" si="86"/>
        <v>4500</v>
      </c>
      <c r="BK72" s="58">
        <f t="shared" si="86"/>
        <v>4500</v>
      </c>
      <c r="BL72" s="58">
        <f t="shared" si="86"/>
        <v>4500</v>
      </c>
      <c r="BM72" s="58">
        <f t="shared" si="86"/>
        <v>4500</v>
      </c>
      <c r="BN72" s="58">
        <f t="shared" si="86"/>
        <v>4500</v>
      </c>
      <c r="BO72" s="58">
        <f t="shared" si="86"/>
        <v>4500</v>
      </c>
      <c r="BP72" s="58">
        <f t="shared" si="86"/>
        <v>4500</v>
      </c>
      <c r="BQ72" s="58">
        <f t="shared" si="86"/>
        <v>4500</v>
      </c>
      <c r="BR72" s="58">
        <f t="shared" si="86"/>
        <v>4500</v>
      </c>
      <c r="BS72" s="58">
        <f t="shared" si="86"/>
        <v>4500</v>
      </c>
      <c r="BT72" s="58">
        <f t="shared" si="86"/>
        <v>4500</v>
      </c>
      <c r="BU72" s="58">
        <f t="shared" si="86"/>
        <v>4500</v>
      </c>
    </row>
    <row r="73" spans="1:119">
      <c r="A73" s="60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1:119" ht="15.75" thickBot="1">
      <c r="A74" s="53" t="s">
        <v>209</v>
      </c>
      <c r="CX74" t="s">
        <v>118</v>
      </c>
    </row>
    <row r="75" spans="1:119" s="4" customFormat="1" ht="15.75" thickBot="1">
      <c r="A75" s="209" t="s">
        <v>210</v>
      </c>
      <c r="B75" s="55" t="str">
        <f t="shared" ref="B75:BM75" si="87">B2</f>
        <v xml:space="preserve">64/65 </v>
      </c>
      <c r="C75" s="55" t="str">
        <f t="shared" si="87"/>
        <v xml:space="preserve">65/66 </v>
      </c>
      <c r="D75" s="55" t="str">
        <f t="shared" si="87"/>
        <v xml:space="preserve">66/67 </v>
      </c>
      <c r="E75" s="55" t="str">
        <f t="shared" si="87"/>
        <v xml:space="preserve">67/68 </v>
      </c>
      <c r="F75" s="55" t="str">
        <f t="shared" si="87"/>
        <v xml:space="preserve">68/69 </v>
      </c>
      <c r="G75" s="55" t="str">
        <f t="shared" si="87"/>
        <v xml:space="preserve">69/70 </v>
      </c>
      <c r="H75" s="55" t="str">
        <f t="shared" si="87"/>
        <v xml:space="preserve">70/71 </v>
      </c>
      <c r="I75" s="55" t="str">
        <f t="shared" si="87"/>
        <v xml:space="preserve">71/72 </v>
      </c>
      <c r="J75" s="55" t="str">
        <f t="shared" si="87"/>
        <v xml:space="preserve">72/73 </v>
      </c>
      <c r="K75" s="55" t="str">
        <f t="shared" si="87"/>
        <v xml:space="preserve">73/74 </v>
      </c>
      <c r="L75" s="55" t="str">
        <f t="shared" si="87"/>
        <v xml:space="preserve">74/75 </v>
      </c>
      <c r="M75" s="55" t="str">
        <f t="shared" si="87"/>
        <v xml:space="preserve">75/76 </v>
      </c>
      <c r="N75" s="55" t="str">
        <f t="shared" si="87"/>
        <v xml:space="preserve">76/77 </v>
      </c>
      <c r="O75" s="55" t="str">
        <f t="shared" si="87"/>
        <v xml:space="preserve">77/78 </v>
      </c>
      <c r="P75" s="55" t="str">
        <f t="shared" si="87"/>
        <v xml:space="preserve">78/79 </v>
      </c>
      <c r="Q75" s="55" t="str">
        <f t="shared" si="87"/>
        <v xml:space="preserve">79/80 </v>
      </c>
      <c r="R75" s="55" t="str">
        <f t="shared" si="87"/>
        <v xml:space="preserve">80/81 </v>
      </c>
      <c r="S75" s="55" t="str">
        <f t="shared" si="87"/>
        <v xml:space="preserve">81/82 </v>
      </c>
      <c r="T75" s="55" t="str">
        <f t="shared" si="87"/>
        <v xml:space="preserve">82/83 </v>
      </c>
      <c r="U75" s="55" t="str">
        <f t="shared" si="87"/>
        <v xml:space="preserve">83/84 </v>
      </c>
      <c r="V75" s="55" t="str">
        <f t="shared" si="87"/>
        <v xml:space="preserve">84/85 </v>
      </c>
      <c r="W75" s="55" t="str">
        <f t="shared" si="87"/>
        <v xml:space="preserve">85/86 </v>
      </c>
      <c r="X75" s="55" t="str">
        <f t="shared" si="87"/>
        <v xml:space="preserve">86/87 </v>
      </c>
      <c r="Y75" s="55" t="str">
        <f t="shared" si="87"/>
        <v xml:space="preserve">87/88 </v>
      </c>
      <c r="Z75" s="55" t="str">
        <f t="shared" si="87"/>
        <v xml:space="preserve">88/89 </v>
      </c>
      <c r="AA75" s="55" t="str">
        <f t="shared" si="87"/>
        <v xml:space="preserve">89/90 </v>
      </c>
      <c r="AB75" s="55" t="str">
        <f t="shared" si="87"/>
        <v xml:space="preserve">90/91 </v>
      </c>
      <c r="AC75" s="55" t="str">
        <f t="shared" si="87"/>
        <v xml:space="preserve">91/92 </v>
      </c>
      <c r="AD75" s="55" t="str">
        <f t="shared" si="87"/>
        <v xml:space="preserve">92/93 </v>
      </c>
      <c r="AE75" s="55" t="str">
        <f t="shared" si="87"/>
        <v xml:space="preserve">93/94 </v>
      </c>
      <c r="AF75" s="55" t="str">
        <f t="shared" si="87"/>
        <v xml:space="preserve">94/95 </v>
      </c>
      <c r="AG75" s="55" t="str">
        <f t="shared" si="87"/>
        <v xml:space="preserve">95/96 </v>
      </c>
      <c r="AH75" s="55" t="str">
        <f t="shared" si="87"/>
        <v xml:space="preserve">96/97 </v>
      </c>
      <c r="AI75" s="55" t="str">
        <f t="shared" si="87"/>
        <v xml:space="preserve">97/98 </v>
      </c>
      <c r="AJ75" s="55" t="str">
        <f t="shared" si="87"/>
        <v xml:space="preserve">98/99 </v>
      </c>
      <c r="AK75" s="55" t="str">
        <f t="shared" si="87"/>
        <v xml:space="preserve">99/00 </v>
      </c>
      <c r="AL75" s="55" t="str">
        <f t="shared" si="87"/>
        <v xml:space="preserve">00/01 </v>
      </c>
      <c r="AM75" s="55" t="str">
        <f t="shared" si="87"/>
        <v xml:space="preserve">01/02 </v>
      </c>
      <c r="AN75" s="55" t="str">
        <f t="shared" si="87"/>
        <v xml:space="preserve">02/03 </v>
      </c>
      <c r="AO75" s="55" t="str">
        <f t="shared" si="87"/>
        <v xml:space="preserve">03/04 </v>
      </c>
      <c r="AP75" s="55" t="str">
        <f t="shared" si="87"/>
        <v xml:space="preserve">04/05 </v>
      </c>
      <c r="AQ75" s="55" t="str">
        <f t="shared" si="87"/>
        <v xml:space="preserve">05/06 </v>
      </c>
      <c r="AR75" s="55" t="str">
        <f t="shared" si="87"/>
        <v xml:space="preserve">06/07 </v>
      </c>
      <c r="AS75" s="55" t="str">
        <f t="shared" si="87"/>
        <v xml:space="preserve">07/08 </v>
      </c>
      <c r="AT75" s="55" t="str">
        <f t="shared" si="87"/>
        <v xml:space="preserve">08/09 </v>
      </c>
      <c r="AU75" s="55" t="str">
        <f t="shared" si="87"/>
        <v xml:space="preserve">09/10 </v>
      </c>
      <c r="AV75" s="55" t="str">
        <f t="shared" si="87"/>
        <v xml:space="preserve">10/11 </v>
      </c>
      <c r="AW75" s="55" t="str">
        <f t="shared" si="87"/>
        <v xml:space="preserve">11/12 </v>
      </c>
      <c r="AX75" s="55" t="str">
        <f t="shared" si="87"/>
        <v xml:space="preserve">12/13 </v>
      </c>
      <c r="AY75" s="55" t="str">
        <f t="shared" si="87"/>
        <v xml:space="preserve">13/14 </v>
      </c>
      <c r="AZ75" s="55" t="str">
        <f t="shared" si="87"/>
        <v xml:space="preserve">14/15 </v>
      </c>
      <c r="BA75" s="55" t="str">
        <f t="shared" si="87"/>
        <v xml:space="preserve">15/16 </v>
      </c>
      <c r="BB75" s="55" t="str">
        <f t="shared" si="87"/>
        <v xml:space="preserve">16/17 </v>
      </c>
      <c r="BC75" s="55" t="str">
        <f t="shared" si="87"/>
        <v xml:space="preserve">17/18 </v>
      </c>
      <c r="BD75" s="55" t="str">
        <f t="shared" si="87"/>
        <v xml:space="preserve">18/19 </v>
      </c>
      <c r="BE75" s="55" t="str">
        <f t="shared" si="87"/>
        <v>19/20</v>
      </c>
      <c r="BF75" s="55" t="str">
        <f t="shared" si="87"/>
        <v>20/21</v>
      </c>
      <c r="BG75" s="55" t="str">
        <f t="shared" si="87"/>
        <v>21/22</v>
      </c>
      <c r="BH75" s="55" t="str">
        <f t="shared" si="87"/>
        <v>22/23</v>
      </c>
      <c r="BI75" s="55" t="str">
        <f t="shared" si="87"/>
        <v>23/24</v>
      </c>
      <c r="BJ75" s="55" t="str">
        <f t="shared" si="87"/>
        <v>24/25</v>
      </c>
      <c r="BK75" s="55" t="str">
        <f t="shared" si="87"/>
        <v>25/26</v>
      </c>
      <c r="BL75" s="55" t="str">
        <f t="shared" si="87"/>
        <v>26/27</v>
      </c>
      <c r="BM75" s="55" t="str">
        <f t="shared" si="87"/>
        <v>27/28</v>
      </c>
      <c r="BN75" s="55" t="str">
        <f t="shared" ref="BN75:BU75" si="88">BN2</f>
        <v>28/29</v>
      </c>
      <c r="BO75" s="55" t="str">
        <f t="shared" si="88"/>
        <v>29/30</v>
      </c>
      <c r="BP75" s="55" t="str">
        <f t="shared" si="88"/>
        <v>30/31</v>
      </c>
      <c r="BQ75" s="55" t="str">
        <f t="shared" si="88"/>
        <v>31/32</v>
      </c>
      <c r="BR75" s="55" t="str">
        <f t="shared" si="88"/>
        <v>32/33</v>
      </c>
      <c r="BS75" s="55" t="str">
        <f t="shared" si="88"/>
        <v>33/34</v>
      </c>
      <c r="BT75" s="55" t="str">
        <f t="shared" si="88"/>
        <v>34/35</v>
      </c>
      <c r="BU75" s="55" t="str">
        <f t="shared" si="88"/>
        <v>34/35</v>
      </c>
      <c r="BW75" s="4">
        <v>1998</v>
      </c>
      <c r="BX75" s="4">
        <v>1999</v>
      </c>
      <c r="BY75" s="4">
        <v>2000</v>
      </c>
      <c r="BZ75" s="4">
        <v>2001</v>
      </c>
      <c r="CA75" s="4">
        <v>2002</v>
      </c>
      <c r="CB75" s="4">
        <v>2003</v>
      </c>
      <c r="CC75" s="4">
        <v>2004</v>
      </c>
      <c r="CD75" s="4">
        <v>2005</v>
      </c>
      <c r="CE75" s="4">
        <v>2006</v>
      </c>
      <c r="CF75" s="4">
        <v>2007</v>
      </c>
      <c r="CG75" s="4">
        <v>2008</v>
      </c>
      <c r="CH75" s="4">
        <v>2009</v>
      </c>
      <c r="CI75" s="4">
        <v>2010</v>
      </c>
      <c r="CJ75" s="4">
        <v>2011</v>
      </c>
      <c r="CK75" s="4">
        <v>2012</v>
      </c>
      <c r="CL75" s="4">
        <v>2013</v>
      </c>
      <c r="CM75" s="4">
        <v>2014</v>
      </c>
      <c r="CN75" s="4">
        <v>2015</v>
      </c>
      <c r="CO75" s="4">
        <v>2016</v>
      </c>
      <c r="CP75" s="4">
        <v>2017</v>
      </c>
      <c r="CQ75" s="4">
        <v>2018</v>
      </c>
      <c r="CR75" s="4">
        <v>2019</v>
      </c>
      <c r="CS75" s="4">
        <v>2020</v>
      </c>
      <c r="CT75" s="4">
        <v>2021</v>
      </c>
      <c r="CU75" s="4">
        <v>2022</v>
      </c>
      <c r="CV75" s="4">
        <v>2023</v>
      </c>
      <c r="CW75" s="4">
        <v>2024</v>
      </c>
      <c r="CX75" s="4">
        <v>2025</v>
      </c>
      <c r="CY75" s="4">
        <v>2026</v>
      </c>
      <c r="DA75" s="4" t="s">
        <v>119</v>
      </c>
      <c r="DB75" s="67" t="str">
        <f>BB75</f>
        <v xml:space="preserve">16/17 </v>
      </c>
      <c r="DC75" s="67" t="str">
        <f>BC75</f>
        <v xml:space="preserve">17/18 </v>
      </c>
      <c r="DD75" s="67" t="str">
        <f>BD75</f>
        <v xml:space="preserve">18/19 </v>
      </c>
      <c r="DE75" s="67" t="str">
        <f>BE75</f>
        <v>19/20</v>
      </c>
      <c r="DF75" s="67">
        <f>'[2]Brazil Soy Complex'!CF65</f>
        <v>0</v>
      </c>
      <c r="DG75" s="67">
        <f>'[2]Brazil Soy Complex'!CG65</f>
        <v>0</v>
      </c>
      <c r="DH75" s="67">
        <f>'[2]Brazil Soy Complex'!CH65</f>
        <v>0</v>
      </c>
      <c r="DI75" s="67">
        <f>'[2]Brazil Soy Complex'!CI65</f>
        <v>0</v>
      </c>
      <c r="DJ75" s="67" t="str">
        <f>BJ75</f>
        <v>24/25</v>
      </c>
      <c r="DK75" s="67" t="str">
        <f>BK75</f>
        <v>25/26</v>
      </c>
      <c r="DL75" s="67" t="str">
        <f>BL75</f>
        <v>26/27</v>
      </c>
      <c r="DO75" s="4" t="s">
        <v>120</v>
      </c>
    </row>
    <row r="76" spans="1:119">
      <c r="A76" s="4" t="s">
        <v>100</v>
      </c>
      <c r="C76" s="68">
        <f t="shared" ref="C76:L87" si="89">(SUM($M76:$Q76)/SUM($M$88:$Q$88))*C$88</f>
        <v>0.26057998118902648</v>
      </c>
      <c r="D76" s="68">
        <f t="shared" si="89"/>
        <v>0.21714998432418875</v>
      </c>
      <c r="E76" s="68">
        <f t="shared" si="89"/>
        <v>0.21714998432418875</v>
      </c>
      <c r="F76" s="68">
        <f t="shared" si="89"/>
        <v>0.47772996551321523</v>
      </c>
      <c r="G76" s="68">
        <f t="shared" si="89"/>
        <v>0.65144995297256625</v>
      </c>
      <c r="H76" s="68">
        <f t="shared" si="89"/>
        <v>0.91202993416159273</v>
      </c>
      <c r="I76" s="68">
        <f t="shared" si="89"/>
        <v>1.5634798871341589</v>
      </c>
      <c r="J76" s="68">
        <f t="shared" si="89"/>
        <v>1.9977798557825364</v>
      </c>
      <c r="K76" s="68">
        <f t="shared" si="89"/>
        <v>8.4688493886433616</v>
      </c>
      <c r="L76" s="68">
        <f t="shared" si="89"/>
        <v>12.203829119019407</v>
      </c>
      <c r="M76" s="69">
        <v>25.305</v>
      </c>
      <c r="N76" s="69">
        <v>23.960999999999999</v>
      </c>
      <c r="O76" s="69">
        <v>31.282</v>
      </c>
      <c r="P76" s="69">
        <v>36.753</v>
      </c>
      <c r="Q76" s="69">
        <v>10.281000000000001</v>
      </c>
      <c r="R76" s="69">
        <v>35.828000000000003</v>
      </c>
      <c r="S76" s="69">
        <v>34.073</v>
      </c>
      <c r="T76" s="69">
        <v>33.478999999999999</v>
      </c>
      <c r="U76" s="69">
        <v>66.034999999999997</v>
      </c>
      <c r="V76" s="69">
        <v>160.78299999999999</v>
      </c>
      <c r="W76" s="69">
        <v>133.297</v>
      </c>
      <c r="X76" s="69">
        <v>178.553</v>
      </c>
      <c r="Y76" s="69">
        <v>219.655</v>
      </c>
      <c r="Z76" s="69">
        <v>227.32599999999999</v>
      </c>
      <c r="AA76" s="69">
        <v>136.285</v>
      </c>
      <c r="AB76" s="69">
        <v>431.48899999999998</v>
      </c>
      <c r="AC76" s="69">
        <v>478.49200000000002</v>
      </c>
      <c r="AD76" s="69">
        <v>297.745</v>
      </c>
      <c r="AE76" s="70">
        <v>419.36500000000001</v>
      </c>
      <c r="AF76" s="70">
        <v>392.08600000000001</v>
      </c>
      <c r="AG76" s="70">
        <v>426.22800000000001</v>
      </c>
      <c r="AH76" s="70">
        <v>568.52800000000002</v>
      </c>
      <c r="AI76" s="71">
        <v>802.55100000000004</v>
      </c>
      <c r="AJ76" s="71">
        <v>1161.0160000000001</v>
      </c>
      <c r="AK76" s="71">
        <v>1355.1289999999999</v>
      </c>
      <c r="AL76" s="71">
        <v>1584.894</v>
      </c>
      <c r="AM76" s="71">
        <v>1704.68</v>
      </c>
      <c r="AN76" s="71">
        <v>1592.5619999999999</v>
      </c>
      <c r="AO76" s="72">
        <v>1968.633</v>
      </c>
      <c r="AP76" s="72">
        <v>2195.5630000000001</v>
      </c>
      <c r="AQ76" s="72">
        <v>2247.9940000000001</v>
      </c>
      <c r="AR76" s="72">
        <v>2961.181</v>
      </c>
      <c r="AS76" s="72">
        <v>2979.9789999999998</v>
      </c>
      <c r="AT76" s="72">
        <v>2799.212</v>
      </c>
      <c r="AU76" s="72">
        <v>3161.2269999999999</v>
      </c>
      <c r="AV76" s="72">
        <v>3712.6280000000002</v>
      </c>
      <c r="AW76" s="72">
        <v>3747.9780000000001</v>
      </c>
      <c r="AX76" s="72">
        <v>3521.3589999999999</v>
      </c>
      <c r="AY76" s="72">
        <v>3587.6280000000002</v>
      </c>
      <c r="AZ76" s="72">
        <v>3902.5949999999998</v>
      </c>
      <c r="BA76" s="72">
        <v>4254.5309999999999</v>
      </c>
      <c r="BB76" s="71">
        <v>3728.116</v>
      </c>
      <c r="BC76" s="71">
        <v>4001.1619999999998</v>
      </c>
      <c r="BD76" s="71">
        <v>3308.4870000000001</v>
      </c>
      <c r="BE76" s="71">
        <v>3825.53</v>
      </c>
      <c r="BF76" s="71">
        <v>3667.8449999999998</v>
      </c>
      <c r="BG76" s="71">
        <v>4212.3410000000003</v>
      </c>
      <c r="BH76" s="71">
        <v>3927.8380000000002</v>
      </c>
      <c r="BI76" s="71">
        <v>2878.991</v>
      </c>
      <c r="BJ76" s="71">
        <v>3826.125</v>
      </c>
      <c r="BK76" s="71">
        <v>3400.2220000000002</v>
      </c>
      <c r="BL76" s="73">
        <f t="shared" ref="BL76:BL86" si="90">ROUND(SUM(BJ76:BJ76)*BL$88/SUM(BJ$88:BJ$88)*4,-2)/4</f>
        <v>3875</v>
      </c>
      <c r="BM76" s="73">
        <f t="shared" ref="BM76:BU86" si="91">ROUND(SUM(BJ76:BK76)*BM$88/SUM(BJ$88:BK$88)*4,-2)/4</f>
        <v>3750</v>
      </c>
      <c r="BN76" s="73">
        <f t="shared" si="91"/>
        <v>3775</v>
      </c>
      <c r="BO76" s="73">
        <f t="shared" si="91"/>
        <v>3850</v>
      </c>
      <c r="BP76" s="73">
        <f t="shared" si="91"/>
        <v>3775</v>
      </c>
      <c r="BQ76" s="73">
        <f t="shared" si="91"/>
        <v>3825</v>
      </c>
      <c r="BR76" s="73">
        <f t="shared" si="91"/>
        <v>3825</v>
      </c>
      <c r="BS76" s="73">
        <f t="shared" si="91"/>
        <v>3800</v>
      </c>
      <c r="BT76" s="73">
        <f t="shared" si="91"/>
        <v>3825</v>
      </c>
      <c r="BU76" s="73">
        <f t="shared" si="91"/>
        <v>3825</v>
      </c>
      <c r="BV76" s="56" t="s">
        <v>121</v>
      </c>
      <c r="BW76" s="59">
        <f t="shared" ref="BW76:CL78" si="92">AI85</f>
        <v>543.04100000000005</v>
      </c>
      <c r="BX76" s="59">
        <f t="shared" si="92"/>
        <v>1160.9449999999999</v>
      </c>
      <c r="BY76" s="59">
        <f t="shared" si="92"/>
        <v>1107.8</v>
      </c>
      <c r="BZ76" s="59">
        <f t="shared" si="92"/>
        <v>904.73800000000006</v>
      </c>
      <c r="CA76" s="59">
        <f t="shared" si="92"/>
        <v>1376.856</v>
      </c>
      <c r="CB76" s="59">
        <f t="shared" si="92"/>
        <v>1520.11</v>
      </c>
      <c r="CC76" s="59">
        <f t="shared" si="92"/>
        <v>1971.086</v>
      </c>
      <c r="CD76" s="59">
        <f t="shared" si="92"/>
        <v>1986.404</v>
      </c>
      <c r="CE76" s="59">
        <f t="shared" si="92"/>
        <v>2372.1889999999999</v>
      </c>
      <c r="CF76" s="59">
        <f t="shared" si="92"/>
        <v>2360.4740000000002</v>
      </c>
      <c r="CG76" s="59">
        <f t="shared" si="92"/>
        <v>2942.0920000000001</v>
      </c>
      <c r="CH76" s="59">
        <f t="shared" si="92"/>
        <v>2314.0569999999998</v>
      </c>
      <c r="CI76" s="59">
        <f t="shared" si="92"/>
        <v>1628.645</v>
      </c>
      <c r="CJ76" s="59">
        <f t="shared" si="92"/>
        <v>2309.1309999999999</v>
      </c>
      <c r="CK76" s="59">
        <f t="shared" si="92"/>
        <v>2582.4560000000001</v>
      </c>
      <c r="CL76" s="59">
        <f t="shared" si="92"/>
        <v>1708.8019999999999</v>
      </c>
      <c r="CM76" s="59">
        <f t="shared" ref="CG76:CS78" si="93">AY85</f>
        <v>1968.357</v>
      </c>
      <c r="CN76" s="59">
        <f t="shared" si="93"/>
        <v>1792.222</v>
      </c>
      <c r="CO76" s="59">
        <f t="shared" si="93"/>
        <v>3910.4670000000001</v>
      </c>
      <c r="CP76" s="59">
        <f t="shared" si="93"/>
        <v>2968.6909999999998</v>
      </c>
      <c r="CQ76" s="59">
        <f t="shared" si="93"/>
        <v>2736.46</v>
      </c>
      <c r="CR76" s="59">
        <f t="shared" si="93"/>
        <v>2498.0279999999998</v>
      </c>
      <c r="CS76" s="59">
        <f t="shared" si="93"/>
        <v>2321.77</v>
      </c>
      <c r="CT76" s="59">
        <f>'[2]Brazil Soy Complex'!CF77</f>
        <v>14260.45898637927</v>
      </c>
      <c r="CU76" s="59">
        <f>'[2]Brazil Soy Complex'!CG77</f>
        <v>0</v>
      </c>
      <c r="CV76" s="59">
        <f>'[2]Brazil Soy Complex'!CH77</f>
        <v>0</v>
      </c>
      <c r="CW76" s="58">
        <f>'[2]Brazil Soy Complex'!CI77</f>
        <v>0</v>
      </c>
      <c r="CX76" s="58">
        <f t="shared" ref="CX76:CY78" si="94">BJ85</f>
        <v>2905.6709999999998</v>
      </c>
      <c r="CY76" s="58">
        <f t="shared" si="94"/>
        <v>2425</v>
      </c>
      <c r="DA76" s="74">
        <f t="shared" ref="DA76:DA87" si="95">AVERAGE(DC76:DG76)</f>
        <v>74.234526666666667</v>
      </c>
      <c r="DB76" s="74">
        <f>BB76/30</f>
        <v>124.27053333333333</v>
      </c>
      <c r="DC76" s="74">
        <f>BC76/30</f>
        <v>133.37206666666665</v>
      </c>
      <c r="DD76" s="74">
        <f>BD76/30</f>
        <v>110.2829</v>
      </c>
      <c r="DE76" s="74">
        <f>BE76/30</f>
        <v>127.51766666666667</v>
      </c>
      <c r="DF76" s="74">
        <f>'[2]Brazil Soy Complex'!CF68/30</f>
        <v>0</v>
      </c>
      <c r="DG76" s="74">
        <f>'[2]Brazil Soy Complex'!CG68/30</f>
        <v>0</v>
      </c>
      <c r="DH76" s="74">
        <f>'[2]Brazil Soy Complex'!CH68/30</f>
        <v>0</v>
      </c>
      <c r="DI76" s="75">
        <f>'[2]Brazil Soy Complex'!CI68/30</f>
        <v>0</v>
      </c>
      <c r="DJ76" s="75">
        <f>BJ76/30</f>
        <v>127.53749999999999</v>
      </c>
      <c r="DK76" s="75">
        <f>BK76/30</f>
        <v>113.34073333333335</v>
      </c>
      <c r="DL76" s="75">
        <f>BL76/30</f>
        <v>129.16666666666666</v>
      </c>
      <c r="DN76" t="s">
        <v>122</v>
      </c>
      <c r="DO76" s="14">
        <f t="shared" ref="DO76:DO87" si="96">AVERAGE(BC76:BE76)</f>
        <v>3711.7263333333335</v>
      </c>
    </row>
    <row r="77" spans="1:119">
      <c r="A77" s="4" t="s">
        <v>102</v>
      </c>
      <c r="C77" s="68">
        <f t="shared" si="89"/>
        <v>0.41226668827125929</v>
      </c>
      <c r="D77" s="68">
        <f t="shared" si="89"/>
        <v>0.34355557355938271</v>
      </c>
      <c r="E77" s="68">
        <f t="shared" si="89"/>
        <v>0.34355557355938271</v>
      </c>
      <c r="F77" s="68">
        <f t="shared" si="89"/>
        <v>0.75582226183064205</v>
      </c>
      <c r="G77" s="68">
        <f t="shared" si="89"/>
        <v>1.0306667206781481</v>
      </c>
      <c r="H77" s="68">
        <f t="shared" si="89"/>
        <v>1.4429334089494075</v>
      </c>
      <c r="I77" s="68">
        <f t="shared" si="89"/>
        <v>2.4736001296275556</v>
      </c>
      <c r="J77" s="68">
        <f t="shared" si="89"/>
        <v>3.160711276746321</v>
      </c>
      <c r="K77" s="68">
        <f t="shared" si="89"/>
        <v>13.398667368815927</v>
      </c>
      <c r="L77" s="68">
        <f t="shared" si="89"/>
        <v>19.307823234037311</v>
      </c>
      <c r="M77" s="69">
        <v>26.861999999999998</v>
      </c>
      <c r="N77" s="69">
        <v>39.552999999999997</v>
      </c>
      <c r="O77" s="69">
        <v>35.499000000000002</v>
      </c>
      <c r="P77" s="69">
        <v>42.484000000000002</v>
      </c>
      <c r="Q77" s="69">
        <v>57.451000000000001</v>
      </c>
      <c r="R77" s="69">
        <v>64.484999999999999</v>
      </c>
      <c r="S77" s="69">
        <v>84.602000000000004</v>
      </c>
      <c r="T77" s="69">
        <v>117.262</v>
      </c>
      <c r="U77" s="69">
        <v>133.05500000000001</v>
      </c>
      <c r="V77" s="69">
        <v>223.167</v>
      </c>
      <c r="W77" s="69">
        <v>241.44800000000001</v>
      </c>
      <c r="X77" s="69">
        <v>497.28199999999998</v>
      </c>
      <c r="Y77" s="69">
        <v>569.50300000000004</v>
      </c>
      <c r="Z77" s="69">
        <v>637.24699999999996</v>
      </c>
      <c r="AA77" s="69">
        <v>531.28300000000002</v>
      </c>
      <c r="AB77" s="69">
        <v>633.54600000000005</v>
      </c>
      <c r="AC77" s="69">
        <v>678.42100000000005</v>
      </c>
      <c r="AD77" s="69">
        <v>673.42200000000003</v>
      </c>
      <c r="AE77" s="70">
        <v>854.279</v>
      </c>
      <c r="AF77" s="70">
        <v>796.91800000000001</v>
      </c>
      <c r="AG77" s="70">
        <v>844.16899999999998</v>
      </c>
      <c r="AH77" s="70">
        <v>913.34500000000003</v>
      </c>
      <c r="AI77" s="71">
        <v>1120.252</v>
      </c>
      <c r="AJ77" s="71">
        <v>1460.9670000000001</v>
      </c>
      <c r="AK77" s="71">
        <v>1776.405</v>
      </c>
      <c r="AL77" s="71">
        <v>1791.9159999999999</v>
      </c>
      <c r="AM77" s="71">
        <v>1871.9259999999999</v>
      </c>
      <c r="AN77" s="71">
        <v>2039.2940000000001</v>
      </c>
      <c r="AO77" s="72">
        <v>2277.9430000000002</v>
      </c>
      <c r="AP77" s="72">
        <v>2517.3290000000002</v>
      </c>
      <c r="AQ77" s="72">
        <v>2749.3029999999999</v>
      </c>
      <c r="AR77" s="72">
        <v>3343.7240000000002</v>
      </c>
      <c r="AS77" s="72">
        <v>3441.0140000000001</v>
      </c>
      <c r="AT77" s="72">
        <v>3300.346</v>
      </c>
      <c r="AU77" s="72">
        <v>3566.404</v>
      </c>
      <c r="AV77" s="72">
        <v>4125.9840000000004</v>
      </c>
      <c r="AW77" s="72">
        <v>4025.5309999999999</v>
      </c>
      <c r="AX77" s="72">
        <v>3793.9009999999998</v>
      </c>
      <c r="AY77" s="72">
        <v>3933.1469999999999</v>
      </c>
      <c r="AZ77" s="72">
        <v>4658.6130000000003</v>
      </c>
      <c r="BA77" s="72">
        <v>3588.5859999999998</v>
      </c>
      <c r="BB77" s="71">
        <v>4351.8999999999996</v>
      </c>
      <c r="BC77" s="71">
        <v>4526.7860000000001</v>
      </c>
      <c r="BD77" s="71">
        <v>3676.107</v>
      </c>
      <c r="BE77" s="71">
        <v>3977.9059999999999</v>
      </c>
      <c r="BF77" s="71">
        <v>4040.0120000000002</v>
      </c>
      <c r="BG77" s="71">
        <v>4300.6869999999999</v>
      </c>
      <c r="BH77" s="71">
        <v>4142.91</v>
      </c>
      <c r="BI77" s="71">
        <v>3493.9490000000001</v>
      </c>
      <c r="BJ77" s="71">
        <v>3976.076</v>
      </c>
      <c r="BK77" s="71">
        <v>3884.6909999999998</v>
      </c>
      <c r="BL77" s="73">
        <f t="shared" si="90"/>
        <v>4025</v>
      </c>
      <c r="BM77" s="73">
        <f t="shared" si="91"/>
        <v>4075</v>
      </c>
      <c r="BN77" s="73">
        <f t="shared" si="91"/>
        <v>4100</v>
      </c>
      <c r="BO77" s="73">
        <f t="shared" si="91"/>
        <v>4100</v>
      </c>
      <c r="BP77" s="73">
        <f t="shared" si="91"/>
        <v>4100</v>
      </c>
      <c r="BQ77" s="73">
        <f t="shared" si="91"/>
        <v>4100</v>
      </c>
      <c r="BR77" s="73">
        <f t="shared" si="91"/>
        <v>4100</v>
      </c>
      <c r="BS77" s="73">
        <f t="shared" si="91"/>
        <v>4100</v>
      </c>
      <c r="BT77" s="73">
        <f t="shared" si="91"/>
        <v>4100</v>
      </c>
      <c r="BU77" s="73">
        <f t="shared" si="91"/>
        <v>4100</v>
      </c>
      <c r="BV77" s="56" t="s">
        <v>123</v>
      </c>
      <c r="BW77" s="59">
        <f t="shared" si="92"/>
        <v>255.59700000000001</v>
      </c>
      <c r="BX77" s="59">
        <f t="shared" si="92"/>
        <v>822.85400000000004</v>
      </c>
      <c r="BY77" s="59">
        <f t="shared" si="92"/>
        <v>843.54899999999998</v>
      </c>
      <c r="BZ77" s="59">
        <f t="shared" si="92"/>
        <v>362.03800000000001</v>
      </c>
      <c r="CA77" s="59">
        <f t="shared" si="92"/>
        <v>879.947</v>
      </c>
      <c r="CB77" s="59">
        <f t="shared" si="92"/>
        <v>1352.018</v>
      </c>
      <c r="CC77" s="59">
        <f t="shared" si="92"/>
        <v>1371.68</v>
      </c>
      <c r="CD77" s="59">
        <f t="shared" si="92"/>
        <v>1799.9359999999999</v>
      </c>
      <c r="CE77" s="59">
        <f t="shared" si="92"/>
        <v>1936.0196100000001</v>
      </c>
      <c r="CF77" s="59">
        <f t="shared" si="92"/>
        <v>1874.826</v>
      </c>
      <c r="CG77" s="59">
        <f t="shared" si="93"/>
        <v>2177.2040000000002</v>
      </c>
      <c r="CH77" s="59">
        <f t="shared" si="93"/>
        <v>2084.0340000000001</v>
      </c>
      <c r="CI77" s="59">
        <f t="shared" si="93"/>
        <v>1402.992</v>
      </c>
      <c r="CJ77" s="59">
        <f t="shared" si="93"/>
        <v>2049.6849999999999</v>
      </c>
      <c r="CK77" s="59">
        <f t="shared" si="93"/>
        <v>2270.4169999999999</v>
      </c>
      <c r="CL77" s="59">
        <f t="shared" si="93"/>
        <v>1212.383</v>
      </c>
      <c r="CM77" s="59">
        <f t="shared" si="93"/>
        <v>1533.672</v>
      </c>
      <c r="CN77" s="59">
        <f t="shared" si="93"/>
        <v>2110.7640000000001</v>
      </c>
      <c r="CO77" s="59">
        <f t="shared" si="93"/>
        <v>3205.3069999999998</v>
      </c>
      <c r="CP77" s="59">
        <f t="shared" si="93"/>
        <v>2624.6410000000001</v>
      </c>
      <c r="CQ77" s="59">
        <f t="shared" si="93"/>
        <v>2376.4989999999998</v>
      </c>
      <c r="CR77" s="59">
        <f t="shared" si="93"/>
        <v>2349.6480000000001</v>
      </c>
      <c r="CS77" s="59">
        <f t="shared" si="93"/>
        <v>2633.4920000000002</v>
      </c>
      <c r="CT77" s="59">
        <f>'[2]Brazil Soy Complex'!CF66</f>
        <v>0</v>
      </c>
      <c r="CU77" s="59">
        <f>'[2]Brazil Soy Complex'!CG66</f>
        <v>0</v>
      </c>
      <c r="CV77" s="59">
        <f>'[2]Brazil Soy Complex'!CH66</f>
        <v>0</v>
      </c>
      <c r="CW77" s="58">
        <f>'[2]Brazil Soy Complex'!CI66</f>
        <v>0</v>
      </c>
      <c r="CX77" s="58">
        <f t="shared" si="94"/>
        <v>2644.364</v>
      </c>
      <c r="CY77" s="58">
        <f t="shared" si="94"/>
        <v>2750</v>
      </c>
      <c r="DA77" s="74">
        <f t="shared" si="95"/>
        <v>78.585799999999992</v>
      </c>
      <c r="DB77" s="74">
        <f>BB77/31</f>
        <v>140.38387096774193</v>
      </c>
      <c r="DC77" s="74">
        <f>BC77/31</f>
        <v>146.02535483870969</v>
      </c>
      <c r="DD77" s="74">
        <f>BD77/31</f>
        <v>118.58409677419355</v>
      </c>
      <c r="DE77" s="74">
        <f>BE77/31</f>
        <v>128.31954838709677</v>
      </c>
      <c r="DF77" s="74">
        <f>'[2]Brazil Soy Complex'!CF69/31</f>
        <v>0</v>
      </c>
      <c r="DG77" s="74">
        <f>'[2]Brazil Soy Complex'!CG69/31</f>
        <v>0</v>
      </c>
      <c r="DH77" s="74">
        <f>'[2]Brazil Soy Complex'!CH69/31</f>
        <v>0</v>
      </c>
      <c r="DI77" s="75">
        <f>'[2]Brazil Soy Complex'!CI69/31</f>
        <v>0</v>
      </c>
      <c r="DJ77" s="75">
        <f>BJ77/31</f>
        <v>128.26051612903225</v>
      </c>
      <c r="DK77" s="75">
        <f>BK77/31</f>
        <v>125.3126129032258</v>
      </c>
      <c r="DL77" s="75">
        <f>BL77/31</f>
        <v>129.83870967741936</v>
      </c>
      <c r="DN77" t="s">
        <v>102</v>
      </c>
      <c r="DO77" s="14">
        <f t="shared" si="96"/>
        <v>4060.266333333333</v>
      </c>
    </row>
    <row r="78" spans="1:119">
      <c r="A78" s="4" t="s">
        <v>103</v>
      </c>
      <c r="C78" s="68">
        <f t="shared" si="89"/>
        <v>0.57520730026446332</v>
      </c>
      <c r="D78" s="68">
        <f t="shared" si="89"/>
        <v>0.47933941688705273</v>
      </c>
      <c r="E78" s="68">
        <f t="shared" si="89"/>
        <v>0.47933941688705273</v>
      </c>
      <c r="F78" s="68">
        <f t="shared" si="89"/>
        <v>1.0545467171515159</v>
      </c>
      <c r="G78" s="68">
        <f t="shared" si="89"/>
        <v>1.4380182506611583</v>
      </c>
      <c r="H78" s="68">
        <f t="shared" si="89"/>
        <v>2.0132255509256214</v>
      </c>
      <c r="I78" s="68">
        <f t="shared" si="89"/>
        <v>3.4512438015867799</v>
      </c>
      <c r="J78" s="68">
        <f t="shared" si="89"/>
        <v>4.4099226353608856</v>
      </c>
      <c r="K78" s="68">
        <f t="shared" si="89"/>
        <v>18.694237258595056</v>
      </c>
      <c r="L78" s="68">
        <f t="shared" si="89"/>
        <v>26.938875229052364</v>
      </c>
      <c r="M78" s="69">
        <v>50.773000000000003</v>
      </c>
      <c r="N78" s="69">
        <v>44.44</v>
      </c>
      <c r="O78" s="69">
        <v>45.978000000000002</v>
      </c>
      <c r="P78" s="69">
        <v>48.935000000000002</v>
      </c>
      <c r="Q78" s="69">
        <v>91.5</v>
      </c>
      <c r="R78" s="69">
        <v>78.259</v>
      </c>
      <c r="S78" s="69">
        <v>102.123</v>
      </c>
      <c r="T78" s="69">
        <v>167.333</v>
      </c>
      <c r="U78" s="69">
        <v>189.654</v>
      </c>
      <c r="V78" s="69">
        <v>262.53300000000002</v>
      </c>
      <c r="W78" s="69">
        <v>383.68700000000001</v>
      </c>
      <c r="X78" s="69">
        <v>522.77300000000002</v>
      </c>
      <c r="Y78" s="69">
        <v>685.39300000000003</v>
      </c>
      <c r="Z78" s="69">
        <v>742.06700000000001</v>
      </c>
      <c r="AA78" s="69">
        <v>620.452</v>
      </c>
      <c r="AB78" s="69">
        <v>723.97900000000004</v>
      </c>
      <c r="AC78" s="69">
        <v>712.61099999999999</v>
      </c>
      <c r="AD78" s="69">
        <v>728.11800000000005</v>
      </c>
      <c r="AE78" s="70">
        <v>979.15499999999997</v>
      </c>
      <c r="AF78" s="70">
        <v>954.75199999999995</v>
      </c>
      <c r="AG78" s="70">
        <v>853.59799999999996</v>
      </c>
      <c r="AH78" s="70">
        <v>1040.193</v>
      </c>
      <c r="AI78" s="71">
        <v>1191.46</v>
      </c>
      <c r="AJ78" s="71">
        <v>1570.6559999999999</v>
      </c>
      <c r="AK78" s="71">
        <v>1825.0329999999999</v>
      </c>
      <c r="AL78" s="71">
        <v>1589.279</v>
      </c>
      <c r="AM78" s="71">
        <v>1792.08</v>
      </c>
      <c r="AN78" s="71">
        <v>2053.9850000000001</v>
      </c>
      <c r="AO78" s="72">
        <v>2220.114</v>
      </c>
      <c r="AP78" s="72">
        <v>2403.4360000000001</v>
      </c>
      <c r="AQ78" s="72">
        <v>2669.4520000000002</v>
      </c>
      <c r="AR78" s="72">
        <v>3047.4580000000001</v>
      </c>
      <c r="AS78" s="72">
        <v>3252.0830000000001</v>
      </c>
      <c r="AT78" s="72">
        <v>1899.191</v>
      </c>
      <c r="AU78" s="72">
        <v>3024.4340000000002</v>
      </c>
      <c r="AV78" s="72">
        <v>3655.6640000000002</v>
      </c>
      <c r="AW78" s="72">
        <v>3292.4740000000002</v>
      </c>
      <c r="AX78" s="72">
        <v>3222.7370000000001</v>
      </c>
      <c r="AY78" s="72">
        <v>3925.1039999999998</v>
      </c>
      <c r="AZ78" s="72">
        <v>4186.6840000000002</v>
      </c>
      <c r="BA78" s="72">
        <v>4531.3280000000004</v>
      </c>
      <c r="BB78" s="71">
        <v>4045.9340000000002</v>
      </c>
      <c r="BC78" s="71">
        <v>3917.529</v>
      </c>
      <c r="BD78" s="71">
        <v>3272.4259999999999</v>
      </c>
      <c r="BE78" s="71">
        <v>4301.8490000000002</v>
      </c>
      <c r="BF78" s="71">
        <v>3656.81</v>
      </c>
      <c r="BG78" s="71">
        <v>4096.192</v>
      </c>
      <c r="BH78" s="71">
        <v>3931.703</v>
      </c>
      <c r="BI78" s="71">
        <v>3017.6779999999999</v>
      </c>
      <c r="BJ78" s="71">
        <v>3968.846</v>
      </c>
      <c r="BK78" s="71">
        <v>4063.34</v>
      </c>
      <c r="BL78" s="73">
        <f t="shared" si="90"/>
        <v>4000</v>
      </c>
      <c r="BM78" s="73">
        <f t="shared" si="91"/>
        <v>4175</v>
      </c>
      <c r="BN78" s="73">
        <f t="shared" si="91"/>
        <v>4175</v>
      </c>
      <c r="BO78" s="73">
        <f t="shared" si="91"/>
        <v>4125</v>
      </c>
      <c r="BP78" s="73">
        <f t="shared" si="91"/>
        <v>4175</v>
      </c>
      <c r="BQ78" s="73">
        <f t="shared" si="91"/>
        <v>4150</v>
      </c>
      <c r="BR78" s="73">
        <f t="shared" si="91"/>
        <v>4150</v>
      </c>
      <c r="BS78" s="73">
        <f t="shared" si="91"/>
        <v>4175</v>
      </c>
      <c r="BT78" s="73">
        <f t="shared" si="91"/>
        <v>4150</v>
      </c>
      <c r="BU78" s="73">
        <f t="shared" si="91"/>
        <v>4175</v>
      </c>
      <c r="BV78" s="56" t="s">
        <v>124</v>
      </c>
      <c r="BW78" s="59">
        <f t="shared" si="92"/>
        <v>369.30200000000002</v>
      </c>
      <c r="BX78" s="59">
        <f t="shared" si="92"/>
        <v>619.12599999999998</v>
      </c>
      <c r="BY78" s="59">
        <f t="shared" si="92"/>
        <v>702.34699999999998</v>
      </c>
      <c r="BZ78" s="59">
        <f t="shared" si="92"/>
        <v>870.37699999999995</v>
      </c>
      <c r="CA78" s="59">
        <f t="shared" si="92"/>
        <v>1112.6990000000001</v>
      </c>
      <c r="CB78" s="59">
        <f t="shared" si="92"/>
        <v>1501.3409999999999</v>
      </c>
      <c r="CC78" s="59">
        <f t="shared" si="92"/>
        <v>1525.7639999999999</v>
      </c>
      <c r="CD78" s="59">
        <f t="shared" si="92"/>
        <v>1924.8869999999999</v>
      </c>
      <c r="CE78" s="59">
        <f t="shared" si="92"/>
        <v>2272.5830000000001</v>
      </c>
      <c r="CF78" s="59">
        <f t="shared" si="92"/>
        <v>2362.2930000000001</v>
      </c>
      <c r="CG78" s="59">
        <f t="shared" si="93"/>
        <v>1179.405</v>
      </c>
      <c r="CH78" s="59">
        <f t="shared" si="93"/>
        <v>2074.538</v>
      </c>
      <c r="CI78" s="59">
        <f t="shared" si="93"/>
        <v>1710.364</v>
      </c>
      <c r="CJ78" s="59">
        <f t="shared" si="93"/>
        <v>2754.1880000000001</v>
      </c>
      <c r="CK78" s="59">
        <f t="shared" si="93"/>
        <v>2441.3649999999998</v>
      </c>
      <c r="CL78" s="59">
        <f t="shared" si="93"/>
        <v>1721.068</v>
      </c>
      <c r="CM78" s="59">
        <f t="shared" si="93"/>
        <v>2108.4319999999998</v>
      </c>
      <c r="CN78" s="59">
        <f t="shared" si="93"/>
        <v>2273.9079999999999</v>
      </c>
      <c r="CO78" s="59">
        <f t="shared" si="93"/>
        <v>3230.5889999999999</v>
      </c>
      <c r="CP78" s="59">
        <f t="shared" si="93"/>
        <v>3364.145</v>
      </c>
      <c r="CQ78" s="59">
        <f t="shared" si="93"/>
        <v>3050.1</v>
      </c>
      <c r="CR78" s="59">
        <f t="shared" si="93"/>
        <v>2913.0479999999998</v>
      </c>
      <c r="CS78" s="59">
        <f t="shared" si="93"/>
        <v>2749.9879999999998</v>
      </c>
      <c r="CT78" s="59">
        <f>'[2]Brazil Soy Complex'!CF67</f>
        <v>0</v>
      </c>
      <c r="CU78" s="59">
        <f>'[2]Brazil Soy Complex'!CG67</f>
        <v>0</v>
      </c>
      <c r="CV78" s="58">
        <f>'[2]Brazil Soy Complex'!CH67</f>
        <v>0</v>
      </c>
      <c r="CW78" s="58">
        <f>'[2]Brazil Soy Complex'!CI67</f>
        <v>0</v>
      </c>
      <c r="CX78" s="58">
        <f t="shared" si="94"/>
        <v>3231.78</v>
      </c>
      <c r="CY78" s="58">
        <f t="shared" si="94"/>
        <v>4591.6319999999978</v>
      </c>
      <c r="CZ78" s="76">
        <f>SUM(CU76:CU78)/(SUM(CP76:CT78)/5)</f>
        <v>0</v>
      </c>
      <c r="DA78" s="74">
        <f t="shared" si="95"/>
        <v>76.612026666666665</v>
      </c>
      <c r="DB78" s="74">
        <f>BB78/30</f>
        <v>134.86446666666669</v>
      </c>
      <c r="DC78" s="74">
        <f>BC78/30</f>
        <v>130.58430000000001</v>
      </c>
      <c r="DD78" s="74">
        <f>BD78/30</f>
        <v>109.08086666666667</v>
      </c>
      <c r="DE78" s="74">
        <f>BE78/30</f>
        <v>143.39496666666668</v>
      </c>
      <c r="DF78" s="74">
        <f>'[2]Brazil Soy Complex'!CF70/30</f>
        <v>0</v>
      </c>
      <c r="DG78" s="74">
        <f>'[2]Brazil Soy Complex'!CG70/30</f>
        <v>0</v>
      </c>
      <c r="DH78" s="74">
        <f>'[2]Brazil Soy Complex'!CH70/30</f>
        <v>0</v>
      </c>
      <c r="DI78" s="75">
        <f>'[2]Brazil Soy Complex'!CI70/30</f>
        <v>0</v>
      </c>
      <c r="DJ78" s="75">
        <f>BJ78/30</f>
        <v>132.29486666666668</v>
      </c>
      <c r="DK78" s="75">
        <f>BK78/30</f>
        <v>135.44466666666668</v>
      </c>
      <c r="DL78" s="75">
        <f>BL78/30</f>
        <v>133.33333333333334</v>
      </c>
      <c r="DN78" t="s">
        <v>125</v>
      </c>
      <c r="DO78" s="14">
        <f t="shared" si="96"/>
        <v>3830.6013333333335</v>
      </c>
    </row>
    <row r="79" spans="1:119">
      <c r="A79" s="4" t="s">
        <v>104</v>
      </c>
      <c r="C79" s="68">
        <f t="shared" si="89"/>
        <v>0.5168769426687414</v>
      </c>
      <c r="D79" s="68">
        <f t="shared" si="89"/>
        <v>0.4307307855572845</v>
      </c>
      <c r="E79" s="68">
        <f t="shared" si="89"/>
        <v>0.4307307855572845</v>
      </c>
      <c r="F79" s="68">
        <f t="shared" si="89"/>
        <v>0.9476077282260259</v>
      </c>
      <c r="G79" s="68">
        <f t="shared" si="89"/>
        <v>1.2921923566718534</v>
      </c>
      <c r="H79" s="68">
        <f t="shared" si="89"/>
        <v>1.809069299340595</v>
      </c>
      <c r="I79" s="68">
        <f t="shared" si="89"/>
        <v>3.1012616560124484</v>
      </c>
      <c r="J79" s="68">
        <f t="shared" si="89"/>
        <v>3.9627232271270172</v>
      </c>
      <c r="K79" s="68">
        <f t="shared" si="89"/>
        <v>16.798500636734097</v>
      </c>
      <c r="L79" s="68">
        <f t="shared" si="89"/>
        <v>24.207070148319389</v>
      </c>
      <c r="M79" s="69">
        <v>47.642000000000003</v>
      </c>
      <c r="N79" s="69">
        <v>44.347000000000001</v>
      </c>
      <c r="O79" s="69">
        <v>47.637999999999998</v>
      </c>
      <c r="P79" s="69">
        <v>41.581000000000003</v>
      </c>
      <c r="Q79" s="69">
        <v>71.858999999999995</v>
      </c>
      <c r="R79" s="69">
        <v>82.403000000000006</v>
      </c>
      <c r="S79" s="69">
        <v>136.95699999999999</v>
      </c>
      <c r="T79" s="69">
        <v>216.697</v>
      </c>
      <c r="U79" s="69">
        <v>234.79</v>
      </c>
      <c r="V79" s="69">
        <v>341.68099999999998</v>
      </c>
      <c r="W79" s="69">
        <v>424.73500000000001</v>
      </c>
      <c r="X79" s="69">
        <v>559.33399999999995</v>
      </c>
      <c r="Y79" s="69">
        <v>664.53399999999999</v>
      </c>
      <c r="Z79" s="69">
        <v>742.64400000000001</v>
      </c>
      <c r="AA79" s="69">
        <v>598.05999999999995</v>
      </c>
      <c r="AB79" s="69">
        <v>658.66099999999994</v>
      </c>
      <c r="AC79" s="69">
        <v>773.12900000000002</v>
      </c>
      <c r="AD79" s="69">
        <v>921.99699999999996</v>
      </c>
      <c r="AE79" s="70">
        <v>981.83699999999999</v>
      </c>
      <c r="AF79" s="70">
        <v>960.49</v>
      </c>
      <c r="AG79" s="70">
        <v>879.42100000000005</v>
      </c>
      <c r="AH79" s="70">
        <v>1078.1310000000001</v>
      </c>
      <c r="AI79" s="71">
        <v>1289.7840000000001</v>
      </c>
      <c r="AJ79" s="71">
        <v>1713.3579999999999</v>
      </c>
      <c r="AK79" s="71">
        <v>1709.0250000000001</v>
      </c>
      <c r="AL79" s="71">
        <v>1719.366</v>
      </c>
      <c r="AM79" s="71">
        <v>1923.557</v>
      </c>
      <c r="AN79" s="71">
        <v>2181.8870000000002</v>
      </c>
      <c r="AO79" s="72">
        <v>2405.3850000000002</v>
      </c>
      <c r="AP79" s="72">
        <v>2269.98</v>
      </c>
      <c r="AQ79" s="72">
        <v>2860.8240000000001</v>
      </c>
      <c r="AR79" s="72">
        <v>3047.5819999999999</v>
      </c>
      <c r="AS79" s="72">
        <v>2798.413</v>
      </c>
      <c r="AT79" s="72">
        <v>3453.9369999999999</v>
      </c>
      <c r="AU79" s="72">
        <v>2748.7330000000002</v>
      </c>
      <c r="AV79" s="72">
        <v>3562.62</v>
      </c>
      <c r="AW79" s="72">
        <v>3233.759</v>
      </c>
      <c r="AX79" s="72">
        <v>2969.261</v>
      </c>
      <c r="AY79" s="72">
        <v>3641.364</v>
      </c>
      <c r="AZ79" s="72">
        <v>3910.9540000000002</v>
      </c>
      <c r="BA79" s="72">
        <v>4768.2</v>
      </c>
      <c r="BB79" s="71">
        <v>3975.7170000000001</v>
      </c>
      <c r="BC79" s="71">
        <v>4307.384</v>
      </c>
      <c r="BD79" s="71">
        <v>3445.511</v>
      </c>
      <c r="BE79" s="71">
        <v>4456.6570000000002</v>
      </c>
      <c r="BF79" s="71">
        <v>3514.7260000000001</v>
      </c>
      <c r="BG79" s="71">
        <v>3855.4430000000002</v>
      </c>
      <c r="BH79" s="71">
        <v>3479.7660000000001</v>
      </c>
      <c r="BI79" s="71">
        <v>2551.6410000000001</v>
      </c>
      <c r="BJ79" s="71">
        <v>4405.3509999999997</v>
      </c>
      <c r="BK79" s="71">
        <v>3794.7370000000001</v>
      </c>
      <c r="BL79" s="73">
        <f t="shared" si="90"/>
        <v>4450</v>
      </c>
      <c r="BM79" s="73">
        <f t="shared" si="91"/>
        <v>4275</v>
      </c>
      <c r="BN79" s="73">
        <f t="shared" si="91"/>
        <v>4275</v>
      </c>
      <c r="BO79" s="73">
        <f t="shared" si="91"/>
        <v>4400</v>
      </c>
      <c r="BP79" s="73">
        <f t="shared" si="91"/>
        <v>4275</v>
      </c>
      <c r="BQ79" s="73">
        <f t="shared" si="91"/>
        <v>4350</v>
      </c>
      <c r="BR79" s="73">
        <f t="shared" si="91"/>
        <v>4350</v>
      </c>
      <c r="BS79" s="73">
        <f t="shared" si="91"/>
        <v>4325</v>
      </c>
      <c r="BT79" s="73">
        <f t="shared" si="91"/>
        <v>4350</v>
      </c>
      <c r="BU79" s="73">
        <f t="shared" si="91"/>
        <v>4350</v>
      </c>
      <c r="BV79" s="56" t="s">
        <v>122</v>
      </c>
      <c r="BW79" s="59">
        <f t="shared" ref="BW79:CL87" si="97">AJ76</f>
        <v>1161.0160000000001</v>
      </c>
      <c r="BX79" s="59">
        <f t="shared" si="97"/>
        <v>1355.1289999999999</v>
      </c>
      <c r="BY79" s="59">
        <f t="shared" si="97"/>
        <v>1584.894</v>
      </c>
      <c r="BZ79" s="59">
        <f t="shared" si="97"/>
        <v>1704.68</v>
      </c>
      <c r="CA79" s="59">
        <f t="shared" si="97"/>
        <v>1592.5619999999999</v>
      </c>
      <c r="CB79" s="59">
        <f t="shared" si="97"/>
        <v>1968.633</v>
      </c>
      <c r="CC79" s="59">
        <f t="shared" si="97"/>
        <v>2195.5630000000001</v>
      </c>
      <c r="CD79" s="59">
        <f t="shared" si="97"/>
        <v>2247.9940000000001</v>
      </c>
      <c r="CE79" s="59">
        <f t="shared" si="97"/>
        <v>2961.181</v>
      </c>
      <c r="CF79" s="59">
        <f t="shared" si="97"/>
        <v>2979.9789999999998</v>
      </c>
      <c r="CG79" s="59">
        <f t="shared" si="97"/>
        <v>2799.212</v>
      </c>
      <c r="CH79" s="59">
        <f t="shared" si="97"/>
        <v>3161.2269999999999</v>
      </c>
      <c r="CI79" s="59">
        <f t="shared" si="97"/>
        <v>3712.6280000000002</v>
      </c>
      <c r="CJ79" s="59">
        <f t="shared" si="97"/>
        <v>3747.9780000000001</v>
      </c>
      <c r="CK79" s="59">
        <f t="shared" si="97"/>
        <v>3521.3589999999999</v>
      </c>
      <c r="CL79" s="59">
        <f t="shared" si="97"/>
        <v>3587.6280000000002</v>
      </c>
      <c r="CM79" s="59">
        <f t="shared" ref="CM79:CR87" si="98">AZ76</f>
        <v>3902.5949999999998</v>
      </c>
      <c r="CN79" s="59">
        <f t="shared" si="98"/>
        <v>4254.5309999999999</v>
      </c>
      <c r="CO79" s="59">
        <f t="shared" si="98"/>
        <v>3728.116</v>
      </c>
      <c r="CP79" s="59">
        <f t="shared" si="98"/>
        <v>4001.1619999999998</v>
      </c>
      <c r="CQ79" s="59">
        <f t="shared" si="98"/>
        <v>3308.4870000000001</v>
      </c>
      <c r="CR79" s="59">
        <f t="shared" si="98"/>
        <v>3825.53</v>
      </c>
      <c r="CS79" s="59">
        <f>'[2]Brazil Soy Complex'!CF68</f>
        <v>0</v>
      </c>
      <c r="CT79" s="59">
        <f>'[2]Brazil Soy Complex'!CG68</f>
        <v>0</v>
      </c>
      <c r="CU79" s="59">
        <f>'[2]Brazil Soy Complex'!CH68</f>
        <v>0</v>
      </c>
      <c r="CV79" s="58">
        <f>'[2]Brazil Soy Complex'!CI68</f>
        <v>0</v>
      </c>
      <c r="CW79" s="58">
        <f t="shared" ref="CW79:CY87" si="99">BJ76</f>
        <v>3826.125</v>
      </c>
      <c r="CX79" s="58">
        <f t="shared" si="99"/>
        <v>3400.2220000000002</v>
      </c>
      <c r="CY79" s="58">
        <f t="shared" si="99"/>
        <v>3875</v>
      </c>
      <c r="DA79" s="74">
        <f t="shared" si="95"/>
        <v>78.771303225806463</v>
      </c>
      <c r="DB79" s="74">
        <f t="shared" ref="DB79:DE80" si="100">BB79/31</f>
        <v>128.24893548387098</v>
      </c>
      <c r="DC79" s="74">
        <f t="shared" si="100"/>
        <v>138.94787096774195</v>
      </c>
      <c r="DD79" s="74">
        <f t="shared" si="100"/>
        <v>111.14551612903226</v>
      </c>
      <c r="DE79" s="74">
        <f t="shared" si="100"/>
        <v>143.76312903225806</v>
      </c>
      <c r="DF79" s="74">
        <f>'[2]Brazil Soy Complex'!CF71/31</f>
        <v>0</v>
      </c>
      <c r="DG79" s="74">
        <f>'[2]Brazil Soy Complex'!CG71/31</f>
        <v>0</v>
      </c>
      <c r="DH79" s="74">
        <f>'[2]Brazil Soy Complex'!CH71/31</f>
        <v>0</v>
      </c>
      <c r="DI79" s="75">
        <f>'[2]Brazil Soy Complex'!CI71/31</f>
        <v>0</v>
      </c>
      <c r="DJ79" s="75">
        <f t="shared" ref="DJ79:DL80" si="101">BJ79/31</f>
        <v>142.10809677419354</v>
      </c>
      <c r="DK79" s="75">
        <f t="shared" si="101"/>
        <v>122.41087096774194</v>
      </c>
      <c r="DL79" s="75">
        <f t="shared" si="101"/>
        <v>143.54838709677421</v>
      </c>
      <c r="DN79" t="s">
        <v>126</v>
      </c>
      <c r="DO79" s="14">
        <f t="shared" si="96"/>
        <v>4069.8506666666667</v>
      </c>
    </row>
    <row r="80" spans="1:119">
      <c r="A80" s="4" t="s">
        <v>105</v>
      </c>
      <c r="C80" s="68">
        <f t="shared" si="89"/>
        <v>0.60221871450177644</v>
      </c>
      <c r="D80" s="68">
        <f t="shared" si="89"/>
        <v>0.50184892875148035</v>
      </c>
      <c r="E80" s="68">
        <f t="shared" si="89"/>
        <v>0.50184892875148035</v>
      </c>
      <c r="F80" s="68">
        <f t="shared" si="89"/>
        <v>1.1040676432532568</v>
      </c>
      <c r="G80" s="68">
        <f t="shared" si="89"/>
        <v>1.5055467862544412</v>
      </c>
      <c r="H80" s="68">
        <f t="shared" si="89"/>
        <v>2.1077655007562175</v>
      </c>
      <c r="I80" s="68">
        <f t="shared" si="89"/>
        <v>3.6133122870106589</v>
      </c>
      <c r="J80" s="68">
        <f t="shared" si="89"/>
        <v>4.6170101445136194</v>
      </c>
      <c r="K80" s="68">
        <f t="shared" si="89"/>
        <v>19.572108221307737</v>
      </c>
      <c r="L80" s="68">
        <f t="shared" si="89"/>
        <v>28.203909795833198</v>
      </c>
      <c r="M80" s="69">
        <v>64.972999999999999</v>
      </c>
      <c r="N80" s="69">
        <v>45.557000000000002</v>
      </c>
      <c r="O80" s="69">
        <v>43.944000000000003</v>
      </c>
      <c r="P80" s="69">
        <v>75.643000000000001</v>
      </c>
      <c r="Q80" s="69">
        <v>64.733999999999995</v>
      </c>
      <c r="R80" s="69">
        <v>75.221000000000004</v>
      </c>
      <c r="S80" s="69">
        <v>136.96899999999999</v>
      </c>
      <c r="T80" s="69">
        <v>230.59</v>
      </c>
      <c r="U80" s="69">
        <v>239.38200000000001</v>
      </c>
      <c r="V80" s="69">
        <v>377.904</v>
      </c>
      <c r="W80" s="69">
        <v>394.78800000000001</v>
      </c>
      <c r="X80" s="69">
        <v>551.048</v>
      </c>
      <c r="Y80" s="69">
        <v>676.58299999999997</v>
      </c>
      <c r="Z80" s="69">
        <v>831.61800000000005</v>
      </c>
      <c r="AA80" s="69">
        <v>478.036</v>
      </c>
      <c r="AB80" s="69">
        <v>672.16800000000001</v>
      </c>
      <c r="AC80" s="69">
        <v>776.96299999999997</v>
      </c>
      <c r="AD80" s="69">
        <v>927.05</v>
      </c>
      <c r="AE80" s="70">
        <v>987.46799999999996</v>
      </c>
      <c r="AF80" s="70">
        <v>919.07899999999995</v>
      </c>
      <c r="AG80" s="70">
        <v>965.59199999999998</v>
      </c>
      <c r="AH80" s="70">
        <v>1162.1990000000001</v>
      </c>
      <c r="AI80" s="71">
        <v>1304.837</v>
      </c>
      <c r="AJ80" s="71">
        <v>1720.2329999999999</v>
      </c>
      <c r="AK80" s="71">
        <v>1829.1379999999999</v>
      </c>
      <c r="AL80" s="71">
        <v>1797.2760000000001</v>
      </c>
      <c r="AM80" s="71">
        <v>1948.63</v>
      </c>
      <c r="AN80" s="71">
        <v>2228.7469999999998</v>
      </c>
      <c r="AO80" s="72">
        <v>2249.0059999999999</v>
      </c>
      <c r="AP80" s="72">
        <v>2145.4749999999999</v>
      </c>
      <c r="AQ80" s="72">
        <v>2591.3380000000002</v>
      </c>
      <c r="AR80" s="72">
        <v>2763.4360000000001</v>
      </c>
      <c r="AS80" s="72">
        <v>3014.1689999999999</v>
      </c>
      <c r="AT80" s="72">
        <v>3033.116</v>
      </c>
      <c r="AU80" s="72">
        <v>2211.41</v>
      </c>
      <c r="AV80" s="72">
        <v>3817.6750000000002</v>
      </c>
      <c r="AW80" s="72">
        <v>3017.451</v>
      </c>
      <c r="AX80" s="72">
        <v>2828.5819999999999</v>
      </c>
      <c r="AY80" s="72">
        <v>3678.4549999999999</v>
      </c>
      <c r="AZ80" s="72">
        <v>3494.9059999999999</v>
      </c>
      <c r="BA80" s="72">
        <v>4270.8050000000003</v>
      </c>
      <c r="BB80" s="71">
        <v>3757.8829999999998</v>
      </c>
      <c r="BC80" s="71">
        <v>3758.0039999999999</v>
      </c>
      <c r="BD80" s="71">
        <v>3040.5239999999999</v>
      </c>
      <c r="BE80" s="71">
        <v>4154.259</v>
      </c>
      <c r="BF80" s="71">
        <v>3431.259</v>
      </c>
      <c r="BG80" s="71">
        <v>3574.88</v>
      </c>
      <c r="BH80" s="71">
        <v>3146.98</v>
      </c>
      <c r="BI80" s="71">
        <v>2078.6390000000001</v>
      </c>
      <c r="BJ80" s="71">
        <v>3233.433</v>
      </c>
      <c r="BK80" s="71">
        <v>3907.2429999999999</v>
      </c>
      <c r="BL80" s="73">
        <f t="shared" si="90"/>
        <v>3275</v>
      </c>
      <c r="BM80" s="73">
        <f t="shared" si="91"/>
        <v>3725</v>
      </c>
      <c r="BN80" s="73">
        <f t="shared" si="91"/>
        <v>3725</v>
      </c>
      <c r="BO80" s="73">
        <f t="shared" si="91"/>
        <v>3550</v>
      </c>
      <c r="BP80" s="73">
        <f t="shared" si="91"/>
        <v>3725</v>
      </c>
      <c r="BQ80" s="73">
        <f t="shared" si="91"/>
        <v>3650</v>
      </c>
      <c r="BR80" s="73">
        <f t="shared" si="91"/>
        <v>3650</v>
      </c>
      <c r="BS80" s="73">
        <f t="shared" si="91"/>
        <v>3700</v>
      </c>
      <c r="BT80" s="73">
        <f t="shared" si="91"/>
        <v>3650</v>
      </c>
      <c r="BU80" s="73">
        <f t="shared" si="91"/>
        <v>3675</v>
      </c>
      <c r="BV80" s="56" t="s">
        <v>102</v>
      </c>
      <c r="BW80" s="59">
        <f t="shared" si="97"/>
        <v>1460.9670000000001</v>
      </c>
      <c r="BX80" s="59">
        <f t="shared" si="97"/>
        <v>1776.405</v>
      </c>
      <c r="BY80" s="59">
        <f t="shared" si="97"/>
        <v>1791.9159999999999</v>
      </c>
      <c r="BZ80" s="59">
        <f t="shared" si="97"/>
        <v>1871.9259999999999</v>
      </c>
      <c r="CA80" s="59">
        <f t="shared" si="97"/>
        <v>2039.2940000000001</v>
      </c>
      <c r="CB80" s="59">
        <f t="shared" si="97"/>
        <v>2277.9430000000002</v>
      </c>
      <c r="CC80" s="59">
        <f t="shared" si="97"/>
        <v>2517.3290000000002</v>
      </c>
      <c r="CD80" s="59">
        <f t="shared" si="97"/>
        <v>2749.3029999999999</v>
      </c>
      <c r="CE80" s="59">
        <f t="shared" si="97"/>
        <v>3343.7240000000002</v>
      </c>
      <c r="CF80" s="59">
        <f t="shared" si="97"/>
        <v>3441.0140000000001</v>
      </c>
      <c r="CG80" s="59">
        <f t="shared" si="97"/>
        <v>3300.346</v>
      </c>
      <c r="CH80" s="59">
        <f t="shared" si="97"/>
        <v>3566.404</v>
      </c>
      <c r="CI80" s="59">
        <f t="shared" si="97"/>
        <v>4125.9840000000004</v>
      </c>
      <c r="CJ80" s="59">
        <f t="shared" si="97"/>
        <v>4025.5309999999999</v>
      </c>
      <c r="CK80" s="59">
        <f t="shared" si="97"/>
        <v>3793.9009999999998</v>
      </c>
      <c r="CL80" s="59">
        <f t="shared" si="97"/>
        <v>3933.1469999999999</v>
      </c>
      <c r="CM80" s="59">
        <f t="shared" si="98"/>
        <v>4658.6130000000003</v>
      </c>
      <c r="CN80" s="59">
        <f t="shared" si="98"/>
        <v>3588.5859999999998</v>
      </c>
      <c r="CO80" s="59">
        <f t="shared" si="98"/>
        <v>4351.8999999999996</v>
      </c>
      <c r="CP80" s="59">
        <f t="shared" si="98"/>
        <v>4526.7860000000001</v>
      </c>
      <c r="CQ80" s="59">
        <f t="shared" si="98"/>
        <v>3676.107</v>
      </c>
      <c r="CR80" s="59">
        <f t="shared" si="98"/>
        <v>3977.9059999999999</v>
      </c>
      <c r="CS80" s="59">
        <f>'[2]Brazil Soy Complex'!CF69</f>
        <v>0</v>
      </c>
      <c r="CT80" s="59">
        <f>'[2]Brazil Soy Complex'!CG69</f>
        <v>0</v>
      </c>
      <c r="CU80" s="59">
        <f>'[2]Brazil Soy Complex'!CH69</f>
        <v>0</v>
      </c>
      <c r="CV80" s="58">
        <f>'[2]Brazil Soy Complex'!CI69</f>
        <v>0</v>
      </c>
      <c r="CW80" s="58">
        <f t="shared" si="99"/>
        <v>3976.076</v>
      </c>
      <c r="CX80" s="58">
        <f t="shared" si="99"/>
        <v>3884.6909999999998</v>
      </c>
      <c r="CY80" s="58">
        <f t="shared" si="99"/>
        <v>4025</v>
      </c>
      <c r="DA80" s="74">
        <f t="shared" si="95"/>
        <v>70.663141935483878</v>
      </c>
      <c r="DB80" s="74">
        <f t="shared" si="100"/>
        <v>121.22203225806452</v>
      </c>
      <c r="DC80" s="74">
        <f t="shared" si="100"/>
        <v>121.22593548387097</v>
      </c>
      <c r="DD80" s="74">
        <f t="shared" si="100"/>
        <v>98.081419354838701</v>
      </c>
      <c r="DE80" s="74">
        <f t="shared" si="100"/>
        <v>134.00835483870966</v>
      </c>
      <c r="DF80" s="74">
        <f>'[2]Brazil Soy Complex'!CF72/31</f>
        <v>0</v>
      </c>
      <c r="DG80" s="74">
        <f>'[2]Brazil Soy Complex'!CG72/31</f>
        <v>0</v>
      </c>
      <c r="DH80" s="75">
        <f>'[2]Brazil Soy Complex'!CH72/31</f>
        <v>0</v>
      </c>
      <c r="DI80" s="75">
        <f>'[2]Brazil Soy Complex'!CI72/31</f>
        <v>0</v>
      </c>
      <c r="DJ80" s="75">
        <f t="shared" si="101"/>
        <v>104.30429032258064</v>
      </c>
      <c r="DK80" s="75">
        <f t="shared" si="101"/>
        <v>126.04009677419354</v>
      </c>
      <c r="DL80" s="75">
        <f t="shared" si="101"/>
        <v>105.64516129032258</v>
      </c>
      <c r="DN80" t="s">
        <v>127</v>
      </c>
      <c r="DO80" s="14">
        <f t="shared" si="96"/>
        <v>3650.9290000000001</v>
      </c>
    </row>
    <row r="81" spans="1:119">
      <c r="A81" s="4" t="s">
        <v>106</v>
      </c>
      <c r="C81" s="68">
        <f t="shared" si="89"/>
        <v>0.56137173731220946</v>
      </c>
      <c r="D81" s="68">
        <f t="shared" si="89"/>
        <v>0.46780978109350785</v>
      </c>
      <c r="E81" s="68">
        <f t="shared" si="89"/>
        <v>0.46780978109350785</v>
      </c>
      <c r="F81" s="68">
        <f t="shared" si="89"/>
        <v>1.0291815184057174</v>
      </c>
      <c r="G81" s="68">
        <f t="shared" si="89"/>
        <v>1.4034293432805236</v>
      </c>
      <c r="H81" s="68">
        <f t="shared" si="89"/>
        <v>1.964801080592733</v>
      </c>
      <c r="I81" s="68">
        <f t="shared" si="89"/>
        <v>3.3682304238732566</v>
      </c>
      <c r="J81" s="68">
        <f t="shared" si="89"/>
        <v>4.3038499860602721</v>
      </c>
      <c r="K81" s="68">
        <f t="shared" si="89"/>
        <v>18.244581462646806</v>
      </c>
      <c r="L81" s="68">
        <f t="shared" si="89"/>
        <v>26.290909697455142</v>
      </c>
      <c r="M81" s="69">
        <v>52.734000000000002</v>
      </c>
      <c r="N81" s="69">
        <v>48.454000000000001</v>
      </c>
      <c r="O81" s="69">
        <v>50.643000000000001</v>
      </c>
      <c r="P81" s="69">
        <v>66.816999999999993</v>
      </c>
      <c r="Q81" s="69">
        <v>56.204000000000001</v>
      </c>
      <c r="R81" s="69">
        <v>91.73</v>
      </c>
      <c r="S81" s="69">
        <v>160.072</v>
      </c>
      <c r="T81" s="69">
        <v>157.209</v>
      </c>
      <c r="U81" s="69">
        <v>265.82900000000001</v>
      </c>
      <c r="V81" s="69">
        <v>347.56099999999998</v>
      </c>
      <c r="W81" s="69">
        <v>383.65199999999999</v>
      </c>
      <c r="X81" s="69">
        <v>575.72500000000002</v>
      </c>
      <c r="Y81" s="69">
        <v>614.06399999999996</v>
      </c>
      <c r="Z81" s="69">
        <v>677.50300000000004</v>
      </c>
      <c r="AA81" s="69">
        <v>542.14499999999998</v>
      </c>
      <c r="AB81" s="69">
        <v>616.03700000000003</v>
      </c>
      <c r="AC81" s="69">
        <v>733.91200000000003</v>
      </c>
      <c r="AD81" s="69">
        <v>961.73800000000006</v>
      </c>
      <c r="AE81" s="70">
        <v>773.05</v>
      </c>
      <c r="AF81" s="70">
        <v>1012.037</v>
      </c>
      <c r="AG81" s="70">
        <v>989.44200000000001</v>
      </c>
      <c r="AH81" s="70">
        <v>1098.941</v>
      </c>
      <c r="AI81" s="71">
        <v>1253.7249999999999</v>
      </c>
      <c r="AJ81" s="71">
        <v>1799.1389999999999</v>
      </c>
      <c r="AK81" s="71">
        <v>1694.8389999999999</v>
      </c>
      <c r="AL81" s="71">
        <v>1671.86</v>
      </c>
      <c r="AM81" s="71">
        <v>1699.771</v>
      </c>
      <c r="AN81" s="71">
        <v>2196.67</v>
      </c>
      <c r="AO81" s="72">
        <v>2300.3760000000002</v>
      </c>
      <c r="AP81" s="72">
        <v>2121.0369999999998</v>
      </c>
      <c r="AQ81" s="72">
        <v>2774.6579999999999</v>
      </c>
      <c r="AR81" s="72">
        <v>3057.683</v>
      </c>
      <c r="AS81" s="72">
        <v>3579.232</v>
      </c>
      <c r="AT81" s="72">
        <v>3217.2849999999999</v>
      </c>
      <c r="AU81" s="72">
        <v>2350.6909999999998</v>
      </c>
      <c r="AV81" s="72">
        <v>3760.337</v>
      </c>
      <c r="AW81" s="72">
        <v>3735.8090000000002</v>
      </c>
      <c r="AX81" s="72">
        <v>3082.0889999999999</v>
      </c>
      <c r="AY81" s="72">
        <v>3582.2710000000002</v>
      </c>
      <c r="AZ81" s="72">
        <v>3357.76</v>
      </c>
      <c r="BA81" s="72">
        <v>3830.5309999999999</v>
      </c>
      <c r="BB81" s="71">
        <v>3541.1480000000001</v>
      </c>
      <c r="BC81" s="71">
        <v>3244.183</v>
      </c>
      <c r="BD81" s="71">
        <v>2917.7869999999998</v>
      </c>
      <c r="BE81" s="71">
        <v>3153.2849999999999</v>
      </c>
      <c r="BF81" s="71">
        <v>3140.4749999999999</v>
      </c>
      <c r="BG81" s="71">
        <v>3701.7820000000002</v>
      </c>
      <c r="BH81" s="71">
        <v>2873.4639999999999</v>
      </c>
      <c r="BI81" s="71">
        <v>1907.116</v>
      </c>
      <c r="BJ81" s="71">
        <v>4114.66</v>
      </c>
      <c r="BK81" s="71">
        <v>4133.1350000000002</v>
      </c>
      <c r="BL81" s="73">
        <f t="shared" si="90"/>
        <v>4150</v>
      </c>
      <c r="BM81" s="73">
        <f t="shared" si="91"/>
        <v>4300</v>
      </c>
      <c r="BN81" s="73">
        <f t="shared" si="91"/>
        <v>4275</v>
      </c>
      <c r="BO81" s="73">
        <f t="shared" si="91"/>
        <v>4275</v>
      </c>
      <c r="BP81" s="73">
        <f t="shared" si="91"/>
        <v>4300</v>
      </c>
      <c r="BQ81" s="73">
        <f t="shared" si="91"/>
        <v>4275</v>
      </c>
      <c r="BR81" s="73">
        <f t="shared" si="91"/>
        <v>4300</v>
      </c>
      <c r="BS81" s="73">
        <f t="shared" si="91"/>
        <v>4300</v>
      </c>
      <c r="BT81" s="73">
        <f t="shared" si="91"/>
        <v>4300</v>
      </c>
      <c r="BU81" s="73">
        <f t="shared" si="91"/>
        <v>4300</v>
      </c>
      <c r="BV81" s="56" t="s">
        <v>125</v>
      </c>
      <c r="BW81" s="59">
        <f t="shared" si="97"/>
        <v>1570.6559999999999</v>
      </c>
      <c r="BX81" s="59">
        <f t="shared" si="97"/>
        <v>1825.0329999999999</v>
      </c>
      <c r="BY81" s="59">
        <f t="shared" si="97"/>
        <v>1589.279</v>
      </c>
      <c r="BZ81" s="59">
        <f t="shared" si="97"/>
        <v>1792.08</v>
      </c>
      <c r="CA81" s="59">
        <f t="shared" si="97"/>
        <v>2053.9850000000001</v>
      </c>
      <c r="CB81" s="59">
        <f t="shared" si="97"/>
        <v>2220.114</v>
      </c>
      <c r="CC81" s="59">
        <f t="shared" si="97"/>
        <v>2403.4360000000001</v>
      </c>
      <c r="CD81" s="59">
        <f t="shared" si="97"/>
        <v>2669.4520000000002</v>
      </c>
      <c r="CE81" s="59">
        <f t="shared" si="97"/>
        <v>3047.4580000000001</v>
      </c>
      <c r="CF81" s="59">
        <f t="shared" si="97"/>
        <v>3252.0830000000001</v>
      </c>
      <c r="CG81" s="59">
        <f t="shared" si="97"/>
        <v>1899.191</v>
      </c>
      <c r="CH81" s="59">
        <f t="shared" si="97"/>
        <v>3024.4340000000002</v>
      </c>
      <c r="CI81" s="59">
        <f t="shared" si="97"/>
        <v>3655.6640000000002</v>
      </c>
      <c r="CJ81" s="59">
        <f t="shared" si="97"/>
        <v>3292.4740000000002</v>
      </c>
      <c r="CK81" s="59">
        <f t="shared" si="97"/>
        <v>3222.7370000000001</v>
      </c>
      <c r="CL81" s="59">
        <f t="shared" si="97"/>
        <v>3925.1039999999998</v>
      </c>
      <c r="CM81" s="59">
        <f t="shared" si="98"/>
        <v>4186.6840000000002</v>
      </c>
      <c r="CN81" s="59">
        <f t="shared" si="98"/>
        <v>4531.3280000000004</v>
      </c>
      <c r="CO81" s="59">
        <f t="shared" si="98"/>
        <v>4045.9340000000002</v>
      </c>
      <c r="CP81" s="59">
        <f t="shared" si="98"/>
        <v>3917.529</v>
      </c>
      <c r="CQ81" s="59">
        <f t="shared" si="98"/>
        <v>3272.4259999999999</v>
      </c>
      <c r="CR81" s="59">
        <f t="shared" si="98"/>
        <v>4301.8490000000002</v>
      </c>
      <c r="CS81" s="59">
        <f>'[2]Brazil Soy Complex'!CF70</f>
        <v>0</v>
      </c>
      <c r="CT81" s="59">
        <f>'[2]Brazil Soy Complex'!CG70</f>
        <v>0</v>
      </c>
      <c r="CU81" s="59">
        <f>'[2]Brazil Soy Complex'!CH70</f>
        <v>0</v>
      </c>
      <c r="CV81" s="58">
        <f>'[2]Brazil Soy Complex'!CI70</f>
        <v>0</v>
      </c>
      <c r="CW81" s="58">
        <f t="shared" si="99"/>
        <v>3968.846</v>
      </c>
      <c r="CX81" s="58">
        <f t="shared" si="99"/>
        <v>4063.34</v>
      </c>
      <c r="CY81" s="58">
        <f t="shared" si="99"/>
        <v>4000</v>
      </c>
      <c r="CZ81" s="76">
        <f>SUM(CU79:CU81)/(SUM(CP79:CT81)/5)</f>
        <v>0</v>
      </c>
      <c r="DA81" s="74">
        <f t="shared" si="95"/>
        <v>75.601700000000008</v>
      </c>
      <c r="DB81" s="74">
        <f>BB81/30</f>
        <v>118.03826666666667</v>
      </c>
      <c r="DC81" s="74">
        <f>BC81/30</f>
        <v>108.13943333333333</v>
      </c>
      <c r="DD81" s="74">
        <f>BD81/30</f>
        <v>97.259566666666657</v>
      </c>
      <c r="DE81" s="74">
        <f>BE81/30</f>
        <v>105.1095</v>
      </c>
      <c r="DF81" s="74">
        <f>'[2]Brazil Soy Complex'!CF73/30</f>
        <v>67.5</v>
      </c>
      <c r="DG81" s="74">
        <f>'[2]Brazil Soy Complex'!CG73/30</f>
        <v>0</v>
      </c>
      <c r="DH81" s="75">
        <f>'[2]Brazil Soy Complex'!CH73/30</f>
        <v>0</v>
      </c>
      <c r="DI81" s="75">
        <f>'[2]Brazil Soy Complex'!CI73/30</f>
        <v>0</v>
      </c>
      <c r="DJ81" s="75">
        <f>BJ81/30</f>
        <v>137.15533333333332</v>
      </c>
      <c r="DK81" s="75">
        <f>BK81/30</f>
        <v>137.77116666666669</v>
      </c>
      <c r="DL81" s="75">
        <f>BL81/30</f>
        <v>138.33333333333334</v>
      </c>
      <c r="DN81" t="s">
        <v>128</v>
      </c>
      <c r="DO81" s="14">
        <f t="shared" si="96"/>
        <v>3105.0849999999996</v>
      </c>
    </row>
    <row r="82" spans="1:119">
      <c r="A82" s="4" t="s">
        <v>107</v>
      </c>
      <c r="C82" s="68">
        <f t="shared" si="89"/>
        <v>0.67092472308619788</v>
      </c>
      <c r="D82" s="68">
        <f t="shared" si="89"/>
        <v>0.55910393590516483</v>
      </c>
      <c r="E82" s="68">
        <f t="shared" si="89"/>
        <v>0.55910393590516483</v>
      </c>
      <c r="F82" s="68">
        <f t="shared" si="89"/>
        <v>1.2300286589913627</v>
      </c>
      <c r="G82" s="68">
        <f t="shared" si="89"/>
        <v>1.6773118077154945</v>
      </c>
      <c r="H82" s="68">
        <f t="shared" si="89"/>
        <v>2.3482365308016924</v>
      </c>
      <c r="I82" s="68">
        <f t="shared" si="89"/>
        <v>4.0255483385171873</v>
      </c>
      <c r="J82" s="68">
        <f t="shared" si="89"/>
        <v>5.143756210327517</v>
      </c>
      <c r="K82" s="68">
        <f t="shared" si="89"/>
        <v>21.80505350030143</v>
      </c>
      <c r="L82" s="68">
        <f t="shared" si="89"/>
        <v>31.421641197870265</v>
      </c>
      <c r="M82" s="69">
        <v>70.816999999999993</v>
      </c>
      <c r="N82" s="69">
        <v>53.807000000000002</v>
      </c>
      <c r="O82" s="69">
        <v>63.09</v>
      </c>
      <c r="P82" s="69">
        <v>76.441000000000003</v>
      </c>
      <c r="Q82" s="69">
        <v>64.334999999999994</v>
      </c>
      <c r="R82" s="69">
        <v>82.823999999999998</v>
      </c>
      <c r="S82" s="69">
        <v>147.94300000000001</v>
      </c>
      <c r="T82" s="69">
        <v>195.65700000000001</v>
      </c>
      <c r="U82" s="69">
        <v>235.34700000000001</v>
      </c>
      <c r="V82" s="69">
        <v>381.66699999999997</v>
      </c>
      <c r="W82" s="69">
        <v>407.43400000000003</v>
      </c>
      <c r="X82" s="69">
        <v>426.22399999999999</v>
      </c>
      <c r="Y82" s="69">
        <v>427.517</v>
      </c>
      <c r="Z82" s="69">
        <v>731.22799999999995</v>
      </c>
      <c r="AA82" s="69">
        <v>550.41099999999994</v>
      </c>
      <c r="AB82" s="69">
        <v>690.59799999999996</v>
      </c>
      <c r="AC82" s="69">
        <v>705.55700000000002</v>
      </c>
      <c r="AD82" s="69">
        <v>966.92399999999998</v>
      </c>
      <c r="AE82" s="71">
        <v>855.56700000000001</v>
      </c>
      <c r="AF82" s="70">
        <v>937.68799999999999</v>
      </c>
      <c r="AG82" s="70">
        <v>946.09100000000001</v>
      </c>
      <c r="AH82" s="70">
        <v>1095.3009999999999</v>
      </c>
      <c r="AI82" s="71">
        <v>1097.0419999999999</v>
      </c>
      <c r="AJ82" s="71">
        <v>1676.2149999999999</v>
      </c>
      <c r="AK82" s="71">
        <v>1656.0540000000001</v>
      </c>
      <c r="AL82" s="71">
        <v>1506.751</v>
      </c>
      <c r="AM82" s="71">
        <v>1830.55</v>
      </c>
      <c r="AN82" s="71">
        <v>2185.2550000000001</v>
      </c>
      <c r="AO82" s="72">
        <v>2422.2150000000001</v>
      </c>
      <c r="AP82" s="72">
        <v>2122.4140000000002</v>
      </c>
      <c r="AQ82" s="72">
        <v>2421.991</v>
      </c>
      <c r="AR82" s="72">
        <v>2636.0810000000001</v>
      </c>
      <c r="AS82" s="72">
        <v>3580.25</v>
      </c>
      <c r="AT82" s="72">
        <v>2767.18</v>
      </c>
      <c r="AU82" s="72">
        <v>2419.4009999999998</v>
      </c>
      <c r="AV82" s="72">
        <v>3621.5140000000001</v>
      </c>
      <c r="AW82" s="72">
        <v>3318.819</v>
      </c>
      <c r="AX82" s="72">
        <v>2425.6419999999998</v>
      </c>
      <c r="AY82" s="72">
        <v>2963.0120000000002</v>
      </c>
      <c r="AZ82" s="72">
        <v>3137.1030000000001</v>
      </c>
      <c r="BA82" s="72">
        <v>3892.3710000000001</v>
      </c>
      <c r="BB82" s="71">
        <v>3705.761</v>
      </c>
      <c r="BC82" s="71">
        <v>3580.2919999999999</v>
      </c>
      <c r="BD82" s="71">
        <v>3311.9870000000001</v>
      </c>
      <c r="BE82" s="71">
        <v>3934.38</v>
      </c>
      <c r="BF82" s="71">
        <v>3117.3969999999999</v>
      </c>
      <c r="BG82" s="71">
        <v>3338.0450000000001</v>
      </c>
      <c r="BH82" s="71">
        <v>2915.989</v>
      </c>
      <c r="BI82" s="71">
        <v>1860.826</v>
      </c>
      <c r="BJ82" s="71">
        <v>4146.6679999999997</v>
      </c>
      <c r="BK82" s="73">
        <f t="shared" ref="BK82:BK86" si="102">ROUND(SUM(BE82:BE82)*BK$88/SUM(BE$88:BE$88)*4,-2)/4</f>
        <v>4100</v>
      </c>
      <c r="BL82" s="73">
        <f t="shared" si="90"/>
        <v>4200</v>
      </c>
      <c r="BM82" s="73">
        <f t="shared" si="91"/>
        <v>4300</v>
      </c>
      <c r="BN82" s="73">
        <f t="shared" si="91"/>
        <v>4300</v>
      </c>
      <c r="BO82" s="73">
        <f t="shared" si="91"/>
        <v>4300</v>
      </c>
      <c r="BP82" s="73">
        <f t="shared" si="91"/>
        <v>4300</v>
      </c>
      <c r="BQ82" s="73">
        <f t="shared" si="91"/>
        <v>4300</v>
      </c>
      <c r="BR82" s="73">
        <f t="shared" si="91"/>
        <v>4300</v>
      </c>
      <c r="BS82" s="73">
        <f t="shared" si="91"/>
        <v>4300</v>
      </c>
      <c r="BT82" s="73">
        <f t="shared" si="91"/>
        <v>4300</v>
      </c>
      <c r="BU82" s="73">
        <f t="shared" si="91"/>
        <v>4300</v>
      </c>
      <c r="BV82" s="56" t="s">
        <v>126</v>
      </c>
      <c r="BW82" s="59">
        <f t="shared" si="97"/>
        <v>1713.3579999999999</v>
      </c>
      <c r="BX82" s="59">
        <f t="shared" si="97"/>
        <v>1709.0250000000001</v>
      </c>
      <c r="BY82" s="59">
        <f t="shared" si="97"/>
        <v>1719.366</v>
      </c>
      <c r="BZ82" s="59">
        <f t="shared" si="97"/>
        <v>1923.557</v>
      </c>
      <c r="CA82" s="59">
        <f t="shared" si="97"/>
        <v>2181.8870000000002</v>
      </c>
      <c r="CB82" s="59">
        <f t="shared" si="97"/>
        <v>2405.3850000000002</v>
      </c>
      <c r="CC82" s="59">
        <f t="shared" si="97"/>
        <v>2269.98</v>
      </c>
      <c r="CD82" s="59">
        <f t="shared" si="97"/>
        <v>2860.8240000000001</v>
      </c>
      <c r="CE82" s="59">
        <f t="shared" si="97"/>
        <v>3047.5819999999999</v>
      </c>
      <c r="CF82" s="59">
        <f t="shared" si="97"/>
        <v>2798.413</v>
      </c>
      <c r="CG82" s="59">
        <f t="shared" si="97"/>
        <v>3453.9369999999999</v>
      </c>
      <c r="CH82" s="59">
        <f t="shared" si="97"/>
        <v>2748.7330000000002</v>
      </c>
      <c r="CI82" s="59">
        <f t="shared" si="97"/>
        <v>3562.62</v>
      </c>
      <c r="CJ82" s="59">
        <f t="shared" si="97"/>
        <v>3233.759</v>
      </c>
      <c r="CK82" s="59">
        <f t="shared" si="97"/>
        <v>2969.261</v>
      </c>
      <c r="CL82" s="59">
        <f t="shared" si="97"/>
        <v>3641.364</v>
      </c>
      <c r="CM82" s="59">
        <f t="shared" si="98"/>
        <v>3910.9540000000002</v>
      </c>
      <c r="CN82" s="59">
        <f t="shared" si="98"/>
        <v>4768.2</v>
      </c>
      <c r="CO82" s="59">
        <f t="shared" si="98"/>
        <v>3975.7170000000001</v>
      </c>
      <c r="CP82" s="59">
        <f t="shared" si="98"/>
        <v>4307.384</v>
      </c>
      <c r="CQ82" s="59">
        <f t="shared" si="98"/>
        <v>3445.511</v>
      </c>
      <c r="CR82" s="59">
        <f t="shared" si="98"/>
        <v>4456.6570000000002</v>
      </c>
      <c r="CS82" s="59">
        <f>'[2]Brazil Soy Complex'!CF71</f>
        <v>0</v>
      </c>
      <c r="CT82" s="59">
        <f>'[2]Brazil Soy Complex'!CG71</f>
        <v>0</v>
      </c>
      <c r="CU82" s="59">
        <f>'[2]Brazil Soy Complex'!CH71</f>
        <v>0</v>
      </c>
      <c r="CV82" s="59">
        <f>'[2]Brazil Soy Complex'!CI71</f>
        <v>0</v>
      </c>
      <c r="CW82" s="58">
        <f t="shared" si="99"/>
        <v>4405.3509999999997</v>
      </c>
      <c r="CX82" s="58">
        <f t="shared" si="99"/>
        <v>3794.7370000000001</v>
      </c>
      <c r="CY82" s="58">
        <f t="shared" si="99"/>
        <v>4450</v>
      </c>
      <c r="DA82" s="74">
        <f t="shared" si="95"/>
        <v>76.747261896774191</v>
      </c>
      <c r="DB82" s="74">
        <f>BB82/31</f>
        <v>119.54067741935484</v>
      </c>
      <c r="DC82" s="74">
        <f>BC82/31</f>
        <v>115.49329032258065</v>
      </c>
      <c r="DD82" s="74">
        <f>BD82/31</f>
        <v>106.83829032258065</v>
      </c>
      <c r="DE82" s="74">
        <f>BE82/31</f>
        <v>126.91548387096775</v>
      </c>
      <c r="DF82" s="74">
        <f>'[2]Brazil Soy Complex'!CF74/31</f>
        <v>34.489244967741939</v>
      </c>
      <c r="DG82" s="74">
        <f>'[2]Brazil Soy Complex'!CG74/31</f>
        <v>0</v>
      </c>
      <c r="DH82" s="75">
        <f>'[2]Brazil Soy Complex'!CH74/31</f>
        <v>0</v>
      </c>
      <c r="DI82" s="75">
        <f>'[2]Brazil Soy Complex'!CI74/31</f>
        <v>0</v>
      </c>
      <c r="DJ82" s="75">
        <f>BJ82/31</f>
        <v>133.76348387096772</v>
      </c>
      <c r="DK82" s="75">
        <f>BK82/31</f>
        <v>132.25806451612902</v>
      </c>
      <c r="DL82" s="75">
        <f>BL82/31</f>
        <v>135.48387096774192</v>
      </c>
      <c r="DN82" t="s">
        <v>129</v>
      </c>
      <c r="DO82" s="14">
        <f t="shared" si="96"/>
        <v>3608.8863333333334</v>
      </c>
    </row>
    <row r="83" spans="1:119">
      <c r="A83" s="4" t="s">
        <v>108</v>
      </c>
      <c r="C83" s="68">
        <f t="shared" si="89"/>
        <v>0.59631194626175299</v>
      </c>
      <c r="D83" s="68">
        <f t="shared" si="89"/>
        <v>0.4969266218847942</v>
      </c>
      <c r="E83" s="68">
        <f t="shared" si="89"/>
        <v>0.4969266218847942</v>
      </c>
      <c r="F83" s="68">
        <f t="shared" si="89"/>
        <v>1.0932385681465473</v>
      </c>
      <c r="G83" s="68">
        <f t="shared" si="89"/>
        <v>1.4907798656543825</v>
      </c>
      <c r="H83" s="68">
        <f t="shared" si="89"/>
        <v>2.0870918119161357</v>
      </c>
      <c r="I83" s="68">
        <f t="shared" si="89"/>
        <v>3.5778716775705179</v>
      </c>
      <c r="J83" s="68">
        <f t="shared" si="89"/>
        <v>4.5717249213401061</v>
      </c>
      <c r="K83" s="68">
        <f t="shared" si="89"/>
        <v>19.380138253506974</v>
      </c>
      <c r="L83" s="68">
        <f t="shared" si="89"/>
        <v>27.927276149925433</v>
      </c>
      <c r="M83" s="69">
        <v>53.076999999999998</v>
      </c>
      <c r="N83" s="69">
        <v>39.134</v>
      </c>
      <c r="O83" s="69">
        <v>64.558999999999997</v>
      </c>
      <c r="P83" s="69">
        <v>77.834000000000003</v>
      </c>
      <c r="Q83" s="69">
        <v>57.354999999999997</v>
      </c>
      <c r="R83" s="69">
        <v>91.962000000000003</v>
      </c>
      <c r="S83" s="69">
        <v>97.864999999999995</v>
      </c>
      <c r="T83" s="69">
        <v>286.15800000000002</v>
      </c>
      <c r="U83" s="69">
        <v>233.03299999999999</v>
      </c>
      <c r="V83" s="69">
        <v>397.47800000000001</v>
      </c>
      <c r="W83" s="69">
        <v>317.09300000000002</v>
      </c>
      <c r="X83" s="69">
        <v>351.70299999999997</v>
      </c>
      <c r="Y83" s="69">
        <v>441.49400000000003</v>
      </c>
      <c r="Z83" s="69">
        <v>704.07899999999995</v>
      </c>
      <c r="AA83" s="69">
        <v>425.303</v>
      </c>
      <c r="AB83" s="69">
        <v>606.44899999999996</v>
      </c>
      <c r="AC83" s="69">
        <v>748.875</v>
      </c>
      <c r="AD83" s="69">
        <v>917.78800000000001</v>
      </c>
      <c r="AE83" s="71">
        <v>831.71100000000001</v>
      </c>
      <c r="AF83" s="70">
        <v>897.10199999999998</v>
      </c>
      <c r="AG83" s="70">
        <v>961.65200000000004</v>
      </c>
      <c r="AH83" s="70">
        <v>1039.9949999999999</v>
      </c>
      <c r="AI83" s="71">
        <v>580.70299999999997</v>
      </c>
      <c r="AJ83" s="71">
        <v>1660.79</v>
      </c>
      <c r="AK83" s="71">
        <v>1472.559</v>
      </c>
      <c r="AL83" s="71">
        <v>1508.319</v>
      </c>
      <c r="AM83" s="71">
        <v>1765.385</v>
      </c>
      <c r="AN83" s="71">
        <v>1818.4670000000001</v>
      </c>
      <c r="AO83" s="72">
        <v>2166.7089999999998</v>
      </c>
      <c r="AP83" s="72">
        <v>1926.5350000000001</v>
      </c>
      <c r="AQ83" s="72">
        <v>2077.8760000000002</v>
      </c>
      <c r="AR83" s="72">
        <v>2682.96</v>
      </c>
      <c r="AS83" s="72">
        <v>3426.0079999999998</v>
      </c>
      <c r="AT83" s="72">
        <v>2602.1120000000001</v>
      </c>
      <c r="AU83" s="72">
        <v>2349.6129999999998</v>
      </c>
      <c r="AV83" s="72">
        <v>3146.143</v>
      </c>
      <c r="AW83" s="72">
        <v>3007.7860000000001</v>
      </c>
      <c r="AX83" s="72">
        <v>2237.5050000000001</v>
      </c>
      <c r="AY83" s="72">
        <v>2318.9670000000001</v>
      </c>
      <c r="AZ83" s="72">
        <v>3192.3679999999999</v>
      </c>
      <c r="BA83" s="72">
        <v>3006.1089999999999</v>
      </c>
      <c r="BB83" s="71">
        <v>3645.433</v>
      </c>
      <c r="BC83" s="71">
        <v>3352.3620000000001</v>
      </c>
      <c r="BD83" s="71">
        <v>3170.5230000000001</v>
      </c>
      <c r="BE83" s="71">
        <v>2934.14</v>
      </c>
      <c r="BF83" s="71">
        <v>2975.8690000000001</v>
      </c>
      <c r="BG83" s="71">
        <v>2920.4279999999999</v>
      </c>
      <c r="BH83" s="71">
        <v>3321.91</v>
      </c>
      <c r="BI83" s="71">
        <v>1898.027</v>
      </c>
      <c r="BJ83" s="71">
        <v>3437.203</v>
      </c>
      <c r="BK83" s="73">
        <f t="shared" si="102"/>
        <v>3075</v>
      </c>
      <c r="BL83" s="73">
        <f t="shared" si="90"/>
        <v>3475</v>
      </c>
      <c r="BM83" s="73">
        <f t="shared" si="91"/>
        <v>3375</v>
      </c>
      <c r="BN83" s="73">
        <f t="shared" si="91"/>
        <v>3400</v>
      </c>
      <c r="BO83" s="73">
        <f t="shared" si="91"/>
        <v>3475</v>
      </c>
      <c r="BP83" s="73">
        <f t="shared" si="91"/>
        <v>3400</v>
      </c>
      <c r="BQ83" s="73">
        <f t="shared" si="91"/>
        <v>3450</v>
      </c>
      <c r="BR83" s="73">
        <f t="shared" si="91"/>
        <v>3450</v>
      </c>
      <c r="BS83" s="73">
        <f t="shared" si="91"/>
        <v>3425</v>
      </c>
      <c r="BT83" s="73">
        <f t="shared" si="91"/>
        <v>3450</v>
      </c>
      <c r="BU83" s="73">
        <f t="shared" si="91"/>
        <v>3450</v>
      </c>
      <c r="BV83" s="56" t="s">
        <v>127</v>
      </c>
      <c r="BW83" s="59">
        <f t="shared" si="97"/>
        <v>1720.2329999999999</v>
      </c>
      <c r="BX83" s="59">
        <f t="shared" si="97"/>
        <v>1829.1379999999999</v>
      </c>
      <c r="BY83" s="59">
        <f t="shared" si="97"/>
        <v>1797.2760000000001</v>
      </c>
      <c r="BZ83" s="59">
        <f t="shared" si="97"/>
        <v>1948.63</v>
      </c>
      <c r="CA83" s="59">
        <f t="shared" si="97"/>
        <v>2228.7469999999998</v>
      </c>
      <c r="CB83" s="59">
        <f t="shared" si="97"/>
        <v>2249.0059999999999</v>
      </c>
      <c r="CC83" s="59">
        <f t="shared" si="97"/>
        <v>2145.4749999999999</v>
      </c>
      <c r="CD83" s="59">
        <f t="shared" si="97"/>
        <v>2591.3380000000002</v>
      </c>
      <c r="CE83" s="59">
        <f t="shared" si="97"/>
        <v>2763.4360000000001</v>
      </c>
      <c r="CF83" s="59">
        <f t="shared" si="97"/>
        <v>3014.1689999999999</v>
      </c>
      <c r="CG83" s="59">
        <f t="shared" si="97"/>
        <v>3033.116</v>
      </c>
      <c r="CH83" s="59">
        <f t="shared" si="97"/>
        <v>2211.41</v>
      </c>
      <c r="CI83" s="59">
        <f t="shared" si="97"/>
        <v>3817.6750000000002</v>
      </c>
      <c r="CJ83" s="59">
        <f t="shared" si="97"/>
        <v>3017.451</v>
      </c>
      <c r="CK83" s="59">
        <f t="shared" si="97"/>
        <v>2828.5819999999999</v>
      </c>
      <c r="CL83" s="59">
        <f t="shared" si="97"/>
        <v>3678.4549999999999</v>
      </c>
      <c r="CM83" s="59">
        <f t="shared" si="98"/>
        <v>3494.9059999999999</v>
      </c>
      <c r="CN83" s="59">
        <f t="shared" si="98"/>
        <v>4270.8050000000003</v>
      </c>
      <c r="CO83" s="59">
        <f t="shared" si="98"/>
        <v>3757.8829999999998</v>
      </c>
      <c r="CP83" s="59">
        <f t="shared" si="98"/>
        <v>3758.0039999999999</v>
      </c>
      <c r="CQ83" s="59">
        <f t="shared" si="98"/>
        <v>3040.5239999999999</v>
      </c>
      <c r="CR83" s="59">
        <f t="shared" si="98"/>
        <v>4154.259</v>
      </c>
      <c r="CS83" s="59">
        <f>'[2]Brazil Soy Complex'!CF72</f>
        <v>0</v>
      </c>
      <c r="CT83" s="59">
        <f>'[2]Brazil Soy Complex'!CG72</f>
        <v>0</v>
      </c>
      <c r="CU83" s="59">
        <f>'[2]Brazil Soy Complex'!CH72</f>
        <v>0</v>
      </c>
      <c r="CV83" s="58">
        <f>'[2]Brazil Soy Complex'!CI72</f>
        <v>0</v>
      </c>
      <c r="CW83" s="58">
        <f t="shared" si="99"/>
        <v>3233.433</v>
      </c>
      <c r="CX83" s="58">
        <f t="shared" si="99"/>
        <v>3907.2429999999999</v>
      </c>
      <c r="CY83" s="58">
        <f t="shared" si="99"/>
        <v>3275</v>
      </c>
      <c r="DA83" s="74">
        <f t="shared" si="95"/>
        <v>130.36016666666666</v>
      </c>
      <c r="DB83" s="74">
        <f>BB83/30</f>
        <v>121.51443333333333</v>
      </c>
      <c r="DC83" s="74">
        <f>BC83/30</f>
        <v>111.7454</v>
      </c>
      <c r="DD83" s="74">
        <f>BD83/30</f>
        <v>105.6841</v>
      </c>
      <c r="DE83" s="74">
        <f>BE83/30</f>
        <v>97.804666666666662</v>
      </c>
      <c r="DF83" s="74">
        <f>'[2]Brazil Soy Complex'!CF75/30</f>
        <v>336.56666666666666</v>
      </c>
      <c r="DG83" s="74">
        <f>'[2]Brazil Soy Complex'!CG75/30</f>
        <v>0</v>
      </c>
      <c r="DH83" s="75">
        <f>'[2]Brazil Soy Complex'!CH75/30</f>
        <v>0</v>
      </c>
      <c r="DI83" s="75">
        <f>'[2]Brazil Soy Complex'!CI75/30</f>
        <v>0</v>
      </c>
      <c r="DJ83" s="75">
        <f>BJ83/30</f>
        <v>114.57343333333333</v>
      </c>
      <c r="DK83" s="75">
        <f>BK83/30</f>
        <v>102.5</v>
      </c>
      <c r="DL83" s="75">
        <f>BL83/30</f>
        <v>115.83333333333333</v>
      </c>
      <c r="DN83" t="s">
        <v>130</v>
      </c>
      <c r="DO83" s="14">
        <f t="shared" si="96"/>
        <v>3152.3416666666667</v>
      </c>
    </row>
    <row r="84" spans="1:119">
      <c r="A84" s="4" t="s">
        <v>109</v>
      </c>
      <c r="C84" s="68">
        <f t="shared" si="89"/>
        <v>0.54240349504212038</v>
      </c>
      <c r="D84" s="68">
        <f t="shared" si="89"/>
        <v>0.45200291253510039</v>
      </c>
      <c r="E84" s="68">
        <f t="shared" si="89"/>
        <v>0.45200291253510039</v>
      </c>
      <c r="F84" s="68">
        <f t="shared" si="89"/>
        <v>0.99440640757722076</v>
      </c>
      <c r="G84" s="68">
        <f t="shared" si="89"/>
        <v>1.3560087376053012</v>
      </c>
      <c r="H84" s="68">
        <f t="shared" si="89"/>
        <v>1.8984122326474215</v>
      </c>
      <c r="I84" s="68">
        <f t="shared" si="89"/>
        <v>3.2544209702527227</v>
      </c>
      <c r="J84" s="68">
        <f t="shared" si="89"/>
        <v>4.1584267953229235</v>
      </c>
      <c r="K84" s="68">
        <f t="shared" si="89"/>
        <v>17.628113588868914</v>
      </c>
      <c r="L84" s="68">
        <f t="shared" si="89"/>
        <v>25.402563684472639</v>
      </c>
      <c r="M84" s="69">
        <v>35.963999999999999</v>
      </c>
      <c r="N84" s="69">
        <v>44.247999999999998</v>
      </c>
      <c r="O84" s="69">
        <v>73.465999999999994</v>
      </c>
      <c r="P84" s="69">
        <v>59.146999999999998</v>
      </c>
      <c r="Q84" s="69">
        <v>52.74</v>
      </c>
      <c r="R84" s="69">
        <v>63.734000000000002</v>
      </c>
      <c r="S84" s="69">
        <v>57.023000000000003</v>
      </c>
      <c r="T84" s="69">
        <v>191.89400000000001</v>
      </c>
      <c r="U84" s="69">
        <v>248.56299999999999</v>
      </c>
      <c r="V84" s="69">
        <v>360.96</v>
      </c>
      <c r="W84" s="69">
        <v>222.459</v>
      </c>
      <c r="X84" s="69">
        <v>253.67</v>
      </c>
      <c r="Y84" s="69">
        <v>293.18599999999998</v>
      </c>
      <c r="Z84" s="69">
        <v>524.94600000000003</v>
      </c>
      <c r="AA84" s="69">
        <v>376.97399999999999</v>
      </c>
      <c r="AB84" s="69">
        <v>440.64499999999998</v>
      </c>
      <c r="AC84" s="69">
        <v>559.67100000000005</v>
      </c>
      <c r="AD84" s="69">
        <v>593.16999999999996</v>
      </c>
      <c r="AE84" s="71">
        <v>542.31700000000001</v>
      </c>
      <c r="AF84" s="70">
        <v>520.34299999999996</v>
      </c>
      <c r="AG84" s="70">
        <v>855.77200000000005</v>
      </c>
      <c r="AH84" s="70">
        <v>733.10699999999997</v>
      </c>
      <c r="AI84" s="71">
        <v>615.18499999999995</v>
      </c>
      <c r="AJ84" s="71">
        <v>1377.126</v>
      </c>
      <c r="AK84" s="71">
        <v>1136.6079999999999</v>
      </c>
      <c r="AL84" s="71">
        <v>1207.575</v>
      </c>
      <c r="AM84" s="71">
        <v>1600.48</v>
      </c>
      <c r="AN84" s="71">
        <v>1727.1590000000001</v>
      </c>
      <c r="AO84" s="72">
        <v>1910.9690000000001</v>
      </c>
      <c r="AP84" s="72">
        <v>1659.1869999999999</v>
      </c>
      <c r="AQ84" s="72">
        <v>2585.7559999999999</v>
      </c>
      <c r="AR84" s="72">
        <v>2610.7109999999998</v>
      </c>
      <c r="AS84" s="72">
        <v>3599.3029999999999</v>
      </c>
      <c r="AT84" s="72">
        <v>2338.1390000000001</v>
      </c>
      <c r="AU84" s="72">
        <v>1981.08</v>
      </c>
      <c r="AV84" s="72">
        <v>2680.355</v>
      </c>
      <c r="AW84" s="72">
        <v>2847.2429999999999</v>
      </c>
      <c r="AX84" s="72">
        <v>1957.999</v>
      </c>
      <c r="AY84" s="72">
        <v>1768.6679999999999</v>
      </c>
      <c r="AZ84" s="72">
        <v>2484.7420000000002</v>
      </c>
      <c r="BA84" s="72">
        <v>2620.9639999999999</v>
      </c>
      <c r="BB84" s="71">
        <v>3384.2550000000001</v>
      </c>
      <c r="BC84" s="71">
        <v>2178.9119999999998</v>
      </c>
      <c r="BD84" s="71">
        <v>2438.607</v>
      </c>
      <c r="BE84" s="71">
        <v>2745.01</v>
      </c>
      <c r="BF84" s="71">
        <v>846.91899999999998</v>
      </c>
      <c r="BG84" s="71">
        <v>2957.2550000000001</v>
      </c>
      <c r="BH84" s="71">
        <v>2620.223</v>
      </c>
      <c r="BI84" s="71">
        <v>1898.5340000000001</v>
      </c>
      <c r="BJ84" s="71">
        <v>3659.7330000000002</v>
      </c>
      <c r="BK84" s="73">
        <f t="shared" si="102"/>
        <v>2875</v>
      </c>
      <c r="BL84" s="73">
        <f t="shared" si="90"/>
        <v>3700</v>
      </c>
      <c r="BM84" s="73">
        <f t="shared" si="91"/>
        <v>3400</v>
      </c>
      <c r="BN84" s="73">
        <f t="shared" si="91"/>
        <v>3400</v>
      </c>
      <c r="BO84" s="73">
        <f t="shared" si="91"/>
        <v>3600</v>
      </c>
      <c r="BP84" s="73">
        <f t="shared" si="91"/>
        <v>3400</v>
      </c>
      <c r="BQ84" s="73">
        <f t="shared" si="91"/>
        <v>3500</v>
      </c>
      <c r="BR84" s="73">
        <f t="shared" si="91"/>
        <v>3500</v>
      </c>
      <c r="BS84" s="73">
        <f t="shared" si="91"/>
        <v>3450</v>
      </c>
      <c r="BT84" s="73">
        <f t="shared" si="91"/>
        <v>3500</v>
      </c>
      <c r="BU84" s="73">
        <f t="shared" si="91"/>
        <v>3475</v>
      </c>
      <c r="BV84" s="56" t="s">
        <v>128</v>
      </c>
      <c r="BW84" s="59">
        <f t="shared" si="97"/>
        <v>1799.1389999999999</v>
      </c>
      <c r="BX84" s="59">
        <f t="shared" si="97"/>
        <v>1694.8389999999999</v>
      </c>
      <c r="BY84" s="59">
        <f t="shared" si="97"/>
        <v>1671.86</v>
      </c>
      <c r="BZ84" s="59">
        <f t="shared" si="97"/>
        <v>1699.771</v>
      </c>
      <c r="CA84" s="59">
        <f t="shared" si="97"/>
        <v>2196.67</v>
      </c>
      <c r="CB84" s="59">
        <f t="shared" si="97"/>
        <v>2300.3760000000002</v>
      </c>
      <c r="CC84" s="59">
        <f t="shared" si="97"/>
        <v>2121.0369999999998</v>
      </c>
      <c r="CD84" s="59">
        <f t="shared" si="97"/>
        <v>2774.6579999999999</v>
      </c>
      <c r="CE84" s="59">
        <f t="shared" si="97"/>
        <v>3057.683</v>
      </c>
      <c r="CF84" s="59">
        <f t="shared" si="97"/>
        <v>3579.232</v>
      </c>
      <c r="CG84" s="59">
        <f t="shared" si="97"/>
        <v>3217.2849999999999</v>
      </c>
      <c r="CH84" s="59">
        <f t="shared" si="97"/>
        <v>2350.6909999999998</v>
      </c>
      <c r="CI84" s="59">
        <f t="shared" si="97"/>
        <v>3760.337</v>
      </c>
      <c r="CJ84" s="59">
        <f t="shared" si="97"/>
        <v>3735.8090000000002</v>
      </c>
      <c r="CK84" s="59">
        <f t="shared" si="97"/>
        <v>3082.0889999999999</v>
      </c>
      <c r="CL84" s="59">
        <f t="shared" si="97"/>
        <v>3582.2710000000002</v>
      </c>
      <c r="CM84" s="59">
        <f t="shared" si="98"/>
        <v>3357.76</v>
      </c>
      <c r="CN84" s="59">
        <f t="shared" si="98"/>
        <v>3830.5309999999999</v>
      </c>
      <c r="CO84" s="59">
        <f t="shared" si="98"/>
        <v>3541.1480000000001</v>
      </c>
      <c r="CP84" s="59">
        <f t="shared" si="98"/>
        <v>3244.183</v>
      </c>
      <c r="CQ84" s="59">
        <f t="shared" si="98"/>
        <v>2917.7869999999998</v>
      </c>
      <c r="CR84" s="59">
        <f t="shared" si="98"/>
        <v>3153.2849999999999</v>
      </c>
      <c r="CS84" s="59">
        <f>'[2]Brazil Soy Complex'!CF73</f>
        <v>2025</v>
      </c>
      <c r="CT84" s="59">
        <f>'[2]Brazil Soy Complex'!CG73</f>
        <v>0</v>
      </c>
      <c r="CU84" s="59">
        <f>'[2]Brazil Soy Complex'!CH73</f>
        <v>0</v>
      </c>
      <c r="CV84" s="58">
        <f>'[2]Brazil Soy Complex'!CI73</f>
        <v>0</v>
      </c>
      <c r="CW84" s="58">
        <f t="shared" si="99"/>
        <v>4114.66</v>
      </c>
      <c r="CX84" s="58">
        <f t="shared" si="99"/>
        <v>4133.1350000000002</v>
      </c>
      <c r="CY84" s="58">
        <f t="shared" si="99"/>
        <v>4150</v>
      </c>
      <c r="CZ84" s="76">
        <f>SUM(CU82:CU84)/(SUM(CP82:CT84)/5)</f>
        <v>0</v>
      </c>
      <c r="DA84" s="74">
        <f t="shared" si="95"/>
        <v>125.85860462636087</v>
      </c>
      <c r="DB84" s="74">
        <f t="shared" ref="DB84:DE85" si="103">BB84/31</f>
        <v>109.16951612903226</v>
      </c>
      <c r="DC84" s="74">
        <f t="shared" si="103"/>
        <v>70.287483870967733</v>
      </c>
      <c r="DD84" s="74">
        <f t="shared" si="103"/>
        <v>78.664741935483875</v>
      </c>
      <c r="DE84" s="74">
        <f t="shared" si="103"/>
        <v>88.548709677419367</v>
      </c>
      <c r="DF84" s="74">
        <f>'[2]Brazil Soy Complex'!CF76/31</f>
        <v>391.79208764793344</v>
      </c>
      <c r="DG84" s="74">
        <f>'[2]Brazil Soy Complex'!CG76/31</f>
        <v>0</v>
      </c>
      <c r="DH84" s="75">
        <f>'[2]Brazil Soy Complex'!CH76/31</f>
        <v>0</v>
      </c>
      <c r="DI84" s="75">
        <f>'[2]Brazil Soy Complex'!CI76/31</f>
        <v>0</v>
      </c>
      <c r="DJ84" s="75">
        <f t="shared" ref="DJ84:DL85" si="104">BJ84/31</f>
        <v>118.05590322580646</v>
      </c>
      <c r="DK84" s="75">
        <f t="shared" si="104"/>
        <v>92.741935483870961</v>
      </c>
      <c r="DL84" s="75">
        <f t="shared" si="104"/>
        <v>119.35483870967742</v>
      </c>
      <c r="DN84" t="s">
        <v>131</v>
      </c>
      <c r="DO84" s="14">
        <f t="shared" si="96"/>
        <v>2454.1763333333333</v>
      </c>
    </row>
    <row r="85" spans="1:119">
      <c r="A85" s="4" t="s">
        <v>110</v>
      </c>
      <c r="C85" s="68">
        <f t="shared" si="89"/>
        <v>0.5154901184519447</v>
      </c>
      <c r="D85" s="68">
        <f t="shared" si="89"/>
        <v>0.42957509870995392</v>
      </c>
      <c r="E85" s="68">
        <f t="shared" si="89"/>
        <v>0.42957509870995392</v>
      </c>
      <c r="F85" s="68">
        <f t="shared" si="89"/>
        <v>0.94506521716189862</v>
      </c>
      <c r="G85" s="68">
        <f t="shared" si="89"/>
        <v>1.2887252961298619</v>
      </c>
      <c r="H85" s="68">
        <f t="shared" si="89"/>
        <v>1.8042154145818063</v>
      </c>
      <c r="I85" s="68">
        <f t="shared" si="89"/>
        <v>3.0929407107116682</v>
      </c>
      <c r="J85" s="68">
        <f t="shared" si="89"/>
        <v>3.9520909081315763</v>
      </c>
      <c r="K85" s="68">
        <f t="shared" si="89"/>
        <v>16.753428849688202</v>
      </c>
      <c r="L85" s="68">
        <f t="shared" si="89"/>
        <v>24.14212054749941</v>
      </c>
      <c r="M85" s="69">
        <v>26.888999999999999</v>
      </c>
      <c r="N85" s="69">
        <v>47.889000000000003</v>
      </c>
      <c r="O85" s="69">
        <v>57.652000000000001</v>
      </c>
      <c r="P85" s="69">
        <v>66.418999999999997</v>
      </c>
      <c r="Q85" s="69">
        <v>53.539000000000001</v>
      </c>
      <c r="R85" s="69">
        <v>21.768000000000001</v>
      </c>
      <c r="S85" s="69">
        <v>56.384999999999998</v>
      </c>
      <c r="T85" s="69">
        <v>199.761</v>
      </c>
      <c r="U85" s="69">
        <v>202.57900000000001</v>
      </c>
      <c r="V85" s="69">
        <v>286.89</v>
      </c>
      <c r="W85" s="69">
        <v>179.446</v>
      </c>
      <c r="X85" s="69">
        <v>200.85400000000001</v>
      </c>
      <c r="Y85" s="69">
        <v>224.37799999999999</v>
      </c>
      <c r="Z85" s="69">
        <v>513.43200000000002</v>
      </c>
      <c r="AA85" s="69">
        <v>344.67599999999999</v>
      </c>
      <c r="AB85" s="69">
        <v>271.19099999999997</v>
      </c>
      <c r="AC85" s="69">
        <v>470.62099999999998</v>
      </c>
      <c r="AD85" s="69">
        <v>513.19000000000005</v>
      </c>
      <c r="AE85" s="71">
        <v>652.92600000000004</v>
      </c>
      <c r="AF85" s="70">
        <v>666.08100000000002</v>
      </c>
      <c r="AG85" s="70">
        <v>719.476</v>
      </c>
      <c r="AH85" s="70">
        <v>511.37</v>
      </c>
      <c r="AI85" s="71">
        <v>543.04100000000005</v>
      </c>
      <c r="AJ85" s="71">
        <v>1160.9449999999999</v>
      </c>
      <c r="AK85" s="71">
        <v>1107.8</v>
      </c>
      <c r="AL85" s="71">
        <v>904.73800000000006</v>
      </c>
      <c r="AM85" s="71">
        <v>1376.856</v>
      </c>
      <c r="AN85" s="72">
        <v>1520.11</v>
      </c>
      <c r="AO85" s="72">
        <v>1971.086</v>
      </c>
      <c r="AP85" s="72">
        <v>1986.404</v>
      </c>
      <c r="AQ85" s="72">
        <v>2372.1889999999999</v>
      </c>
      <c r="AR85" s="72">
        <v>2360.4740000000002</v>
      </c>
      <c r="AS85" s="72">
        <v>2942.0920000000001</v>
      </c>
      <c r="AT85" s="72">
        <v>2314.0569999999998</v>
      </c>
      <c r="AU85" s="72">
        <v>1628.645</v>
      </c>
      <c r="AV85" s="72">
        <v>2309.1309999999999</v>
      </c>
      <c r="AW85" s="72">
        <v>2582.4560000000001</v>
      </c>
      <c r="AX85" s="72">
        <v>1708.8019999999999</v>
      </c>
      <c r="AY85" s="72">
        <v>1968.357</v>
      </c>
      <c r="AZ85" s="72">
        <v>1792.222</v>
      </c>
      <c r="BA85" s="71">
        <v>3910.4670000000001</v>
      </c>
      <c r="BB85" s="71">
        <v>2968.6909999999998</v>
      </c>
      <c r="BC85" s="71">
        <v>2736.46</v>
      </c>
      <c r="BD85" s="71">
        <v>2498.0279999999998</v>
      </c>
      <c r="BE85" s="71">
        <v>2321.77</v>
      </c>
      <c r="BF85" s="71">
        <v>3228.8780000000002</v>
      </c>
      <c r="BG85" s="71">
        <v>2517.8710000000001</v>
      </c>
      <c r="BH85" s="71">
        <v>1885.0170000000001</v>
      </c>
      <c r="BI85" s="71">
        <v>2130.4270000000001</v>
      </c>
      <c r="BJ85" s="71">
        <v>2905.6709999999998</v>
      </c>
      <c r="BK85" s="73">
        <f t="shared" si="102"/>
        <v>2425</v>
      </c>
      <c r="BL85" s="73">
        <f t="shared" si="90"/>
        <v>2925</v>
      </c>
      <c r="BM85" s="73">
        <f t="shared" si="91"/>
        <v>2775</v>
      </c>
      <c r="BN85" s="73">
        <f t="shared" si="91"/>
        <v>2775</v>
      </c>
      <c r="BO85" s="73">
        <f t="shared" si="91"/>
        <v>2875</v>
      </c>
      <c r="BP85" s="73">
        <f t="shared" si="91"/>
        <v>2775</v>
      </c>
      <c r="BQ85" s="73">
        <f t="shared" si="91"/>
        <v>2825</v>
      </c>
      <c r="BR85" s="73">
        <f t="shared" si="91"/>
        <v>2825</v>
      </c>
      <c r="BS85" s="73">
        <f t="shared" si="91"/>
        <v>2800</v>
      </c>
      <c r="BT85" s="73">
        <f t="shared" si="91"/>
        <v>2825</v>
      </c>
      <c r="BU85" s="73">
        <f t="shared" si="91"/>
        <v>2825</v>
      </c>
      <c r="BV85" s="56" t="s">
        <v>129</v>
      </c>
      <c r="BW85" s="59">
        <f t="shared" si="97"/>
        <v>1676.2149999999999</v>
      </c>
      <c r="BX85" s="59">
        <f t="shared" si="97"/>
        <v>1656.0540000000001</v>
      </c>
      <c r="BY85" s="59">
        <f t="shared" si="97"/>
        <v>1506.751</v>
      </c>
      <c r="BZ85" s="59">
        <f t="shared" si="97"/>
        <v>1830.55</v>
      </c>
      <c r="CA85" s="59">
        <f t="shared" si="97"/>
        <v>2185.2550000000001</v>
      </c>
      <c r="CB85" s="59">
        <f t="shared" si="97"/>
        <v>2422.2150000000001</v>
      </c>
      <c r="CC85" s="59">
        <f t="shared" si="97"/>
        <v>2122.4140000000002</v>
      </c>
      <c r="CD85" s="59">
        <f t="shared" si="97"/>
        <v>2421.991</v>
      </c>
      <c r="CE85" s="59">
        <f t="shared" si="97"/>
        <v>2636.0810000000001</v>
      </c>
      <c r="CF85" s="59">
        <f t="shared" si="97"/>
        <v>3580.25</v>
      </c>
      <c r="CG85" s="59">
        <f t="shared" si="97"/>
        <v>2767.18</v>
      </c>
      <c r="CH85" s="59">
        <f t="shared" si="97"/>
        <v>2419.4009999999998</v>
      </c>
      <c r="CI85" s="59">
        <f t="shared" si="97"/>
        <v>3621.5140000000001</v>
      </c>
      <c r="CJ85" s="59">
        <f t="shared" si="97"/>
        <v>3318.819</v>
      </c>
      <c r="CK85" s="59">
        <f t="shared" si="97"/>
        <v>2425.6419999999998</v>
      </c>
      <c r="CL85" s="59">
        <f t="shared" si="97"/>
        <v>2963.0120000000002</v>
      </c>
      <c r="CM85" s="59">
        <f t="shared" si="98"/>
        <v>3137.1030000000001</v>
      </c>
      <c r="CN85" s="59">
        <f t="shared" si="98"/>
        <v>3892.3710000000001</v>
      </c>
      <c r="CO85" s="59">
        <f t="shared" si="98"/>
        <v>3705.761</v>
      </c>
      <c r="CP85" s="59">
        <f t="shared" si="98"/>
        <v>3580.2919999999999</v>
      </c>
      <c r="CQ85" s="59">
        <f t="shared" si="98"/>
        <v>3311.9870000000001</v>
      </c>
      <c r="CR85" s="59">
        <f t="shared" si="98"/>
        <v>3934.38</v>
      </c>
      <c r="CS85" s="59">
        <f>'[2]Brazil Soy Complex'!CF74</f>
        <v>1069.166594</v>
      </c>
      <c r="CT85" s="59">
        <f>'[2]Brazil Soy Complex'!CG74</f>
        <v>0</v>
      </c>
      <c r="CU85" s="59">
        <f>'[2]Brazil Soy Complex'!CH74</f>
        <v>0</v>
      </c>
      <c r="CV85" s="58">
        <f>'[2]Brazil Soy Complex'!CI74</f>
        <v>0</v>
      </c>
      <c r="CW85" s="58">
        <f t="shared" si="99"/>
        <v>4146.6679999999997</v>
      </c>
      <c r="CX85" s="58">
        <f t="shared" si="99"/>
        <v>4100</v>
      </c>
      <c r="CY85" s="58">
        <f t="shared" si="99"/>
        <v>4200</v>
      </c>
      <c r="DA85" s="74">
        <f t="shared" si="95"/>
        <v>140.75301281535013</v>
      </c>
      <c r="DB85" s="74">
        <f t="shared" si="103"/>
        <v>95.764225806451606</v>
      </c>
      <c r="DC85" s="74">
        <f t="shared" si="103"/>
        <v>88.272903225806459</v>
      </c>
      <c r="DD85" s="74">
        <f t="shared" si="103"/>
        <v>80.581548387096774</v>
      </c>
      <c r="DE85" s="74">
        <f t="shared" si="103"/>
        <v>74.895806451612899</v>
      </c>
      <c r="DF85" s="74">
        <f>'[2]Brazil Soy Complex'!CF77/31</f>
        <v>460.01480601223449</v>
      </c>
      <c r="DG85" s="74">
        <f>'[2]Brazil Soy Complex'!CG77/31</f>
        <v>0</v>
      </c>
      <c r="DH85" s="75">
        <f>'[2]Brazil Soy Complex'!CH77/31</f>
        <v>0</v>
      </c>
      <c r="DI85" s="75">
        <f>'[2]Brazil Soy Complex'!CI77/31</f>
        <v>0</v>
      </c>
      <c r="DJ85" s="75">
        <f t="shared" si="104"/>
        <v>93.731322580645156</v>
      </c>
      <c r="DK85" s="75">
        <f t="shared" si="104"/>
        <v>78.225806451612897</v>
      </c>
      <c r="DL85" s="75">
        <f t="shared" si="104"/>
        <v>94.354838709677423</v>
      </c>
      <c r="DN85" t="s">
        <v>121</v>
      </c>
      <c r="DO85" s="14">
        <f t="shared" si="96"/>
        <v>2518.7526666666668</v>
      </c>
    </row>
    <row r="86" spans="1:119">
      <c r="A86" s="4" t="s">
        <v>111</v>
      </c>
      <c r="C86" s="68">
        <f t="shared" si="89"/>
        <v>0.43289135828777248</v>
      </c>
      <c r="D86" s="68">
        <f t="shared" si="89"/>
        <v>0.36074279857314373</v>
      </c>
      <c r="E86" s="68">
        <f t="shared" si="89"/>
        <v>0.36074279857314373</v>
      </c>
      <c r="F86" s="68">
        <f t="shared" si="89"/>
        <v>0.79363415686091621</v>
      </c>
      <c r="G86" s="68">
        <f t="shared" si="89"/>
        <v>1.0822283957194312</v>
      </c>
      <c r="H86" s="68">
        <f t="shared" si="89"/>
        <v>1.5151197540072037</v>
      </c>
      <c r="I86" s="68">
        <f t="shared" si="89"/>
        <v>2.5973481497266349</v>
      </c>
      <c r="J86" s="68">
        <f t="shared" si="89"/>
        <v>3.3188337468729223</v>
      </c>
      <c r="K86" s="68">
        <f t="shared" si="89"/>
        <v>14.068969144352605</v>
      </c>
      <c r="L86" s="68">
        <f t="shared" si="89"/>
        <v>20.273745279810676</v>
      </c>
      <c r="M86" s="69">
        <v>40.951999999999998</v>
      </c>
      <c r="N86" s="69">
        <v>31.132999999999999</v>
      </c>
      <c r="O86" s="69">
        <v>42.515000000000001</v>
      </c>
      <c r="P86" s="69">
        <v>53.584000000000003</v>
      </c>
      <c r="Q86" s="69">
        <v>43.762999999999998</v>
      </c>
      <c r="R86" s="69">
        <v>24.391999999999999</v>
      </c>
      <c r="S86" s="69">
        <v>39.281999999999996</v>
      </c>
      <c r="T86" s="69">
        <v>132.91200000000001</v>
      </c>
      <c r="U86" s="69">
        <v>169.636</v>
      </c>
      <c r="V86" s="69">
        <v>241.46700000000001</v>
      </c>
      <c r="W86" s="69">
        <v>188.49700000000001</v>
      </c>
      <c r="X86" s="69">
        <v>141.79499999999999</v>
      </c>
      <c r="Y86" s="69">
        <v>110.05</v>
      </c>
      <c r="Z86" s="69">
        <v>439.88</v>
      </c>
      <c r="AA86" s="69">
        <v>418.03800000000001</v>
      </c>
      <c r="AB86" s="69">
        <v>395.63900000000001</v>
      </c>
      <c r="AC86" s="69">
        <v>446.286</v>
      </c>
      <c r="AD86" s="69">
        <v>375.875</v>
      </c>
      <c r="AE86" s="71">
        <v>578.50300000000004</v>
      </c>
      <c r="AF86" s="70">
        <v>471.77699999999999</v>
      </c>
      <c r="AG86" s="70">
        <v>591.68799999999999</v>
      </c>
      <c r="AH86" s="70">
        <v>357.24700000000001</v>
      </c>
      <c r="AI86" s="71">
        <v>255.59700000000001</v>
      </c>
      <c r="AJ86" s="71">
        <v>822.85400000000004</v>
      </c>
      <c r="AK86" s="71">
        <v>843.54899999999998</v>
      </c>
      <c r="AL86" s="71">
        <v>362.03800000000001</v>
      </c>
      <c r="AM86" s="71">
        <v>879.947</v>
      </c>
      <c r="AN86" s="72">
        <v>1352.018</v>
      </c>
      <c r="AO86" s="72">
        <v>1371.68</v>
      </c>
      <c r="AP86" s="72">
        <v>1799.9359999999999</v>
      </c>
      <c r="AQ86" s="72">
        <v>1936.0196100000001</v>
      </c>
      <c r="AR86" s="72">
        <v>1874.826</v>
      </c>
      <c r="AS86" s="72">
        <v>2177.2040000000002</v>
      </c>
      <c r="AT86" s="72">
        <v>2084.0340000000001</v>
      </c>
      <c r="AU86" s="72">
        <v>1402.992</v>
      </c>
      <c r="AV86" s="72">
        <v>2049.6849999999999</v>
      </c>
      <c r="AW86" s="72">
        <v>2270.4169999999999</v>
      </c>
      <c r="AX86" s="72">
        <v>1212.383</v>
      </c>
      <c r="AY86" s="72">
        <v>1533.672</v>
      </c>
      <c r="AZ86" s="72">
        <v>2110.7640000000001</v>
      </c>
      <c r="BA86" s="71">
        <v>3205.3069999999998</v>
      </c>
      <c r="BB86" s="71">
        <v>2624.6410000000001</v>
      </c>
      <c r="BC86" s="71">
        <v>2376.4989999999998</v>
      </c>
      <c r="BD86" s="71">
        <v>2349.6480000000001</v>
      </c>
      <c r="BE86" s="71">
        <v>2633.4920000000002</v>
      </c>
      <c r="BF86" s="71">
        <v>2855.7559999999999</v>
      </c>
      <c r="BG86" s="71">
        <v>2643.817</v>
      </c>
      <c r="BH86" s="71">
        <v>1554.451</v>
      </c>
      <c r="BI86" s="71">
        <v>2362.125</v>
      </c>
      <c r="BJ86" s="71">
        <v>2644.364</v>
      </c>
      <c r="BK86" s="73">
        <f t="shared" si="102"/>
        <v>2750</v>
      </c>
      <c r="BL86" s="73">
        <f t="shared" si="90"/>
        <v>2675</v>
      </c>
      <c r="BM86" s="73">
        <f t="shared" si="91"/>
        <v>2800</v>
      </c>
      <c r="BN86" s="73">
        <f t="shared" si="91"/>
        <v>2800</v>
      </c>
      <c r="BO86" s="73">
        <f t="shared" si="91"/>
        <v>2775</v>
      </c>
      <c r="BP86" s="73">
        <f t="shared" si="91"/>
        <v>2800</v>
      </c>
      <c r="BQ86" s="73">
        <f t="shared" si="91"/>
        <v>2800</v>
      </c>
      <c r="BR86" s="73">
        <f t="shared" si="91"/>
        <v>2800</v>
      </c>
      <c r="BS86" s="73">
        <f t="shared" si="91"/>
        <v>2800</v>
      </c>
      <c r="BT86" s="73">
        <f t="shared" si="91"/>
        <v>2800</v>
      </c>
      <c r="BU86" s="73">
        <f t="shared" si="91"/>
        <v>2800</v>
      </c>
      <c r="BV86" s="56" t="s">
        <v>130</v>
      </c>
      <c r="BW86" s="59">
        <f t="shared" si="97"/>
        <v>1660.79</v>
      </c>
      <c r="BX86" s="59">
        <f t="shared" si="97"/>
        <v>1472.559</v>
      </c>
      <c r="BY86" s="59">
        <f t="shared" si="97"/>
        <v>1508.319</v>
      </c>
      <c r="BZ86" s="59">
        <f t="shared" si="97"/>
        <v>1765.385</v>
      </c>
      <c r="CA86" s="59">
        <f t="shared" si="97"/>
        <v>1818.4670000000001</v>
      </c>
      <c r="CB86" s="59">
        <f t="shared" si="97"/>
        <v>2166.7089999999998</v>
      </c>
      <c r="CC86" s="59">
        <f t="shared" si="97"/>
        <v>1926.5350000000001</v>
      </c>
      <c r="CD86" s="59">
        <f t="shared" si="97"/>
        <v>2077.8760000000002</v>
      </c>
      <c r="CE86" s="59">
        <f t="shared" si="97"/>
        <v>2682.96</v>
      </c>
      <c r="CF86" s="59">
        <f t="shared" si="97"/>
        <v>3426.0079999999998</v>
      </c>
      <c r="CG86" s="59">
        <f t="shared" si="97"/>
        <v>2602.1120000000001</v>
      </c>
      <c r="CH86" s="59">
        <f t="shared" si="97"/>
        <v>2349.6129999999998</v>
      </c>
      <c r="CI86" s="59">
        <f t="shared" si="97"/>
        <v>3146.143</v>
      </c>
      <c r="CJ86" s="59">
        <f t="shared" si="97"/>
        <v>3007.7860000000001</v>
      </c>
      <c r="CK86" s="59">
        <f t="shared" si="97"/>
        <v>2237.5050000000001</v>
      </c>
      <c r="CL86" s="59">
        <f t="shared" si="97"/>
        <v>2318.9670000000001</v>
      </c>
      <c r="CM86" s="59">
        <f t="shared" si="98"/>
        <v>3192.3679999999999</v>
      </c>
      <c r="CN86" s="59">
        <f t="shared" si="98"/>
        <v>3006.1089999999999</v>
      </c>
      <c r="CO86" s="59">
        <f t="shared" si="98"/>
        <v>3645.433</v>
      </c>
      <c r="CP86" s="59">
        <f t="shared" si="98"/>
        <v>3352.3620000000001</v>
      </c>
      <c r="CQ86" s="59">
        <f t="shared" si="98"/>
        <v>3170.5230000000001</v>
      </c>
      <c r="CR86" s="59">
        <f t="shared" si="98"/>
        <v>2934.14</v>
      </c>
      <c r="CS86" s="59">
        <f>'[2]Brazil Soy Complex'!CF75</f>
        <v>10097</v>
      </c>
      <c r="CT86" s="59">
        <f>'[2]Brazil Soy Complex'!CG75</f>
        <v>0</v>
      </c>
      <c r="CU86" s="59">
        <f>'[2]Brazil Soy Complex'!CH75</f>
        <v>0</v>
      </c>
      <c r="CV86" s="58">
        <f>'[2]Brazil Soy Complex'!CI75</f>
        <v>0</v>
      </c>
      <c r="CW86" s="58">
        <f t="shared" si="99"/>
        <v>3437.203</v>
      </c>
      <c r="CX86" s="58">
        <f t="shared" si="99"/>
        <v>3075</v>
      </c>
      <c r="CY86" s="58">
        <f t="shared" si="99"/>
        <v>3475</v>
      </c>
      <c r="DA86" s="74">
        <f t="shared" si="95"/>
        <v>51.920206650246314</v>
      </c>
      <c r="DB86" s="74">
        <f>BB86/28</f>
        <v>93.737178571428572</v>
      </c>
      <c r="DC86" s="74">
        <f>BC86/28</f>
        <v>84.874964285714285</v>
      </c>
      <c r="DD86" s="74">
        <f>BD86/28</f>
        <v>83.916000000000011</v>
      </c>
      <c r="DE86" s="74">
        <f>BE86/29</f>
        <v>90.810068965517246</v>
      </c>
      <c r="DF86" s="74">
        <f>'[2]Brazil Soy Complex'!CF66/28</f>
        <v>0</v>
      </c>
      <c r="DG86" s="74">
        <f>'[2]Brazil Soy Complex'!CG66/28</f>
        <v>0</v>
      </c>
      <c r="DH86" s="75">
        <f>'[2]Brazil Soy Complex'!CH66/28</f>
        <v>0</v>
      </c>
      <c r="DI86" s="75">
        <f>'[2]Brazil Soy Complex'!CI66/29</f>
        <v>0</v>
      </c>
      <c r="DJ86" s="75">
        <f>BJ86/28</f>
        <v>94.441571428571436</v>
      </c>
      <c r="DK86" s="75">
        <f>BK86/28</f>
        <v>98.214285714285708</v>
      </c>
      <c r="DL86" s="75">
        <f>BL86/28</f>
        <v>95.535714285714292</v>
      </c>
      <c r="DN86" t="s">
        <v>123</v>
      </c>
      <c r="DO86" s="14">
        <f t="shared" si="96"/>
        <v>2453.2130000000002</v>
      </c>
    </row>
    <row r="87" spans="1:119">
      <c r="A87" s="4" t="s">
        <v>112</v>
      </c>
      <c r="C87" s="68">
        <f t="shared" si="89"/>
        <v>0.31345699466273519</v>
      </c>
      <c r="D87" s="68">
        <f t="shared" si="89"/>
        <v>0.261214162218946</v>
      </c>
      <c r="E87" s="68">
        <f t="shared" si="89"/>
        <v>0.261214162218946</v>
      </c>
      <c r="F87" s="68">
        <f t="shared" si="89"/>
        <v>0.57467115688168113</v>
      </c>
      <c r="G87" s="68">
        <f t="shared" si="89"/>
        <v>0.78364248665683789</v>
      </c>
      <c r="H87" s="68">
        <f t="shared" si="89"/>
        <v>1.0970994813195731</v>
      </c>
      <c r="I87" s="68">
        <f t="shared" si="89"/>
        <v>1.880741967976411</v>
      </c>
      <c r="J87" s="68">
        <f t="shared" si="89"/>
        <v>2.4031702924143028</v>
      </c>
      <c r="K87" s="68">
        <f t="shared" si="89"/>
        <v>10.187352326538893</v>
      </c>
      <c r="L87" s="68">
        <f t="shared" si="89"/>
        <v>14.680235916704763</v>
      </c>
      <c r="M87" s="69">
        <v>33.082000000000001</v>
      </c>
      <c r="N87" s="69">
        <v>33.216000000000001</v>
      </c>
      <c r="O87" s="69">
        <v>32.234000000000002</v>
      </c>
      <c r="P87" s="69">
        <v>40.691000000000003</v>
      </c>
      <c r="Q87" s="69">
        <v>14.247999999999999</v>
      </c>
      <c r="R87" s="69">
        <v>7.5170000000000003</v>
      </c>
      <c r="S87" s="69">
        <v>44.005000000000003</v>
      </c>
      <c r="T87" s="69">
        <v>76.748999999999995</v>
      </c>
      <c r="U87" s="69">
        <v>180.90600000000001</v>
      </c>
      <c r="V87" s="69">
        <v>237.602</v>
      </c>
      <c r="W87" s="69">
        <v>171.75200000000001</v>
      </c>
      <c r="X87" s="69">
        <v>85.03</v>
      </c>
      <c r="Y87" s="69">
        <v>43.268999999999998</v>
      </c>
      <c r="Z87" s="69">
        <v>197.33500000000001</v>
      </c>
      <c r="AA87" s="69">
        <v>391.09300000000002</v>
      </c>
      <c r="AB87" s="69">
        <v>423.36799999999999</v>
      </c>
      <c r="AC87" s="69">
        <v>306.68</v>
      </c>
      <c r="AD87" s="69">
        <v>172.072</v>
      </c>
      <c r="AE87" s="71">
        <v>283.49299999999999</v>
      </c>
      <c r="AF87" s="70">
        <v>243.22300000000001</v>
      </c>
      <c r="AG87" s="70">
        <v>319.03300000000002</v>
      </c>
      <c r="AH87" s="70">
        <v>346.15300000000002</v>
      </c>
      <c r="AI87" s="71">
        <v>369.30200000000002</v>
      </c>
      <c r="AJ87" s="71">
        <v>619.12599999999998</v>
      </c>
      <c r="AK87" s="71">
        <v>702.34699999999998</v>
      </c>
      <c r="AL87" s="71">
        <v>870.37699999999995</v>
      </c>
      <c r="AM87" s="71">
        <v>1112.6990000000001</v>
      </c>
      <c r="AN87" s="72">
        <v>1501.3409999999999</v>
      </c>
      <c r="AO87" s="72">
        <v>1525.7639999999999</v>
      </c>
      <c r="AP87" s="72">
        <v>1924.8869999999999</v>
      </c>
      <c r="AQ87" s="72">
        <v>2272.5830000000001</v>
      </c>
      <c r="AR87" s="72">
        <v>2362.2930000000001</v>
      </c>
      <c r="AS87" s="72">
        <v>1179.405</v>
      </c>
      <c r="AT87" s="72">
        <v>2074.538</v>
      </c>
      <c r="AU87" s="72">
        <v>1710.364</v>
      </c>
      <c r="AV87" s="72">
        <v>2754.1880000000001</v>
      </c>
      <c r="AW87" s="72">
        <v>2441.3649999999998</v>
      </c>
      <c r="AX87" s="72">
        <v>1721.068</v>
      </c>
      <c r="AY87" s="72">
        <v>2108.4319999999998</v>
      </c>
      <c r="AZ87" s="72">
        <v>2273.9079999999999</v>
      </c>
      <c r="BA87" s="71">
        <v>3230.5889999999999</v>
      </c>
      <c r="BB87" s="71">
        <v>3364.145</v>
      </c>
      <c r="BC87" s="71">
        <v>3050.1</v>
      </c>
      <c r="BD87" s="71">
        <v>2913.0479999999998</v>
      </c>
      <c r="BE87" s="71">
        <v>2749.9879999999998</v>
      </c>
      <c r="BF87" s="71">
        <v>3395.9490000000001</v>
      </c>
      <c r="BG87" s="71">
        <v>2934.752</v>
      </c>
      <c r="BH87" s="71">
        <v>2111.7359999999999</v>
      </c>
      <c r="BI87" s="71">
        <v>2907.942</v>
      </c>
      <c r="BJ87" s="71">
        <v>3231.78</v>
      </c>
      <c r="BK87" s="73">
        <f t="shared" ref="BK87:BO87" si="105">BK88-SUM(BK76:BK86)</f>
        <v>4591.6319999999978</v>
      </c>
      <c r="BL87" s="73">
        <f t="shared" si="105"/>
        <v>3250</v>
      </c>
      <c r="BM87" s="73">
        <f t="shared" si="105"/>
        <v>4050</v>
      </c>
      <c r="BN87" s="73">
        <f t="shared" si="105"/>
        <v>4000</v>
      </c>
      <c r="BO87" s="73">
        <f t="shared" si="105"/>
        <v>3675</v>
      </c>
      <c r="BP87" s="73">
        <f t="shared" ref="BP87:BU87" si="106">BP88-SUM(BP76:BP86)</f>
        <v>3975</v>
      </c>
      <c r="BQ87" s="73">
        <f t="shared" si="106"/>
        <v>3775</v>
      </c>
      <c r="BR87" s="73">
        <f t="shared" si="106"/>
        <v>3750</v>
      </c>
      <c r="BS87" s="73">
        <f t="shared" si="106"/>
        <v>3825</v>
      </c>
      <c r="BT87" s="73">
        <f t="shared" si="106"/>
        <v>3750</v>
      </c>
      <c r="BU87" s="73">
        <f t="shared" si="106"/>
        <v>3725</v>
      </c>
      <c r="BV87" s="56" t="s">
        <v>131</v>
      </c>
      <c r="BW87" s="59">
        <f t="shared" si="97"/>
        <v>1377.126</v>
      </c>
      <c r="BX87" s="59">
        <f t="shared" si="97"/>
        <v>1136.6079999999999</v>
      </c>
      <c r="BY87" s="59">
        <f t="shared" si="97"/>
        <v>1207.575</v>
      </c>
      <c r="BZ87" s="59">
        <f t="shared" si="97"/>
        <v>1600.48</v>
      </c>
      <c r="CA87" s="59">
        <f t="shared" si="97"/>
        <v>1727.1590000000001</v>
      </c>
      <c r="CB87" s="59">
        <f t="shared" si="97"/>
        <v>1910.9690000000001</v>
      </c>
      <c r="CC87" s="59">
        <f t="shared" si="97"/>
        <v>1659.1869999999999</v>
      </c>
      <c r="CD87" s="59">
        <f t="shared" si="97"/>
        <v>2585.7559999999999</v>
      </c>
      <c r="CE87" s="59">
        <f t="shared" si="97"/>
        <v>2610.7109999999998</v>
      </c>
      <c r="CF87" s="59">
        <f t="shared" si="97"/>
        <v>3599.3029999999999</v>
      </c>
      <c r="CG87" s="59">
        <f t="shared" si="97"/>
        <v>2338.1390000000001</v>
      </c>
      <c r="CH87" s="59">
        <f t="shared" si="97"/>
        <v>1981.08</v>
      </c>
      <c r="CI87" s="59">
        <f t="shared" si="97"/>
        <v>2680.355</v>
      </c>
      <c r="CJ87" s="59">
        <f t="shared" si="97"/>
        <v>2847.2429999999999</v>
      </c>
      <c r="CK87" s="59">
        <f t="shared" si="97"/>
        <v>1957.999</v>
      </c>
      <c r="CL87" s="59">
        <f t="shared" si="97"/>
        <v>1768.6679999999999</v>
      </c>
      <c r="CM87" s="59">
        <f t="shared" si="98"/>
        <v>2484.7420000000002</v>
      </c>
      <c r="CN87" s="59">
        <f t="shared" si="98"/>
        <v>2620.9639999999999</v>
      </c>
      <c r="CO87" s="59">
        <f t="shared" si="98"/>
        <v>3384.2550000000001</v>
      </c>
      <c r="CP87" s="59">
        <f t="shared" si="98"/>
        <v>2178.9119999999998</v>
      </c>
      <c r="CQ87" s="59">
        <f t="shared" si="98"/>
        <v>2438.607</v>
      </c>
      <c r="CR87" s="59">
        <f t="shared" si="98"/>
        <v>2745.01</v>
      </c>
      <c r="CS87" s="59">
        <f>'[2]Brazil Soy Complex'!CF76</f>
        <v>12145.554717085937</v>
      </c>
      <c r="CT87" s="59">
        <f>'[2]Brazil Soy Complex'!CG76</f>
        <v>0</v>
      </c>
      <c r="CU87" s="59">
        <f>'[2]Brazil Soy Complex'!CH76</f>
        <v>0</v>
      </c>
      <c r="CV87" s="58">
        <f>'[2]Brazil Soy Complex'!CI76</f>
        <v>0</v>
      </c>
      <c r="CW87" s="58">
        <f t="shared" si="99"/>
        <v>3659.7330000000002</v>
      </c>
      <c r="CX87" s="58">
        <f t="shared" si="99"/>
        <v>2875</v>
      </c>
      <c r="CY87" s="58">
        <f t="shared" si="99"/>
        <v>3700</v>
      </c>
      <c r="CZ87" s="76">
        <f>SUM(CU85:CU87)/(SUM(CP85:CT87)/5)</f>
        <v>0</v>
      </c>
      <c r="DA87" s="74">
        <f t="shared" si="95"/>
        <v>56.213780645161293</v>
      </c>
      <c r="DB87" s="74">
        <f>BB87/31</f>
        <v>108.5208064516129</v>
      </c>
      <c r="DC87" s="74">
        <f>BC87/31</f>
        <v>98.390322580645162</v>
      </c>
      <c r="DD87" s="74">
        <f>BD87/31</f>
        <v>93.969290322580633</v>
      </c>
      <c r="DE87" s="74">
        <f>BE87/31</f>
        <v>88.709290322580642</v>
      </c>
      <c r="DF87" s="74">
        <f>'[2]Brazil Soy Complex'!CF67/31</f>
        <v>0</v>
      </c>
      <c r="DG87" s="74">
        <f>'[2]Brazil Soy Complex'!CG67/31</f>
        <v>0</v>
      </c>
      <c r="DH87" s="75">
        <f>'[2]Brazil Soy Complex'!CH67/31</f>
        <v>0</v>
      </c>
      <c r="DI87" s="75">
        <f>'[2]Brazil Soy Complex'!CI67/31</f>
        <v>0</v>
      </c>
      <c r="DJ87" s="75">
        <f>BJ87/31</f>
        <v>104.2509677419355</v>
      </c>
      <c r="DK87" s="75">
        <f>BK87/31</f>
        <v>148.11716129032251</v>
      </c>
      <c r="DL87" s="75">
        <f>BL87/31</f>
        <v>104.83870967741936</v>
      </c>
      <c r="DN87" t="s">
        <v>124</v>
      </c>
      <c r="DO87" s="14">
        <f t="shared" si="96"/>
        <v>2904.378666666666</v>
      </c>
    </row>
    <row r="88" spans="1:119" ht="15.75" thickBot="1">
      <c r="A88" s="4" t="s">
        <v>113</v>
      </c>
      <c r="C88" s="14">
        <v>6</v>
      </c>
      <c r="D88" s="14">
        <v>5</v>
      </c>
      <c r="E88" s="14">
        <v>5</v>
      </c>
      <c r="F88" s="14">
        <v>11</v>
      </c>
      <c r="G88" s="14">
        <v>15</v>
      </c>
      <c r="H88" s="14">
        <v>21</v>
      </c>
      <c r="I88" s="14">
        <v>36</v>
      </c>
      <c r="J88" s="14">
        <v>46</v>
      </c>
      <c r="K88" s="14">
        <v>195</v>
      </c>
      <c r="L88" s="14">
        <v>281</v>
      </c>
      <c r="M88" s="14">
        <f t="shared" ref="M88:BI88" si="107">SUM(M76:M87)</f>
        <v>529.07000000000005</v>
      </c>
      <c r="N88" s="14">
        <f t="shared" si="107"/>
        <v>495.73900000000003</v>
      </c>
      <c r="O88" s="14">
        <f t="shared" si="107"/>
        <v>588.50000000000011</v>
      </c>
      <c r="P88" s="14">
        <f t="shared" si="107"/>
        <v>686.32899999999995</v>
      </c>
      <c r="Q88" s="14">
        <f t="shared" si="107"/>
        <v>638.00900000000001</v>
      </c>
      <c r="R88" s="14">
        <f t="shared" si="107"/>
        <v>720.12300000000027</v>
      </c>
      <c r="S88" s="14">
        <f t="shared" si="107"/>
        <v>1097.2990000000002</v>
      </c>
      <c r="T88" s="14">
        <f t="shared" si="107"/>
        <v>2005.7009999999998</v>
      </c>
      <c r="U88" s="14">
        <f t="shared" si="107"/>
        <v>2398.8089999999997</v>
      </c>
      <c r="V88" s="14">
        <f t="shared" si="107"/>
        <v>3619.6929999999998</v>
      </c>
      <c r="W88" s="14">
        <f t="shared" si="107"/>
        <v>3448.2879999999996</v>
      </c>
      <c r="X88" s="14">
        <f t="shared" si="107"/>
        <v>4343.991</v>
      </c>
      <c r="Y88" s="14">
        <f t="shared" si="107"/>
        <v>4969.6259999999993</v>
      </c>
      <c r="Z88" s="14">
        <f t="shared" si="107"/>
        <v>6969.3049999999994</v>
      </c>
      <c r="AA88" s="14">
        <f t="shared" si="107"/>
        <v>5412.7560000000003</v>
      </c>
      <c r="AB88" s="14">
        <f t="shared" si="107"/>
        <v>6563.77</v>
      </c>
      <c r="AC88" s="14">
        <f t="shared" si="107"/>
        <v>7391.2180000000008</v>
      </c>
      <c r="AD88" s="14">
        <f t="shared" si="107"/>
        <v>8049.0890000000018</v>
      </c>
      <c r="AE88" s="59">
        <f t="shared" si="107"/>
        <v>8739.6710000000021</v>
      </c>
      <c r="AF88" s="59">
        <f t="shared" si="107"/>
        <v>8771.5759999999991</v>
      </c>
      <c r="AG88" s="59">
        <f t="shared" si="107"/>
        <v>9352.1620000000003</v>
      </c>
      <c r="AH88" s="59">
        <f t="shared" si="107"/>
        <v>9944.510000000002</v>
      </c>
      <c r="AI88" s="59">
        <f t="shared" si="107"/>
        <v>10423.478999999998</v>
      </c>
      <c r="AJ88" s="59">
        <f t="shared" si="107"/>
        <v>16742.424999999999</v>
      </c>
      <c r="AK88" s="59">
        <f t="shared" si="107"/>
        <v>17108.486000000001</v>
      </c>
      <c r="AL88" s="59">
        <f t="shared" si="107"/>
        <v>16514.388999999999</v>
      </c>
      <c r="AM88" s="59">
        <f t="shared" si="107"/>
        <v>19506.561000000002</v>
      </c>
      <c r="AN88" s="59">
        <f t="shared" si="107"/>
        <v>22397.495000000003</v>
      </c>
      <c r="AO88" s="59">
        <f t="shared" si="107"/>
        <v>24789.88</v>
      </c>
      <c r="AP88" s="59">
        <f t="shared" si="107"/>
        <v>25072.182999999997</v>
      </c>
      <c r="AQ88" s="59">
        <f t="shared" si="107"/>
        <v>29559.983609999996</v>
      </c>
      <c r="AR88" s="59">
        <f t="shared" si="107"/>
        <v>32748.409000000003</v>
      </c>
      <c r="AS88" s="59">
        <f t="shared" si="107"/>
        <v>35969.152000000002</v>
      </c>
      <c r="AT88" s="59">
        <f t="shared" si="107"/>
        <v>31883.147000000001</v>
      </c>
      <c r="AU88" s="59">
        <f t="shared" si="107"/>
        <v>28554.993999999995</v>
      </c>
      <c r="AV88" s="59">
        <f t="shared" si="107"/>
        <v>39195.923999999999</v>
      </c>
      <c r="AW88" s="59">
        <f t="shared" si="107"/>
        <v>37521.087999999996</v>
      </c>
      <c r="AX88" s="59">
        <f t="shared" si="107"/>
        <v>30681.328000000001</v>
      </c>
      <c r="AY88" s="59">
        <f t="shared" si="107"/>
        <v>35009.076999999997</v>
      </c>
      <c r="AZ88" s="59">
        <f t="shared" si="107"/>
        <v>38502.619000000006</v>
      </c>
      <c r="BA88" s="59">
        <f t="shared" si="107"/>
        <v>45109.788</v>
      </c>
      <c r="BB88" s="59">
        <f t="shared" si="107"/>
        <v>43093.624000000003</v>
      </c>
      <c r="BC88" s="59">
        <f t="shared" si="107"/>
        <v>41029.673000000003</v>
      </c>
      <c r="BD88" s="59">
        <f t="shared" si="107"/>
        <v>36342.683000000005</v>
      </c>
      <c r="BE88" s="59">
        <f t="shared" si="107"/>
        <v>41188.265999999996</v>
      </c>
      <c r="BF88" s="59">
        <f t="shared" si="107"/>
        <v>37871.895000000004</v>
      </c>
      <c r="BG88" s="59">
        <f>SUM(BG76:BG87)</f>
        <v>41053.493000000002</v>
      </c>
      <c r="BH88" s="59">
        <f t="shared" si="107"/>
        <v>35911.987000000001</v>
      </c>
      <c r="BI88" s="59">
        <f t="shared" si="107"/>
        <v>28985.894999999997</v>
      </c>
      <c r="BJ88" s="59">
        <f>SUM(BJ76:BJ87)</f>
        <v>43549.91</v>
      </c>
      <c r="BK88" s="58">
        <f t="shared" ref="BK88:BU88" si="108">BK12</f>
        <v>43000</v>
      </c>
      <c r="BL88" s="58">
        <f t="shared" si="108"/>
        <v>44000</v>
      </c>
      <c r="BM88" s="58">
        <f t="shared" si="108"/>
        <v>45000</v>
      </c>
      <c r="BN88" s="58">
        <f t="shared" si="108"/>
        <v>45000</v>
      </c>
      <c r="BO88" s="58">
        <f t="shared" si="108"/>
        <v>45000</v>
      </c>
      <c r="BP88" s="58">
        <f t="shared" si="108"/>
        <v>45000</v>
      </c>
      <c r="BQ88" s="58">
        <f t="shared" si="108"/>
        <v>45000</v>
      </c>
      <c r="BR88" s="58">
        <f t="shared" si="108"/>
        <v>45000</v>
      </c>
      <c r="BS88" s="58">
        <f t="shared" si="108"/>
        <v>45000</v>
      </c>
      <c r="BT88" s="58">
        <f t="shared" si="108"/>
        <v>45000</v>
      </c>
      <c r="BU88" s="58">
        <f t="shared" si="108"/>
        <v>45000</v>
      </c>
      <c r="BV88" s="56" t="s">
        <v>132</v>
      </c>
      <c r="BW88" s="56">
        <f t="shared" ref="BW88:CY88" si="109">SUM(BW76:BW87)</f>
        <v>15307.439999999999</v>
      </c>
      <c r="BX88" s="56">
        <f t="shared" si="109"/>
        <v>17057.714999999997</v>
      </c>
      <c r="BY88" s="56">
        <f t="shared" si="109"/>
        <v>17030.932000000001</v>
      </c>
      <c r="BZ88" s="56">
        <f t="shared" si="109"/>
        <v>18274.212</v>
      </c>
      <c r="CA88" s="56">
        <f t="shared" si="109"/>
        <v>21393.528000000002</v>
      </c>
      <c r="CB88" s="56">
        <f t="shared" si="109"/>
        <v>24294.819</v>
      </c>
      <c r="CC88" s="56">
        <f t="shared" si="109"/>
        <v>24229.485999999997</v>
      </c>
      <c r="CD88" s="56">
        <f t="shared" si="109"/>
        <v>28690.418999999998</v>
      </c>
      <c r="CE88" s="56">
        <f t="shared" si="109"/>
        <v>32731.607610000003</v>
      </c>
      <c r="CF88" s="56">
        <f t="shared" si="109"/>
        <v>36268.043999999994</v>
      </c>
      <c r="CG88" s="56">
        <f t="shared" si="109"/>
        <v>31709.219000000005</v>
      </c>
      <c r="CH88" s="56">
        <f t="shared" si="109"/>
        <v>30285.621999999996</v>
      </c>
      <c r="CI88" s="56">
        <f t="shared" si="109"/>
        <v>36824.921000000002</v>
      </c>
      <c r="CJ88" s="56">
        <f t="shared" si="109"/>
        <v>37339.854000000007</v>
      </c>
      <c r="CK88" s="56">
        <f t="shared" si="109"/>
        <v>33333.313000000002</v>
      </c>
      <c r="CL88" s="56">
        <f t="shared" si="109"/>
        <v>34040.868999999999</v>
      </c>
      <c r="CM88" s="56">
        <f t="shared" si="109"/>
        <v>37936.185999999994</v>
      </c>
      <c r="CN88" s="56">
        <f t="shared" si="109"/>
        <v>40940.318999999996</v>
      </c>
      <c r="CO88" s="56">
        <f t="shared" si="109"/>
        <v>44482.509999999995</v>
      </c>
      <c r="CP88" s="56">
        <f t="shared" si="109"/>
        <v>41824.091</v>
      </c>
      <c r="CQ88" s="56">
        <f t="shared" si="109"/>
        <v>36745.017999999996</v>
      </c>
      <c r="CR88" s="56">
        <f t="shared" si="109"/>
        <v>41243.74</v>
      </c>
      <c r="CS88" s="56">
        <f t="shared" si="109"/>
        <v>33041.971311085937</v>
      </c>
      <c r="CT88" s="56">
        <f t="shared" si="109"/>
        <v>14260.45898637927</v>
      </c>
      <c r="CU88" s="56">
        <f t="shared" si="109"/>
        <v>0</v>
      </c>
      <c r="CV88" s="57">
        <f t="shared" si="109"/>
        <v>0</v>
      </c>
      <c r="CW88" s="57">
        <f t="shared" si="109"/>
        <v>34768.095000000001</v>
      </c>
      <c r="CX88" s="57">
        <f t="shared" si="109"/>
        <v>42015.182999999997</v>
      </c>
      <c r="CY88" s="57">
        <f t="shared" si="109"/>
        <v>44916.631999999998</v>
      </c>
      <c r="DB88" s="74">
        <f t="shared" ref="DB88:DL88" si="110">AVERAGE(DB76:DB87)</f>
        <v>117.93957859062978</v>
      </c>
      <c r="DC88" s="74">
        <f t="shared" si="110"/>
        <v>112.27994379800306</v>
      </c>
      <c r="DD88" s="74">
        <f t="shared" si="110"/>
        <v>99.507361379928327</v>
      </c>
      <c r="DE88" s="74">
        <f t="shared" si="110"/>
        <v>112.48309929551355</v>
      </c>
      <c r="DF88" s="74">
        <f t="shared" si="110"/>
        <v>107.53023377454804</v>
      </c>
      <c r="DG88" s="74">
        <f t="shared" si="110"/>
        <v>0</v>
      </c>
      <c r="DH88" s="75">
        <f t="shared" si="110"/>
        <v>0</v>
      </c>
      <c r="DI88" s="75">
        <f t="shared" si="110"/>
        <v>0</v>
      </c>
      <c r="DJ88" s="75">
        <f t="shared" si="110"/>
        <v>119.20644045058884</v>
      </c>
      <c r="DK88" s="75">
        <f t="shared" si="110"/>
        <v>117.69811673067075</v>
      </c>
      <c r="DL88" s="75">
        <f t="shared" si="110"/>
        <v>120.43890809011775</v>
      </c>
    </row>
    <row r="89" spans="1:119">
      <c r="A89" s="60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2">
        <f>BH88-BI88</f>
        <v>6926.0920000000042</v>
      </c>
      <c r="BJ89" s="61">
        <f>(BJ88/BI88)-1</f>
        <v>0.5024517959510999</v>
      </c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</row>
    <row r="90" spans="1:119" ht="15.75" thickBot="1">
      <c r="A90" s="53" t="s">
        <v>133</v>
      </c>
      <c r="BI90">
        <f>(BI85/BI84)-1</f>
        <v>0.1221431904827619</v>
      </c>
      <c r="CK90" s="53" t="s">
        <v>134</v>
      </c>
    </row>
    <row r="91" spans="1:119" s="4" customFormat="1" ht="15.75" thickBot="1">
      <c r="A91" s="54"/>
      <c r="B91" s="63" t="s">
        <v>1</v>
      </c>
      <c r="C91" s="63" t="s">
        <v>2</v>
      </c>
      <c r="D91" s="63" t="s">
        <v>3</v>
      </c>
      <c r="E91" s="63" t="s">
        <v>4</v>
      </c>
      <c r="F91" s="63" t="s">
        <v>5</v>
      </c>
      <c r="G91" s="63" t="s">
        <v>6</v>
      </c>
      <c r="H91" s="63" t="s">
        <v>7</v>
      </c>
      <c r="I91" s="63" t="s">
        <v>8</v>
      </c>
      <c r="J91" s="63" t="s">
        <v>9</v>
      </c>
      <c r="K91" s="63" t="s">
        <v>10</v>
      </c>
      <c r="L91" s="63" t="s">
        <v>11</v>
      </c>
      <c r="M91" s="55" t="s">
        <v>12</v>
      </c>
      <c r="N91" s="55" t="s">
        <v>13</v>
      </c>
      <c r="O91" s="55" t="s">
        <v>14</v>
      </c>
      <c r="P91" s="55" t="s">
        <v>15</v>
      </c>
      <c r="Q91" s="55" t="s">
        <v>16</v>
      </c>
      <c r="R91" s="55" t="s">
        <v>17</v>
      </c>
      <c r="S91" s="55" t="s">
        <v>18</v>
      </c>
      <c r="T91" s="55" t="s">
        <v>19</v>
      </c>
      <c r="U91" s="55" t="s">
        <v>20</v>
      </c>
      <c r="V91" s="55" t="s">
        <v>21</v>
      </c>
      <c r="W91" s="55" t="s">
        <v>22</v>
      </c>
      <c r="X91" s="55" t="s">
        <v>23</v>
      </c>
      <c r="Y91" s="55" t="s">
        <v>24</v>
      </c>
      <c r="Z91" s="55" t="s">
        <v>25</v>
      </c>
      <c r="AA91" s="55" t="s">
        <v>26</v>
      </c>
      <c r="AB91" s="55" t="s">
        <v>27</v>
      </c>
      <c r="AC91" s="55" t="s">
        <v>28</v>
      </c>
      <c r="AD91" s="55" t="s">
        <v>29</v>
      </c>
      <c r="AE91" s="55" t="s">
        <v>30</v>
      </c>
      <c r="AF91" s="55" t="s">
        <v>31</v>
      </c>
      <c r="AG91" s="55" t="s">
        <v>32</v>
      </c>
      <c r="AH91" s="55" t="s">
        <v>33</v>
      </c>
      <c r="AI91" s="55" t="s">
        <v>34</v>
      </c>
      <c r="AJ91" s="55" t="s">
        <v>35</v>
      </c>
      <c r="AK91" s="55" t="s">
        <v>36</v>
      </c>
      <c r="AL91" s="55" t="s">
        <v>37</v>
      </c>
      <c r="AM91" s="55" t="s">
        <v>38</v>
      </c>
      <c r="AN91" s="55" t="s">
        <v>39</v>
      </c>
      <c r="AO91" s="55" t="s">
        <v>40</v>
      </c>
      <c r="AP91" s="55" t="s">
        <v>41</v>
      </c>
      <c r="AQ91" s="55" t="s">
        <v>42</v>
      </c>
      <c r="AR91" s="55" t="s">
        <v>43</v>
      </c>
      <c r="AS91" s="55" t="s">
        <v>44</v>
      </c>
      <c r="AT91" s="55" t="s">
        <v>45</v>
      </c>
      <c r="AU91" s="55" t="s">
        <v>46</v>
      </c>
      <c r="AV91" s="55" t="s">
        <v>47</v>
      </c>
      <c r="AW91" s="55" t="s">
        <v>48</v>
      </c>
      <c r="AX91" s="55" t="s">
        <v>49</v>
      </c>
      <c r="AY91" s="55" t="s">
        <v>50</v>
      </c>
      <c r="AZ91" s="55" t="s">
        <v>51</v>
      </c>
      <c r="BA91" s="55" t="s">
        <v>52</v>
      </c>
      <c r="BB91" s="55" t="s">
        <v>53</v>
      </c>
      <c r="BC91" s="55" t="s">
        <v>54</v>
      </c>
      <c r="BD91" s="55" t="s">
        <v>55</v>
      </c>
      <c r="BE91" s="55" t="s">
        <v>56</v>
      </c>
      <c r="BF91" s="55" t="s">
        <v>57</v>
      </c>
      <c r="BG91" s="55" t="str">
        <f t="shared" ref="BG91:BU91" si="111">BH2</f>
        <v>22/23</v>
      </c>
      <c r="BH91" s="55" t="str">
        <f t="shared" si="111"/>
        <v>23/24</v>
      </c>
      <c r="BI91" s="55" t="str">
        <f t="shared" si="111"/>
        <v>24/25</v>
      </c>
      <c r="BJ91" s="55" t="str">
        <f t="shared" si="111"/>
        <v>25/26</v>
      </c>
      <c r="BK91" s="55" t="str">
        <f t="shared" si="111"/>
        <v>26/27</v>
      </c>
      <c r="BL91" s="55" t="str">
        <f t="shared" si="111"/>
        <v>27/28</v>
      </c>
      <c r="BM91" s="55" t="str">
        <f t="shared" si="111"/>
        <v>28/29</v>
      </c>
      <c r="BN91" s="55" t="str">
        <f t="shared" si="111"/>
        <v>29/30</v>
      </c>
      <c r="BO91" s="55" t="str">
        <f t="shared" si="111"/>
        <v>30/31</v>
      </c>
      <c r="BP91" s="55" t="str">
        <f t="shared" si="111"/>
        <v>31/32</v>
      </c>
      <c r="BQ91" s="55" t="str">
        <f t="shared" si="111"/>
        <v>32/33</v>
      </c>
      <c r="BR91" s="55" t="str">
        <f t="shared" si="111"/>
        <v>33/34</v>
      </c>
      <c r="BS91" s="55" t="str">
        <f t="shared" si="111"/>
        <v>34/35</v>
      </c>
      <c r="BT91" s="55" t="str">
        <f t="shared" si="111"/>
        <v>34/35</v>
      </c>
      <c r="BU91" s="55">
        <f t="shared" si="111"/>
        <v>0</v>
      </c>
      <c r="BV91" s="67">
        <f>'[2]Brazil Soy Complex'!CG65</f>
        <v>0</v>
      </c>
      <c r="BW91" s="67">
        <f>'[2]Brazil Soy Complex'!CH65</f>
        <v>0</v>
      </c>
      <c r="BX91" s="67">
        <f>'[2]Brazil Soy Complex'!CI65</f>
        <v>0</v>
      </c>
      <c r="BY91" s="67" t="str">
        <f>BJ75</f>
        <v>24/25</v>
      </c>
      <c r="BZ91" s="67" t="str">
        <f>BK75</f>
        <v>25/26</v>
      </c>
      <c r="CA91" s="67" t="str">
        <f>BL75</f>
        <v>26/27</v>
      </c>
      <c r="CB91" s="67" t="str">
        <f>BM75</f>
        <v>27/28</v>
      </c>
      <c r="CC91" s="67" t="str">
        <f>BQ75</f>
        <v>31/32</v>
      </c>
      <c r="CD91" s="67">
        <f t="shared" ref="CD91:CJ91" si="112">BV75</f>
        <v>0</v>
      </c>
      <c r="CE91" s="67">
        <f t="shared" si="112"/>
        <v>1998</v>
      </c>
      <c r="CF91" s="67">
        <f t="shared" si="112"/>
        <v>1999</v>
      </c>
      <c r="CG91" s="67">
        <f t="shared" si="112"/>
        <v>2000</v>
      </c>
      <c r="CH91" s="67">
        <f t="shared" si="112"/>
        <v>2001</v>
      </c>
      <c r="CI91" s="67">
        <f t="shared" si="112"/>
        <v>2002</v>
      </c>
      <c r="CJ91" s="67">
        <f t="shared" si="112"/>
        <v>2003</v>
      </c>
      <c r="CK91" s="55" t="str">
        <f>BB75</f>
        <v xml:space="preserve">16/17 </v>
      </c>
      <c r="CL91" s="55" t="str">
        <f>BC75</f>
        <v xml:space="preserve">17/18 </v>
      </c>
      <c r="CM91" s="55" t="str">
        <f>BD75</f>
        <v xml:space="preserve">18/19 </v>
      </c>
      <c r="CN91" s="55" t="str">
        <f>BE75</f>
        <v>19/20</v>
      </c>
      <c r="CO91" s="55">
        <f>'[2]Brazil Soy Complex'!CF65</f>
        <v>0</v>
      </c>
      <c r="CP91" s="55">
        <f>'[2]Brazil Soy Complex'!CG65</f>
        <v>0</v>
      </c>
      <c r="CQ91" s="55">
        <f>'[2]Brazil Soy Complex'!CH65</f>
        <v>0</v>
      </c>
      <c r="CR91" s="55">
        <f>'[2]Brazil Soy Complex'!CI65</f>
        <v>0</v>
      </c>
      <c r="CS91" s="55" t="str">
        <f>BJ75</f>
        <v>24/25</v>
      </c>
      <c r="CT91" s="55" t="str">
        <f>BK75</f>
        <v>25/26</v>
      </c>
    </row>
    <row r="92" spans="1:119">
      <c r="A92" s="4" t="s">
        <v>100</v>
      </c>
      <c r="B92" s="56"/>
      <c r="C92" s="57">
        <f t="shared" ref="C92:L103" si="113">(SUM($M92:$Q92)/SUM($M$104:$Q$104))*C$104</f>
        <v>0.23202231444719879</v>
      </c>
      <c r="D92" s="57">
        <f t="shared" si="113"/>
        <v>0.18561785155775903</v>
      </c>
      <c r="E92" s="57">
        <f t="shared" si="113"/>
        <v>0.18561785155775903</v>
      </c>
      <c r="F92" s="57">
        <f t="shared" si="113"/>
        <v>0.37123570311551807</v>
      </c>
      <c r="G92" s="57">
        <f t="shared" si="113"/>
        <v>0.55685355467327713</v>
      </c>
      <c r="H92" s="57">
        <f t="shared" si="113"/>
        <v>0.74247140623103614</v>
      </c>
      <c r="I92" s="57">
        <f t="shared" si="113"/>
        <v>1.2529204980148734</v>
      </c>
      <c r="J92" s="57">
        <f t="shared" si="113"/>
        <v>1.6241562011303916</v>
      </c>
      <c r="K92" s="57">
        <f t="shared" si="113"/>
        <v>7.0070738963054033</v>
      </c>
      <c r="L92" s="57">
        <f t="shared" si="113"/>
        <v>9.9305550583401079</v>
      </c>
      <c r="M92" s="69">
        <v>19.039000000000001</v>
      </c>
      <c r="N92" s="69">
        <v>26.591000000000001</v>
      </c>
      <c r="O92" s="69">
        <v>24.427</v>
      </c>
      <c r="P92" s="69">
        <v>28.227</v>
      </c>
      <c r="Q92" s="69">
        <v>8.0069999999999997</v>
      </c>
      <c r="R92" s="69">
        <v>27.91</v>
      </c>
      <c r="S92" s="69">
        <v>25.896000000000001</v>
      </c>
      <c r="T92" s="69">
        <v>23.792000000000002</v>
      </c>
      <c r="U92" s="69">
        <v>56.652000000000001</v>
      </c>
      <c r="V92" s="69">
        <v>122.56699999999999</v>
      </c>
      <c r="W92" s="69">
        <v>103.197</v>
      </c>
      <c r="X92" s="69">
        <v>136.185</v>
      </c>
      <c r="Y92" s="69">
        <v>169.03700000000001</v>
      </c>
      <c r="Z92" s="69">
        <v>176.24600000000001</v>
      </c>
      <c r="AA92" s="69">
        <v>102.905</v>
      </c>
      <c r="AB92" s="69">
        <v>344.56599999999997</v>
      </c>
      <c r="AC92" s="69">
        <v>386.49</v>
      </c>
      <c r="AD92" s="69">
        <v>243.12700000000001</v>
      </c>
      <c r="AE92" s="70">
        <v>332.14800000000002</v>
      </c>
      <c r="AF92" s="70">
        <v>313.07100000000003</v>
      </c>
      <c r="AG92" s="70">
        <v>337.81</v>
      </c>
      <c r="AH92" s="70">
        <v>450.55500000000001</v>
      </c>
      <c r="AI92" s="70">
        <v>640.29399999999998</v>
      </c>
      <c r="AJ92" s="70">
        <v>917.851</v>
      </c>
      <c r="AK92" s="70">
        <v>1067.5150000000001</v>
      </c>
      <c r="AL92" s="70">
        <v>1250.0730000000001</v>
      </c>
      <c r="AM92" s="70">
        <v>1356.691</v>
      </c>
      <c r="AN92" s="70">
        <v>1252.3689999999999</v>
      </c>
      <c r="AO92" s="77">
        <v>1545.634</v>
      </c>
      <c r="AP92" s="77">
        <v>1721.1279999999999</v>
      </c>
      <c r="AQ92" s="77">
        <v>1761.7950000000001</v>
      </c>
      <c r="AR92" s="77">
        <v>2297.0422000000003</v>
      </c>
      <c r="AS92" s="77">
        <v>2277.8339999999998</v>
      </c>
      <c r="AT92" s="77">
        <v>2181.0630000000001</v>
      </c>
      <c r="AU92" s="77">
        <v>2491.192</v>
      </c>
      <c r="AV92" s="77">
        <v>2859.6179999999999</v>
      </c>
      <c r="AW92" s="77">
        <v>2908.404</v>
      </c>
      <c r="AX92" s="77">
        <v>2710.14</v>
      </c>
      <c r="AY92" s="77">
        <v>2734.58</v>
      </c>
      <c r="AZ92" s="77">
        <v>2929.971</v>
      </c>
      <c r="BA92" s="77">
        <v>3210.732</v>
      </c>
      <c r="BB92" s="70">
        <v>2800.2020000000002</v>
      </c>
      <c r="BC92" s="70">
        <v>2990.3</v>
      </c>
      <c r="BD92" s="59">
        <v>2432.1329999999998</v>
      </c>
      <c r="BE92" s="59">
        <v>2824.703</v>
      </c>
      <c r="BF92" s="59">
        <v>2669.5390000000002</v>
      </c>
      <c r="BG92" s="59">
        <v>3062.4690000000001</v>
      </c>
      <c r="BH92" s="59">
        <v>2838.11</v>
      </c>
      <c r="BI92" s="59">
        <v>2127.7240000000002</v>
      </c>
      <c r="BJ92" s="58">
        <f t="shared" ref="BJ92:BU103" si="114">(BJ124*BJ76)-BJ108</f>
        <v>2793.3075504287112</v>
      </c>
      <c r="BK92" s="58">
        <f t="shared" si="114"/>
        <v>2472.499587611082</v>
      </c>
      <c r="BL92" s="58">
        <f t="shared" si="114"/>
        <v>2819.8408351093685</v>
      </c>
      <c r="BM92" s="58">
        <f t="shared" si="114"/>
        <v>2727.7934925510522</v>
      </c>
      <c r="BN92" s="58">
        <f t="shared" si="114"/>
        <v>2749.6010806680483</v>
      </c>
      <c r="BO92" s="58">
        <f t="shared" si="114"/>
        <v>2808.1345007900995</v>
      </c>
      <c r="BP92" s="58">
        <f t="shared" si="114"/>
        <v>2750.0967289502373</v>
      </c>
      <c r="BQ92" s="58">
        <f t="shared" si="114"/>
        <v>2786.8083299594255</v>
      </c>
      <c r="BR92" s="58">
        <f t="shared" si="114"/>
        <v>2786.6088177877573</v>
      </c>
      <c r="BS92" s="58">
        <f t="shared" si="114"/>
        <v>2768.543552124147</v>
      </c>
      <c r="BT92" s="58">
        <f t="shared" si="114"/>
        <v>2787.5577793541333</v>
      </c>
      <c r="BU92" s="58">
        <f t="shared" si="114"/>
        <v>2787.4515357912187</v>
      </c>
      <c r="BV92" s="78">
        <f t="shared" ref="BV92:CB103" si="115">BG188/SUM(BG172,BG156-BG140)</f>
        <v>0.15102133355890227</v>
      </c>
      <c r="BW92" s="78">
        <f t="shared" si="115"/>
        <v>0.19075881573205777</v>
      </c>
      <c r="BX92" s="78">
        <f t="shared" si="115"/>
        <v>0.28639666777671097</v>
      </c>
      <c r="BY92" s="78">
        <f t="shared" si="115"/>
        <v>-1.4823355879520015</v>
      </c>
      <c r="BZ92" s="78">
        <f t="shared" si="115"/>
        <v>-1.4034766425121095</v>
      </c>
      <c r="CA92" s="78">
        <f t="shared" si="115"/>
        <v>-1.2794406968514125</v>
      </c>
      <c r="CB92" s="78">
        <f t="shared" si="115"/>
        <v>-1.2942695470348173</v>
      </c>
      <c r="CC92" s="78">
        <f t="shared" ref="CC92:CJ103" si="116">BP188/SUM(BP172,BP156-BP140)</f>
        <v>-1.3066877357599731</v>
      </c>
      <c r="CD92" s="78">
        <f t="shared" si="116"/>
        <v>-1.2950427846714756</v>
      </c>
      <c r="CE92" s="78">
        <f t="shared" si="116"/>
        <v>-1.2946625408199486</v>
      </c>
      <c r="CF92" s="78" t="e">
        <f t="shared" si="116"/>
        <v>#DIV/0!</v>
      </c>
      <c r="CG92" s="78" t="e">
        <f t="shared" si="116"/>
        <v>#DIV/0!</v>
      </c>
      <c r="CH92" s="78" t="e">
        <f t="shared" si="116"/>
        <v>#DIV/0!</v>
      </c>
      <c r="CI92" s="78" t="e">
        <f t="shared" si="116"/>
        <v>#DIV/0!</v>
      </c>
      <c r="CJ92" s="78" t="e">
        <f t="shared" si="116"/>
        <v>#DIV/0!</v>
      </c>
      <c r="CK92" s="79">
        <f t="shared" ref="CK92:CT103" si="117">BB188/SUM(BB172,BB156-BB140)</f>
        <v>0.33314025198988689</v>
      </c>
      <c r="CL92" s="79">
        <f t="shared" si="117"/>
        <v>0.27782624701328817</v>
      </c>
      <c r="CM92" s="80">
        <f t="shared" si="117"/>
        <v>0.40301509058021912</v>
      </c>
      <c r="CN92" s="80">
        <f t="shared" si="117"/>
        <v>0.32400405955827066</v>
      </c>
      <c r="CO92" s="80">
        <f t="shared" si="117"/>
        <v>0.33805941555857655</v>
      </c>
      <c r="CP92" s="80">
        <f t="shared" si="117"/>
        <v>0.15102133355890227</v>
      </c>
      <c r="CQ92" s="80">
        <f t="shared" si="117"/>
        <v>0.19075881573205777</v>
      </c>
      <c r="CR92" s="81">
        <f t="shared" si="117"/>
        <v>0.28639666777671097</v>
      </c>
      <c r="CS92" s="78">
        <f t="shared" si="117"/>
        <v>-1.4823355879520015</v>
      </c>
      <c r="CT92" s="78">
        <f t="shared" si="117"/>
        <v>-1.4034766425121095</v>
      </c>
    </row>
    <row r="93" spans="1:119">
      <c r="A93" s="4" t="s">
        <v>102</v>
      </c>
      <c r="B93" s="56"/>
      <c r="C93" s="57">
        <f t="shared" si="113"/>
        <v>0.33924840233762077</v>
      </c>
      <c r="D93" s="57">
        <f t="shared" si="113"/>
        <v>0.27139872187009662</v>
      </c>
      <c r="E93" s="57">
        <f t="shared" si="113"/>
        <v>0.27139872187009662</v>
      </c>
      <c r="F93" s="57">
        <f t="shared" si="113"/>
        <v>0.54279744374019323</v>
      </c>
      <c r="G93" s="57">
        <f t="shared" si="113"/>
        <v>0.81419616561028985</v>
      </c>
      <c r="H93" s="57">
        <f t="shared" si="113"/>
        <v>1.0855948874803865</v>
      </c>
      <c r="I93" s="57">
        <f t="shared" si="113"/>
        <v>1.8319413726231522</v>
      </c>
      <c r="J93" s="57">
        <f t="shared" si="113"/>
        <v>2.3747388163633456</v>
      </c>
      <c r="K93" s="57">
        <f t="shared" si="113"/>
        <v>10.245301750596147</v>
      </c>
      <c r="L93" s="57">
        <f t="shared" si="113"/>
        <v>14.519831620050169</v>
      </c>
      <c r="M93" s="69">
        <v>20.460999999999999</v>
      </c>
      <c r="N93" s="69">
        <v>30.815000000000001</v>
      </c>
      <c r="O93" s="69">
        <v>27.803000000000001</v>
      </c>
      <c r="P93" s="69">
        <v>31.89</v>
      </c>
      <c r="Q93" s="69">
        <v>44.442999999999998</v>
      </c>
      <c r="R93" s="69">
        <v>50.298000000000002</v>
      </c>
      <c r="S93" s="69">
        <v>63.259</v>
      </c>
      <c r="T93" s="69">
        <v>87.155000000000001</v>
      </c>
      <c r="U93" s="69">
        <v>109.64700000000001</v>
      </c>
      <c r="V93" s="69">
        <v>167.80600000000001</v>
      </c>
      <c r="W93" s="69">
        <v>180.369</v>
      </c>
      <c r="X93" s="69">
        <v>400.976</v>
      </c>
      <c r="Y93" s="69">
        <v>450.68599999999998</v>
      </c>
      <c r="Z93" s="69">
        <v>497.60199999999998</v>
      </c>
      <c r="AA93" s="69">
        <v>412.06599999999997</v>
      </c>
      <c r="AB93" s="69">
        <v>507.59</v>
      </c>
      <c r="AC93" s="69">
        <v>548.84799999999996</v>
      </c>
      <c r="AD93" s="69">
        <v>541.73599999999999</v>
      </c>
      <c r="AE93" s="70">
        <v>686.28599999999994</v>
      </c>
      <c r="AF93" s="70">
        <v>661.46100000000001</v>
      </c>
      <c r="AG93" s="70">
        <v>673.29100000000005</v>
      </c>
      <c r="AH93" s="70">
        <v>726.23800000000006</v>
      </c>
      <c r="AI93" s="70">
        <v>894.63599999999997</v>
      </c>
      <c r="AJ93" s="70">
        <v>1166.434</v>
      </c>
      <c r="AK93" s="70">
        <v>1394.749</v>
      </c>
      <c r="AL93" s="70">
        <v>1407.5050000000001</v>
      </c>
      <c r="AM93" s="70">
        <v>1478.0340000000001</v>
      </c>
      <c r="AN93" s="70">
        <v>1605.4849999999999</v>
      </c>
      <c r="AO93" s="77">
        <v>1801.5139999999999</v>
      </c>
      <c r="AP93" s="77">
        <v>1948.095</v>
      </c>
      <c r="AQ93" s="77">
        <v>2158.9160000000002</v>
      </c>
      <c r="AR93" s="77">
        <v>2600.5390000000002</v>
      </c>
      <c r="AS93" s="77">
        <v>2648.5590000000002</v>
      </c>
      <c r="AT93" s="77">
        <v>2586.1779999999999</v>
      </c>
      <c r="AU93" s="77">
        <v>2769.3879999999999</v>
      </c>
      <c r="AV93" s="77">
        <v>3161.5720000000001</v>
      </c>
      <c r="AW93" s="77">
        <v>3095.8670000000002</v>
      </c>
      <c r="AX93" s="77">
        <v>2928.5729999999999</v>
      </c>
      <c r="AY93" s="77">
        <v>3017.4969999999998</v>
      </c>
      <c r="AZ93" s="77">
        <v>3543.4929999999999</v>
      </c>
      <c r="BA93" s="77">
        <v>2712.1179999999999</v>
      </c>
      <c r="BB93" s="70">
        <v>3239.989</v>
      </c>
      <c r="BC93" s="70">
        <v>3388.2939999999999</v>
      </c>
      <c r="BD93" s="59">
        <v>2685.1669999999999</v>
      </c>
      <c r="BE93" s="59">
        <v>2907.0509999999999</v>
      </c>
      <c r="BF93" s="59">
        <v>2983.2379999999998</v>
      </c>
      <c r="BG93" s="59">
        <v>3144.73</v>
      </c>
      <c r="BH93" s="59">
        <v>3024.748</v>
      </c>
      <c r="BI93" s="59">
        <v>2604.9520000000002</v>
      </c>
      <c r="BJ93" s="58">
        <f t="shared" si="114"/>
        <v>2907.3172811697304</v>
      </c>
      <c r="BK93" s="58">
        <f t="shared" si="114"/>
        <v>2843.6979465699587</v>
      </c>
      <c r="BL93" s="58">
        <f t="shared" si="114"/>
        <v>2950.8765684409473</v>
      </c>
      <c r="BM93" s="58">
        <f t="shared" si="114"/>
        <v>2982.1778124514422</v>
      </c>
      <c r="BN93" s="58">
        <f t="shared" si="114"/>
        <v>3003.9838611487544</v>
      </c>
      <c r="BO93" s="58">
        <f t="shared" si="114"/>
        <v>3007.635330552072</v>
      </c>
      <c r="BP93" s="58">
        <f t="shared" si="114"/>
        <v>3004.86754339449</v>
      </c>
      <c r="BQ93" s="58">
        <f t="shared" si="114"/>
        <v>3006.5697081103372</v>
      </c>
      <c r="BR93" s="58">
        <f t="shared" si="114"/>
        <v>3005.4554514709675</v>
      </c>
      <c r="BS93" s="58">
        <f t="shared" si="114"/>
        <v>3005.5095609541859</v>
      </c>
      <c r="BT93" s="58" t="e">
        <f t="shared" si="114"/>
        <v>#DIV/0!</v>
      </c>
      <c r="BU93" s="58" t="e">
        <f t="shared" si="114"/>
        <v>#DIV/0!</v>
      </c>
      <c r="BV93" s="78">
        <f t="shared" si="115"/>
        <v>0.31180786964526919</v>
      </c>
      <c r="BW93" s="78">
        <f t="shared" si="115"/>
        <v>0.25363662142171417</v>
      </c>
      <c r="BX93" s="78">
        <f t="shared" si="115"/>
        <v>0.33128388814569232</v>
      </c>
      <c r="BY93" s="78">
        <f t="shared" si="115"/>
        <v>-1.6239184845081318</v>
      </c>
      <c r="BZ93" s="78">
        <f t="shared" si="115"/>
        <v>-1.5421242352431088</v>
      </c>
      <c r="CA93" s="78">
        <f t="shared" si="115"/>
        <v>-1.4324989574900175</v>
      </c>
      <c r="CB93" s="78">
        <f t="shared" si="115"/>
        <v>-1.4663399319805932</v>
      </c>
      <c r="CC93" s="78">
        <f t="shared" si="116"/>
        <v>-1.4888815749895037</v>
      </c>
      <c r="CD93" s="78">
        <f t="shared" si="116"/>
        <v>-1.4755774663350838</v>
      </c>
      <c r="CE93" s="78">
        <f t="shared" si="116"/>
        <v>-1.4777453061961758</v>
      </c>
      <c r="CF93" s="78" t="e">
        <f t="shared" si="116"/>
        <v>#DIV/0!</v>
      </c>
      <c r="CG93" s="78" t="e">
        <f t="shared" si="116"/>
        <v>#DIV/0!</v>
      </c>
      <c r="CH93" s="78" t="e">
        <f t="shared" si="116"/>
        <v>#DIV/0!</v>
      </c>
      <c r="CI93" s="78" t="e">
        <f t="shared" si="116"/>
        <v>#DIV/0!</v>
      </c>
      <c r="CJ93" s="78" t="e">
        <f t="shared" si="116"/>
        <v>#DIV/0!</v>
      </c>
      <c r="CK93" s="80">
        <f t="shared" si="117"/>
        <v>0.25052877539654045</v>
      </c>
      <c r="CL93" s="80">
        <f t="shared" si="117"/>
        <v>0.40460104134377667</v>
      </c>
      <c r="CM93" s="80">
        <f t="shared" si="117"/>
        <v>0.39287635557768247</v>
      </c>
      <c r="CN93" s="80">
        <f t="shared" si="117"/>
        <v>0.19766959394072012</v>
      </c>
      <c r="CO93" s="79">
        <f t="shared" si="117"/>
        <v>0.35992492099708051</v>
      </c>
      <c r="CP93" s="80">
        <f t="shared" si="117"/>
        <v>0.31180786964526919</v>
      </c>
      <c r="CQ93" s="79">
        <f t="shared" si="117"/>
        <v>0.25363662142171417</v>
      </c>
      <c r="CR93" s="78">
        <f t="shared" si="117"/>
        <v>0.33128388814569232</v>
      </c>
      <c r="CS93" s="78">
        <f t="shared" si="117"/>
        <v>-1.6239184845081318</v>
      </c>
      <c r="CT93" s="81">
        <f t="shared" si="117"/>
        <v>-1.5421242352431088</v>
      </c>
    </row>
    <row r="94" spans="1:119">
      <c r="A94" s="4" t="s">
        <v>103</v>
      </c>
      <c r="B94" s="56"/>
      <c r="C94" s="57">
        <f t="shared" si="113"/>
        <v>0.47859800378427042</v>
      </c>
      <c r="D94" s="57">
        <f t="shared" si="113"/>
        <v>0.38287840302741633</v>
      </c>
      <c r="E94" s="57">
        <f t="shared" si="113"/>
        <v>0.38287840302741633</v>
      </c>
      <c r="F94" s="57">
        <f t="shared" si="113"/>
        <v>0.76575680605483265</v>
      </c>
      <c r="G94" s="57">
        <f t="shared" si="113"/>
        <v>1.1486352090822489</v>
      </c>
      <c r="H94" s="57">
        <f t="shared" si="113"/>
        <v>1.5315136121096653</v>
      </c>
      <c r="I94" s="57">
        <f t="shared" si="113"/>
        <v>2.5844292204350601</v>
      </c>
      <c r="J94" s="57">
        <f t="shared" si="113"/>
        <v>3.3501860264898928</v>
      </c>
      <c r="K94" s="57">
        <f t="shared" si="113"/>
        <v>14.453659714284965</v>
      </c>
      <c r="L94" s="57">
        <f t="shared" si="113"/>
        <v>20.483994561966774</v>
      </c>
      <c r="M94" s="69">
        <v>39.048999999999999</v>
      </c>
      <c r="N94" s="69">
        <v>35.715000000000003</v>
      </c>
      <c r="O94" s="69">
        <v>35.762999999999998</v>
      </c>
      <c r="P94" s="69">
        <v>38.298000000000002</v>
      </c>
      <c r="Q94" s="69">
        <v>70.424000000000007</v>
      </c>
      <c r="R94" s="69">
        <v>60.634999999999998</v>
      </c>
      <c r="S94" s="69">
        <v>81.263999999999996</v>
      </c>
      <c r="T94" s="69">
        <v>132.696</v>
      </c>
      <c r="U94" s="69">
        <v>148.40899999999999</v>
      </c>
      <c r="V94" s="69">
        <v>206.45400000000001</v>
      </c>
      <c r="W94" s="69">
        <v>286.09500000000003</v>
      </c>
      <c r="X94" s="69">
        <v>422.709</v>
      </c>
      <c r="Y94" s="69">
        <v>540.26099999999997</v>
      </c>
      <c r="Z94" s="69">
        <v>593.24599999999998</v>
      </c>
      <c r="AA94" s="69">
        <v>483.21800000000002</v>
      </c>
      <c r="AB94" s="69">
        <v>583.89200000000005</v>
      </c>
      <c r="AC94" s="69">
        <v>576.54600000000005</v>
      </c>
      <c r="AD94" s="69">
        <v>580.226</v>
      </c>
      <c r="AE94" s="70">
        <v>780.6</v>
      </c>
      <c r="AF94" s="70">
        <v>765.952</v>
      </c>
      <c r="AG94" s="70">
        <v>684.351</v>
      </c>
      <c r="AH94" s="70">
        <v>827.17399999999998</v>
      </c>
      <c r="AI94" s="70">
        <v>954.88900000000001</v>
      </c>
      <c r="AJ94" s="70">
        <v>1254.806</v>
      </c>
      <c r="AK94" s="70">
        <v>1431.0940000000001</v>
      </c>
      <c r="AL94" s="70">
        <v>1258.316</v>
      </c>
      <c r="AM94" s="70">
        <v>1413.4179999999999</v>
      </c>
      <c r="AN94" s="70">
        <v>1623.5450000000001</v>
      </c>
      <c r="AO94" s="77">
        <v>1745.21</v>
      </c>
      <c r="AP94" s="77">
        <v>1890.65</v>
      </c>
      <c r="AQ94" s="77">
        <v>2103.8609999999999</v>
      </c>
      <c r="AR94" s="77">
        <v>2372.9299999999998</v>
      </c>
      <c r="AS94" s="77">
        <v>2501.3670000000002</v>
      </c>
      <c r="AT94" s="77">
        <v>1500.0329999999999</v>
      </c>
      <c r="AU94" s="77">
        <v>2389.4899999999998</v>
      </c>
      <c r="AV94" s="77">
        <v>2794.95</v>
      </c>
      <c r="AW94" s="77">
        <v>2537.8029999999999</v>
      </c>
      <c r="AX94" s="77">
        <v>2478.6770000000001</v>
      </c>
      <c r="AY94" s="77">
        <v>3004.8739999999998</v>
      </c>
      <c r="AZ94" s="77">
        <v>3165.8429999999998</v>
      </c>
      <c r="BA94" s="77">
        <v>3419.6469999999999</v>
      </c>
      <c r="BB94" s="70">
        <v>3065.8969999999999</v>
      </c>
      <c r="BC94" s="70">
        <v>2886.2359999999999</v>
      </c>
      <c r="BD94" s="59">
        <v>2418.4</v>
      </c>
      <c r="BE94" s="59">
        <v>3169.2860000000001</v>
      </c>
      <c r="BF94" s="59">
        <v>2682.7849999999999</v>
      </c>
      <c r="BG94" s="59">
        <v>3037.797</v>
      </c>
      <c r="BH94" s="59">
        <v>2846.6089999999999</v>
      </c>
      <c r="BI94" s="59">
        <v>2164.6350000000002</v>
      </c>
      <c r="BJ94" s="58">
        <f t="shared" si="114"/>
        <v>2919.5382484330603</v>
      </c>
      <c r="BK94" s="58">
        <f t="shared" si="114"/>
        <v>2993.8886878811254</v>
      </c>
      <c r="BL94" s="58">
        <f t="shared" si="114"/>
        <v>2948.8856308877848</v>
      </c>
      <c r="BM94" s="58">
        <f t="shared" si="114"/>
        <v>3090.3186588487815</v>
      </c>
      <c r="BN94" s="58">
        <f t="shared" si="114"/>
        <v>3086.7621297889173</v>
      </c>
      <c r="BO94" s="58">
        <f t="shared" si="114"/>
        <v>3049.8052633590155</v>
      </c>
      <c r="BP94" s="58">
        <f t="shared" si="114"/>
        <v>3086.0130368659406</v>
      </c>
      <c r="BQ94" s="58">
        <f t="shared" si="114"/>
        <v>3067.7048620044984</v>
      </c>
      <c r="BR94" s="58">
        <f t="shared" si="114"/>
        <v>3068.1731181995819</v>
      </c>
      <c r="BS94" s="58">
        <f t="shared" si="114"/>
        <v>3087.4249908972124</v>
      </c>
      <c r="BT94" s="58">
        <f t="shared" si="114"/>
        <v>3067.9185249917914</v>
      </c>
      <c r="BU94" s="58">
        <f t="shared" si="114"/>
        <v>3087.3227364102859</v>
      </c>
      <c r="BV94" s="78">
        <f t="shared" si="115"/>
        <v>0.39888427545144017</v>
      </c>
      <c r="BW94" s="78">
        <f t="shared" si="115"/>
        <v>0.25944807698481165</v>
      </c>
      <c r="BX94" s="78">
        <f t="shared" si="115"/>
        <v>0.43495981845760362</v>
      </c>
      <c r="BY94" s="78">
        <f t="shared" si="115"/>
        <v>-1.6110490164750011</v>
      </c>
      <c r="BZ94" s="78">
        <f t="shared" si="115"/>
        <v>-1.5896801955879944</v>
      </c>
      <c r="CA94" s="78">
        <f t="shared" si="115"/>
        <v>-1.6303269190092147</v>
      </c>
      <c r="CB94" s="78">
        <f t="shared" si="115"/>
        <v>-1.7134761526029791</v>
      </c>
      <c r="CC94" s="78">
        <f t="shared" si="116"/>
        <v>-1.6131123339280773</v>
      </c>
      <c r="CD94" s="78">
        <f t="shared" si="116"/>
        <v>-1.6160594114208764</v>
      </c>
      <c r="CE94" s="78">
        <f t="shared" si="116"/>
        <v>-1.6189698521356435</v>
      </c>
      <c r="CF94" s="78" t="e">
        <f t="shared" si="116"/>
        <v>#DIV/0!</v>
      </c>
      <c r="CG94" s="78" t="e">
        <f t="shared" si="116"/>
        <v>#DIV/0!</v>
      </c>
      <c r="CH94" s="78" t="e">
        <f t="shared" si="116"/>
        <v>#DIV/0!</v>
      </c>
      <c r="CI94" s="78" t="e">
        <f t="shared" si="116"/>
        <v>#DIV/0!</v>
      </c>
      <c r="CJ94" s="78" t="e">
        <f t="shared" si="116"/>
        <v>#DIV/0!</v>
      </c>
      <c r="CK94" s="80">
        <f t="shared" si="117"/>
        <v>0.29431518608528251</v>
      </c>
      <c r="CL94" s="80">
        <f t="shared" si="117"/>
        <v>0.4079295524273901</v>
      </c>
      <c r="CM94" s="79">
        <f t="shared" si="117"/>
        <v>0.42802371589523847</v>
      </c>
      <c r="CN94" s="79">
        <f t="shared" si="117"/>
        <v>0.28288469037533598</v>
      </c>
      <c r="CO94" s="80">
        <f t="shared" si="117"/>
        <v>0.24533369940140648</v>
      </c>
      <c r="CP94" s="80">
        <f t="shared" si="117"/>
        <v>0.39888427545144017</v>
      </c>
      <c r="CQ94" s="80">
        <f t="shared" si="117"/>
        <v>0.25944807698481165</v>
      </c>
      <c r="CR94" s="78">
        <f t="shared" si="117"/>
        <v>0.43495981845760362</v>
      </c>
      <c r="CS94" s="81">
        <f t="shared" si="117"/>
        <v>-1.6110490164750011</v>
      </c>
      <c r="CT94" s="78">
        <f t="shared" si="117"/>
        <v>-1.5896801955879944</v>
      </c>
    </row>
    <row r="95" spans="1:119">
      <c r="A95" s="4" t="s">
        <v>104</v>
      </c>
      <c r="B95" s="56"/>
      <c r="C95" s="57">
        <f t="shared" si="113"/>
        <v>0.42653590822052845</v>
      </c>
      <c r="D95" s="57">
        <f t="shared" si="113"/>
        <v>0.34122872657642278</v>
      </c>
      <c r="E95" s="57">
        <f t="shared" si="113"/>
        <v>0.34122872657642278</v>
      </c>
      <c r="F95" s="57">
        <f t="shared" si="113"/>
        <v>0.68245745315284556</v>
      </c>
      <c r="G95" s="57">
        <f t="shared" si="113"/>
        <v>1.0236861797292685</v>
      </c>
      <c r="H95" s="57">
        <f t="shared" si="113"/>
        <v>1.3649149063056911</v>
      </c>
      <c r="I95" s="57">
        <f t="shared" si="113"/>
        <v>2.3032939043908538</v>
      </c>
      <c r="J95" s="57">
        <f t="shared" si="113"/>
        <v>2.9857513575436991</v>
      </c>
      <c r="K95" s="57">
        <f t="shared" si="113"/>
        <v>12.88138442825996</v>
      </c>
      <c r="L95" s="57">
        <f t="shared" si="113"/>
        <v>18.255736871838618</v>
      </c>
      <c r="M95" s="82">
        <v>36.387999999999998</v>
      </c>
      <c r="N95" s="82">
        <v>33.868000000000002</v>
      </c>
      <c r="O95" s="82">
        <v>36.238</v>
      </c>
      <c r="P95" s="82">
        <v>32.536999999999999</v>
      </c>
      <c r="Q95" s="82">
        <v>56.368000000000002</v>
      </c>
      <c r="R95" s="82">
        <v>62.043999999999997</v>
      </c>
      <c r="S95" s="82">
        <v>89.906000000000006</v>
      </c>
      <c r="T95" s="82">
        <v>153.22200000000001</v>
      </c>
      <c r="U95" s="82">
        <v>176.584</v>
      </c>
      <c r="V95" s="82">
        <v>261.07</v>
      </c>
      <c r="W95" s="82">
        <v>333.62400000000002</v>
      </c>
      <c r="X95" s="82">
        <v>440.57499999999999</v>
      </c>
      <c r="Y95" s="82">
        <v>521.31899999999996</v>
      </c>
      <c r="Z95" s="82">
        <v>592.43100000000004</v>
      </c>
      <c r="AA95" s="82">
        <v>474.53699999999998</v>
      </c>
      <c r="AB95" s="82">
        <v>532.37800000000004</v>
      </c>
      <c r="AC95" s="82">
        <v>623.64499999999998</v>
      </c>
      <c r="AD95" s="82">
        <v>721.44899999999996</v>
      </c>
      <c r="AE95" s="83">
        <v>782.38800000000003</v>
      </c>
      <c r="AF95" s="83">
        <v>774.46900000000005</v>
      </c>
      <c r="AG95" s="83">
        <v>704.90599999999995</v>
      </c>
      <c r="AH95" s="83">
        <v>855.89499999999998</v>
      </c>
      <c r="AI95" s="83">
        <v>1034.1890000000001</v>
      </c>
      <c r="AJ95" s="70">
        <v>1375.9590000000001</v>
      </c>
      <c r="AK95" s="70">
        <v>1335.8630000000001</v>
      </c>
      <c r="AL95" s="70">
        <v>1362.722</v>
      </c>
      <c r="AM95" s="70">
        <v>1518.1669999999999</v>
      </c>
      <c r="AN95" s="70">
        <v>1722.4839999999999</v>
      </c>
      <c r="AO95" s="77">
        <v>1899.23</v>
      </c>
      <c r="AP95" s="77">
        <v>1771.027</v>
      </c>
      <c r="AQ95" s="77">
        <v>2324.6770000000001</v>
      </c>
      <c r="AR95" s="77">
        <v>2348.9941200000003</v>
      </c>
      <c r="AS95" s="77">
        <v>2138.1981800000003</v>
      </c>
      <c r="AT95" s="77">
        <v>2710.5219999999999</v>
      </c>
      <c r="AU95" s="77">
        <v>2137.873</v>
      </c>
      <c r="AV95" s="77">
        <v>2726.3690000000001</v>
      </c>
      <c r="AW95" s="77">
        <v>2495.723</v>
      </c>
      <c r="AX95" s="77">
        <v>2274.692</v>
      </c>
      <c r="AY95" s="77">
        <v>2783.3829999999998</v>
      </c>
      <c r="AZ95" s="77">
        <v>2957.3919999999998</v>
      </c>
      <c r="BA95" s="77">
        <v>3632.5990000000002</v>
      </c>
      <c r="BB95" s="70">
        <v>2995.3009999999999</v>
      </c>
      <c r="BC95" s="70">
        <v>3225.7919999999999</v>
      </c>
      <c r="BD95" s="59">
        <v>2546.4169999999999</v>
      </c>
      <c r="BE95" s="59">
        <v>3270.8620000000001</v>
      </c>
      <c r="BF95" s="59">
        <v>2579.076</v>
      </c>
      <c r="BG95" s="59">
        <v>2770.26</v>
      </c>
      <c r="BH95" s="59">
        <v>2507.9349999999999</v>
      </c>
      <c r="BI95" s="59">
        <v>1831.723</v>
      </c>
      <c r="BJ95" s="58">
        <f t="shared" si="114"/>
        <v>3229.4683121389803</v>
      </c>
      <c r="BK95" s="58">
        <f t="shared" si="114"/>
        <v>2766.2144561007635</v>
      </c>
      <c r="BL95" s="58">
        <f t="shared" si="114"/>
        <v>3272.6773753137427</v>
      </c>
      <c r="BM95" s="58">
        <f t="shared" si="114"/>
        <v>3128.4746950910417</v>
      </c>
      <c r="BN95" s="58">
        <f t="shared" si="114"/>
        <v>3135.320145450481</v>
      </c>
      <c r="BO95" s="58">
        <f t="shared" si="114"/>
        <v>3231.5047242664496</v>
      </c>
      <c r="BP95" s="58">
        <f t="shared" si="114"/>
        <v>3134.6322611143041</v>
      </c>
      <c r="BQ95" s="58">
        <f t="shared" si="114"/>
        <v>3193.8249591745994</v>
      </c>
      <c r="BR95" s="58">
        <f t="shared" si="114"/>
        <v>3193.6159800425712</v>
      </c>
      <c r="BS95" s="58">
        <f t="shared" si="114"/>
        <v>3173.8609624128985</v>
      </c>
      <c r="BT95" s="58">
        <f t="shared" si="114"/>
        <v>3193.2852335486259</v>
      </c>
      <c r="BU95" s="58">
        <f t="shared" si="114"/>
        <v>3193.247679535104</v>
      </c>
      <c r="BV95" s="78">
        <f t="shared" si="115"/>
        <v>0.43629311889076883</v>
      </c>
      <c r="BW95" s="78">
        <f t="shared" si="115"/>
        <v>0.26805605312677949</v>
      </c>
      <c r="BX95" s="78">
        <f t="shared" si="115"/>
        <v>0.59981938273140423</v>
      </c>
      <c r="BY95" s="78">
        <f t="shared" si="115"/>
        <v>-1.5796937763052978</v>
      </c>
      <c r="BZ95" s="78">
        <f t="shared" si="115"/>
        <v>-1.7794147466748051</v>
      </c>
      <c r="CA95" s="78">
        <f t="shared" si="115"/>
        <v>-1.7025649141303874</v>
      </c>
      <c r="CB95" s="78">
        <f t="shared" si="115"/>
        <v>-1.7713625394923889</v>
      </c>
      <c r="CC95" s="78">
        <f t="shared" si="116"/>
        <v>-1.7086061478321615</v>
      </c>
      <c r="CD95" s="78">
        <f t="shared" si="116"/>
        <v>-1.7015127608548024</v>
      </c>
      <c r="CE95" s="78">
        <f t="shared" si="116"/>
        <v>-1.7109030667135261</v>
      </c>
      <c r="CF95" s="78" t="e">
        <f t="shared" si="116"/>
        <v>#DIV/0!</v>
      </c>
      <c r="CG95" s="78" t="e">
        <f t="shared" si="116"/>
        <v>#DIV/0!</v>
      </c>
      <c r="CH95" s="78" t="e">
        <f t="shared" si="116"/>
        <v>#DIV/0!</v>
      </c>
      <c r="CI95" s="78" t="e">
        <f t="shared" si="116"/>
        <v>#DIV/0!</v>
      </c>
      <c r="CJ95" s="78" t="e">
        <f t="shared" si="116"/>
        <v>#DIV/0!</v>
      </c>
      <c r="CK95" s="79">
        <f t="shared" si="117"/>
        <v>0.44355027588094287</v>
      </c>
      <c r="CL95" s="80">
        <f t="shared" si="117"/>
        <v>0.47392343269334852</v>
      </c>
      <c r="CM95" s="80">
        <f t="shared" si="117"/>
        <v>0.65054217652530699</v>
      </c>
      <c r="CN95" s="80">
        <f t="shared" si="117"/>
        <v>0.39859401013253054</v>
      </c>
      <c r="CO95" s="80">
        <f t="shared" si="117"/>
        <v>0.34272345944720001</v>
      </c>
      <c r="CP95" s="79">
        <f t="shared" si="117"/>
        <v>0.43629311889076883</v>
      </c>
      <c r="CQ95" s="79">
        <f t="shared" si="117"/>
        <v>0.26805605312677949</v>
      </c>
      <c r="CR95" s="78">
        <f t="shared" si="117"/>
        <v>0.59981938273140423</v>
      </c>
      <c r="CS95" s="78">
        <f t="shared" si="117"/>
        <v>-1.5796937763052978</v>
      </c>
      <c r="CT95" s="78">
        <f t="shared" si="117"/>
        <v>-1.7794147466748051</v>
      </c>
    </row>
    <row r="96" spans="1:119">
      <c r="A96" s="4" t="s">
        <v>105</v>
      </c>
      <c r="B96" s="56"/>
      <c r="C96" s="57">
        <f t="shared" si="113"/>
        <v>0.50556114862298485</v>
      </c>
      <c r="D96" s="57">
        <f t="shared" si="113"/>
        <v>0.40444891889838785</v>
      </c>
      <c r="E96" s="57">
        <f t="shared" si="113"/>
        <v>0.40444891889838785</v>
      </c>
      <c r="F96" s="57">
        <f t="shared" si="113"/>
        <v>0.80889783779677571</v>
      </c>
      <c r="G96" s="57">
        <f t="shared" si="113"/>
        <v>1.2133467566951635</v>
      </c>
      <c r="H96" s="57">
        <f t="shared" si="113"/>
        <v>1.6177956755935514</v>
      </c>
      <c r="I96" s="57">
        <f t="shared" si="113"/>
        <v>2.7300302025641181</v>
      </c>
      <c r="J96" s="57">
        <f t="shared" si="113"/>
        <v>3.5389280403608936</v>
      </c>
      <c r="K96" s="57">
        <f t="shared" si="113"/>
        <v>15.267946688414142</v>
      </c>
      <c r="L96" s="57">
        <f t="shared" si="113"/>
        <v>21.63801716106375</v>
      </c>
      <c r="M96" s="69">
        <v>50.017000000000003</v>
      </c>
      <c r="N96" s="69">
        <v>35.591000000000001</v>
      </c>
      <c r="O96" s="69">
        <v>33.576999999999998</v>
      </c>
      <c r="P96" s="69">
        <v>60.875</v>
      </c>
      <c r="Q96" s="69">
        <v>51.540999999999997</v>
      </c>
      <c r="R96" s="69">
        <v>55.936</v>
      </c>
      <c r="S96" s="69">
        <v>109.533</v>
      </c>
      <c r="T96" s="69">
        <v>155.91800000000001</v>
      </c>
      <c r="U96" s="69">
        <v>189.03299999999999</v>
      </c>
      <c r="V96" s="69">
        <v>285.37599999999998</v>
      </c>
      <c r="W96" s="69">
        <v>311.62700000000001</v>
      </c>
      <c r="X96" s="69">
        <v>441.233</v>
      </c>
      <c r="Y96" s="69">
        <v>531.197</v>
      </c>
      <c r="Z96" s="69">
        <v>664.90099999999995</v>
      </c>
      <c r="AA96" s="69">
        <v>389.39</v>
      </c>
      <c r="AB96" s="69">
        <v>547.27200000000005</v>
      </c>
      <c r="AC96" s="69">
        <v>627.93899999999996</v>
      </c>
      <c r="AD96" s="69">
        <v>749.32</v>
      </c>
      <c r="AE96" s="70">
        <v>789.78700000000003</v>
      </c>
      <c r="AF96" s="70">
        <v>739.053</v>
      </c>
      <c r="AG96" s="70">
        <v>774.05499999999995</v>
      </c>
      <c r="AH96" s="70">
        <v>930.13199999999995</v>
      </c>
      <c r="AI96" s="70">
        <v>1043.845</v>
      </c>
      <c r="AJ96" s="70">
        <v>1369.41</v>
      </c>
      <c r="AK96" s="70">
        <v>1438.201</v>
      </c>
      <c r="AL96" s="70">
        <v>1422.9929999999999</v>
      </c>
      <c r="AM96" s="70">
        <v>1539.271</v>
      </c>
      <c r="AN96" s="70">
        <v>1762.8630000000001</v>
      </c>
      <c r="AO96" s="77">
        <v>1778.53</v>
      </c>
      <c r="AP96" s="77">
        <v>1672.93</v>
      </c>
      <c r="AQ96" s="77">
        <v>2012.1310000000001</v>
      </c>
      <c r="AR96" s="77">
        <v>2170.2939799999999</v>
      </c>
      <c r="AS96" s="77">
        <v>2313.8788</v>
      </c>
      <c r="AT96" s="77">
        <v>2368.7579999999998</v>
      </c>
      <c r="AU96" s="77">
        <v>1730.646</v>
      </c>
      <c r="AV96" s="77">
        <v>2955.373</v>
      </c>
      <c r="AW96" s="77">
        <v>2286.4940000000001</v>
      </c>
      <c r="AX96" s="77">
        <v>2166.4650000000001</v>
      </c>
      <c r="AY96" s="77">
        <v>2808.078</v>
      </c>
      <c r="AZ96" s="77">
        <v>2636.0659999999998</v>
      </c>
      <c r="BA96" s="77">
        <v>3217.261</v>
      </c>
      <c r="BB96" s="70">
        <v>2805.9810000000002</v>
      </c>
      <c r="BC96" s="59">
        <v>2787.4479999999999</v>
      </c>
      <c r="BD96" s="59">
        <v>2227.6289999999999</v>
      </c>
      <c r="BE96" s="59">
        <v>3037.9670000000001</v>
      </c>
      <c r="BF96" s="59">
        <v>2532.0430000000001</v>
      </c>
      <c r="BG96" s="59">
        <v>2593.451</v>
      </c>
      <c r="BH96" s="59">
        <v>2251.8000000000002</v>
      </c>
      <c r="BI96" s="59">
        <v>1501.1510000000001</v>
      </c>
      <c r="BJ96" s="58">
        <f t="shared" si="114"/>
        <v>2346.3888532007745</v>
      </c>
      <c r="BK96" s="58">
        <f t="shared" si="114"/>
        <v>2862.2669594733252</v>
      </c>
      <c r="BL96" s="58">
        <f t="shared" si="114"/>
        <v>2380.0132374104855</v>
      </c>
      <c r="BM96" s="58">
        <f t="shared" si="114"/>
        <v>2713.6693607887537</v>
      </c>
      <c r="BN96" s="58">
        <f t="shared" si="114"/>
        <v>2719.1122378904656</v>
      </c>
      <c r="BO96" s="58">
        <f t="shared" si="114"/>
        <v>2588.1976871286997</v>
      </c>
      <c r="BP96" s="58">
        <f t="shared" si="114"/>
        <v>2719.2248277989684</v>
      </c>
      <c r="BQ96" s="58">
        <f t="shared" si="114"/>
        <v>2663.7987754421483</v>
      </c>
      <c r="BR96" s="58">
        <f t="shared" si="114"/>
        <v>2662.4278217045694</v>
      </c>
      <c r="BS96" s="58">
        <f t="shared" si="114"/>
        <v>2700.3668509968561</v>
      </c>
      <c r="BT96" s="58">
        <f t="shared" si="114"/>
        <v>2662.9299898858799</v>
      </c>
      <c r="BU96" s="58">
        <f t="shared" si="114"/>
        <v>2681.8493861597308</v>
      </c>
      <c r="BV96" s="78">
        <f t="shared" si="115"/>
        <v>0.35847736907902239</v>
      </c>
      <c r="BW96" s="78">
        <f t="shared" si="115"/>
        <v>0.53998209902697925</v>
      </c>
      <c r="BX96" s="78">
        <f>BI192/SUM(BI176,BI161-BI144)</f>
        <v>0.42363227336805587</v>
      </c>
      <c r="BY96" s="78">
        <f t="shared" si="115"/>
        <v>-1.7014762305276576</v>
      </c>
      <c r="BZ96" s="78">
        <f t="shared" si="115"/>
        <v>-1.7798482225914809</v>
      </c>
      <c r="CA96" s="78">
        <f t="shared" si="115"/>
        <v>-1.8134502259242127</v>
      </c>
      <c r="CB96" s="78">
        <f t="shared" si="115"/>
        <v>-1.7972210397761488</v>
      </c>
      <c r="CC96" s="78">
        <f t="shared" si="116"/>
        <v>-1.6615262496556791</v>
      </c>
      <c r="CD96" s="78">
        <f t="shared" si="116"/>
        <v>-1.6982238728247159</v>
      </c>
      <c r="CE96" s="78">
        <f t="shared" si="116"/>
        <v>-1.7070258767948836</v>
      </c>
      <c r="CF96" s="78" t="e">
        <f t="shared" si="116"/>
        <v>#DIV/0!</v>
      </c>
      <c r="CG96" s="78" t="e">
        <f t="shared" si="116"/>
        <v>#DIV/0!</v>
      </c>
      <c r="CH96" s="78" t="e">
        <f t="shared" si="116"/>
        <v>#DIV/0!</v>
      </c>
      <c r="CI96" s="78" t="e">
        <f t="shared" si="116"/>
        <v>#DIV/0!</v>
      </c>
      <c r="CJ96" s="78" t="e">
        <f t="shared" si="116"/>
        <v>#DIV/0!</v>
      </c>
      <c r="CK96" s="80">
        <f t="shared" si="117"/>
        <v>0.34178916482397764</v>
      </c>
      <c r="CL96" s="80">
        <f t="shared" si="117"/>
        <v>0.42540489834044937</v>
      </c>
      <c r="CM96" s="80">
        <f t="shared" si="117"/>
        <v>0.66033669782330129</v>
      </c>
      <c r="CN96" s="79">
        <f t="shared" si="117"/>
        <v>0.52831873611956626</v>
      </c>
      <c r="CO96" s="80">
        <f t="shared" si="117"/>
        <v>0.48870211832344002</v>
      </c>
      <c r="CP96" s="80">
        <f t="shared" si="117"/>
        <v>0.35847736907902239</v>
      </c>
      <c r="CQ96" s="80">
        <f t="shared" si="117"/>
        <v>0.53998209902697925</v>
      </c>
      <c r="CR96" s="78">
        <f>BI192/SUM(BI176,BI161-BI144)</f>
        <v>0.42363227336805587</v>
      </c>
      <c r="CS96" s="81">
        <f t="shared" si="117"/>
        <v>-1.7014762305276576</v>
      </c>
      <c r="CT96" s="81">
        <f t="shared" si="117"/>
        <v>-1.7798482225914809</v>
      </c>
    </row>
    <row r="97" spans="1:101">
      <c r="A97" s="4" t="s">
        <v>106</v>
      </c>
      <c r="B97" s="56"/>
      <c r="C97" s="57">
        <f t="shared" si="113"/>
        <v>0.46675796997556024</v>
      </c>
      <c r="D97" s="57">
        <f t="shared" si="113"/>
        <v>0.37340637598044818</v>
      </c>
      <c r="E97" s="57">
        <f t="shared" si="113"/>
        <v>0.37340637598044818</v>
      </c>
      <c r="F97" s="57">
        <f t="shared" si="113"/>
        <v>0.74681275196089636</v>
      </c>
      <c r="G97" s="57">
        <f t="shared" si="113"/>
        <v>1.1202191279413445</v>
      </c>
      <c r="H97" s="57">
        <f t="shared" si="113"/>
        <v>1.4936255039217927</v>
      </c>
      <c r="I97" s="57">
        <f t="shared" si="113"/>
        <v>2.5204930378680253</v>
      </c>
      <c r="J97" s="57">
        <f t="shared" si="113"/>
        <v>3.2673057898289217</v>
      </c>
      <c r="K97" s="57">
        <f t="shared" si="113"/>
        <v>14.096090693261919</v>
      </c>
      <c r="L97" s="57">
        <f t="shared" si="113"/>
        <v>19.977241114953976</v>
      </c>
      <c r="M97" s="69">
        <v>40.841000000000001</v>
      </c>
      <c r="N97" s="69">
        <v>37.911999999999999</v>
      </c>
      <c r="O97" s="69">
        <v>38.375999999999998</v>
      </c>
      <c r="P97" s="69">
        <v>52.323999999999998</v>
      </c>
      <c r="Q97" s="69">
        <v>44.372</v>
      </c>
      <c r="R97" s="69">
        <v>71.022999999999996</v>
      </c>
      <c r="S97" s="69">
        <v>125.753</v>
      </c>
      <c r="T97" s="69">
        <v>120.93600000000001</v>
      </c>
      <c r="U97" s="69">
        <v>205.01</v>
      </c>
      <c r="V97" s="69">
        <v>275.92099999999999</v>
      </c>
      <c r="W97" s="69">
        <v>308.04599999999999</v>
      </c>
      <c r="X97" s="69">
        <v>449.89800000000002</v>
      </c>
      <c r="Y97" s="69">
        <v>483.52</v>
      </c>
      <c r="Z97" s="69">
        <v>541.94399999999996</v>
      </c>
      <c r="AA97" s="69">
        <v>427.25799999999998</v>
      </c>
      <c r="AB97" s="69">
        <v>501.94</v>
      </c>
      <c r="AC97" s="69">
        <v>594.41899999999998</v>
      </c>
      <c r="AD97" s="69">
        <v>789.71199999999999</v>
      </c>
      <c r="AE97" s="70">
        <v>617.16200000000003</v>
      </c>
      <c r="AF97" s="70">
        <v>813.63900000000001</v>
      </c>
      <c r="AG97" s="70">
        <v>792.63</v>
      </c>
      <c r="AH97" s="70">
        <v>876.37199999999996</v>
      </c>
      <c r="AI97" s="70">
        <v>1000.991</v>
      </c>
      <c r="AJ97" s="70">
        <v>1445.3789999999999</v>
      </c>
      <c r="AK97" s="70">
        <v>1338.0709999999999</v>
      </c>
      <c r="AL97" s="70">
        <v>1327.7650000000001</v>
      </c>
      <c r="AM97" s="70">
        <v>1334.539</v>
      </c>
      <c r="AN97" s="70">
        <v>1732.68</v>
      </c>
      <c r="AO97" s="77">
        <v>1816.0509999999999</v>
      </c>
      <c r="AP97" s="77">
        <v>1670.8969999999999</v>
      </c>
      <c r="AQ97" s="77">
        <v>2165.8539999999998</v>
      </c>
      <c r="AR97" s="77">
        <v>2385.67</v>
      </c>
      <c r="AS97" s="77">
        <v>2767.3719999999998</v>
      </c>
      <c r="AT97" s="77">
        <v>2500.7249999999999</v>
      </c>
      <c r="AU97" s="77">
        <v>1834.164</v>
      </c>
      <c r="AV97" s="77">
        <v>2881.3589999999999</v>
      </c>
      <c r="AW97" s="77">
        <v>2856.3240000000001</v>
      </c>
      <c r="AX97" s="77">
        <v>2367.9960000000001</v>
      </c>
      <c r="AY97" s="77">
        <v>2715.6680000000001</v>
      </c>
      <c r="AZ97" s="77">
        <v>2510.3229999999999</v>
      </c>
      <c r="BA97" s="77">
        <v>2857.3850000000002</v>
      </c>
      <c r="BB97" s="70">
        <v>2664.8939999999998</v>
      </c>
      <c r="BC97" s="59">
        <v>2424.96</v>
      </c>
      <c r="BD97" s="59">
        <v>2155.5070000000001</v>
      </c>
      <c r="BE97" s="59">
        <v>2287.7159999999999</v>
      </c>
      <c r="BF97" s="59">
        <v>2297.5160000000001</v>
      </c>
      <c r="BG97" s="59">
        <v>2693.125</v>
      </c>
      <c r="BH97" s="59">
        <v>2048.59</v>
      </c>
      <c r="BI97" s="59">
        <v>1370.616</v>
      </c>
      <c r="BJ97" s="58">
        <f t="shared" si="114"/>
        <v>3010.1828216369604</v>
      </c>
      <c r="BK97" s="58">
        <f t="shared" si="114"/>
        <v>3034.1587324264742</v>
      </c>
      <c r="BL97" s="58">
        <f t="shared" si="114"/>
        <v>3044.6344450193042</v>
      </c>
      <c r="BM97" s="58">
        <f t="shared" si="114"/>
        <v>3152.4988068269863</v>
      </c>
      <c r="BN97" s="58">
        <f t="shared" si="114"/>
        <v>3137.4438266825168</v>
      </c>
      <c r="BO97" s="58">
        <f t="shared" si="114"/>
        <v>3137.9544883824024</v>
      </c>
      <c r="BP97" s="58">
        <f t="shared" si="114"/>
        <v>3155.7132622998952</v>
      </c>
      <c r="BQ97" s="58">
        <f t="shared" si="114"/>
        <v>3137.2456479936482</v>
      </c>
      <c r="BR97" s="58">
        <f t="shared" si="114"/>
        <v>3156.6441170753928</v>
      </c>
      <c r="BS97" s="58">
        <f t="shared" si="114"/>
        <v>3156.4446922368447</v>
      </c>
      <c r="BT97" s="58">
        <f t="shared" si="114"/>
        <v>3156.6736104219913</v>
      </c>
      <c r="BU97" s="58">
        <f t="shared" si="114"/>
        <v>3156.4794660901925</v>
      </c>
      <c r="BV97" s="78">
        <f t="shared" si="115"/>
        <v>0.303288439594459</v>
      </c>
      <c r="BW97" s="78">
        <f t="shared" si="115"/>
        <v>0.69269104820969951</v>
      </c>
      <c r="BX97" s="78">
        <f>BI193/SUM(BI177,BI162-BI145)</f>
        <v>0.50692377746875805</v>
      </c>
      <c r="BY97" s="78">
        <f t="shared" si="115"/>
        <v>-1.5968719113337975</v>
      </c>
      <c r="BZ97" s="78">
        <f t="shared" si="115"/>
        <v>-1.8209025548996625</v>
      </c>
      <c r="CA97" s="78">
        <f t="shared" si="115"/>
        <v>-1.8185834319863396</v>
      </c>
      <c r="CB97" s="78">
        <f t="shared" si="115"/>
        <v>-1.7568943331218114</v>
      </c>
      <c r="CC97" s="78">
        <f t="shared" si="116"/>
        <v>-1.5429286142689111</v>
      </c>
      <c r="CD97" s="78">
        <f t="shared" si="116"/>
        <v>-1.6948453195547948</v>
      </c>
      <c r="CE97" s="78">
        <f t="shared" si="116"/>
        <v>-1.6676641271429771</v>
      </c>
      <c r="CF97" s="78" t="e">
        <f t="shared" si="116"/>
        <v>#DIV/0!</v>
      </c>
      <c r="CG97" s="78" t="e">
        <f t="shared" si="116"/>
        <v>#DIV/0!</v>
      </c>
      <c r="CH97" s="78" t="e">
        <f t="shared" si="116"/>
        <v>#DIV/0!</v>
      </c>
      <c r="CI97" s="78" t="e">
        <f t="shared" si="116"/>
        <v>#DIV/0!</v>
      </c>
      <c r="CJ97" s="78" t="e">
        <f t="shared" si="116"/>
        <v>#DIV/0!</v>
      </c>
      <c r="CK97" s="80">
        <f t="shared" si="117"/>
        <v>0.53799749534818297</v>
      </c>
      <c r="CL97" s="79">
        <f t="shared" si="117"/>
        <v>0.46351456984856976</v>
      </c>
      <c r="CM97" s="79">
        <f t="shared" si="117"/>
        <v>0.40093042942605878</v>
      </c>
      <c r="CN97" s="80">
        <f t="shared" si="117"/>
        <v>0.41787124187233243</v>
      </c>
      <c r="CO97" s="80">
        <f t="shared" si="117"/>
        <v>0.37095958556306546</v>
      </c>
      <c r="CP97" s="80">
        <f t="shared" si="117"/>
        <v>0.303288439594459</v>
      </c>
      <c r="CQ97" s="80">
        <f t="shared" si="117"/>
        <v>0.69269104820969951</v>
      </c>
      <c r="CR97" s="81">
        <f>BI193/SUM(BI177,BI162-BI145)</f>
        <v>0.50692377746875805</v>
      </c>
      <c r="CS97" s="78">
        <f t="shared" si="117"/>
        <v>-1.5968719113337975</v>
      </c>
      <c r="CT97" s="78">
        <f t="shared" si="117"/>
        <v>-1.8209025548996625</v>
      </c>
    </row>
    <row r="98" spans="1:101">
      <c r="A98" s="4" t="s">
        <v>107</v>
      </c>
      <c r="B98" s="56"/>
      <c r="C98" s="57">
        <f t="shared" si="113"/>
        <v>0.54986959372792543</v>
      </c>
      <c r="D98" s="57">
        <f t="shared" si="113"/>
        <v>0.43989567498234039</v>
      </c>
      <c r="E98" s="57">
        <f t="shared" si="113"/>
        <v>0.43989567498234039</v>
      </c>
      <c r="F98" s="57">
        <f t="shared" si="113"/>
        <v>0.87979134996468078</v>
      </c>
      <c r="G98" s="57">
        <f t="shared" si="113"/>
        <v>1.3196870249470212</v>
      </c>
      <c r="H98" s="57">
        <f t="shared" si="113"/>
        <v>1.7595826999293616</v>
      </c>
      <c r="I98" s="57">
        <f t="shared" si="113"/>
        <v>2.9692958061307975</v>
      </c>
      <c r="J98" s="57">
        <f t="shared" si="113"/>
        <v>3.8490871560954782</v>
      </c>
      <c r="K98" s="57">
        <f t="shared" si="113"/>
        <v>16.606061730583349</v>
      </c>
      <c r="L98" s="57">
        <f t="shared" si="113"/>
        <v>23.534418611555211</v>
      </c>
      <c r="M98" s="69">
        <v>53.939</v>
      </c>
      <c r="N98" s="69">
        <v>42.142000000000003</v>
      </c>
      <c r="O98" s="69">
        <v>48.505000000000003</v>
      </c>
      <c r="P98" s="69">
        <v>57.026000000000003</v>
      </c>
      <c r="Q98" s="69">
        <v>50.286999999999999</v>
      </c>
      <c r="R98" s="69">
        <v>61.718000000000004</v>
      </c>
      <c r="S98" s="69">
        <v>116.46299999999999</v>
      </c>
      <c r="T98" s="69">
        <v>155.672</v>
      </c>
      <c r="U98" s="69">
        <v>182.76400000000001</v>
      </c>
      <c r="V98" s="69">
        <v>295.31400000000002</v>
      </c>
      <c r="W98" s="69">
        <v>324.96199999999999</v>
      </c>
      <c r="X98" s="69">
        <v>334.851</v>
      </c>
      <c r="Y98" s="69">
        <v>333.875</v>
      </c>
      <c r="Z98" s="69">
        <v>584.89200000000005</v>
      </c>
      <c r="AA98" s="69">
        <v>442.726</v>
      </c>
      <c r="AB98" s="69">
        <v>560.45600000000002</v>
      </c>
      <c r="AC98" s="69">
        <v>566.80799999999999</v>
      </c>
      <c r="AD98" s="69">
        <v>776.096</v>
      </c>
      <c r="AE98" s="70">
        <v>684.20799999999997</v>
      </c>
      <c r="AF98" s="70">
        <v>756.245</v>
      </c>
      <c r="AG98" s="70">
        <v>781.25699999999995</v>
      </c>
      <c r="AH98" s="70">
        <v>875.29399999999998</v>
      </c>
      <c r="AI98" s="70">
        <v>881.07600000000002</v>
      </c>
      <c r="AJ98" s="70">
        <v>1343.922</v>
      </c>
      <c r="AK98" s="70">
        <v>1305.8699999999999</v>
      </c>
      <c r="AL98" s="70">
        <v>1188.6389999999999</v>
      </c>
      <c r="AM98" s="70">
        <v>1444.556</v>
      </c>
      <c r="AN98" s="70">
        <v>1733.925</v>
      </c>
      <c r="AO98" s="77">
        <v>1907.7560000000001</v>
      </c>
      <c r="AP98" s="77">
        <v>1668.694</v>
      </c>
      <c r="AQ98" s="77">
        <v>1897.4680000000001</v>
      </c>
      <c r="AR98" s="77">
        <v>2053.2303000000002</v>
      </c>
      <c r="AS98" s="77">
        <v>2770.0650000000001</v>
      </c>
      <c r="AT98" s="77">
        <v>2159.712</v>
      </c>
      <c r="AU98" s="77">
        <v>1897.7360000000001</v>
      </c>
      <c r="AV98" s="77">
        <v>2781.991</v>
      </c>
      <c r="AW98" s="77">
        <v>2531.8020000000001</v>
      </c>
      <c r="AX98" s="77">
        <v>1857.5809999999999</v>
      </c>
      <c r="AY98" s="77">
        <v>2272.9</v>
      </c>
      <c r="AZ98" s="77">
        <v>2361.4180000000001</v>
      </c>
      <c r="BA98" s="77">
        <v>2923.4409999999998</v>
      </c>
      <c r="BB98" s="70">
        <v>2795.6039999999998</v>
      </c>
      <c r="BC98" s="59">
        <v>2654.72</v>
      </c>
      <c r="BD98" s="59">
        <v>2443.8389999999999</v>
      </c>
      <c r="BE98" s="59">
        <v>2875.3270000000002</v>
      </c>
      <c r="BF98" s="59">
        <v>2266.9850000000001</v>
      </c>
      <c r="BG98" s="59">
        <v>2435.9479999999999</v>
      </c>
      <c r="BH98" s="59">
        <v>2097.498</v>
      </c>
      <c r="BI98" s="59">
        <v>1331.317</v>
      </c>
      <c r="BJ98" s="58">
        <f t="shared" si="114"/>
        <v>3049.1031481619752</v>
      </c>
      <c r="BK98" s="58">
        <f t="shared" si="114"/>
        <v>3010.7274613951809</v>
      </c>
      <c r="BL98" s="58">
        <f t="shared" si="114"/>
        <v>3092.0771256172238</v>
      </c>
      <c r="BM98" s="58">
        <f t="shared" si="114"/>
        <v>3166.4600099804943</v>
      </c>
      <c r="BN98" s="58">
        <f t="shared" si="114"/>
        <v>3165.6168317713741</v>
      </c>
      <c r="BO98" s="58">
        <f t="shared" si="114"/>
        <v>3166.4298555055225</v>
      </c>
      <c r="BP98" s="58">
        <f t="shared" si="114"/>
        <v>3165.7564797546315</v>
      </c>
      <c r="BQ98" s="58">
        <f t="shared" si="114"/>
        <v>3166.3371027920834</v>
      </c>
      <c r="BR98" s="58">
        <f t="shared" si="114"/>
        <v>3166.2522292325893</v>
      </c>
      <c r="BS98" s="58" t="e">
        <f t="shared" si="114"/>
        <v>#DIV/0!</v>
      </c>
      <c r="BT98" s="58" t="e">
        <f t="shared" si="114"/>
        <v>#DIV/0!</v>
      </c>
      <c r="BU98" s="58" t="e">
        <f t="shared" si="114"/>
        <v>#DIV/0!</v>
      </c>
      <c r="BV98" s="78">
        <f t="shared" si="115"/>
        <v>0.40276294851710598</v>
      </c>
      <c r="BW98" s="78">
        <f t="shared" si="115"/>
        <v>0.39232051234705417</v>
      </c>
      <c r="BX98" s="78">
        <f>BI194/SUM(BI178,BI163-BI146)</f>
        <v>0.59968735495284042</v>
      </c>
      <c r="BY98" s="78">
        <f t="shared" si="115"/>
        <v>-1.3828279572257256</v>
      </c>
      <c r="BZ98" s="78">
        <f t="shared" si="115"/>
        <v>-1.6369636322297449</v>
      </c>
      <c r="CA98" s="78">
        <f t="shared" si="115"/>
        <v>-1.6212795547708447</v>
      </c>
      <c r="CB98" s="78">
        <f t="shared" si="115"/>
        <v>-1.6133786513297133</v>
      </c>
      <c r="CC98" s="78">
        <f t="shared" si="116"/>
        <v>-1.3671852308232644</v>
      </c>
      <c r="CD98" s="78">
        <f t="shared" si="116"/>
        <v>-1.5146096634257893</v>
      </c>
      <c r="CE98" s="78">
        <f t="shared" si="116"/>
        <v>-1.4392212309445767</v>
      </c>
      <c r="CF98" s="78" t="e">
        <f t="shared" si="116"/>
        <v>#DIV/0!</v>
      </c>
      <c r="CG98" s="78" t="e">
        <f t="shared" si="116"/>
        <v>#DIV/0!</v>
      </c>
      <c r="CH98" s="78" t="e">
        <f t="shared" si="116"/>
        <v>#DIV/0!</v>
      </c>
      <c r="CI98" s="78" t="e">
        <f t="shared" si="116"/>
        <v>#DIV/0!</v>
      </c>
      <c r="CJ98" s="78" t="e">
        <f t="shared" si="116"/>
        <v>#DIV/0!</v>
      </c>
      <c r="CK98" s="80">
        <f t="shared" si="117"/>
        <v>0.45483991037506633</v>
      </c>
      <c r="CL98" s="80">
        <f t="shared" si="117"/>
        <v>0.48921439157500962</v>
      </c>
      <c r="CM98" s="80">
        <f t="shared" si="117"/>
        <v>0.45832178502138693</v>
      </c>
      <c r="CN98" s="80">
        <f t="shared" si="117"/>
        <v>0.36012541810187976</v>
      </c>
      <c r="CO98" s="79">
        <f t="shared" si="117"/>
        <v>0.45036669217161784</v>
      </c>
      <c r="CP98" s="79">
        <f t="shared" si="117"/>
        <v>0.40276294851710598</v>
      </c>
      <c r="CQ98" s="80">
        <f t="shared" si="117"/>
        <v>0.39232051234705417</v>
      </c>
      <c r="CR98" s="78">
        <f>BI194/SUM(BI178,BI163-BI146)</f>
        <v>0.59968735495284042</v>
      </c>
      <c r="CS98" s="78">
        <f t="shared" si="117"/>
        <v>-1.3828279572257256</v>
      </c>
      <c r="CT98" s="78">
        <f t="shared" si="117"/>
        <v>-1.6369636322297449</v>
      </c>
    </row>
    <row r="99" spans="1:101">
      <c r="A99" s="4" t="s">
        <v>108</v>
      </c>
      <c r="B99" s="56"/>
      <c r="C99" s="57">
        <f t="shared" si="113"/>
        <v>0.49369710294629987</v>
      </c>
      <c r="D99" s="57">
        <f t="shared" si="113"/>
        <v>0.39495768235703987</v>
      </c>
      <c r="E99" s="57">
        <f t="shared" si="113"/>
        <v>0.39495768235703987</v>
      </c>
      <c r="F99" s="57">
        <f t="shared" si="113"/>
        <v>0.78991536471407975</v>
      </c>
      <c r="G99" s="57">
        <f t="shared" si="113"/>
        <v>1.1848730470711195</v>
      </c>
      <c r="H99" s="57">
        <f t="shared" si="113"/>
        <v>1.5798307294281595</v>
      </c>
      <c r="I99" s="57">
        <f t="shared" si="113"/>
        <v>2.665964355910019</v>
      </c>
      <c r="J99" s="57">
        <f t="shared" si="113"/>
        <v>3.455879720624099</v>
      </c>
      <c r="K99" s="57">
        <f t="shared" si="113"/>
        <v>14.909652508978255</v>
      </c>
      <c r="L99" s="57">
        <f t="shared" si="113"/>
        <v>21.130236006101633</v>
      </c>
      <c r="M99" s="69">
        <v>40.655000000000001</v>
      </c>
      <c r="N99" s="69">
        <v>29.834</v>
      </c>
      <c r="O99" s="69">
        <v>49.390999999999998</v>
      </c>
      <c r="P99" s="69">
        <v>61.427999999999997</v>
      </c>
      <c r="Q99" s="69">
        <v>44.857999999999997</v>
      </c>
      <c r="R99" s="69">
        <v>69.293999999999997</v>
      </c>
      <c r="S99" s="69">
        <v>77.506</v>
      </c>
      <c r="T99" s="69">
        <v>210.96899999999999</v>
      </c>
      <c r="U99" s="69">
        <v>179.643</v>
      </c>
      <c r="V99" s="69">
        <v>315.22000000000003</v>
      </c>
      <c r="W99" s="69">
        <v>257.02699999999999</v>
      </c>
      <c r="X99" s="69">
        <v>277.12200000000001</v>
      </c>
      <c r="Y99" s="69">
        <v>345.02100000000002</v>
      </c>
      <c r="Z99" s="69">
        <v>565.73099999999999</v>
      </c>
      <c r="AA99" s="69">
        <v>344.084</v>
      </c>
      <c r="AB99" s="69">
        <v>491.62700000000001</v>
      </c>
      <c r="AC99" s="69">
        <v>609.76599999999996</v>
      </c>
      <c r="AD99" s="69">
        <v>784.45100000000002</v>
      </c>
      <c r="AE99" s="70">
        <v>662.45899999999995</v>
      </c>
      <c r="AF99" s="70">
        <v>717.70799999999997</v>
      </c>
      <c r="AG99" s="70">
        <v>789.24</v>
      </c>
      <c r="AH99" s="70">
        <v>824.505</v>
      </c>
      <c r="AI99" s="70">
        <v>469.72800000000001</v>
      </c>
      <c r="AJ99" s="70">
        <v>1329.653</v>
      </c>
      <c r="AK99" s="70">
        <v>1111.819</v>
      </c>
      <c r="AL99" s="70">
        <v>1194.326</v>
      </c>
      <c r="AM99" s="70">
        <v>1400.0409999999999</v>
      </c>
      <c r="AN99" s="70">
        <v>1444.835</v>
      </c>
      <c r="AO99" s="77">
        <v>1712.7360000000001</v>
      </c>
      <c r="AP99" s="77">
        <v>1517.3030000000001</v>
      </c>
      <c r="AQ99" s="77">
        <v>1615.133</v>
      </c>
      <c r="AR99" s="77">
        <v>2093.77</v>
      </c>
      <c r="AS99" s="77">
        <v>2648.0210000000002</v>
      </c>
      <c r="AT99" s="77">
        <v>1918.2919999999999</v>
      </c>
      <c r="AU99" s="77">
        <v>1837.7260000000001</v>
      </c>
      <c r="AV99" s="77">
        <v>2431.7269999999999</v>
      </c>
      <c r="AW99" s="77">
        <v>2292.991</v>
      </c>
      <c r="AX99" s="77">
        <v>1714.269</v>
      </c>
      <c r="AY99" s="77">
        <v>1803.316</v>
      </c>
      <c r="AZ99" s="77">
        <v>2412.252</v>
      </c>
      <c r="BA99" s="77">
        <v>2256.674</v>
      </c>
      <c r="BB99" s="70">
        <v>2739.739</v>
      </c>
      <c r="BC99" s="59">
        <v>2487.277</v>
      </c>
      <c r="BD99" s="59">
        <v>2320.8000000000002</v>
      </c>
      <c r="BE99" s="59">
        <v>2105.5149999999999</v>
      </c>
      <c r="BF99" s="59">
        <v>2160.931</v>
      </c>
      <c r="BG99" s="59">
        <v>2081.194</v>
      </c>
      <c r="BH99" s="59">
        <v>2393.2069999999999</v>
      </c>
      <c r="BI99" s="59">
        <v>1362.37</v>
      </c>
      <c r="BJ99" s="58">
        <f t="shared" si="114"/>
        <v>2487.1931736523825</v>
      </c>
      <c r="BK99" s="58">
        <f t="shared" si="114"/>
        <v>2216.6563677662784</v>
      </c>
      <c r="BL99" s="58">
        <f t="shared" si="114"/>
        <v>2520.1114818497476</v>
      </c>
      <c r="BM99" s="58">
        <f t="shared" si="114"/>
        <v>2438.9627145460577</v>
      </c>
      <c r="BN99" s="58">
        <f t="shared" si="114"/>
        <v>2459.4048322859635</v>
      </c>
      <c r="BO99" s="58">
        <f t="shared" si="114"/>
        <v>2517.2700101166561</v>
      </c>
      <c r="BP99" s="58">
        <f t="shared" si="114"/>
        <v>2459.2578185586331</v>
      </c>
      <c r="BQ99" s="58">
        <f t="shared" si="114"/>
        <v>2497.1361039407257</v>
      </c>
      <c r="BR99" s="58">
        <f t="shared" si="114"/>
        <v>2497.6963698629502</v>
      </c>
      <c r="BS99" s="58">
        <f t="shared" si="114"/>
        <v>2478.2766962735104</v>
      </c>
      <c r="BT99" s="58">
        <f t="shared" si="114"/>
        <v>2497.6914099412074</v>
      </c>
      <c r="BU99" s="58">
        <f t="shared" si="114"/>
        <v>2497.5773891138556</v>
      </c>
      <c r="BV99" s="78">
        <f t="shared" si="115"/>
        <v>0.32191561737250329</v>
      </c>
      <c r="BW99" s="78">
        <f t="shared" si="115"/>
        <v>0.24626948643257246</v>
      </c>
      <c r="BX99" s="78">
        <f>BI195/SUM(BI179,BI164-BI147)</f>
        <v>0.33167515819029736</v>
      </c>
      <c r="BY99" s="78">
        <f t="shared" si="115"/>
        <v>-1.3757577812282351</v>
      </c>
      <c r="BZ99" s="78">
        <f t="shared" si="115"/>
        <v>-1.7489531293483338</v>
      </c>
      <c r="CA99" s="78">
        <f t="shared" si="115"/>
        <v>-1.5425704427947056</v>
      </c>
      <c r="CB99" s="78">
        <f t="shared" si="115"/>
        <v>-1.589353569822374</v>
      </c>
      <c r="CC99" s="78">
        <f t="shared" si="116"/>
        <v>-1.2643546778493264</v>
      </c>
      <c r="CD99" s="78">
        <f t="shared" si="116"/>
        <v>-1.3905794037906196</v>
      </c>
      <c r="CE99" s="78">
        <f t="shared" si="116"/>
        <v>-1.304870577543453</v>
      </c>
      <c r="CF99" s="78" t="e">
        <f t="shared" si="116"/>
        <v>#DIV/0!</v>
      </c>
      <c r="CG99" s="78" t="e">
        <f t="shared" si="116"/>
        <v>#DIV/0!</v>
      </c>
      <c r="CH99" s="78" t="e">
        <f t="shared" si="116"/>
        <v>#DIV/0!</v>
      </c>
      <c r="CI99" s="78" t="e">
        <f t="shared" si="116"/>
        <v>#DIV/0!</v>
      </c>
      <c r="CJ99" s="78" t="e">
        <f t="shared" si="116"/>
        <v>#DIV/0!</v>
      </c>
      <c r="CK99" s="80">
        <f t="shared" si="117"/>
        <v>0.42789483686602836</v>
      </c>
      <c r="CL99" s="80">
        <f t="shared" si="117"/>
        <v>0.44641540029284515</v>
      </c>
      <c r="CM99" s="80">
        <f t="shared" si="117"/>
        <v>0.6213630200910738</v>
      </c>
      <c r="CN99" s="79">
        <f t="shared" si="117"/>
        <v>0.30463146819543035</v>
      </c>
      <c r="CO99" s="80">
        <f t="shared" si="117"/>
        <v>0.41334590867755033</v>
      </c>
      <c r="CP99" s="80">
        <f t="shared" si="117"/>
        <v>0.32191561737250329</v>
      </c>
      <c r="CQ99" s="80">
        <f t="shared" si="117"/>
        <v>0.24626948643257246</v>
      </c>
      <c r="CR99" s="78">
        <f>BI195/SUM(BI179,BI164-BI147)</f>
        <v>0.33167515819029736</v>
      </c>
      <c r="CS99" s="81">
        <f t="shared" si="117"/>
        <v>-1.3757577812282351</v>
      </c>
      <c r="CT99" s="81">
        <f t="shared" si="117"/>
        <v>-1.7489531293483338</v>
      </c>
      <c r="CV99" s="73">
        <v>2450</v>
      </c>
      <c r="CW99" s="59">
        <f>'[2]Brazil Soy Complex'!CH75-CV99</f>
        <v>-2450</v>
      </c>
    </row>
    <row r="100" spans="1:101">
      <c r="A100" s="4" t="s">
        <v>109</v>
      </c>
      <c r="B100" s="56"/>
      <c r="C100" s="57">
        <f t="shared" si="113"/>
        <v>0.45183786837479817</v>
      </c>
      <c r="D100" s="57">
        <f t="shared" si="113"/>
        <v>0.36147029469983855</v>
      </c>
      <c r="E100" s="57">
        <f t="shared" si="113"/>
        <v>0.36147029469983855</v>
      </c>
      <c r="F100" s="57">
        <f t="shared" si="113"/>
        <v>0.72294058939967709</v>
      </c>
      <c r="G100" s="57">
        <f t="shared" si="113"/>
        <v>1.0844108840995157</v>
      </c>
      <c r="H100" s="57">
        <f t="shared" si="113"/>
        <v>1.4458811787993542</v>
      </c>
      <c r="I100" s="57">
        <f t="shared" si="113"/>
        <v>2.4399244892239103</v>
      </c>
      <c r="J100" s="57">
        <f t="shared" si="113"/>
        <v>3.1628650786235872</v>
      </c>
      <c r="K100" s="57">
        <f t="shared" si="113"/>
        <v>13.645503624918906</v>
      </c>
      <c r="L100" s="57">
        <f t="shared" si="113"/>
        <v>19.338660766441361</v>
      </c>
      <c r="M100" s="69">
        <v>27.655000000000001</v>
      </c>
      <c r="N100" s="69">
        <v>34.939</v>
      </c>
      <c r="O100" s="69">
        <v>57.314</v>
      </c>
      <c r="P100" s="69">
        <v>46.069000000000003</v>
      </c>
      <c r="Q100" s="69">
        <v>41.012999999999998</v>
      </c>
      <c r="R100" s="69">
        <v>49.646000000000001</v>
      </c>
      <c r="S100" s="69">
        <v>39.779000000000003</v>
      </c>
      <c r="T100" s="69">
        <v>141.87100000000001</v>
      </c>
      <c r="U100" s="69">
        <v>193.82300000000001</v>
      </c>
      <c r="V100" s="69">
        <v>248.00200000000001</v>
      </c>
      <c r="W100" s="69">
        <v>176.29599999999999</v>
      </c>
      <c r="X100" s="69">
        <v>204.88900000000001</v>
      </c>
      <c r="Y100" s="69">
        <v>231.92599999999999</v>
      </c>
      <c r="Z100" s="69">
        <v>413.51299999999998</v>
      </c>
      <c r="AA100" s="69">
        <v>302.91300000000001</v>
      </c>
      <c r="AB100" s="69">
        <v>357.43099999999998</v>
      </c>
      <c r="AC100" s="69">
        <v>448.16699999999997</v>
      </c>
      <c r="AD100" s="69">
        <v>478.45299999999997</v>
      </c>
      <c r="AE100" s="70">
        <v>425.70600000000002</v>
      </c>
      <c r="AF100" s="70">
        <v>417.69900000000001</v>
      </c>
      <c r="AG100" s="70">
        <v>705.596</v>
      </c>
      <c r="AH100" s="70">
        <v>585.00199999999995</v>
      </c>
      <c r="AI100" s="70">
        <v>490.02699999999999</v>
      </c>
      <c r="AJ100" s="70">
        <v>1102.105</v>
      </c>
      <c r="AK100" s="70">
        <v>890.2</v>
      </c>
      <c r="AL100" s="70">
        <v>951.83399999999995</v>
      </c>
      <c r="AM100" s="70">
        <v>1275.9059999999999</v>
      </c>
      <c r="AN100" s="70">
        <v>1376.886</v>
      </c>
      <c r="AO100" s="77">
        <v>1502.5640000000001</v>
      </c>
      <c r="AP100" s="77">
        <v>1304.796</v>
      </c>
      <c r="AQ100" s="77">
        <v>2032.7739999999999</v>
      </c>
      <c r="AR100" s="77">
        <v>2033.7380000000001</v>
      </c>
      <c r="AS100" s="77">
        <v>2768.864</v>
      </c>
      <c r="AT100" s="77">
        <v>1738.999</v>
      </c>
      <c r="AU100" s="77">
        <v>1539.6369999999999</v>
      </c>
      <c r="AV100" s="77">
        <v>2047.5740000000001</v>
      </c>
      <c r="AW100" s="77">
        <v>2173.181</v>
      </c>
      <c r="AX100" s="77">
        <v>1502.2829999999999</v>
      </c>
      <c r="AY100" s="77">
        <v>1349.9829999999999</v>
      </c>
      <c r="AZ100" s="77">
        <v>1866.8630000000001</v>
      </c>
      <c r="BA100" s="77">
        <v>1974.1379999999999</v>
      </c>
      <c r="BB100" s="70">
        <v>2560.4520000000002</v>
      </c>
      <c r="BC100" s="59">
        <v>1610.16</v>
      </c>
      <c r="BD100" s="59">
        <v>1806.22</v>
      </c>
      <c r="BE100" s="59">
        <v>1982.152</v>
      </c>
      <c r="BF100" s="59">
        <v>541.971</v>
      </c>
      <c r="BG100" s="59">
        <v>2134.1</v>
      </c>
      <c r="BH100" s="59">
        <v>1872.9949999999999</v>
      </c>
      <c r="BI100" s="59">
        <v>1362.077</v>
      </c>
      <c r="BJ100" s="58">
        <f t="shared" si="114"/>
        <v>2664.3766428903728</v>
      </c>
      <c r="BK100" s="58">
        <f t="shared" si="114"/>
        <v>2070.5545073749577</v>
      </c>
      <c r="BL100" s="58">
        <f t="shared" si="114"/>
        <v>2688.8317910945311</v>
      </c>
      <c r="BM100" s="58">
        <f t="shared" si="114"/>
        <v>2468.2613331086591</v>
      </c>
      <c r="BN100" s="58">
        <f t="shared" si="114"/>
        <v>2465.6403057535435</v>
      </c>
      <c r="BO100" s="58">
        <f t="shared" si="114"/>
        <v>2617.5041100221933</v>
      </c>
      <c r="BP100" s="58">
        <f t="shared" si="114"/>
        <v>2466.1503688443358</v>
      </c>
      <c r="BQ100" s="58">
        <f t="shared" si="114"/>
        <v>2540.9663032065869</v>
      </c>
      <c r="BR100" s="58">
        <f t="shared" si="114"/>
        <v>2541.1687595021626</v>
      </c>
      <c r="BS100" s="58">
        <f t="shared" si="114"/>
        <v>2504.0267554500688</v>
      </c>
      <c r="BT100" s="58">
        <f t="shared" si="114"/>
        <v>2541.3379721101828</v>
      </c>
      <c r="BU100" s="58">
        <f t="shared" si="114"/>
        <v>2522.6195844662066</v>
      </c>
      <c r="BV100" s="78">
        <f t="shared" si="115"/>
        <v>0.30201988488616782</v>
      </c>
      <c r="BW100" s="78">
        <f t="shared" si="115"/>
        <v>0.20754750597079566</v>
      </c>
      <c r="BX100" s="78">
        <f>BI196/SUM(BI180,BI165-BI148)</f>
        <v>0.40217826606717744</v>
      </c>
      <c r="BY100" s="78">
        <f t="shared" si="115"/>
        <v>-1.4115786126212626</v>
      </c>
      <c r="BZ100" s="78">
        <f t="shared" si="115"/>
        <v>-2.2142011789556859</v>
      </c>
      <c r="CA100" s="78">
        <f t="shared" si="115"/>
        <v>-1.7631263151387118</v>
      </c>
      <c r="CB100" s="78">
        <f t="shared" si="115"/>
        <v>-1.9774448539491702</v>
      </c>
      <c r="CC100" s="78">
        <f t="shared" si="116"/>
        <v>-1.494706489205228</v>
      </c>
      <c r="CD100" s="78">
        <f t="shared" si="116"/>
        <v>-1.6433878494347045</v>
      </c>
      <c r="CE100" s="78">
        <f t="shared" si="116"/>
        <v>-1.5434646258526159</v>
      </c>
      <c r="CF100" s="78" t="e">
        <f t="shared" si="116"/>
        <v>#DIV/0!</v>
      </c>
      <c r="CG100" s="78" t="e">
        <f t="shared" si="116"/>
        <v>#DIV/0!</v>
      </c>
      <c r="CH100" s="78" t="e">
        <f t="shared" si="116"/>
        <v>#DIV/0!</v>
      </c>
      <c r="CI100" s="78" t="e">
        <f t="shared" si="116"/>
        <v>#DIV/0!</v>
      </c>
      <c r="CJ100" s="78" t="e">
        <f t="shared" si="116"/>
        <v>#DIV/0!</v>
      </c>
      <c r="CK100" s="79">
        <f t="shared" si="117"/>
        <v>0.64838557729665425</v>
      </c>
      <c r="CL100" s="79">
        <f t="shared" si="117"/>
        <v>0.47344147245831125</v>
      </c>
      <c r="CM100" s="80">
        <f t="shared" si="117"/>
        <v>0.65547644792270177</v>
      </c>
      <c r="CN100" s="80">
        <f t="shared" si="117"/>
        <v>0.24329185023727218</v>
      </c>
      <c r="CO100" s="80">
        <f t="shared" si="117"/>
        <v>0.81292722537012285</v>
      </c>
      <c r="CP100" s="80">
        <f t="shared" si="117"/>
        <v>0.30201988488616782</v>
      </c>
      <c r="CQ100" s="79">
        <f t="shared" si="117"/>
        <v>0.20754750597079566</v>
      </c>
      <c r="CR100" s="81">
        <f>BI196/SUM(BI180,BI165-BI148)</f>
        <v>0.40217826606717744</v>
      </c>
      <c r="CS100" s="78">
        <f t="shared" si="117"/>
        <v>-1.4115786126212626</v>
      </c>
      <c r="CT100" s="78">
        <f t="shared" si="117"/>
        <v>-2.2142011789556859</v>
      </c>
      <c r="CV100" s="73">
        <v>2575</v>
      </c>
      <c r="CW100" s="59">
        <f>'[2]Brazil Soy Complex'!CH76-CV100</f>
        <v>-2575</v>
      </c>
    </row>
    <row r="101" spans="1:101">
      <c r="A101" s="4" t="s">
        <v>110</v>
      </c>
      <c r="B101" s="56"/>
      <c r="C101" s="57">
        <f t="shared" si="113"/>
        <v>0.43192329823525866</v>
      </c>
      <c r="D101" s="57">
        <f t="shared" si="113"/>
        <v>0.34553863858820694</v>
      </c>
      <c r="E101" s="57">
        <f t="shared" si="113"/>
        <v>0.34553863858820694</v>
      </c>
      <c r="F101" s="57">
        <f t="shared" si="113"/>
        <v>0.69107727717641387</v>
      </c>
      <c r="G101" s="57">
        <f t="shared" si="113"/>
        <v>1.0366159157646209</v>
      </c>
      <c r="H101" s="57">
        <f t="shared" si="113"/>
        <v>1.3821545543528277</v>
      </c>
      <c r="I101" s="57">
        <f t="shared" si="113"/>
        <v>2.3323858104703969</v>
      </c>
      <c r="J101" s="57">
        <f t="shared" si="113"/>
        <v>3.0234630876468107</v>
      </c>
      <c r="K101" s="57">
        <f t="shared" si="113"/>
        <v>13.044083606704811</v>
      </c>
      <c r="L101" s="57">
        <f t="shared" si="113"/>
        <v>18.486317164469071</v>
      </c>
      <c r="M101" s="69">
        <v>21.19</v>
      </c>
      <c r="N101" s="69">
        <v>37.216000000000001</v>
      </c>
      <c r="O101" s="69">
        <v>45.412999999999997</v>
      </c>
      <c r="P101" s="69">
        <v>52.036000000000001</v>
      </c>
      <c r="Q101" s="69">
        <v>42.012</v>
      </c>
      <c r="R101" s="69">
        <v>17.140999999999998</v>
      </c>
      <c r="S101" s="69">
        <v>42.37</v>
      </c>
      <c r="T101" s="69">
        <v>157.53</v>
      </c>
      <c r="U101" s="69">
        <v>155.429</v>
      </c>
      <c r="V101" s="69">
        <v>230.76</v>
      </c>
      <c r="W101" s="69">
        <v>139.65799999999999</v>
      </c>
      <c r="X101" s="69">
        <v>163.36600000000001</v>
      </c>
      <c r="Y101" s="69">
        <v>177.35400000000001</v>
      </c>
      <c r="Z101" s="69">
        <v>410.56599999999997</v>
      </c>
      <c r="AA101" s="69">
        <v>277.92200000000003</v>
      </c>
      <c r="AB101" s="69">
        <v>220.99</v>
      </c>
      <c r="AC101" s="69">
        <v>379.40800000000002</v>
      </c>
      <c r="AD101" s="69">
        <v>408.755</v>
      </c>
      <c r="AE101" s="70">
        <v>521.94100000000003</v>
      </c>
      <c r="AF101" s="70">
        <v>516.91899999999998</v>
      </c>
      <c r="AG101" s="70">
        <v>595.78</v>
      </c>
      <c r="AH101" s="70">
        <v>409.15</v>
      </c>
      <c r="AI101" s="70">
        <v>432.375</v>
      </c>
      <c r="AJ101" s="70">
        <v>926.52300000000002</v>
      </c>
      <c r="AK101" s="70">
        <v>872.11099999999999</v>
      </c>
      <c r="AL101" s="70">
        <v>717.68499999999995</v>
      </c>
      <c r="AM101" s="70">
        <v>1095.7149999999999</v>
      </c>
      <c r="AN101" s="77">
        <v>1198.22</v>
      </c>
      <c r="AO101" s="77">
        <v>1549.115</v>
      </c>
      <c r="AP101" s="77">
        <v>1567.222</v>
      </c>
      <c r="AQ101" s="77">
        <v>1854.24045</v>
      </c>
      <c r="AR101" s="77">
        <v>1812.614</v>
      </c>
      <c r="AS101" s="77">
        <v>2264.0650000000001</v>
      </c>
      <c r="AT101" s="77">
        <v>1794.9490000000001</v>
      </c>
      <c r="AU101" s="77">
        <v>1256.93</v>
      </c>
      <c r="AV101" s="77">
        <v>1777.4159999999999</v>
      </c>
      <c r="AW101" s="77">
        <v>1981.3779999999999</v>
      </c>
      <c r="AX101" s="77">
        <v>1307.376</v>
      </c>
      <c r="AY101" s="77">
        <v>1477.2159999999999</v>
      </c>
      <c r="AZ101" s="77">
        <v>1327.68</v>
      </c>
      <c r="BA101" s="70">
        <v>2955.4960000000001</v>
      </c>
      <c r="BB101" s="70">
        <v>2242.0650000000001</v>
      </c>
      <c r="BC101" s="59">
        <v>2001.884</v>
      </c>
      <c r="BD101" s="59">
        <v>1818.8969999999999</v>
      </c>
      <c r="BE101" s="59">
        <v>1657.5840000000001</v>
      </c>
      <c r="BF101" s="59">
        <v>2381.1849999999999</v>
      </c>
      <c r="BG101" s="59">
        <v>1813.5129999999999</v>
      </c>
      <c r="BH101" s="59">
        <v>1362.759</v>
      </c>
      <c r="BI101" s="59">
        <v>1555.81</v>
      </c>
      <c r="BJ101" s="58">
        <f t="shared" si="114"/>
        <v>2117.5158973107782</v>
      </c>
      <c r="BK101" s="58">
        <f t="shared" si="114"/>
        <v>1761.2050876301753</v>
      </c>
      <c r="BL101" s="58">
        <f t="shared" si="114"/>
        <v>2143.1826875711045</v>
      </c>
      <c r="BM101" s="58">
        <f t="shared" si="114"/>
        <v>2027.0614481927826</v>
      </c>
      <c r="BN101" s="58">
        <f t="shared" si="114"/>
        <v>2030.7917320152599</v>
      </c>
      <c r="BO101" s="58">
        <f t="shared" si="114"/>
        <v>2104.6158857050009</v>
      </c>
      <c r="BP101" s="58">
        <f t="shared" si="114"/>
        <v>2028.149529651311</v>
      </c>
      <c r="BQ101" s="58">
        <f t="shared" si="114"/>
        <v>2066.2658681166654</v>
      </c>
      <c r="BR101" s="58">
        <f t="shared" si="114"/>
        <v>2066.7470951388727</v>
      </c>
      <c r="BS101" s="58">
        <f t="shared" si="114"/>
        <v>2047.2806139174179</v>
      </c>
      <c r="BT101" s="58">
        <f t="shared" si="114"/>
        <v>2066.5249486039738</v>
      </c>
      <c r="BU101" s="58">
        <f t="shared" si="114"/>
        <v>2066.3466149470923</v>
      </c>
      <c r="BV101" s="78">
        <f t="shared" si="115"/>
        <v>0.52122179372524902</v>
      </c>
      <c r="BW101" s="78">
        <f t="shared" si="115"/>
        <v>0.25911029072327435</v>
      </c>
      <c r="BX101" s="78" t="e">
        <f>BI197/SUM(BI181,#REF!-BI149)</f>
        <v>#REF!</v>
      </c>
      <c r="BY101" s="78">
        <f t="shared" si="115"/>
        <v>-1.3542975897998393</v>
      </c>
      <c r="BZ101" s="78">
        <f t="shared" si="115"/>
        <v>-2.2727879400524906</v>
      </c>
      <c r="CA101" s="78">
        <f t="shared" si="115"/>
        <v>-1.5854885341138878</v>
      </c>
      <c r="CB101" s="78">
        <f t="shared" si="115"/>
        <v>-1.6739159642467871</v>
      </c>
      <c r="CC101" s="78">
        <f t="shared" si="116"/>
        <v>-1.3191973890730417</v>
      </c>
      <c r="CD101" s="78">
        <f t="shared" si="116"/>
        <v>-1.5733317652973551</v>
      </c>
      <c r="CE101" s="78">
        <f t="shared" si="116"/>
        <v>-1.4507886839893598</v>
      </c>
      <c r="CF101" s="78" t="e">
        <f t="shared" si="116"/>
        <v>#DIV/0!</v>
      </c>
      <c r="CG101" s="78" t="e">
        <f t="shared" si="116"/>
        <v>#DIV/0!</v>
      </c>
      <c r="CH101" s="78" t="e">
        <f t="shared" si="116"/>
        <v>#DIV/0!</v>
      </c>
      <c r="CI101" s="78" t="e">
        <f t="shared" si="116"/>
        <v>#DIV/0!</v>
      </c>
      <c r="CJ101" s="78" t="e">
        <f t="shared" si="116"/>
        <v>#DIV/0!</v>
      </c>
      <c r="CK101" s="80">
        <f t="shared" si="117"/>
        <v>0.30158215474081462</v>
      </c>
      <c r="CL101" s="80">
        <f t="shared" si="117"/>
        <v>0.40038971399793372</v>
      </c>
      <c r="CM101" s="80">
        <f t="shared" si="117"/>
        <v>0.41114138390349247</v>
      </c>
      <c r="CN101" s="80">
        <f t="shared" si="117"/>
        <v>0.18020294332973483</v>
      </c>
      <c r="CO101" s="79">
        <f t="shared" si="117"/>
        <v>0.22363844584440834</v>
      </c>
      <c r="CP101" s="80">
        <f t="shared" si="117"/>
        <v>0.52122179372524902</v>
      </c>
      <c r="CQ101" s="80">
        <f t="shared" si="117"/>
        <v>0.25911029072327435</v>
      </c>
      <c r="CR101" s="78" t="e">
        <f>BI197/SUM(BI181,#REF!-BI149)</f>
        <v>#REF!</v>
      </c>
      <c r="CS101" s="78">
        <f t="shared" si="117"/>
        <v>-1.3542975897998393</v>
      </c>
      <c r="CT101" s="81">
        <f t="shared" si="117"/>
        <v>-2.2727879400524906</v>
      </c>
      <c r="CV101" s="73">
        <v>2325</v>
      </c>
      <c r="CW101" s="59">
        <f>'[2]Brazil Soy Complex'!CH77-CV101</f>
        <v>-2325</v>
      </c>
    </row>
    <row r="102" spans="1:101">
      <c r="A102" s="4" t="s">
        <v>111</v>
      </c>
      <c r="B102" s="56"/>
      <c r="C102" s="57">
        <f t="shared" si="113"/>
        <v>0.36210770064971753</v>
      </c>
      <c r="D102" s="57">
        <f t="shared" si="113"/>
        <v>0.28968616051977403</v>
      </c>
      <c r="E102" s="57">
        <f t="shared" si="113"/>
        <v>0.28968616051977403</v>
      </c>
      <c r="F102" s="57">
        <f t="shared" si="113"/>
        <v>0.57937232103954805</v>
      </c>
      <c r="G102" s="57">
        <f t="shared" si="113"/>
        <v>0.86905848155932208</v>
      </c>
      <c r="H102" s="57">
        <f t="shared" si="113"/>
        <v>1.1587446420790961</v>
      </c>
      <c r="I102" s="57">
        <f t="shared" si="113"/>
        <v>1.9553815835084747</v>
      </c>
      <c r="J102" s="57">
        <f t="shared" si="113"/>
        <v>2.5347539045480225</v>
      </c>
      <c r="K102" s="57">
        <f t="shared" si="113"/>
        <v>10.93565255962147</v>
      </c>
      <c r="L102" s="57">
        <f t="shared" si="113"/>
        <v>15.49820958780791</v>
      </c>
      <c r="M102" s="69">
        <v>31.231999999999999</v>
      </c>
      <c r="N102" s="69">
        <v>23.792000000000002</v>
      </c>
      <c r="O102" s="69">
        <v>34.215000000000003</v>
      </c>
      <c r="P102" s="69">
        <v>42.073</v>
      </c>
      <c r="Q102" s="69">
        <v>34.572000000000003</v>
      </c>
      <c r="R102" s="69">
        <v>18.061</v>
      </c>
      <c r="S102" s="69">
        <v>30.498999999999999</v>
      </c>
      <c r="T102" s="69">
        <v>103.834</v>
      </c>
      <c r="U102" s="69">
        <v>136.196</v>
      </c>
      <c r="V102" s="69">
        <v>191.99</v>
      </c>
      <c r="W102" s="69">
        <v>151.233</v>
      </c>
      <c r="X102" s="69">
        <v>111.22199999999999</v>
      </c>
      <c r="Y102" s="69">
        <v>86.263000000000005</v>
      </c>
      <c r="Z102" s="84">
        <f>Z61*0.77</f>
        <v>359.51299999999998</v>
      </c>
      <c r="AA102" s="69">
        <v>335.24400000000003</v>
      </c>
      <c r="AB102" s="69">
        <v>314.69200000000001</v>
      </c>
      <c r="AC102" s="69">
        <v>364.666</v>
      </c>
      <c r="AD102" s="69">
        <v>299.161</v>
      </c>
      <c r="AE102" s="70">
        <v>471.79599999999999</v>
      </c>
      <c r="AF102" s="70">
        <v>377.26499999999999</v>
      </c>
      <c r="AG102" s="70">
        <v>482.36399999999998</v>
      </c>
      <c r="AH102" s="70">
        <v>288.26</v>
      </c>
      <c r="AI102" s="70">
        <v>203.767</v>
      </c>
      <c r="AJ102" s="70">
        <v>655.20399999999995</v>
      </c>
      <c r="AK102" s="70">
        <v>664.76599999999996</v>
      </c>
      <c r="AL102" s="70">
        <v>284.26600000000002</v>
      </c>
      <c r="AM102" s="70">
        <v>699.97199999999998</v>
      </c>
      <c r="AN102" s="77">
        <v>1072.6220000000001</v>
      </c>
      <c r="AO102" s="77">
        <v>1086.9380000000001</v>
      </c>
      <c r="AP102" s="77">
        <v>1421.76</v>
      </c>
      <c r="AQ102" s="77">
        <v>1521.308</v>
      </c>
      <c r="AR102" s="77">
        <v>1452.8140000000001</v>
      </c>
      <c r="AS102" s="77">
        <v>1691.173</v>
      </c>
      <c r="AT102" s="77">
        <v>1606.2719999999999</v>
      </c>
      <c r="AU102" s="77">
        <v>1088.2560000000001</v>
      </c>
      <c r="AV102" s="77">
        <v>1580.4259999999999</v>
      </c>
      <c r="AW102" s="77">
        <v>1748.4839999999999</v>
      </c>
      <c r="AX102" s="77">
        <v>926.40599999999995</v>
      </c>
      <c r="AY102" s="77">
        <v>1154.6500000000001</v>
      </c>
      <c r="AZ102" s="77">
        <v>1580.327</v>
      </c>
      <c r="BA102" s="70">
        <v>2431.8519999999999</v>
      </c>
      <c r="BB102" s="70">
        <v>1978.155</v>
      </c>
      <c r="BC102" s="59">
        <v>1740.432</v>
      </c>
      <c r="BD102" s="59">
        <v>1728.596</v>
      </c>
      <c r="BE102" s="59">
        <v>1898.537</v>
      </c>
      <c r="BF102" s="59">
        <v>2075.6660000000002</v>
      </c>
      <c r="BG102" s="59">
        <v>1913.91</v>
      </c>
      <c r="BH102" s="59">
        <v>1106.8900000000001</v>
      </c>
      <c r="BI102" s="59">
        <v>1716.184</v>
      </c>
      <c r="BJ102" s="58">
        <f t="shared" si="114"/>
        <v>1924.8385341637118</v>
      </c>
      <c r="BK102" s="58">
        <f t="shared" si="114"/>
        <v>1999.0500755458349</v>
      </c>
      <c r="BL102" s="58">
        <f t="shared" si="114"/>
        <v>1943.2060299654129</v>
      </c>
      <c r="BM102" s="58">
        <f t="shared" si="114"/>
        <v>2037.3282043845679</v>
      </c>
      <c r="BN102" s="58">
        <f t="shared" si="114"/>
        <v>2038.4001476895805</v>
      </c>
      <c r="BO102" s="58">
        <f t="shared" si="114"/>
        <v>2020.6817805358712</v>
      </c>
      <c r="BP102" s="58">
        <f t="shared" si="114"/>
        <v>2036.2517348340091</v>
      </c>
      <c r="BQ102" s="58">
        <f t="shared" si="114"/>
        <v>2037.8733537878391</v>
      </c>
      <c r="BR102" s="58">
        <f t="shared" si="114"/>
        <v>2037.4760699353876</v>
      </c>
      <c r="BS102" s="58">
        <f t="shared" si="114"/>
        <v>2037.1783549652528</v>
      </c>
      <c r="BT102" s="58">
        <f t="shared" si="114"/>
        <v>2037.1580334794239</v>
      </c>
      <c r="BU102" s="58">
        <f t="shared" si="114"/>
        <v>2037.1375905070884</v>
      </c>
      <c r="BV102" s="78">
        <f t="shared" si="115"/>
        <v>0.33315363606292248</v>
      </c>
      <c r="BW102" s="78">
        <f t="shared" si="115"/>
        <v>0.26584874523600832</v>
      </c>
      <c r="BX102" s="78">
        <f>BI198/SUM(BI182,BI166-BI150)</f>
        <v>0.63894710551878153</v>
      </c>
      <c r="BY102" s="78">
        <f t="shared" si="115"/>
        <v>-1.5721307251512788</v>
      </c>
      <c r="BZ102" s="78">
        <f t="shared" si="115"/>
        <v>-2.9004349628819233</v>
      </c>
      <c r="CA102" s="78">
        <f t="shared" si="115"/>
        <v>-2.355562737209675</v>
      </c>
      <c r="CB102" s="78">
        <f t="shared" si="115"/>
        <v>-2.4139715386720386</v>
      </c>
      <c r="CC102" s="78">
        <f t="shared" si="116"/>
        <v>-1.8727788046882954</v>
      </c>
      <c r="CD102" s="78">
        <f t="shared" si="116"/>
        <v>-2.279694732521095</v>
      </c>
      <c r="CE102" s="78">
        <f t="shared" si="116"/>
        <v>-2.072540158173124</v>
      </c>
      <c r="CF102" s="78" t="e">
        <f t="shared" si="116"/>
        <v>#DIV/0!</v>
      </c>
      <c r="CG102" s="78" t="e">
        <f t="shared" si="116"/>
        <v>#DIV/0!</v>
      </c>
      <c r="CH102" s="78" t="e">
        <f t="shared" si="116"/>
        <v>#DIV/0!</v>
      </c>
      <c r="CI102" s="78" t="e">
        <f t="shared" si="116"/>
        <v>#DIV/0!</v>
      </c>
      <c r="CJ102" s="78" t="e">
        <f t="shared" si="116"/>
        <v>#DIV/0!</v>
      </c>
      <c r="CK102" s="80">
        <f t="shared" si="117"/>
        <v>0.25610289375716111</v>
      </c>
      <c r="CL102" s="80">
        <f t="shared" si="117"/>
        <v>0.35408689111171576</v>
      </c>
      <c r="CM102" s="80">
        <f t="shared" si="117"/>
        <v>0.39381620764761704</v>
      </c>
      <c r="CN102" s="79">
        <f t="shared" si="117"/>
        <v>0.28920232171175464</v>
      </c>
      <c r="CO102" s="79">
        <f t="shared" si="117"/>
        <v>0.2713233836415499</v>
      </c>
      <c r="CP102" s="80">
        <f t="shared" si="117"/>
        <v>0.33315363606292248</v>
      </c>
      <c r="CQ102" s="80">
        <f t="shared" si="117"/>
        <v>0.26584874523600832</v>
      </c>
      <c r="CR102" s="78">
        <f>BI198/SUM(BI182,BI166-BI150)</f>
        <v>0.63894710551878153</v>
      </c>
      <c r="CS102" s="78">
        <f t="shared" si="117"/>
        <v>-1.5721307251512788</v>
      </c>
      <c r="CT102" s="81">
        <f t="shared" si="117"/>
        <v>-2.9004349628819233</v>
      </c>
      <c r="CV102" s="73">
        <v>2150</v>
      </c>
      <c r="CW102" s="59">
        <f>'[2]Brazil Soy Complex'!CH66-CV102</f>
        <v>-2150</v>
      </c>
    </row>
    <row r="103" spans="1:101">
      <c r="A103" s="4" t="s">
        <v>112</v>
      </c>
      <c r="B103" s="56"/>
      <c r="C103" s="57">
        <f t="shared" si="113"/>
        <v>0.26184068867783666</v>
      </c>
      <c r="D103" s="57">
        <f t="shared" si="113"/>
        <v>0.20947255094226933</v>
      </c>
      <c r="E103" s="57">
        <f t="shared" si="113"/>
        <v>0.20947255094226933</v>
      </c>
      <c r="F103" s="57">
        <f t="shared" si="113"/>
        <v>0.41894510188453865</v>
      </c>
      <c r="G103" s="57">
        <f t="shared" si="113"/>
        <v>0.62841765282680795</v>
      </c>
      <c r="H103" s="57">
        <f t="shared" si="113"/>
        <v>0.8378902037690773</v>
      </c>
      <c r="I103" s="57">
        <f t="shared" si="113"/>
        <v>1.413939718860318</v>
      </c>
      <c r="J103" s="57">
        <f t="shared" si="113"/>
        <v>1.8328848207448567</v>
      </c>
      <c r="K103" s="57">
        <f t="shared" si="113"/>
        <v>7.9075887980706669</v>
      </c>
      <c r="L103" s="57">
        <f t="shared" si="113"/>
        <v>11.206781475411409</v>
      </c>
      <c r="M103" s="69">
        <v>25.222999999999999</v>
      </c>
      <c r="N103" s="69">
        <v>25.428999999999998</v>
      </c>
      <c r="O103" s="69">
        <v>25.349</v>
      </c>
      <c r="P103" s="69">
        <v>32.457000000000001</v>
      </c>
      <c r="Q103" s="69">
        <v>11.493</v>
      </c>
      <c r="R103" s="69">
        <v>5.8760000000000003</v>
      </c>
      <c r="S103" s="69">
        <v>35.640999999999998</v>
      </c>
      <c r="T103" s="69">
        <v>63.606000000000002</v>
      </c>
      <c r="U103" s="69">
        <v>146.13</v>
      </c>
      <c r="V103" s="69">
        <v>201.678</v>
      </c>
      <c r="W103" s="69">
        <v>138.923</v>
      </c>
      <c r="X103" s="69">
        <v>62.767000000000003</v>
      </c>
      <c r="Y103" s="69">
        <v>31.391999999999999</v>
      </c>
      <c r="Z103" s="69">
        <v>159.21299999999999</v>
      </c>
      <c r="AA103" s="69">
        <v>312.142</v>
      </c>
      <c r="AB103" s="69">
        <v>346.70400000000001</v>
      </c>
      <c r="AC103" s="69">
        <v>252.83</v>
      </c>
      <c r="AD103" s="69">
        <v>133.404</v>
      </c>
      <c r="AE103" s="70">
        <v>227.078</v>
      </c>
      <c r="AF103" s="70">
        <v>193.72200000000001</v>
      </c>
      <c r="AG103" s="70">
        <v>252.499</v>
      </c>
      <c r="AH103" s="70">
        <v>272.80099999999999</v>
      </c>
      <c r="AI103" s="70">
        <v>292.71600000000001</v>
      </c>
      <c r="AJ103" s="70">
        <v>490.90300000000002</v>
      </c>
      <c r="AK103" s="70">
        <v>539.86300000000006</v>
      </c>
      <c r="AL103" s="70">
        <v>685.65899999999999</v>
      </c>
      <c r="AM103" s="70">
        <v>884.91899999999998</v>
      </c>
      <c r="AN103" s="77">
        <v>1171.3240000000001</v>
      </c>
      <c r="AO103" s="77">
        <v>1225.864</v>
      </c>
      <c r="AP103" s="77">
        <v>1484.797</v>
      </c>
      <c r="AQ103" s="77">
        <v>1786.078</v>
      </c>
      <c r="AR103" s="77">
        <v>1824.8420000000001</v>
      </c>
      <c r="AS103" s="77">
        <v>904.78899999999999</v>
      </c>
      <c r="AT103" s="77">
        <v>1608.7809999999999</v>
      </c>
      <c r="AU103" s="77">
        <v>1314.204</v>
      </c>
      <c r="AV103" s="77">
        <v>2127.8380000000002</v>
      </c>
      <c r="AW103" s="77">
        <v>1860.1030000000001</v>
      </c>
      <c r="AX103" s="77">
        <v>1309.404</v>
      </c>
      <c r="AY103" s="77">
        <v>1580.7929999999999</v>
      </c>
      <c r="AZ103" s="77">
        <v>1663.645</v>
      </c>
      <c r="BA103" s="70">
        <v>2428.1750000000002</v>
      </c>
      <c r="BB103" s="70">
        <v>2567.627</v>
      </c>
      <c r="BC103" s="59">
        <v>2234.404</v>
      </c>
      <c r="BD103" s="59">
        <v>2143.4259999999999</v>
      </c>
      <c r="BE103" s="59">
        <v>1986.732</v>
      </c>
      <c r="BF103" s="59">
        <v>2473.6080000000002</v>
      </c>
      <c r="BG103" s="59">
        <v>2088.6460000000002</v>
      </c>
      <c r="BH103" s="59">
        <v>1541.4380000000001</v>
      </c>
      <c r="BI103" s="58">
        <f>(BI135*BI87)-BI119</f>
        <v>2114.7309620430929</v>
      </c>
      <c r="BJ103" s="58">
        <f t="shared" si="114"/>
        <v>2354.3754799202097</v>
      </c>
      <c r="BK103" s="58">
        <f t="shared" si="114"/>
        <v>3364.4608347435069</v>
      </c>
      <c r="BL103" s="58">
        <f t="shared" si="114"/>
        <v>2364.911275935438</v>
      </c>
      <c r="BM103" s="58">
        <f t="shared" si="114"/>
        <v>2962.9238655697441</v>
      </c>
      <c r="BN103" s="58">
        <f t="shared" si="114"/>
        <v>2928.4018233364372</v>
      </c>
      <c r="BO103" s="58">
        <f t="shared" si="114"/>
        <v>2683.5964766575457</v>
      </c>
      <c r="BP103" s="58">
        <f t="shared" si="114"/>
        <v>2908.5101889397847</v>
      </c>
      <c r="BQ103" s="58">
        <f t="shared" si="114"/>
        <v>2757.2959542964213</v>
      </c>
      <c r="BR103" s="58">
        <f t="shared" si="114"/>
        <v>2739.4550294464711</v>
      </c>
      <c r="BS103" s="58">
        <f t="shared" si="114"/>
        <v>2795.8310459870108</v>
      </c>
      <c r="BT103" s="58">
        <f t="shared" si="114"/>
        <v>2739.8403712595632</v>
      </c>
      <c r="BU103" s="58">
        <f t="shared" si="114"/>
        <v>2720.9142351617029</v>
      </c>
      <c r="BV103" s="78">
        <f t="shared" si="115"/>
        <v>0.23509452295386682</v>
      </c>
      <c r="BW103" s="78">
        <f t="shared" si="115"/>
        <v>0.342573179014656</v>
      </c>
      <c r="BX103" s="78">
        <f>BI199/SUM(BI183,BI167-BI151)</f>
        <v>-0.59220538569443915</v>
      </c>
      <c r="BY103" s="78">
        <f t="shared" si="115"/>
        <v>-1.2167909644794785</v>
      </c>
      <c r="BZ103" s="78">
        <f t="shared" si="115"/>
        <v>-2.5146078007909027</v>
      </c>
      <c r="CA103" s="78">
        <f t="shared" si="115"/>
        <v>-1.5987345784145495</v>
      </c>
      <c r="CB103" s="78">
        <f t="shared" si="115"/>
        <v>-1.3978312209947477</v>
      </c>
      <c r="CC103" s="78">
        <f t="shared" si="116"/>
        <v>-1.1085655619565336</v>
      </c>
      <c r="CD103" s="78">
        <f t="shared" si="116"/>
        <v>-1.437156049169741</v>
      </c>
      <c r="CE103" s="78">
        <f t="shared" si="116"/>
        <v>-1.2666124772490028</v>
      </c>
      <c r="CF103" s="78" t="e">
        <f t="shared" si="116"/>
        <v>#DIV/0!</v>
      </c>
      <c r="CG103" s="78" t="e">
        <f t="shared" si="116"/>
        <v>#DIV/0!</v>
      </c>
      <c r="CH103" s="78" t="e">
        <f t="shared" si="116"/>
        <v>#DIV/0!</v>
      </c>
      <c r="CI103" s="78" t="e">
        <f t="shared" si="116"/>
        <v>#DIV/0!</v>
      </c>
      <c r="CJ103" s="78" t="e">
        <f t="shared" si="116"/>
        <v>#DIV/0!</v>
      </c>
      <c r="CK103" s="80">
        <f t="shared" si="117"/>
        <v>0.33821083334339019</v>
      </c>
      <c r="CL103" s="79">
        <f t="shared" si="117"/>
        <v>0.33683632684400489</v>
      </c>
      <c r="CM103" s="79">
        <f t="shared" si="117"/>
        <v>0.26552906412348926</v>
      </c>
      <c r="CN103" s="80">
        <f t="shared" si="117"/>
        <v>0.25125090566056085</v>
      </c>
      <c r="CO103" s="80">
        <f t="shared" si="117"/>
        <v>0.19778539129427575</v>
      </c>
      <c r="CP103" s="80">
        <f t="shared" si="117"/>
        <v>0.23509452295386682</v>
      </c>
      <c r="CQ103" s="78">
        <f t="shared" si="117"/>
        <v>0.342573179014656</v>
      </c>
      <c r="CR103" s="81">
        <f>BI199/SUM(BI183,BI167-BI151)</f>
        <v>-0.59220538569443915</v>
      </c>
      <c r="CS103" s="78">
        <f t="shared" si="117"/>
        <v>-1.2167909644794785</v>
      </c>
      <c r="CT103" s="78">
        <f t="shared" si="117"/>
        <v>-2.5146078007909027</v>
      </c>
      <c r="CV103" s="73">
        <v>3333.6110000000044</v>
      </c>
      <c r="CW103" s="59">
        <f>'[2]Brazil Soy Complex'!CH67-CV103</f>
        <v>-3333.6110000000044</v>
      </c>
    </row>
    <row r="104" spans="1:101" ht="15.75" thickBot="1">
      <c r="A104" s="4" t="s">
        <v>113</v>
      </c>
      <c r="B104" s="56"/>
      <c r="C104" s="56">
        <v>5</v>
      </c>
      <c r="D104" s="56">
        <v>4</v>
      </c>
      <c r="E104" s="56">
        <v>4</v>
      </c>
      <c r="F104" s="56">
        <v>8</v>
      </c>
      <c r="G104" s="56">
        <v>12</v>
      </c>
      <c r="H104" s="56">
        <v>16</v>
      </c>
      <c r="I104" s="56">
        <v>27</v>
      </c>
      <c r="J104" s="56">
        <v>35</v>
      </c>
      <c r="K104" s="56">
        <v>151</v>
      </c>
      <c r="L104" s="56">
        <v>214</v>
      </c>
      <c r="M104" s="56">
        <f t="shared" ref="M104:AR104" si="118">SUM(M92:M103)</f>
        <v>405.68900000000002</v>
      </c>
      <c r="N104" s="56">
        <f t="shared" si="118"/>
        <v>393.84400000000005</v>
      </c>
      <c r="O104" s="56">
        <f t="shared" si="118"/>
        <v>456.37100000000004</v>
      </c>
      <c r="P104" s="56">
        <f t="shared" si="118"/>
        <v>535.24</v>
      </c>
      <c r="Q104" s="56">
        <f t="shared" si="118"/>
        <v>499.38999999999993</v>
      </c>
      <c r="R104" s="56">
        <f t="shared" si="118"/>
        <v>549.58199999999999</v>
      </c>
      <c r="S104" s="56">
        <f t="shared" si="118"/>
        <v>837.86899999999991</v>
      </c>
      <c r="T104" s="56">
        <f t="shared" si="118"/>
        <v>1507.2010000000002</v>
      </c>
      <c r="U104" s="56">
        <f t="shared" si="118"/>
        <v>1879.3200000000002</v>
      </c>
      <c r="V104" s="56">
        <f t="shared" si="118"/>
        <v>2802.1579999999994</v>
      </c>
      <c r="W104" s="56">
        <f t="shared" si="118"/>
        <v>2711.0569999999998</v>
      </c>
      <c r="X104" s="56">
        <f t="shared" si="118"/>
        <v>3445.7930000000001</v>
      </c>
      <c r="Y104" s="56">
        <f t="shared" si="118"/>
        <v>3901.8509999999997</v>
      </c>
      <c r="Z104" s="56">
        <f t="shared" si="118"/>
        <v>5559.7979999999989</v>
      </c>
      <c r="AA104" s="56">
        <f t="shared" si="118"/>
        <v>4304.4049999999997</v>
      </c>
      <c r="AB104" s="56">
        <f t="shared" si="118"/>
        <v>5309.5379999999996</v>
      </c>
      <c r="AC104" s="56">
        <f t="shared" si="118"/>
        <v>5979.5320000000002</v>
      </c>
      <c r="AD104" s="56">
        <f t="shared" si="118"/>
        <v>6505.8899999999994</v>
      </c>
      <c r="AE104" s="59">
        <f t="shared" si="118"/>
        <v>6981.5590000000002</v>
      </c>
      <c r="AF104" s="59">
        <f t="shared" si="118"/>
        <v>7047.2029999999995</v>
      </c>
      <c r="AG104" s="59">
        <f t="shared" si="118"/>
        <v>7573.7789999999995</v>
      </c>
      <c r="AH104" s="59">
        <f t="shared" si="118"/>
        <v>7921.3779999999997</v>
      </c>
      <c r="AI104" s="59">
        <f t="shared" si="118"/>
        <v>8338.5329999999994</v>
      </c>
      <c r="AJ104" s="59">
        <f t="shared" si="118"/>
        <v>13378.148999999999</v>
      </c>
      <c r="AK104" s="59">
        <f t="shared" si="118"/>
        <v>13390.122000000001</v>
      </c>
      <c r="AL104" s="59">
        <f t="shared" si="118"/>
        <v>13051.782999999999</v>
      </c>
      <c r="AM104" s="59">
        <f t="shared" si="118"/>
        <v>15441.228999999999</v>
      </c>
      <c r="AN104" s="59">
        <f t="shared" si="118"/>
        <v>17697.237999999998</v>
      </c>
      <c r="AO104" s="59">
        <f t="shared" si="118"/>
        <v>19571.142</v>
      </c>
      <c r="AP104" s="59">
        <f t="shared" si="118"/>
        <v>19639.298999999995</v>
      </c>
      <c r="AQ104" s="59">
        <f t="shared" si="118"/>
        <v>23234.235450000004</v>
      </c>
      <c r="AR104" s="59">
        <f t="shared" si="118"/>
        <v>25446.477600000002</v>
      </c>
      <c r="AS104" s="59">
        <f t="shared" ref="AS104:BU104" si="119">SUM(AS92:AS103)</f>
        <v>27694.185980000002</v>
      </c>
      <c r="AT104" s="59">
        <f t="shared" si="119"/>
        <v>24674.284</v>
      </c>
      <c r="AU104" s="59">
        <f t="shared" si="119"/>
        <v>22287.242000000002</v>
      </c>
      <c r="AV104" s="59">
        <f t="shared" si="119"/>
        <v>30126.212999999996</v>
      </c>
      <c r="AW104" s="59">
        <f t="shared" si="119"/>
        <v>28768.554000000004</v>
      </c>
      <c r="AX104" s="59">
        <f t="shared" si="119"/>
        <v>23543.861999999994</v>
      </c>
      <c r="AY104" s="59">
        <f t="shared" si="119"/>
        <v>26702.938000000002</v>
      </c>
      <c r="AZ104" s="59">
        <f t="shared" si="119"/>
        <v>28955.273000000005</v>
      </c>
      <c r="BA104" s="59">
        <f t="shared" si="119"/>
        <v>34019.517999999996</v>
      </c>
      <c r="BB104" s="59">
        <f t="shared" si="119"/>
        <v>32455.905999999999</v>
      </c>
      <c r="BC104" s="59">
        <f t="shared" si="119"/>
        <v>30431.907000000003</v>
      </c>
      <c r="BD104" s="59">
        <f t="shared" si="119"/>
        <v>26727.030999999999</v>
      </c>
      <c r="BE104" s="59">
        <f t="shared" si="119"/>
        <v>30003.432000000004</v>
      </c>
      <c r="BF104" s="59">
        <f t="shared" si="119"/>
        <v>27644.543000000001</v>
      </c>
      <c r="BG104" s="59">
        <f t="shared" si="119"/>
        <v>29769.143</v>
      </c>
      <c r="BH104" s="59">
        <f t="shared" si="119"/>
        <v>25892.578999999998</v>
      </c>
      <c r="BI104" s="58">
        <f t="shared" si="119"/>
        <v>21043.289962043091</v>
      </c>
      <c r="BJ104" s="58">
        <f t="shared" si="119"/>
        <v>31803.60594310765</v>
      </c>
      <c r="BK104" s="58">
        <f t="shared" si="119"/>
        <v>31395.380704518662</v>
      </c>
      <c r="BL104" s="58">
        <f t="shared" si="119"/>
        <v>32169.248484215088</v>
      </c>
      <c r="BM104" s="58">
        <f t="shared" si="119"/>
        <v>32895.93040234036</v>
      </c>
      <c r="BN104" s="58">
        <f t="shared" si="119"/>
        <v>32920.478954481339</v>
      </c>
      <c r="BO104" s="58">
        <f t="shared" si="119"/>
        <v>32933.330113021526</v>
      </c>
      <c r="BP104" s="58">
        <f t="shared" si="119"/>
        <v>32914.623781006536</v>
      </c>
      <c r="BQ104" s="58">
        <f t="shared" si="119"/>
        <v>32921.826968824978</v>
      </c>
      <c r="BR104" s="58">
        <f t="shared" si="119"/>
        <v>32921.720859399269</v>
      </c>
      <c r="BS104" s="58" t="e">
        <f t="shared" si="119"/>
        <v>#DIV/0!</v>
      </c>
      <c r="BT104" s="58" t="e">
        <f t="shared" si="119"/>
        <v>#DIV/0!</v>
      </c>
      <c r="BU104" s="58" t="e">
        <f t="shared" si="119"/>
        <v>#DIV/0!</v>
      </c>
      <c r="CK104" s="79" t="s">
        <v>135</v>
      </c>
      <c r="CL104" s="85"/>
      <c r="CM104" s="85"/>
      <c r="CN104" s="85"/>
      <c r="CO104" s="85"/>
      <c r="CP104" s="85"/>
    </row>
    <row r="105" spans="1:101">
      <c r="A105" s="60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1:101" ht="15.75" thickBot="1">
      <c r="A106" s="53" t="s">
        <v>136</v>
      </c>
    </row>
    <row r="107" spans="1:101" s="4" customFormat="1" ht="15.75" thickBot="1">
      <c r="A107" s="54"/>
      <c r="B107" s="63" t="s">
        <v>1</v>
      </c>
      <c r="C107" s="63" t="s">
        <v>2</v>
      </c>
      <c r="D107" s="63" t="s">
        <v>3</v>
      </c>
      <c r="E107" s="63" t="s">
        <v>4</v>
      </c>
      <c r="F107" s="63" t="s">
        <v>5</v>
      </c>
      <c r="G107" s="63" t="s">
        <v>6</v>
      </c>
      <c r="H107" s="63" t="s">
        <v>7</v>
      </c>
      <c r="I107" s="63" t="s">
        <v>8</v>
      </c>
      <c r="J107" s="63" t="s">
        <v>9</v>
      </c>
      <c r="K107" s="63" t="s">
        <v>10</v>
      </c>
      <c r="L107" s="63" t="s">
        <v>11</v>
      </c>
      <c r="M107" s="55" t="s">
        <v>12</v>
      </c>
      <c r="N107" s="55" t="s">
        <v>13</v>
      </c>
      <c r="O107" s="55" t="s">
        <v>14</v>
      </c>
      <c r="P107" s="55" t="s">
        <v>15</v>
      </c>
      <c r="Q107" s="55" t="s">
        <v>16</v>
      </c>
      <c r="R107" s="55" t="s">
        <v>17</v>
      </c>
      <c r="S107" s="55" t="s">
        <v>18</v>
      </c>
      <c r="T107" s="55" t="s">
        <v>19</v>
      </c>
      <c r="U107" s="55" t="s">
        <v>20</v>
      </c>
      <c r="V107" s="55" t="s">
        <v>21</v>
      </c>
      <c r="W107" s="55" t="s">
        <v>22</v>
      </c>
      <c r="X107" s="55" t="s">
        <v>23</v>
      </c>
      <c r="Y107" s="55" t="s">
        <v>24</v>
      </c>
      <c r="Z107" s="55" t="s">
        <v>25</v>
      </c>
      <c r="AA107" s="55" t="s">
        <v>26</v>
      </c>
      <c r="AB107" s="55" t="s">
        <v>27</v>
      </c>
      <c r="AC107" s="55" t="s">
        <v>28</v>
      </c>
      <c r="AD107" s="55" t="s">
        <v>29</v>
      </c>
      <c r="AE107" s="55" t="s">
        <v>30</v>
      </c>
      <c r="AF107" s="55" t="s">
        <v>31</v>
      </c>
      <c r="AG107" s="55" t="s">
        <v>32</v>
      </c>
      <c r="AH107" s="55" t="s">
        <v>33</v>
      </c>
      <c r="AI107" s="55" t="s">
        <v>34</v>
      </c>
      <c r="AJ107" s="55" t="s">
        <v>35</v>
      </c>
      <c r="AK107" s="55" t="s">
        <v>36</v>
      </c>
      <c r="AL107" s="55" t="s">
        <v>37</v>
      </c>
      <c r="AM107" s="55" t="s">
        <v>38</v>
      </c>
      <c r="AN107" s="55" t="s">
        <v>39</v>
      </c>
      <c r="AO107" s="55" t="s">
        <v>40</v>
      </c>
      <c r="AP107" s="55" t="s">
        <v>41</v>
      </c>
      <c r="AQ107" s="55" t="s">
        <v>42</v>
      </c>
      <c r="AR107" s="55" t="s">
        <v>43</v>
      </c>
      <c r="AS107" s="55" t="s">
        <v>44</v>
      </c>
      <c r="AT107" s="55" t="s">
        <v>45</v>
      </c>
      <c r="AU107" s="55" t="s">
        <v>46</v>
      </c>
      <c r="AV107" s="55" t="s">
        <v>47</v>
      </c>
      <c r="AW107" s="55" t="s">
        <v>48</v>
      </c>
      <c r="AX107" s="55" t="s">
        <v>49</v>
      </c>
      <c r="AY107" s="55" t="s">
        <v>50</v>
      </c>
      <c r="AZ107" s="55" t="s">
        <v>51</v>
      </c>
      <c r="BA107" s="55" t="s">
        <v>52</v>
      </c>
      <c r="BB107" s="55" t="s">
        <v>53</v>
      </c>
      <c r="BC107" s="55" t="s">
        <v>54</v>
      </c>
      <c r="BD107" s="55" t="s">
        <v>55</v>
      </c>
      <c r="BE107" s="55" t="s">
        <v>56</v>
      </c>
      <c r="BF107" s="55" t="s">
        <v>57</v>
      </c>
      <c r="BG107" s="55" t="str">
        <f t="shared" ref="BG107:BU107" si="120">BH2</f>
        <v>22/23</v>
      </c>
      <c r="BH107" s="55" t="str">
        <f t="shared" si="120"/>
        <v>23/24</v>
      </c>
      <c r="BI107" s="55" t="str">
        <f t="shared" si="120"/>
        <v>24/25</v>
      </c>
      <c r="BJ107" s="55" t="str">
        <f t="shared" si="120"/>
        <v>25/26</v>
      </c>
      <c r="BK107" s="55" t="str">
        <f t="shared" si="120"/>
        <v>26/27</v>
      </c>
      <c r="BL107" s="55" t="str">
        <f t="shared" si="120"/>
        <v>27/28</v>
      </c>
      <c r="BM107" s="55" t="str">
        <f t="shared" si="120"/>
        <v>28/29</v>
      </c>
      <c r="BN107" s="55" t="str">
        <f t="shared" si="120"/>
        <v>29/30</v>
      </c>
      <c r="BO107" s="55" t="str">
        <f t="shared" si="120"/>
        <v>30/31</v>
      </c>
      <c r="BP107" s="55" t="str">
        <f t="shared" si="120"/>
        <v>31/32</v>
      </c>
      <c r="BQ107" s="55" t="str">
        <f t="shared" si="120"/>
        <v>32/33</v>
      </c>
      <c r="BR107" s="55" t="str">
        <f t="shared" si="120"/>
        <v>33/34</v>
      </c>
      <c r="BS107" s="55" t="str">
        <f t="shared" si="120"/>
        <v>34/35</v>
      </c>
      <c r="BT107" s="55" t="str">
        <f t="shared" si="120"/>
        <v>34/35</v>
      </c>
      <c r="BU107" s="55">
        <f t="shared" si="120"/>
        <v>0</v>
      </c>
    </row>
    <row r="108" spans="1:101">
      <c r="A108" s="4" t="s">
        <v>100</v>
      </c>
      <c r="B108" s="56"/>
      <c r="C108" s="57">
        <f t="shared" ref="C108:L119" si="121">(SUM($T108:$X108)/SUM($T$120:$X$120))*C$120</f>
        <v>5.0892723127711533E-3</v>
      </c>
      <c r="D108" s="57">
        <f t="shared" si="121"/>
        <v>4.2415750060233494E-3</v>
      </c>
      <c r="E108" s="57">
        <f t="shared" si="121"/>
        <v>4.2415750060233494E-3</v>
      </c>
      <c r="F108" s="57">
        <f t="shared" si="121"/>
        <v>9.3246703742258415E-3</v>
      </c>
      <c r="G108" s="57">
        <f t="shared" si="121"/>
        <v>1.2709282656648396E-2</v>
      </c>
      <c r="H108" s="57">
        <f t="shared" si="121"/>
        <v>1.7780024135713564E-2</v>
      </c>
      <c r="I108" s="57">
        <f t="shared" si="121"/>
        <v>3.0424448874391018E-2</v>
      </c>
      <c r="J108" s="57">
        <f t="shared" si="121"/>
        <v>3.8828328097806557E-2</v>
      </c>
      <c r="K108" s="57">
        <f t="shared" si="121"/>
        <v>0.1616071619637621</v>
      </c>
      <c r="L108" s="57">
        <f t="shared" si="121"/>
        <v>0.23039219678906017</v>
      </c>
      <c r="M108" s="57">
        <f t="shared" ref="M108:S119" si="122">(SUM($T108:$X108)/SUM($T$120:$X$120))*M$120</f>
        <v>0.42027335669558935</v>
      </c>
      <c r="N108" s="57">
        <f t="shared" si="122"/>
        <v>0.3954975375639731</v>
      </c>
      <c r="O108" s="57">
        <f t="shared" si="122"/>
        <v>0.46388172068900518</v>
      </c>
      <c r="P108" s="57">
        <f t="shared" si="122"/>
        <v>0.53408256658608</v>
      </c>
      <c r="Q108" s="57">
        <f t="shared" si="122"/>
        <v>0.49965503176356452</v>
      </c>
      <c r="R108" s="57">
        <f t="shared" si="122"/>
        <v>0.5578747866291921</v>
      </c>
      <c r="S108" s="57">
        <f t="shared" si="122"/>
        <v>0.80746264290919889</v>
      </c>
      <c r="T108" s="69">
        <v>0</v>
      </c>
      <c r="U108" s="69">
        <v>0</v>
      </c>
      <c r="V108" s="69">
        <v>4.2350000000000003</v>
      </c>
      <c r="W108" s="69">
        <v>2.8140000000000001</v>
      </c>
      <c r="X108" s="69">
        <v>0</v>
      </c>
      <c r="Y108" s="69">
        <v>1.214</v>
      </c>
      <c r="Z108" s="69">
        <v>1.6160000000000001</v>
      </c>
      <c r="AA108" s="69">
        <v>6.5510000000000002</v>
      </c>
      <c r="AB108" s="69">
        <v>1.7589999999999999</v>
      </c>
      <c r="AC108" s="69">
        <v>1.774</v>
      </c>
      <c r="AD108" s="69">
        <v>3.96</v>
      </c>
      <c r="AE108" s="70">
        <v>5.0919999999999996</v>
      </c>
      <c r="AF108" s="70">
        <v>3.3029999999999999</v>
      </c>
      <c r="AG108" s="70">
        <v>4.8280000000000003</v>
      </c>
      <c r="AH108" s="70">
        <v>2.7930000000000001</v>
      </c>
      <c r="AI108" s="70">
        <v>4.2039999999999997</v>
      </c>
      <c r="AJ108" s="70">
        <v>5.617</v>
      </c>
      <c r="AK108" s="70">
        <v>4.4530000000000003</v>
      </c>
      <c r="AL108" s="70">
        <v>4.1619999999999999</v>
      </c>
      <c r="AM108" s="70">
        <v>4.6559999999999997</v>
      </c>
      <c r="AN108" s="70">
        <v>5.1379999999999999</v>
      </c>
      <c r="AO108" s="77">
        <v>5.577</v>
      </c>
      <c r="AP108" s="77">
        <v>8.1999999999999993</v>
      </c>
      <c r="AQ108" s="77">
        <v>10.071</v>
      </c>
      <c r="AR108" s="77">
        <v>12.148</v>
      </c>
      <c r="AS108" s="77">
        <v>12.968999999999999</v>
      </c>
      <c r="AT108" s="77">
        <v>17.501000000000001</v>
      </c>
      <c r="AU108" s="77">
        <v>17.082999999999998</v>
      </c>
      <c r="AV108" s="77">
        <v>29.72</v>
      </c>
      <c r="AW108" s="77">
        <v>32.569000000000003</v>
      </c>
      <c r="AX108" s="77">
        <v>36.103999999999999</v>
      </c>
      <c r="AY108" s="77">
        <v>35.679000000000002</v>
      </c>
      <c r="AZ108" s="77">
        <v>46.206000000000003</v>
      </c>
      <c r="BA108" s="77">
        <v>57.363</v>
      </c>
      <c r="BB108" s="70">
        <v>50.24</v>
      </c>
      <c r="BC108" s="59">
        <v>53.393999999999998</v>
      </c>
      <c r="BD108" s="59">
        <v>62.968000000000004</v>
      </c>
      <c r="BE108" s="59">
        <v>67.56</v>
      </c>
      <c r="BF108" s="59">
        <v>75.519000000000005</v>
      </c>
      <c r="BG108" s="59">
        <v>78.8</v>
      </c>
      <c r="BH108" s="59">
        <v>82.287000000000006</v>
      </c>
      <c r="BI108" s="59">
        <v>81.34</v>
      </c>
      <c r="BJ108" s="58">
        <f t="shared" ref="BJ108:BU119" si="123">FORECAST(BJ76,BD108:BH108,BD76:BH76)</f>
        <v>74.109552592307168</v>
      </c>
      <c r="BK108" s="58">
        <f t="shared" si="123"/>
        <v>77.875558445346911</v>
      </c>
      <c r="BL108" s="58">
        <f t="shared" si="123"/>
        <v>78.10732098273138</v>
      </c>
      <c r="BM108" s="58">
        <f t="shared" si="123"/>
        <v>78.734581154943157</v>
      </c>
      <c r="BN108" s="58">
        <f t="shared" si="123"/>
        <v>78.314412047984717</v>
      </c>
      <c r="BO108" s="58">
        <f t="shared" si="123"/>
        <v>76.670445424441056</v>
      </c>
      <c r="BP108" s="58">
        <f t="shared" si="123"/>
        <v>77.322001429357456</v>
      </c>
      <c r="BQ108" s="58">
        <f t="shared" si="123"/>
        <v>77.892472974092939</v>
      </c>
      <c r="BR108" s="58">
        <f t="shared" si="123"/>
        <v>77.690497986698205</v>
      </c>
      <c r="BS108" s="58">
        <f t="shared" si="123"/>
        <v>77.711126506939991</v>
      </c>
      <c r="BT108" s="58">
        <f t="shared" si="123"/>
        <v>77.422259004789993</v>
      </c>
      <c r="BU108" s="58">
        <f t="shared" si="123"/>
        <v>77.398073001798082</v>
      </c>
    </row>
    <row r="109" spans="1:101">
      <c r="A109" s="4" t="s">
        <v>102</v>
      </c>
      <c r="B109" s="56"/>
      <c r="C109" s="57">
        <f t="shared" si="121"/>
        <v>1.2645567393699354E-2</v>
      </c>
      <c r="D109" s="57">
        <f t="shared" si="121"/>
        <v>1.0539251841466727E-2</v>
      </c>
      <c r="E109" s="57">
        <f t="shared" si="121"/>
        <v>1.0539251841466727E-2</v>
      </c>
      <c r="F109" s="57">
        <f t="shared" si="121"/>
        <v>2.3169471074558887E-2</v>
      </c>
      <c r="G109" s="57">
        <f t="shared" si="121"/>
        <v>3.1579385122882199E-2</v>
      </c>
      <c r="H109" s="57">
        <f t="shared" si="121"/>
        <v>4.4178908034759976E-2</v>
      </c>
      <c r="I109" s="57">
        <f t="shared" si="121"/>
        <v>7.5597137471266646E-2</v>
      </c>
      <c r="J109" s="57">
        <f t="shared" si="121"/>
        <v>9.6478673093074452E-2</v>
      </c>
      <c r="K109" s="57">
        <f t="shared" si="121"/>
        <v>0.40155333264226029</v>
      </c>
      <c r="L109" s="57">
        <f t="shared" si="121"/>
        <v>0.57246692108957131</v>
      </c>
      <c r="M109" s="57">
        <f t="shared" si="122"/>
        <v>1.0442740590896931</v>
      </c>
      <c r="N109" s="57">
        <f t="shared" si="122"/>
        <v>0.98271235216810737</v>
      </c>
      <c r="O109" s="57">
        <f t="shared" si="122"/>
        <v>1.152629924509565</v>
      </c>
      <c r="P109" s="57">
        <f t="shared" si="122"/>
        <v>1.3270614489651282</v>
      </c>
      <c r="Q109" s="57">
        <f t="shared" si="122"/>
        <v>1.2415176452459684</v>
      </c>
      <c r="R109" s="57">
        <f t="shared" si="122"/>
        <v>1.3861791584352816</v>
      </c>
      <c r="S109" s="57">
        <f t="shared" si="122"/>
        <v>2.0063424869562514</v>
      </c>
      <c r="T109" s="69">
        <v>3.7360000000000002</v>
      </c>
      <c r="U109" s="69">
        <v>0</v>
      </c>
      <c r="V109" s="69">
        <v>10.239000000000001</v>
      </c>
      <c r="W109" s="69">
        <v>3.54</v>
      </c>
      <c r="X109" s="69">
        <v>0</v>
      </c>
      <c r="Y109" s="69">
        <v>1.1000000000000001</v>
      </c>
      <c r="Z109" s="69">
        <v>1.7869999999999999</v>
      </c>
      <c r="AA109" s="69">
        <v>13.625</v>
      </c>
      <c r="AB109" s="69">
        <v>1.421</v>
      </c>
      <c r="AC109" s="69">
        <v>2.476</v>
      </c>
      <c r="AD109" s="69">
        <v>5.181</v>
      </c>
      <c r="AE109" s="70">
        <v>3.57</v>
      </c>
      <c r="AF109" s="70">
        <v>4.4180000000000001</v>
      </c>
      <c r="AG109" s="70">
        <v>6.1719999999999997</v>
      </c>
      <c r="AH109" s="70">
        <v>5.2510000000000003</v>
      </c>
      <c r="AI109" s="70">
        <v>4.7489999999999997</v>
      </c>
      <c r="AJ109" s="70">
        <v>5.8559999999999999</v>
      </c>
      <c r="AK109" s="70">
        <v>6.3</v>
      </c>
      <c r="AL109" s="70">
        <v>4.1660000000000004</v>
      </c>
      <c r="AM109" s="70">
        <v>4.4649999999999999</v>
      </c>
      <c r="AN109" s="70">
        <v>6.0640000000000001</v>
      </c>
      <c r="AO109" s="77">
        <v>5.9109999999999996</v>
      </c>
      <c r="AP109" s="77">
        <v>8.25</v>
      </c>
      <c r="AQ109" s="77">
        <v>10.369</v>
      </c>
      <c r="AR109" s="77">
        <v>12.663</v>
      </c>
      <c r="AS109" s="77">
        <v>15.103999999999999</v>
      </c>
      <c r="AT109" s="77">
        <v>17.457999999999998</v>
      </c>
      <c r="AU109" s="77">
        <v>16.710999999999999</v>
      </c>
      <c r="AV109" s="77">
        <v>29.541</v>
      </c>
      <c r="AW109" s="77">
        <v>32.215000000000003</v>
      </c>
      <c r="AX109" s="77">
        <v>39.168999999999997</v>
      </c>
      <c r="AY109" s="77">
        <v>32.899000000000001</v>
      </c>
      <c r="AZ109" s="77">
        <v>51.378</v>
      </c>
      <c r="BA109" s="77">
        <v>63.061</v>
      </c>
      <c r="BB109" s="70">
        <v>53.871000000000002</v>
      </c>
      <c r="BC109" s="59">
        <v>64.424000000000007</v>
      </c>
      <c r="BD109" s="59">
        <v>64.221999999999994</v>
      </c>
      <c r="BE109" s="59">
        <v>80.591999999999999</v>
      </c>
      <c r="BF109" s="59">
        <v>81.234999999999999</v>
      </c>
      <c r="BG109" s="59">
        <v>77.037999999999997</v>
      </c>
      <c r="BH109" s="59">
        <v>88.619</v>
      </c>
      <c r="BI109" s="59">
        <v>88.159000000000006</v>
      </c>
      <c r="BJ109" s="58">
        <f t="shared" si="123"/>
        <v>76.967252654774668</v>
      </c>
      <c r="BK109" s="58">
        <f t="shared" si="123"/>
        <v>84.17123855125439</v>
      </c>
      <c r="BL109" s="58">
        <f t="shared" si="123"/>
        <v>82.073219998157555</v>
      </c>
      <c r="BM109" s="58">
        <f t="shared" si="123"/>
        <v>81.878873874144944</v>
      </c>
      <c r="BN109" s="58">
        <f t="shared" si="123"/>
        <v>82.926525784857347</v>
      </c>
      <c r="BO109" s="58">
        <f t="shared" si="123"/>
        <v>79.853101641993248</v>
      </c>
      <c r="BP109" s="58">
        <f t="shared" si="123"/>
        <v>81.542239209045363</v>
      </c>
      <c r="BQ109" s="58">
        <f t="shared" si="123"/>
        <v>81.384691855644405</v>
      </c>
      <c r="BR109" s="58">
        <f t="shared" si="123"/>
        <v>81.48074910610336</v>
      </c>
      <c r="BS109" s="58">
        <f t="shared" si="123"/>
        <v>81.426639622885091</v>
      </c>
      <c r="BT109" s="58" t="e">
        <f t="shared" si="123"/>
        <v>#DIV/0!</v>
      </c>
      <c r="BU109" s="58" t="e">
        <f t="shared" si="123"/>
        <v>#DIV/0!</v>
      </c>
    </row>
    <row r="110" spans="1:101">
      <c r="A110" s="4" t="s">
        <v>103</v>
      </c>
      <c r="B110" s="56"/>
      <c r="C110" s="57">
        <f t="shared" si="121"/>
        <v>1.3490289851628456E-2</v>
      </c>
      <c r="D110" s="57">
        <f t="shared" si="121"/>
        <v>1.1243272661022312E-2</v>
      </c>
      <c r="E110" s="57">
        <f t="shared" si="121"/>
        <v>1.1243272661022312E-2</v>
      </c>
      <c r="F110" s="57">
        <f t="shared" si="121"/>
        <v>2.4717189096667584E-2</v>
      </c>
      <c r="G110" s="57">
        <f t="shared" si="121"/>
        <v>3.3688884443108982E-2</v>
      </c>
      <c r="H110" s="57">
        <f t="shared" si="121"/>
        <v>4.7130054046787898E-2</v>
      </c>
      <c r="I110" s="57">
        <f t="shared" si="121"/>
        <v>8.0647017622073491E-2</v>
      </c>
      <c r="J110" s="57">
        <f t="shared" si="121"/>
        <v>0.10292343743900062</v>
      </c>
      <c r="K110" s="57">
        <f t="shared" si="121"/>
        <v>0.42837704941025589</v>
      </c>
      <c r="L110" s="57">
        <f t="shared" si="121"/>
        <v>0.61070764604959404</v>
      </c>
      <c r="M110" s="57">
        <f t="shared" si="122"/>
        <v>1.1140314469934862</v>
      </c>
      <c r="N110" s="57">
        <f t="shared" si="122"/>
        <v>1.048357425079137</v>
      </c>
      <c r="O110" s="57">
        <f t="shared" si="122"/>
        <v>1.2296254718504838</v>
      </c>
      <c r="P110" s="57">
        <f t="shared" si="122"/>
        <v>1.4157090022217196</v>
      </c>
      <c r="Q110" s="57">
        <f t="shared" si="122"/>
        <v>1.3244508821821819</v>
      </c>
      <c r="R110" s="57">
        <f t="shared" si="122"/>
        <v>1.4787757679339557</v>
      </c>
      <c r="S110" s="57">
        <f t="shared" si="122"/>
        <v>2.1403659359850158</v>
      </c>
      <c r="T110" s="69">
        <v>0</v>
      </c>
      <c r="U110" s="69">
        <v>4.0229999999999997</v>
      </c>
      <c r="V110" s="69">
        <v>4.59</v>
      </c>
      <c r="W110" s="69">
        <v>9.8810000000000002</v>
      </c>
      <c r="X110" s="69">
        <v>0.191</v>
      </c>
      <c r="Y110" s="69">
        <v>1.792</v>
      </c>
      <c r="Z110" s="69">
        <v>1.41</v>
      </c>
      <c r="AA110" s="69">
        <v>15.265000000000001</v>
      </c>
      <c r="AB110" s="69">
        <v>1.661</v>
      </c>
      <c r="AC110" s="69">
        <v>2.0699999999999998</v>
      </c>
      <c r="AD110" s="69">
        <v>4.117</v>
      </c>
      <c r="AE110" s="70">
        <v>6.5960000000000001</v>
      </c>
      <c r="AF110" s="70">
        <v>4.2370000000000001</v>
      </c>
      <c r="AG110" s="70">
        <v>5.3929999999999998</v>
      </c>
      <c r="AH110" s="70">
        <v>3.1619999999999999</v>
      </c>
      <c r="AI110" s="70">
        <v>4.2220000000000004</v>
      </c>
      <c r="AJ110" s="70">
        <v>5.89</v>
      </c>
      <c r="AK110" s="70">
        <v>5.7320000000000002</v>
      </c>
      <c r="AL110" s="70">
        <v>3.8420000000000001</v>
      </c>
      <c r="AM110" s="70">
        <v>5.2880000000000003</v>
      </c>
      <c r="AN110" s="70">
        <v>4.9169999999999998</v>
      </c>
      <c r="AO110" s="77">
        <v>6.399</v>
      </c>
      <c r="AP110" s="77">
        <v>8.9949999999999992</v>
      </c>
      <c r="AQ110" s="77">
        <v>8.66</v>
      </c>
      <c r="AR110" s="77">
        <v>11.584</v>
      </c>
      <c r="AS110" s="77">
        <v>13.103999999999999</v>
      </c>
      <c r="AT110" s="77">
        <v>11.29</v>
      </c>
      <c r="AU110" s="77">
        <v>16.939</v>
      </c>
      <c r="AV110" s="77">
        <v>35.863</v>
      </c>
      <c r="AW110" s="77">
        <v>31.033000000000001</v>
      </c>
      <c r="AX110" s="77">
        <v>38.512999999999998</v>
      </c>
      <c r="AY110" s="77">
        <v>32.104999999999997</v>
      </c>
      <c r="AZ110" s="77">
        <v>47.063000000000002</v>
      </c>
      <c r="BA110" s="77">
        <v>67.325999999999993</v>
      </c>
      <c r="BB110" s="70">
        <v>54.771000000000001</v>
      </c>
      <c r="BC110" s="59">
        <v>67.430000000000007</v>
      </c>
      <c r="BD110" s="59">
        <v>69.213999999999999</v>
      </c>
      <c r="BE110" s="59">
        <v>74.408000000000001</v>
      </c>
      <c r="BF110" s="59">
        <v>80.055000000000007</v>
      </c>
      <c r="BG110" s="59">
        <v>87.111000000000004</v>
      </c>
      <c r="BH110" s="59">
        <v>98.856999999999999</v>
      </c>
      <c r="BI110" s="59">
        <v>150.32400000000001</v>
      </c>
      <c r="BJ110" s="58">
        <f t="shared" si="123"/>
        <v>83.198419973555133</v>
      </c>
      <c r="BK110" s="58">
        <f t="shared" si="123"/>
        <v>84.006400119687441</v>
      </c>
      <c r="BL110" s="58">
        <f t="shared" si="123"/>
        <v>84.435469325523741</v>
      </c>
      <c r="BM110" s="58">
        <f t="shared" si="123"/>
        <v>78.41878857334541</v>
      </c>
      <c r="BN110" s="58">
        <f t="shared" si="123"/>
        <v>75.641902368529315</v>
      </c>
      <c r="BO110" s="58">
        <f t="shared" si="123"/>
        <v>78.028779733721251</v>
      </c>
      <c r="BP110" s="58">
        <f t="shared" si="123"/>
        <v>77.623007721511414</v>
      </c>
      <c r="BQ110" s="58">
        <f t="shared" si="123"/>
        <v>78.094964833647765</v>
      </c>
      <c r="BR110" s="58">
        <f t="shared" si="123"/>
        <v>78.011338700061572</v>
      </c>
      <c r="BS110" s="58">
        <f t="shared" si="123"/>
        <v>77.286227703156555</v>
      </c>
      <c r="BT110" s="58">
        <f t="shared" si="123"/>
        <v>77.640274979721028</v>
      </c>
      <c r="BU110" s="58">
        <f t="shared" si="123"/>
        <v>77.543604296284585</v>
      </c>
    </row>
    <row r="111" spans="1:101">
      <c r="A111" s="4" t="s">
        <v>104</v>
      </c>
      <c r="B111" s="56"/>
      <c r="C111" s="57">
        <f t="shared" si="121"/>
        <v>1.4478687325906184E-2</v>
      </c>
      <c r="D111" s="57">
        <f t="shared" si="121"/>
        <v>1.2067037192621966E-2</v>
      </c>
      <c r="E111" s="57">
        <f t="shared" si="121"/>
        <v>1.2067037192621966E-2</v>
      </c>
      <c r="F111" s="57">
        <f t="shared" si="121"/>
        <v>2.6528151466126398E-2</v>
      </c>
      <c r="G111" s="57">
        <f t="shared" si="121"/>
        <v>3.6157178946861518E-2</v>
      </c>
      <c r="H111" s="57">
        <f t="shared" si="121"/>
        <v>5.0583147115562457E-2</v>
      </c>
      <c r="I111" s="57">
        <f t="shared" si="121"/>
        <v>8.6555809012205609E-2</v>
      </c>
      <c r="J111" s="57">
        <f t="shared" si="121"/>
        <v>0.11046436255829374</v>
      </c>
      <c r="K111" s="57">
        <f t="shared" si="121"/>
        <v>0.45976309065417564</v>
      </c>
      <c r="L111" s="57">
        <f t="shared" si="121"/>
        <v>0.65545256269085139</v>
      </c>
      <c r="M111" s="57">
        <f t="shared" si="122"/>
        <v>1.1956535530108308</v>
      </c>
      <c r="N111" s="57">
        <f t="shared" si="122"/>
        <v>1.1251677710750341</v>
      </c>
      <c r="O111" s="57">
        <f t="shared" si="122"/>
        <v>1.3197168430553705</v>
      </c>
      <c r="P111" s="57">
        <f t="shared" si="122"/>
        <v>1.5194342162458851</v>
      </c>
      <c r="Q111" s="57">
        <f t="shared" si="122"/>
        <v>1.4214898577084012</v>
      </c>
      <c r="R111" s="57">
        <f t="shared" si="122"/>
        <v>1.5871217152875325</v>
      </c>
      <c r="S111" s="57">
        <f t="shared" si="122"/>
        <v>2.297184826344314</v>
      </c>
      <c r="T111" s="82">
        <v>0</v>
      </c>
      <c r="U111" s="82">
        <v>7.8810000000000002</v>
      </c>
      <c r="V111" s="82">
        <v>11.43</v>
      </c>
      <c r="W111" s="82">
        <v>0</v>
      </c>
      <c r="X111" s="82">
        <v>0.74299999999999999</v>
      </c>
      <c r="Y111" s="82">
        <v>4.9790000000000001</v>
      </c>
      <c r="Z111" s="82">
        <v>1.66</v>
      </c>
      <c r="AA111" s="82">
        <v>5.9980000000000002</v>
      </c>
      <c r="AB111" s="82">
        <v>1.284</v>
      </c>
      <c r="AC111" s="82">
        <v>2.29</v>
      </c>
      <c r="AD111" s="82">
        <v>3.8420000000000001</v>
      </c>
      <c r="AE111" s="83">
        <v>4.7510000000000003</v>
      </c>
      <c r="AF111" s="83">
        <v>3.8730000000000002</v>
      </c>
      <c r="AG111" s="83">
        <v>4.843</v>
      </c>
      <c r="AH111" s="83">
        <v>2.3199999999999998</v>
      </c>
      <c r="AI111" s="83">
        <v>4.8520000000000003</v>
      </c>
      <c r="AJ111" s="70">
        <v>5.077</v>
      </c>
      <c r="AK111" s="70">
        <v>6.3</v>
      </c>
      <c r="AL111" s="70">
        <v>4.0730000000000004</v>
      </c>
      <c r="AM111" s="70">
        <v>5.3890000000000002</v>
      </c>
      <c r="AN111" s="70">
        <v>5.3890000000000002</v>
      </c>
      <c r="AO111" s="77">
        <v>6.6580000000000004</v>
      </c>
      <c r="AP111" s="77">
        <v>8.3870000000000005</v>
      </c>
      <c r="AQ111" s="77">
        <v>11.025</v>
      </c>
      <c r="AR111" s="77">
        <v>11.997</v>
      </c>
      <c r="AS111" s="77">
        <v>11.864000000000001</v>
      </c>
      <c r="AT111" s="77">
        <v>12.68</v>
      </c>
      <c r="AU111" s="77">
        <v>18.125</v>
      </c>
      <c r="AV111" s="77">
        <v>36.261000000000003</v>
      </c>
      <c r="AW111" s="77">
        <v>33.881999999999998</v>
      </c>
      <c r="AX111" s="77">
        <v>37.701999999999998</v>
      </c>
      <c r="AY111" s="77">
        <v>43.871000000000002</v>
      </c>
      <c r="AZ111" s="77">
        <v>50.744999999999997</v>
      </c>
      <c r="BA111" s="77">
        <v>67.682000000000002</v>
      </c>
      <c r="BB111" s="70">
        <v>55.338999999999999</v>
      </c>
      <c r="BC111" s="59">
        <v>67.444000000000003</v>
      </c>
      <c r="BD111" s="59">
        <v>69.629000000000005</v>
      </c>
      <c r="BE111" s="59">
        <v>85.975999999999999</v>
      </c>
      <c r="BF111" s="59">
        <v>83.99</v>
      </c>
      <c r="BG111" s="59">
        <v>88.774000000000001</v>
      </c>
      <c r="BH111" s="59">
        <v>94.951999999999998</v>
      </c>
      <c r="BI111" s="59">
        <v>124.997</v>
      </c>
      <c r="BJ111" s="58">
        <f t="shared" si="123"/>
        <v>87.633601955443723</v>
      </c>
      <c r="BK111" s="58">
        <f t="shared" si="123"/>
        <v>91.112773031473154</v>
      </c>
      <c r="BL111" s="58">
        <f t="shared" si="123"/>
        <v>77.676443931899527</v>
      </c>
      <c r="BM111" s="58">
        <f t="shared" si="123"/>
        <v>83.401914196883794</v>
      </c>
      <c r="BN111" s="58">
        <f t="shared" si="123"/>
        <v>83.513552163945434</v>
      </c>
      <c r="BO111" s="58">
        <f t="shared" si="123"/>
        <v>81.44691772266836</v>
      </c>
      <c r="BP111" s="58">
        <f t="shared" si="123"/>
        <v>84.162208893040656</v>
      </c>
      <c r="BQ111" s="58">
        <f t="shared" si="123"/>
        <v>81.399673443212336</v>
      </c>
      <c r="BR111" s="58">
        <f t="shared" si="123"/>
        <v>81.595347305002434</v>
      </c>
      <c r="BS111" s="58">
        <f t="shared" si="123"/>
        <v>82.580226541900629</v>
      </c>
      <c r="BT111" s="58">
        <f t="shared" si="123"/>
        <v>81.9793148799004</v>
      </c>
      <c r="BU111" s="58">
        <f t="shared" si="123"/>
        <v>82.003563623184363</v>
      </c>
    </row>
    <row r="112" spans="1:101">
      <c r="A112" s="4" t="s">
        <v>105</v>
      </c>
      <c r="B112" s="56"/>
      <c r="C112" s="57">
        <f t="shared" si="121"/>
        <v>1.7318254357560171E-2</v>
      </c>
      <c r="D112" s="57">
        <f t="shared" si="121"/>
        <v>1.4433630255281894E-2</v>
      </c>
      <c r="E112" s="57">
        <f t="shared" si="121"/>
        <v>1.4433630255281894E-2</v>
      </c>
      <c r="F112" s="57">
        <f t="shared" si="121"/>
        <v>3.1730865125061035E-2</v>
      </c>
      <c r="G112" s="57">
        <f t="shared" si="121"/>
        <v>4.3248342046393107E-2</v>
      </c>
      <c r="H112" s="57">
        <f t="shared" si="121"/>
        <v>6.0503537940610183E-2</v>
      </c>
      <c r="I112" s="57">
        <f t="shared" si="121"/>
        <v>0.10353117536530249</v>
      </c>
      <c r="J112" s="57">
        <f t="shared" si="121"/>
        <v>0.13212868578267636</v>
      </c>
      <c r="K112" s="57">
        <f t="shared" si="121"/>
        <v>0.5499320462512074</v>
      </c>
      <c r="L112" s="57">
        <f t="shared" si="121"/>
        <v>0.7840002304410818</v>
      </c>
      <c r="M112" s="57">
        <f t="shared" si="122"/>
        <v>1.4301456954258902</v>
      </c>
      <c r="N112" s="57">
        <f t="shared" si="122"/>
        <v>1.3458362084759572</v>
      </c>
      <c r="O112" s="57">
        <f t="shared" si="122"/>
        <v>1.5785403368090742</v>
      </c>
      <c r="P112" s="57">
        <f t="shared" si="122"/>
        <v>1.8174263760391967</v>
      </c>
      <c r="Q112" s="57">
        <f t="shared" si="122"/>
        <v>1.7002731234093658</v>
      </c>
      <c r="R112" s="57">
        <f t="shared" si="122"/>
        <v>1.8983887795253838</v>
      </c>
      <c r="S112" s="57">
        <f t="shared" si="122"/>
        <v>2.7477098050025464</v>
      </c>
      <c r="T112" s="69">
        <v>8.2379999999999995</v>
      </c>
      <c r="U112" s="69">
        <v>3.73</v>
      </c>
      <c r="V112" s="69">
        <v>8.5129999999999999</v>
      </c>
      <c r="W112" s="69">
        <v>2.58</v>
      </c>
      <c r="X112" s="69">
        <v>0.92600000000000005</v>
      </c>
      <c r="Y112" s="69">
        <v>0.29599999999999999</v>
      </c>
      <c r="Z112" s="69">
        <v>1.395</v>
      </c>
      <c r="AA112" s="69">
        <v>1.389</v>
      </c>
      <c r="AB112" s="69">
        <v>0.99099999999999999</v>
      </c>
      <c r="AC112" s="69">
        <v>2.0270000000000001</v>
      </c>
      <c r="AD112" s="69">
        <v>4.8550000000000004</v>
      </c>
      <c r="AE112" s="70">
        <v>3.266</v>
      </c>
      <c r="AF112" s="70">
        <v>4.8609999999999998</v>
      </c>
      <c r="AG112" s="70">
        <v>4.9340000000000002</v>
      </c>
      <c r="AH112" s="70">
        <v>2.2149999999999999</v>
      </c>
      <c r="AI112" s="70">
        <v>4.9779999999999998</v>
      </c>
      <c r="AJ112" s="70">
        <v>5.8070000000000004</v>
      </c>
      <c r="AK112" s="70">
        <v>3.9649999999999999</v>
      </c>
      <c r="AL112" s="70">
        <v>5.1159999999999997</v>
      </c>
      <c r="AM112" s="70">
        <v>5.3159999999999998</v>
      </c>
      <c r="AN112" s="70">
        <v>5.46</v>
      </c>
      <c r="AO112" s="77">
        <v>8.0839999999999996</v>
      </c>
      <c r="AP112" s="77">
        <v>7.931</v>
      </c>
      <c r="AQ112" s="77">
        <v>9.0500000000000007</v>
      </c>
      <c r="AR112" s="77">
        <v>10.563000000000001</v>
      </c>
      <c r="AS112" s="77">
        <v>14.611000000000001</v>
      </c>
      <c r="AT112" s="77">
        <v>19.652999999999999</v>
      </c>
      <c r="AU112" s="77">
        <v>20.895</v>
      </c>
      <c r="AV112" s="77">
        <v>35.277000000000001</v>
      </c>
      <c r="AW112" s="77">
        <v>38.561</v>
      </c>
      <c r="AX112" s="77">
        <v>41.555</v>
      </c>
      <c r="AY112" s="77">
        <v>45.558</v>
      </c>
      <c r="AZ112" s="77">
        <v>48.029000000000003</v>
      </c>
      <c r="BA112" s="77">
        <v>66.628</v>
      </c>
      <c r="BB112" s="70">
        <v>63.287999999999997</v>
      </c>
      <c r="BC112" s="59">
        <v>72.647999999999996</v>
      </c>
      <c r="BD112" s="59">
        <v>61.42</v>
      </c>
      <c r="BE112" s="59">
        <v>84.629000000000005</v>
      </c>
      <c r="BF112" s="59">
        <v>81.828000000000003</v>
      </c>
      <c r="BG112" s="59">
        <v>91.209000000000003</v>
      </c>
      <c r="BH112" s="59">
        <v>108.571</v>
      </c>
      <c r="BI112" s="59">
        <v>107.28</v>
      </c>
      <c r="BJ112" s="58">
        <f t="shared" si="123"/>
        <v>84.600167846637405</v>
      </c>
      <c r="BK112" s="58">
        <f t="shared" si="123"/>
        <v>86.949128127720314</v>
      </c>
      <c r="BL112" s="58">
        <f t="shared" si="123"/>
        <v>92.164237479988444</v>
      </c>
      <c r="BM112" s="58">
        <f t="shared" si="123"/>
        <v>89.536668168357664</v>
      </c>
      <c r="BN112" s="58">
        <f t="shared" si="123"/>
        <v>88.916793509270946</v>
      </c>
      <c r="BO112" s="58">
        <f t="shared" si="123"/>
        <v>88.750011413033235</v>
      </c>
      <c r="BP112" s="58">
        <f t="shared" si="123"/>
        <v>88.406097403939896</v>
      </c>
      <c r="BQ112" s="58">
        <f t="shared" si="123"/>
        <v>89.165680329634611</v>
      </c>
      <c r="BR112" s="58">
        <f t="shared" si="123"/>
        <v>89.221396154127106</v>
      </c>
      <c r="BS112" s="58">
        <f t="shared" si="123"/>
        <v>88.976191764014018</v>
      </c>
      <c r="BT112" s="58">
        <f t="shared" si="123"/>
        <v>88.901819429910816</v>
      </c>
      <c r="BU112" s="58">
        <f t="shared" si="123"/>
        <v>88.883507487248792</v>
      </c>
    </row>
    <row r="113" spans="1:73">
      <c r="A113" s="4" t="s">
        <v>106</v>
      </c>
      <c r="B113" s="56"/>
      <c r="C113" s="57">
        <f t="shared" si="121"/>
        <v>1.526781693831346E-2</v>
      </c>
      <c r="D113" s="57">
        <f t="shared" si="121"/>
        <v>1.2724725018070048E-2</v>
      </c>
      <c r="E113" s="57">
        <f t="shared" si="121"/>
        <v>1.2724725018070048E-2</v>
      </c>
      <c r="F113" s="57">
        <f t="shared" si="121"/>
        <v>2.7974011122677521E-2</v>
      </c>
      <c r="G113" s="57">
        <f t="shared" si="121"/>
        <v>3.8127847969945186E-2</v>
      </c>
      <c r="H113" s="57">
        <f t="shared" si="121"/>
        <v>5.3340072407140691E-2</v>
      </c>
      <c r="I113" s="57">
        <f t="shared" si="121"/>
        <v>9.1273346623173046E-2</v>
      </c>
      <c r="J113" s="57">
        <f t="shared" si="121"/>
        <v>0.11648498429341966</v>
      </c>
      <c r="K113" s="57">
        <f t="shared" si="121"/>
        <v>0.48482148589128626</v>
      </c>
      <c r="L113" s="57">
        <f t="shared" si="121"/>
        <v>0.69117659036718049</v>
      </c>
      <c r="M113" s="57">
        <f t="shared" si="122"/>
        <v>1.260820070086768</v>
      </c>
      <c r="N113" s="57">
        <f t="shared" si="122"/>
        <v>1.1864926126919193</v>
      </c>
      <c r="O113" s="57">
        <f t="shared" si="122"/>
        <v>1.3916451620670154</v>
      </c>
      <c r="P113" s="57">
        <f t="shared" si="122"/>
        <v>1.6022476997582398</v>
      </c>
      <c r="Q113" s="57">
        <f t="shared" si="122"/>
        <v>1.4989650952906934</v>
      </c>
      <c r="R113" s="57">
        <f t="shared" si="122"/>
        <v>1.6736243598875764</v>
      </c>
      <c r="S113" s="57">
        <f t="shared" si="122"/>
        <v>2.4223879287275962</v>
      </c>
      <c r="T113" s="69">
        <v>5.3360000000000003</v>
      </c>
      <c r="U113" s="69">
        <v>8.8559999999999999</v>
      </c>
      <c r="V113" s="69">
        <v>5.1050000000000004</v>
      </c>
      <c r="W113" s="69">
        <v>0</v>
      </c>
      <c r="X113" s="69">
        <v>1.85</v>
      </c>
      <c r="Y113" s="69">
        <v>1.635</v>
      </c>
      <c r="Z113" s="69">
        <v>1.222</v>
      </c>
      <c r="AA113" s="69">
        <v>10.419</v>
      </c>
      <c r="AB113" s="69">
        <v>1.67</v>
      </c>
      <c r="AC113" s="69">
        <v>1.637</v>
      </c>
      <c r="AD113" s="69">
        <v>4.6269999999999998</v>
      </c>
      <c r="AE113" s="70">
        <v>3.9809999999999999</v>
      </c>
      <c r="AF113" s="70">
        <v>4.33</v>
      </c>
      <c r="AG113" s="70">
        <v>4.3490000000000002</v>
      </c>
      <c r="AH113" s="70">
        <v>2.0110000000000001</v>
      </c>
      <c r="AI113" s="70">
        <v>4.4109999999999996</v>
      </c>
      <c r="AJ113" s="70">
        <v>5.1470000000000002</v>
      </c>
      <c r="AK113" s="70">
        <v>3.5270000000000001</v>
      </c>
      <c r="AL113" s="70">
        <v>4.8109999999999999</v>
      </c>
      <c r="AM113" s="70">
        <v>5.1310000000000002</v>
      </c>
      <c r="AN113" s="70">
        <v>5.7190000000000003</v>
      </c>
      <c r="AO113" s="77">
        <v>7.8490000000000002</v>
      </c>
      <c r="AP113" s="77">
        <v>6.6980000000000004</v>
      </c>
      <c r="AQ113" s="77">
        <v>9.8000000000000007</v>
      </c>
      <c r="AR113" s="77">
        <v>13.393000000000001</v>
      </c>
      <c r="AS113" s="77">
        <v>16.297999999999998</v>
      </c>
      <c r="AT113" s="77">
        <v>14.74</v>
      </c>
      <c r="AU113" s="77">
        <v>21.963000000000001</v>
      </c>
      <c r="AV113" s="77">
        <v>34.101999999999997</v>
      </c>
      <c r="AW113" s="77">
        <v>40.33</v>
      </c>
      <c r="AX113" s="77">
        <v>33.137999999999998</v>
      </c>
      <c r="AY113" s="77">
        <v>41.692999999999998</v>
      </c>
      <c r="AZ113" s="77">
        <v>52.088999999999999</v>
      </c>
      <c r="BA113" s="77">
        <v>65.635000000000005</v>
      </c>
      <c r="BB113" s="70">
        <v>61.627000000000002</v>
      </c>
      <c r="BC113" s="59">
        <v>61.526000000000003</v>
      </c>
      <c r="BD113" s="59">
        <v>65.350999999999999</v>
      </c>
      <c r="BE113" s="59">
        <v>76.703000000000003</v>
      </c>
      <c r="BF113" s="59">
        <v>88.459000000000003</v>
      </c>
      <c r="BG113" s="59">
        <v>90.212999999999994</v>
      </c>
      <c r="BH113" s="59">
        <v>99.501999999999995</v>
      </c>
      <c r="BI113" s="59">
        <v>99.944999999999993</v>
      </c>
      <c r="BJ113" s="58">
        <f t="shared" si="123"/>
        <v>91.541631219447652</v>
      </c>
      <c r="BK113" s="58">
        <f t="shared" si="123"/>
        <v>81.492596348362454</v>
      </c>
      <c r="BL113" s="58">
        <f t="shared" si="123"/>
        <v>89.257267944966287</v>
      </c>
      <c r="BM113" s="58">
        <f t="shared" si="123"/>
        <v>86.170825284289307</v>
      </c>
      <c r="BN113" s="58">
        <f t="shared" si="123"/>
        <v>87.046452476392304</v>
      </c>
      <c r="BO113" s="58">
        <f t="shared" si="123"/>
        <v>86.535790776506985</v>
      </c>
      <c r="BP113" s="58">
        <f t="shared" si="123"/>
        <v>86.36103184129658</v>
      </c>
      <c r="BQ113" s="58">
        <f t="shared" si="123"/>
        <v>86.612004080410259</v>
      </c>
      <c r="BR113" s="58">
        <f t="shared" si="123"/>
        <v>86.278612610393466</v>
      </c>
      <c r="BS113" s="58">
        <f t="shared" si="123"/>
        <v>86.265928562792951</v>
      </c>
      <c r="BT113" s="58">
        <f t="shared" si="123"/>
        <v>86.31982222584503</v>
      </c>
      <c r="BU113" s="58">
        <f t="shared" si="123"/>
        <v>86.301857671494332</v>
      </c>
    </row>
    <row r="114" spans="1:73">
      <c r="A114" s="4" t="s">
        <v>107</v>
      </c>
      <c r="B114" s="56"/>
      <c r="C114" s="57">
        <f t="shared" si="121"/>
        <v>1.0040645489247896E-2</v>
      </c>
      <c r="D114" s="57">
        <f t="shared" si="121"/>
        <v>8.3682201175722393E-3</v>
      </c>
      <c r="E114" s="57">
        <f t="shared" si="121"/>
        <v>8.3682201175722393E-3</v>
      </c>
      <c r="F114" s="57">
        <f t="shared" si="121"/>
        <v>1.8396679088432222E-2</v>
      </c>
      <c r="G114" s="57">
        <f t="shared" si="121"/>
        <v>2.5074194056746942E-2</v>
      </c>
      <c r="H114" s="57">
        <f t="shared" si="121"/>
        <v>3.5078279990831109E-2</v>
      </c>
      <c r="I114" s="57">
        <f t="shared" si="121"/>
        <v>6.0024515604505002E-2</v>
      </c>
      <c r="J114" s="57">
        <f t="shared" si="121"/>
        <v>7.6604562187004635E-2</v>
      </c>
      <c r="K114" s="57">
        <f t="shared" si="121"/>
        <v>0.31883540948078293</v>
      </c>
      <c r="L114" s="57">
        <f t="shared" si="121"/>
        <v>0.45454167693934733</v>
      </c>
      <c r="M114" s="57">
        <f t="shared" si="122"/>
        <v>0.82915896887013185</v>
      </c>
      <c r="N114" s="57">
        <f t="shared" si="122"/>
        <v>0.78027865724247025</v>
      </c>
      <c r="O114" s="57">
        <f t="shared" si="122"/>
        <v>0.91519408279500547</v>
      </c>
      <c r="P114" s="57">
        <f t="shared" si="122"/>
        <v>1.05369360952087</v>
      </c>
      <c r="Q114" s="57">
        <f t="shared" si="122"/>
        <v>0.98577138980506307</v>
      </c>
      <c r="R114" s="57">
        <f t="shared" si="122"/>
        <v>1.1006333746137287</v>
      </c>
      <c r="S114" s="57">
        <f t="shared" si="122"/>
        <v>1.5930462441393427</v>
      </c>
      <c r="T114" s="69">
        <v>3.6539999999999999</v>
      </c>
      <c r="U114" s="69">
        <v>8.1039999999999992</v>
      </c>
      <c r="V114" s="69">
        <v>1.5289999999999999</v>
      </c>
      <c r="W114" s="69">
        <v>0.41499999999999998</v>
      </c>
      <c r="X114" s="69">
        <v>0.20499999999999999</v>
      </c>
      <c r="Y114" s="69">
        <v>1.5449999999999999</v>
      </c>
      <c r="Z114" s="69">
        <v>1.292</v>
      </c>
      <c r="AA114" s="69">
        <v>1.5920000000000001</v>
      </c>
      <c r="AB114" s="69">
        <v>1.367</v>
      </c>
      <c r="AC114" s="69">
        <v>3.2269999999999999</v>
      </c>
      <c r="AD114" s="69">
        <v>5.4980000000000002</v>
      </c>
      <c r="AE114" s="70">
        <v>4.1559999999999997</v>
      </c>
      <c r="AF114" s="70">
        <v>3.669</v>
      </c>
      <c r="AG114" s="70">
        <v>3.12</v>
      </c>
      <c r="AH114" s="70">
        <v>2.4279999999999999</v>
      </c>
      <c r="AI114" s="70">
        <v>4.0970000000000004</v>
      </c>
      <c r="AJ114" s="70">
        <v>5.4950000000000001</v>
      </c>
      <c r="AK114" s="70">
        <v>3.0720000000000001</v>
      </c>
      <c r="AL114" s="70">
        <v>4.4580000000000002</v>
      </c>
      <c r="AM114" s="70">
        <v>5.2370000000000001</v>
      </c>
      <c r="AN114" s="70">
        <v>5.548</v>
      </c>
      <c r="AO114" s="77">
        <v>7.7949999999999999</v>
      </c>
      <c r="AP114" s="77">
        <v>8.8079999999999998</v>
      </c>
      <c r="AQ114" s="77">
        <v>10.705</v>
      </c>
      <c r="AR114" s="77">
        <v>12.231999999999999</v>
      </c>
      <c r="AS114" s="77">
        <v>15.792999999999999</v>
      </c>
      <c r="AT114" s="77">
        <v>18.478999999999999</v>
      </c>
      <c r="AU114" s="77">
        <v>20.135000000000002</v>
      </c>
      <c r="AV114" s="77">
        <v>33.090000000000003</v>
      </c>
      <c r="AW114" s="77">
        <v>35.838000000000001</v>
      </c>
      <c r="AX114" s="77">
        <v>36.683</v>
      </c>
      <c r="AY114" s="77">
        <v>40.598999999999997</v>
      </c>
      <c r="AZ114" s="77">
        <v>49.335000000000001</v>
      </c>
      <c r="BA114" s="77">
        <v>34.595999999999997</v>
      </c>
      <c r="BB114" s="70">
        <v>57.28</v>
      </c>
      <c r="BC114" s="59">
        <v>61.267000000000003</v>
      </c>
      <c r="BD114" s="59">
        <v>67.936999999999998</v>
      </c>
      <c r="BE114" s="59">
        <v>80.209000000000003</v>
      </c>
      <c r="BF114" s="59">
        <v>83.73</v>
      </c>
      <c r="BG114" s="59">
        <v>84.87</v>
      </c>
      <c r="BH114" s="59">
        <v>89.031000000000006</v>
      </c>
      <c r="BI114" s="59">
        <v>95.841999999999999</v>
      </c>
      <c r="BJ114" s="58">
        <f t="shared" si="123"/>
        <v>75.340588787432921</v>
      </c>
      <c r="BK114" s="58">
        <f t="shared" si="123"/>
        <v>78.552732122259144</v>
      </c>
      <c r="BL114" s="58">
        <f t="shared" si="123"/>
        <v>75.736944912152694</v>
      </c>
      <c r="BM114" s="58">
        <f t="shared" si="123"/>
        <v>75.946252443212046</v>
      </c>
      <c r="BN114" s="58">
        <f t="shared" si="123"/>
        <v>75.447098799335095</v>
      </c>
      <c r="BO114" s="58">
        <f t="shared" si="123"/>
        <v>75.443899765364918</v>
      </c>
      <c r="BP114" s="58">
        <f t="shared" si="123"/>
        <v>75.392514017896104</v>
      </c>
      <c r="BQ114" s="58">
        <f t="shared" si="123"/>
        <v>75.444213296350426</v>
      </c>
      <c r="BR114" s="58">
        <f t="shared" si="123"/>
        <v>75.557441256452051</v>
      </c>
      <c r="BS114" s="58" t="e">
        <f t="shared" si="123"/>
        <v>#DIV/0!</v>
      </c>
      <c r="BT114" s="58" t="e">
        <f t="shared" si="123"/>
        <v>#DIV/0!</v>
      </c>
      <c r="BU114" s="58" t="e">
        <f t="shared" si="123"/>
        <v>#DIV/0!</v>
      </c>
    </row>
    <row r="115" spans="1:73">
      <c r="A115" s="4" t="s">
        <v>108</v>
      </c>
      <c r="B115" s="56"/>
      <c r="C115" s="57">
        <f t="shared" si="121"/>
        <v>1.4651963727532665E-2</v>
      </c>
      <c r="D115" s="57">
        <f t="shared" si="121"/>
        <v>1.221145171971029E-2</v>
      </c>
      <c r="E115" s="57">
        <f t="shared" si="121"/>
        <v>1.221145171971029E-2</v>
      </c>
      <c r="F115" s="57">
        <f t="shared" si="121"/>
        <v>2.684563208604613E-2</v>
      </c>
      <c r="G115" s="57">
        <f t="shared" si="121"/>
        <v>3.6589896756138808E-2</v>
      </c>
      <c r="H115" s="57">
        <f t="shared" si="121"/>
        <v>5.1188510400081003E-2</v>
      </c>
      <c r="I115" s="57">
        <f t="shared" si="121"/>
        <v>8.7591681863653154E-2</v>
      </c>
      <c r="J115" s="57">
        <f t="shared" si="121"/>
        <v>0.11178636550104781</v>
      </c>
      <c r="K115" s="57">
        <f t="shared" si="121"/>
        <v>0.4652653915296619</v>
      </c>
      <c r="L115" s="57">
        <f t="shared" si="121"/>
        <v>0.66329681396470219</v>
      </c>
      <c r="M115" s="57">
        <f t="shared" si="122"/>
        <v>1.2099627607859678</v>
      </c>
      <c r="N115" s="57">
        <f t="shared" si="122"/>
        <v>1.1386334270567837</v>
      </c>
      <c r="O115" s="57">
        <f t="shared" si="122"/>
        <v>1.3355108014842769</v>
      </c>
      <c r="P115" s="57">
        <f t="shared" si="122"/>
        <v>1.5376183297344168</v>
      </c>
      <c r="Q115" s="57">
        <f t="shared" si="122"/>
        <v>1.4385018037465989</v>
      </c>
      <c r="R115" s="57">
        <f t="shared" si="122"/>
        <v>1.6061158915949527</v>
      </c>
      <c r="S115" s="57">
        <f t="shared" si="122"/>
        <v>2.3246768158886759</v>
      </c>
      <c r="T115" s="69">
        <v>7.5060000000000002</v>
      </c>
      <c r="U115" s="69">
        <v>4.3650000000000002</v>
      </c>
      <c r="V115" s="69">
        <v>3.335</v>
      </c>
      <c r="W115" s="69">
        <v>3.9169999999999998</v>
      </c>
      <c r="X115" s="69">
        <v>1.171</v>
      </c>
      <c r="Y115" s="69">
        <v>1.7230000000000001</v>
      </c>
      <c r="Z115" s="69">
        <v>1.6240000000000001</v>
      </c>
      <c r="AA115" s="69">
        <v>1.389</v>
      </c>
      <c r="AB115" s="69">
        <v>1.5369999999999999</v>
      </c>
      <c r="AC115" s="69">
        <v>3.3929999999999998</v>
      </c>
      <c r="AD115" s="69">
        <v>5.4669999999999996</v>
      </c>
      <c r="AE115" s="70">
        <v>4.3390000000000004</v>
      </c>
      <c r="AF115" s="70">
        <v>6.149</v>
      </c>
      <c r="AG115" s="70">
        <v>3.1680000000000001</v>
      </c>
      <c r="AH115" s="70">
        <v>3.6379999999999999</v>
      </c>
      <c r="AI115" s="70">
        <v>3.9460000000000002</v>
      </c>
      <c r="AJ115" s="70">
        <v>5.5919999999999996</v>
      </c>
      <c r="AK115" s="70">
        <v>3.0049999999999999</v>
      </c>
      <c r="AL115" s="70">
        <v>5.3840000000000003</v>
      </c>
      <c r="AM115" s="70">
        <v>4.9660000000000002</v>
      </c>
      <c r="AN115" s="70">
        <v>5.5490000000000004</v>
      </c>
      <c r="AO115" s="77">
        <v>6.7640000000000002</v>
      </c>
      <c r="AP115" s="77">
        <v>8.1679999999999993</v>
      </c>
      <c r="AQ115" s="77">
        <v>11.487</v>
      </c>
      <c r="AR115" s="77">
        <v>10.611000000000001</v>
      </c>
      <c r="AS115" s="77">
        <v>16.462</v>
      </c>
      <c r="AT115" s="77">
        <v>16.888000000000002</v>
      </c>
      <c r="AU115" s="77">
        <v>23.707000000000001</v>
      </c>
      <c r="AV115" s="77">
        <v>30.456</v>
      </c>
      <c r="AW115" s="77">
        <v>36.238</v>
      </c>
      <c r="AX115" s="77">
        <v>31.065000000000001</v>
      </c>
      <c r="AY115" s="77">
        <v>36.847999999999999</v>
      </c>
      <c r="AZ115" s="77">
        <v>42.88</v>
      </c>
      <c r="BA115" s="77">
        <v>51.076999999999998</v>
      </c>
      <c r="BB115" s="70">
        <v>51.234999999999999</v>
      </c>
      <c r="BC115" s="59">
        <v>61.792999999999999</v>
      </c>
      <c r="BD115" s="59">
        <v>63.872</v>
      </c>
      <c r="BE115" s="59">
        <v>76.912999999999997</v>
      </c>
      <c r="BF115" s="59">
        <v>77.861000000000004</v>
      </c>
      <c r="BG115" s="59">
        <v>85.311999999999998</v>
      </c>
      <c r="BH115" s="59">
        <v>93.691000000000003</v>
      </c>
      <c r="BI115" s="59">
        <v>91.491</v>
      </c>
      <c r="BJ115" s="58">
        <f t="shared" si="123"/>
        <v>84.497295177463627</v>
      </c>
      <c r="BK115" s="58">
        <f t="shared" si="123"/>
        <v>84.217861090842078</v>
      </c>
      <c r="BL115" s="58">
        <f t="shared" si="123"/>
        <v>85.145972885032776</v>
      </c>
      <c r="BM115" s="58">
        <f t="shared" si="123"/>
        <v>86.751761242690336</v>
      </c>
      <c r="BN115" s="58">
        <f t="shared" si="123"/>
        <v>86.743114202596587</v>
      </c>
      <c r="BO115" s="58">
        <f t="shared" si="123"/>
        <v>84.72427539845232</v>
      </c>
      <c r="BP115" s="58">
        <f t="shared" si="123"/>
        <v>85.618006880560685</v>
      </c>
      <c r="BQ115" s="58">
        <f t="shared" si="123"/>
        <v>85.766451042105018</v>
      </c>
      <c r="BR115" s="58">
        <f t="shared" si="123"/>
        <v>85.359187050326</v>
      </c>
      <c r="BS115" s="58">
        <f t="shared" si="123"/>
        <v>85.833149161128276</v>
      </c>
      <c r="BT115" s="58">
        <f t="shared" si="123"/>
        <v>85.386261412854978</v>
      </c>
      <c r="BU115" s="58">
        <f t="shared" si="123"/>
        <v>85.350640082609203</v>
      </c>
    </row>
    <row r="116" spans="1:73">
      <c r="A116" s="4" t="s">
        <v>109</v>
      </c>
      <c r="B116" s="56"/>
      <c r="C116" s="57">
        <f t="shared" si="121"/>
        <v>6.5830592917927892E-3</v>
      </c>
      <c r="D116" s="57">
        <f t="shared" si="121"/>
        <v>5.4865485749639523E-3</v>
      </c>
      <c r="E116" s="57">
        <f t="shared" si="121"/>
        <v>5.4865485749639523E-3</v>
      </c>
      <c r="F116" s="57">
        <f t="shared" si="121"/>
        <v>1.2061617885117209E-2</v>
      </c>
      <c r="G116" s="57">
        <f t="shared" si="121"/>
        <v>1.6439670770793027E-2</v>
      </c>
      <c r="H116" s="57">
        <f t="shared" si="121"/>
        <v>2.2998760117667223E-2</v>
      </c>
      <c r="I116" s="57">
        <f t="shared" si="121"/>
        <v>3.935453608124518E-2</v>
      </c>
      <c r="J116" s="57">
        <f t="shared" si="121"/>
        <v>5.0225095133465764E-2</v>
      </c>
      <c r="K116" s="57">
        <f t="shared" si="121"/>
        <v>0.20904158076118351</v>
      </c>
      <c r="L116" s="57">
        <f t="shared" si="121"/>
        <v>0.29801617964571575</v>
      </c>
      <c r="M116" s="57">
        <f t="shared" si="122"/>
        <v>0.54363065205708372</v>
      </c>
      <c r="N116" s="57">
        <f t="shared" si="122"/>
        <v>0.5115827135066402</v>
      </c>
      <c r="O116" s="57">
        <f t="shared" si="122"/>
        <v>0.60003880397820242</v>
      </c>
      <c r="P116" s="57">
        <f t="shared" si="122"/>
        <v>0.69084477828512936</v>
      </c>
      <c r="Q116" s="57">
        <f t="shared" si="122"/>
        <v>0.64631218323452699</v>
      </c>
      <c r="R116" s="57">
        <f t="shared" si="122"/>
        <v>0.72162041487941175</v>
      </c>
      <c r="S116" s="57">
        <f t="shared" si="122"/>
        <v>1.0444665027728861</v>
      </c>
      <c r="T116" s="69">
        <v>0.82499999999999996</v>
      </c>
      <c r="U116" s="69">
        <v>3.0529999999999999</v>
      </c>
      <c r="V116" s="69">
        <v>3.8620000000000001</v>
      </c>
      <c r="W116" s="69">
        <v>0</v>
      </c>
      <c r="X116" s="69">
        <v>1.3779999999999999</v>
      </c>
      <c r="Y116" s="69">
        <v>1.7190000000000001</v>
      </c>
      <c r="Z116" s="69">
        <v>1.474</v>
      </c>
      <c r="AA116" s="69">
        <v>1.1399999999999999</v>
      </c>
      <c r="AB116" s="69">
        <v>1.266</v>
      </c>
      <c r="AC116" s="69">
        <v>2.3620000000000001</v>
      </c>
      <c r="AD116" s="69">
        <v>3.99</v>
      </c>
      <c r="AE116" s="70">
        <v>3.19</v>
      </c>
      <c r="AF116" s="70">
        <v>4.1390000000000002</v>
      </c>
      <c r="AG116" s="70">
        <v>2.96</v>
      </c>
      <c r="AH116" s="70">
        <v>2.3730000000000002</v>
      </c>
      <c r="AI116" s="70">
        <v>3.8119999999999998</v>
      </c>
      <c r="AJ116" s="70">
        <v>4.4950000000000001</v>
      </c>
      <c r="AK116" s="70">
        <v>2.3330000000000002</v>
      </c>
      <c r="AL116" s="70">
        <v>4.782</v>
      </c>
      <c r="AM116" s="70">
        <v>3.9319999999999999</v>
      </c>
      <c r="AN116" s="70">
        <v>4.673</v>
      </c>
      <c r="AO116" s="77">
        <v>2.0630000000000002</v>
      </c>
      <c r="AP116" s="77">
        <v>8.4540000000000006</v>
      </c>
      <c r="AQ116" s="77">
        <v>10.371</v>
      </c>
      <c r="AR116" s="77">
        <v>11.832000000000001</v>
      </c>
      <c r="AS116" s="77">
        <v>14.151</v>
      </c>
      <c r="AT116" s="77">
        <v>16.363</v>
      </c>
      <c r="AU116" s="77">
        <v>17.338000000000001</v>
      </c>
      <c r="AV116" s="77">
        <v>31.994</v>
      </c>
      <c r="AW116" s="77">
        <v>35.262999999999998</v>
      </c>
      <c r="AX116" s="77">
        <v>27.434999999999999</v>
      </c>
      <c r="AY116" s="77">
        <v>32.643999999999998</v>
      </c>
      <c r="AZ116" s="77">
        <v>43.703000000000003</v>
      </c>
      <c r="BA116" s="77">
        <v>56.463999999999999</v>
      </c>
      <c r="BB116" s="70">
        <v>47.883000000000003</v>
      </c>
      <c r="BC116" s="59">
        <v>58.578000000000003</v>
      </c>
      <c r="BD116" s="59">
        <v>55.585000000000001</v>
      </c>
      <c r="BE116" s="59">
        <v>72.992999999999995</v>
      </c>
      <c r="BF116" s="59">
        <v>78.19</v>
      </c>
      <c r="BG116" s="59">
        <v>81.748999999999995</v>
      </c>
      <c r="BH116" s="59">
        <v>83.658000000000001</v>
      </c>
      <c r="BI116" s="59">
        <v>87.561999999999998</v>
      </c>
      <c r="BJ116" s="58">
        <f t="shared" si="123"/>
        <v>73.990566617870712</v>
      </c>
      <c r="BK116" s="58">
        <f t="shared" si="123"/>
        <v>80.642240403144825</v>
      </c>
      <c r="BL116" s="58">
        <f t="shared" si="123"/>
        <v>79.120217732737544</v>
      </c>
      <c r="BM116" s="58">
        <f t="shared" si="123"/>
        <v>76.95282324442104</v>
      </c>
      <c r="BN116" s="58">
        <f t="shared" si="123"/>
        <v>78.216836757497376</v>
      </c>
      <c r="BO116" s="58">
        <f t="shared" si="123"/>
        <v>76.588401618465994</v>
      </c>
      <c r="BP116" s="58">
        <f t="shared" si="123"/>
        <v>77.817998646717939</v>
      </c>
      <c r="BQ116" s="58">
        <f t="shared" si="123"/>
        <v>77.960794612702671</v>
      </c>
      <c r="BR116" s="58">
        <f t="shared" si="123"/>
        <v>77.73925559996799</v>
      </c>
      <c r="BS116" s="58">
        <f t="shared" si="123"/>
        <v>77.550637072156263</v>
      </c>
      <c r="BT116" s="58">
        <f t="shared" si="123"/>
        <v>77.537387708593343</v>
      </c>
      <c r="BU116" s="58">
        <f t="shared" si="123"/>
        <v>77.615908883365506</v>
      </c>
    </row>
    <row r="117" spans="1:73">
      <c r="A117" s="4" t="s">
        <v>110</v>
      </c>
      <c r="B117" s="56"/>
      <c r="C117" s="57">
        <f t="shared" si="121"/>
        <v>9.1432181258240715E-3</v>
      </c>
      <c r="D117" s="57">
        <f t="shared" si="121"/>
        <v>7.6202732126939565E-3</v>
      </c>
      <c r="E117" s="57">
        <f t="shared" si="121"/>
        <v>7.6202732126939565E-3</v>
      </c>
      <c r="F117" s="57">
        <f t="shared" si="121"/>
        <v>1.6752394044431275E-2</v>
      </c>
      <c r="G117" s="57">
        <f t="shared" si="121"/>
        <v>2.2833076402864985E-2</v>
      </c>
      <c r="H117" s="57">
        <f t="shared" si="121"/>
        <v>3.1943002646428797E-2</v>
      </c>
      <c r="I117" s="57">
        <f t="shared" si="121"/>
        <v>5.4659557461382867E-2</v>
      </c>
      <c r="J117" s="57">
        <f t="shared" si="121"/>
        <v>6.9757688612657437E-2</v>
      </c>
      <c r="K117" s="57">
        <f t="shared" si="121"/>
        <v>0.29033807619649354</v>
      </c>
      <c r="L117" s="57">
        <f t="shared" si="121"/>
        <v>0.41391499221686168</v>
      </c>
      <c r="M117" s="57">
        <f t="shared" si="122"/>
        <v>0.75504919693473449</v>
      </c>
      <c r="N117" s="57">
        <f t="shared" si="122"/>
        <v>0.7105377806369918</v>
      </c>
      <c r="O117" s="57">
        <f t="shared" si="122"/>
        <v>0.83339453976529454</v>
      </c>
      <c r="P117" s="57">
        <f t="shared" si="122"/>
        <v>0.95951505507818358</v>
      </c>
      <c r="Q117" s="57">
        <f t="shared" si="122"/>
        <v>0.89766368594889778</v>
      </c>
      <c r="R117" s="57">
        <f t="shared" si="122"/>
        <v>1.0022593698215476</v>
      </c>
      <c r="S117" s="57">
        <f t="shared" si="122"/>
        <v>1.4506606482908346</v>
      </c>
      <c r="T117" s="69">
        <v>3.3330000000000002</v>
      </c>
      <c r="U117" s="69">
        <v>2.5950000000000002</v>
      </c>
      <c r="V117" s="69">
        <v>3.1890000000000001</v>
      </c>
      <c r="W117" s="69">
        <v>2.202</v>
      </c>
      <c r="X117" s="69">
        <v>1.345</v>
      </c>
      <c r="Y117" s="69">
        <v>1.3779999999999999</v>
      </c>
      <c r="Z117" s="69">
        <v>1.2849999999999999</v>
      </c>
      <c r="AA117" s="69">
        <v>0.94099999999999995</v>
      </c>
      <c r="AB117" s="69">
        <v>1.831</v>
      </c>
      <c r="AC117" s="69">
        <v>3.5640000000000001</v>
      </c>
      <c r="AD117" s="69">
        <v>5.9630000000000001</v>
      </c>
      <c r="AE117" s="70">
        <v>2.6890000000000001</v>
      </c>
      <c r="AF117" s="70">
        <v>3.2120000000000002</v>
      </c>
      <c r="AG117" s="70">
        <v>2.1120000000000001</v>
      </c>
      <c r="AH117" s="70">
        <v>1.9870000000000001</v>
      </c>
      <c r="AI117" s="70">
        <v>4.008</v>
      </c>
      <c r="AJ117" s="70">
        <v>4.7009999999999996</v>
      </c>
      <c r="AK117" s="70">
        <v>3.399</v>
      </c>
      <c r="AL117" s="70">
        <v>3.4129999999999998</v>
      </c>
      <c r="AM117" s="70">
        <v>2.871</v>
      </c>
      <c r="AN117" s="77">
        <v>5.8319999999999999</v>
      </c>
      <c r="AO117" s="77">
        <v>5.9169999999999998</v>
      </c>
      <c r="AP117" s="77">
        <v>8.1850000000000005</v>
      </c>
      <c r="AQ117" s="77">
        <v>10.199999999999999</v>
      </c>
      <c r="AR117" s="77">
        <v>8.4350000000000005</v>
      </c>
      <c r="AS117" s="77">
        <v>13.224</v>
      </c>
      <c r="AT117" s="77">
        <v>16.948</v>
      </c>
      <c r="AU117" s="77">
        <v>17.846</v>
      </c>
      <c r="AV117" s="77">
        <v>26.472999999999999</v>
      </c>
      <c r="AW117" s="77">
        <v>30.347999999999999</v>
      </c>
      <c r="AX117" s="77">
        <v>28.710999999999999</v>
      </c>
      <c r="AY117" s="77">
        <v>38.823999999999998</v>
      </c>
      <c r="AZ117" s="77">
        <v>49.57</v>
      </c>
      <c r="BA117" s="70">
        <v>60.232999999999997</v>
      </c>
      <c r="BB117" s="70">
        <v>50.654000000000003</v>
      </c>
      <c r="BC117" s="59">
        <v>57.042999999999999</v>
      </c>
      <c r="BD117" s="59">
        <v>59.198999999999998</v>
      </c>
      <c r="BE117" s="59">
        <v>73.695999999999998</v>
      </c>
      <c r="BF117" s="59">
        <v>81.628</v>
      </c>
      <c r="BG117" s="59">
        <v>76.968000000000004</v>
      </c>
      <c r="BH117" s="59">
        <v>73.081999999999994</v>
      </c>
      <c r="BI117" s="59">
        <v>84.379000000000005</v>
      </c>
      <c r="BJ117" s="58">
        <f t="shared" si="123"/>
        <v>75.654683447636572</v>
      </c>
      <c r="BK117" s="58">
        <f t="shared" si="123"/>
        <v>77.982370789646879</v>
      </c>
      <c r="BL117" s="58">
        <f t="shared" si="123"/>
        <v>79.084079072323306</v>
      </c>
      <c r="BM117" s="58">
        <f t="shared" si="123"/>
        <v>77.248824885756861</v>
      </c>
      <c r="BN117" s="58">
        <f t="shared" si="123"/>
        <v>78.106179133224231</v>
      </c>
      <c r="BO117" s="58">
        <f t="shared" si="123"/>
        <v>77.017631273087716</v>
      </c>
      <c r="BP117" s="58">
        <f t="shared" si="123"/>
        <v>77.601082388409239</v>
      </c>
      <c r="BQ117" s="58">
        <f t="shared" si="123"/>
        <v>77.914960063751039</v>
      </c>
      <c r="BR117" s="58">
        <f t="shared" si="123"/>
        <v>77.811559350560273</v>
      </c>
      <c r="BS117" s="58">
        <f t="shared" si="123"/>
        <v>77.602203799989923</v>
      </c>
      <c r="BT117" s="58">
        <f t="shared" si="123"/>
        <v>77.618900455610842</v>
      </c>
      <c r="BU117" s="58">
        <f t="shared" si="123"/>
        <v>77.562677860262511</v>
      </c>
    </row>
    <row r="118" spans="1:73">
      <c r="A118" s="4" t="s">
        <v>111</v>
      </c>
      <c r="B118" s="56"/>
      <c r="C118" s="57">
        <f t="shared" si="121"/>
        <v>4.7376656144707489E-3</v>
      </c>
      <c r="D118" s="57">
        <f t="shared" si="121"/>
        <v>3.94853386147329E-3</v>
      </c>
      <c r="E118" s="57">
        <f t="shared" si="121"/>
        <v>3.94853386147329E-3</v>
      </c>
      <c r="F118" s="57">
        <f t="shared" si="121"/>
        <v>8.6804492829720484E-3</v>
      </c>
      <c r="G118" s="57">
        <f t="shared" si="121"/>
        <v>1.1831226101989894E-2</v>
      </c>
      <c r="H118" s="57">
        <f t="shared" si="121"/>
        <v>1.6551641137544672E-2</v>
      </c>
      <c r="I118" s="57">
        <f t="shared" si="121"/>
        <v>2.8322490213328676E-2</v>
      </c>
      <c r="J118" s="57">
        <f t="shared" si="121"/>
        <v>3.6145763793134715E-2</v>
      </c>
      <c r="K118" s="57">
        <f t="shared" si="121"/>
        <v>0.15044207643725446</v>
      </c>
      <c r="L118" s="57">
        <f t="shared" si="121"/>
        <v>0.21447490357920454</v>
      </c>
      <c r="M118" s="57">
        <f t="shared" si="122"/>
        <v>0.39123758925187357</v>
      </c>
      <c r="N118" s="57">
        <f t="shared" si="122"/>
        <v>0.36817347730100602</v>
      </c>
      <c r="O118" s="57">
        <f t="shared" si="122"/>
        <v>0.43183314671034922</v>
      </c>
      <c r="P118" s="57">
        <f t="shared" si="122"/>
        <v>0.49718396963226791</v>
      </c>
      <c r="Q118" s="57">
        <f t="shared" si="122"/>
        <v>0.46513495792772164</v>
      </c>
      <c r="R118" s="57">
        <f t="shared" si="122"/>
        <v>0.51933243720538502</v>
      </c>
      <c r="S118" s="57">
        <f t="shared" si="122"/>
        <v>0.75167681412543097</v>
      </c>
      <c r="T118" s="69">
        <v>2.7040000000000002</v>
      </c>
      <c r="U118" s="69">
        <v>1.9730000000000001</v>
      </c>
      <c r="V118" s="69">
        <v>0.56000000000000005</v>
      </c>
      <c r="W118" s="69">
        <v>0.15</v>
      </c>
      <c r="X118" s="69">
        <v>1.175</v>
      </c>
      <c r="Y118" s="69">
        <v>1.454</v>
      </c>
      <c r="Z118" s="69">
        <v>16.913</v>
      </c>
      <c r="AA118" s="69">
        <v>1.861</v>
      </c>
      <c r="AB118" s="69">
        <v>0.96399999999999997</v>
      </c>
      <c r="AC118" s="69">
        <v>1.591</v>
      </c>
      <c r="AD118" s="69">
        <v>3.8849999999999998</v>
      </c>
      <c r="AE118" s="70">
        <v>3.6739999999999999</v>
      </c>
      <c r="AF118" s="70">
        <v>4.2629999999999999</v>
      </c>
      <c r="AG118" s="70">
        <v>3.2530000000000001</v>
      </c>
      <c r="AH118" s="70">
        <v>1.831</v>
      </c>
      <c r="AI118" s="70">
        <v>3.617</v>
      </c>
      <c r="AJ118" s="70">
        <v>4.5919999999999996</v>
      </c>
      <c r="AK118" s="70">
        <v>2.3239999999999998</v>
      </c>
      <c r="AL118" s="70">
        <v>3.2669999999999999</v>
      </c>
      <c r="AM118" s="70">
        <v>3.8109999999999999</v>
      </c>
      <c r="AN118" s="77">
        <v>5.1440000000000001</v>
      </c>
      <c r="AO118" s="77">
        <v>6.3949999999999996</v>
      </c>
      <c r="AP118" s="77">
        <v>7.9119999999999999</v>
      </c>
      <c r="AQ118" s="77">
        <v>8.9809999999999999</v>
      </c>
      <c r="AR118" s="77">
        <v>8.7080000000000002</v>
      </c>
      <c r="AS118" s="77">
        <v>11.997</v>
      </c>
      <c r="AT118" s="77">
        <v>15.926</v>
      </c>
      <c r="AU118" s="77">
        <v>19.138999999999999</v>
      </c>
      <c r="AV118" s="77">
        <v>28.95</v>
      </c>
      <c r="AW118" s="77">
        <v>30.452000000000002</v>
      </c>
      <c r="AX118" s="77">
        <v>23.628</v>
      </c>
      <c r="AY118" s="77">
        <v>32.143000000000001</v>
      </c>
      <c r="AZ118" s="77">
        <v>43.758000000000003</v>
      </c>
      <c r="BA118" s="70">
        <v>46.942999999999998</v>
      </c>
      <c r="BB118" s="70">
        <v>45.133000000000003</v>
      </c>
      <c r="BC118" s="59">
        <v>51.48</v>
      </c>
      <c r="BD118" s="59">
        <v>55.497999999999998</v>
      </c>
      <c r="BE118" s="59">
        <v>63.338999999999999</v>
      </c>
      <c r="BF118" s="59">
        <v>70.575000000000003</v>
      </c>
      <c r="BG118" s="59">
        <v>74.947000000000003</v>
      </c>
      <c r="BH118" s="59">
        <v>68.183000000000007</v>
      </c>
      <c r="BI118" s="59">
        <v>83.566000000000003</v>
      </c>
      <c r="BJ118" s="58">
        <f t="shared" si="123"/>
        <v>67.035053951094937</v>
      </c>
      <c r="BK118" s="58">
        <f t="shared" si="123"/>
        <v>72.394085437946771</v>
      </c>
      <c r="BL118" s="58">
        <f t="shared" si="123"/>
        <v>73.26294863249953</v>
      </c>
      <c r="BM118" s="58">
        <f t="shared" si="123"/>
        <v>74.287770872115402</v>
      </c>
      <c r="BN118" s="58">
        <f t="shared" si="123"/>
        <v>73.745733857010691</v>
      </c>
      <c r="BO118" s="58">
        <f t="shared" si="123"/>
        <v>70.947795870627331</v>
      </c>
      <c r="BP118" s="58">
        <f t="shared" si="123"/>
        <v>74.221351269845243</v>
      </c>
      <c r="BQ118" s="58">
        <f t="shared" si="123"/>
        <v>73.055166986440028</v>
      </c>
      <c r="BR118" s="58">
        <f t="shared" si="123"/>
        <v>73.452450838891522</v>
      </c>
      <c r="BS118" s="58">
        <f t="shared" si="123"/>
        <v>73.827505746352841</v>
      </c>
      <c r="BT118" s="58">
        <f t="shared" si="123"/>
        <v>73.618675738046875</v>
      </c>
      <c r="BU118" s="58">
        <f t="shared" si="123"/>
        <v>73.639118710382434</v>
      </c>
    </row>
    <row r="119" spans="1:73">
      <c r="A119" s="4" t="s">
        <v>112</v>
      </c>
      <c r="B119" s="56"/>
      <c r="C119" s="57">
        <f t="shared" si="121"/>
        <v>2.8142975564167901E-3</v>
      </c>
      <c r="D119" s="57">
        <f t="shared" si="121"/>
        <v>2.3455326107928807E-3</v>
      </c>
      <c r="E119" s="57">
        <f t="shared" si="121"/>
        <v>2.3455326107928807E-3</v>
      </c>
      <c r="F119" s="57">
        <f t="shared" si="121"/>
        <v>5.1564144018630053E-3</v>
      </c>
      <c r="G119" s="57">
        <f t="shared" si="121"/>
        <v>7.0280584190119781E-3</v>
      </c>
      <c r="H119" s="57">
        <f t="shared" si="121"/>
        <v>9.8321086793887735E-3</v>
      </c>
      <c r="I119" s="57">
        <f t="shared" si="121"/>
        <v>1.6824301562260769E-2</v>
      </c>
      <c r="J119" s="57">
        <f t="shared" si="121"/>
        <v>2.1471531128564328E-2</v>
      </c>
      <c r="K119" s="57">
        <f t="shared" si="121"/>
        <v>8.9366536719356585E-2</v>
      </c>
      <c r="L119" s="57">
        <f t="shared" si="121"/>
        <v>0.12740371443946041</v>
      </c>
      <c r="M119" s="57">
        <f t="shared" si="122"/>
        <v>0.23240538294785174</v>
      </c>
      <c r="N119" s="57">
        <f t="shared" si="122"/>
        <v>0.21870469590358449</v>
      </c>
      <c r="O119" s="57">
        <f t="shared" si="122"/>
        <v>0.25652020814948812</v>
      </c>
      <c r="P119" s="57">
        <f t="shared" si="122"/>
        <v>0.29534030990956722</v>
      </c>
      <c r="Q119" s="57">
        <f t="shared" si="122"/>
        <v>0.27630235690372734</v>
      </c>
      <c r="R119" s="57">
        <f t="shared" si="122"/>
        <v>0.30849708019301897</v>
      </c>
      <c r="S119" s="57">
        <f t="shared" si="122"/>
        <v>0.44651573018301272</v>
      </c>
      <c r="T119" s="69">
        <v>0</v>
      </c>
      <c r="U119" s="69">
        <v>0</v>
      </c>
      <c r="V119" s="69">
        <v>2.948</v>
      </c>
      <c r="W119" s="69">
        <v>0</v>
      </c>
      <c r="X119" s="69">
        <v>0.95</v>
      </c>
      <c r="Y119" s="69">
        <v>1.7909999999999999</v>
      </c>
      <c r="Z119" s="69">
        <v>8.7430000000000003</v>
      </c>
      <c r="AA119" s="69">
        <v>1.5960000000000001</v>
      </c>
      <c r="AB119" s="69">
        <v>1.8080000000000001</v>
      </c>
      <c r="AC119" s="69">
        <v>2.161</v>
      </c>
      <c r="AD119" s="69">
        <v>4.734</v>
      </c>
      <c r="AE119" s="70">
        <v>2.8959999999999999</v>
      </c>
      <c r="AF119" s="70">
        <v>5.7140000000000004</v>
      </c>
      <c r="AG119" s="70">
        <v>3.109</v>
      </c>
      <c r="AH119" s="70">
        <v>3.8730000000000002</v>
      </c>
      <c r="AI119" s="70">
        <v>4.6989999999999998</v>
      </c>
      <c r="AJ119" s="70">
        <v>3.98</v>
      </c>
      <c r="AK119" s="70">
        <v>3.93</v>
      </c>
      <c r="AL119" s="70">
        <v>3.9470000000000001</v>
      </c>
      <c r="AM119" s="70">
        <v>5.3019999999999996</v>
      </c>
      <c r="AN119" s="77">
        <v>5.7759999999999998</v>
      </c>
      <c r="AO119" s="77">
        <v>5.6520000000000001</v>
      </c>
      <c r="AP119" s="77">
        <v>8.7620000000000005</v>
      </c>
      <c r="AQ119" s="77">
        <v>9.2690000000000001</v>
      </c>
      <c r="AR119" s="77">
        <v>11.70566</v>
      </c>
      <c r="AS119" s="77">
        <v>13.239000000000001</v>
      </c>
      <c r="AT119" s="77">
        <v>17.138999999999999</v>
      </c>
      <c r="AU119" s="77">
        <v>22.344999999999999</v>
      </c>
      <c r="AV119" s="77">
        <v>26.033999999999999</v>
      </c>
      <c r="AW119" s="77">
        <v>38.18</v>
      </c>
      <c r="AX119" s="77">
        <v>28.596</v>
      </c>
      <c r="AY119" s="77">
        <v>35.104999999999997</v>
      </c>
      <c r="AZ119" s="77">
        <v>50.713999999999999</v>
      </c>
      <c r="BA119" s="70">
        <v>50.691000000000003</v>
      </c>
      <c r="BB119" s="70">
        <v>55.999000000000002</v>
      </c>
      <c r="BC119" s="59">
        <v>55.331000000000003</v>
      </c>
      <c r="BD119" s="59">
        <v>59.182000000000002</v>
      </c>
      <c r="BE119" s="59">
        <v>68.191000000000003</v>
      </c>
      <c r="BF119" s="59">
        <v>88.406999999999996</v>
      </c>
      <c r="BG119" s="59">
        <v>86.326999999999998</v>
      </c>
      <c r="BH119" s="59">
        <v>85.036000000000001</v>
      </c>
      <c r="BI119" s="58">
        <f>FORECAST(BI87,BC119:BG119,BC87:BG87)</f>
        <v>68.541102515752243</v>
      </c>
      <c r="BJ119" s="58">
        <f t="shared" si="123"/>
        <v>77.860732997872901</v>
      </c>
      <c r="BK119" s="58">
        <f t="shared" si="123"/>
        <v>83.054300864934262</v>
      </c>
      <c r="BL119" s="58">
        <f t="shared" si="123"/>
        <v>81.069663900915387</v>
      </c>
      <c r="BM119" s="58">
        <f t="shared" si="123"/>
        <v>80.275178112667177</v>
      </c>
      <c r="BN119" s="58">
        <f t="shared" si="123"/>
        <v>79.6445019791134</v>
      </c>
      <c r="BO119" s="58">
        <f t="shared" si="123"/>
        <v>78.573207605318203</v>
      </c>
      <c r="BP119" s="58">
        <f t="shared" si="123"/>
        <v>80.714078095933829</v>
      </c>
      <c r="BQ119" s="58">
        <f t="shared" si="123"/>
        <v>80.282897438185827</v>
      </c>
      <c r="BR119" s="58">
        <f t="shared" si="123"/>
        <v>80.080576406538981</v>
      </c>
      <c r="BS119" s="58">
        <f t="shared" si="123"/>
        <v>79.668064983860091</v>
      </c>
      <c r="BT119" s="58">
        <f t="shared" si="123"/>
        <v>79.608108104485211</v>
      </c>
      <c r="BU119" s="58">
        <f t="shared" si="123"/>
        <v>79.437895279309544</v>
      </c>
    </row>
    <row r="120" spans="1:73" ht="15.75" thickBot="1">
      <c r="A120" s="4" t="s">
        <v>113</v>
      </c>
      <c r="B120" s="56"/>
      <c r="C120" s="57">
        <v>0.12626073798516374</v>
      </c>
      <c r="D120" s="57">
        <v>0.10523005207169291</v>
      </c>
      <c r="E120" s="57">
        <v>0.10523005207169291</v>
      </c>
      <c r="F120" s="57">
        <v>0.23133754504817916</v>
      </c>
      <c r="G120" s="57">
        <v>0.31530704369338503</v>
      </c>
      <c r="H120" s="57">
        <v>0.44110804665251635</v>
      </c>
      <c r="I120" s="57">
        <v>0.75480601775478795</v>
      </c>
      <c r="J120" s="57">
        <v>0.96329947762014612</v>
      </c>
      <c r="K120" s="57">
        <v>4.0093432379376805</v>
      </c>
      <c r="L120" s="57">
        <v>5.7158444282126313</v>
      </c>
      <c r="M120" s="57">
        <v>10.426642732149901</v>
      </c>
      <c r="N120" s="57">
        <v>9.8119746587016046</v>
      </c>
      <c r="O120" s="57">
        <v>11.508531041863131</v>
      </c>
      <c r="P120" s="57">
        <v>13.250157361976685</v>
      </c>
      <c r="Q120" s="57">
        <v>12.396038013166711</v>
      </c>
      <c r="R120" s="57">
        <v>13.840423136006967</v>
      </c>
      <c r="S120" s="57">
        <v>20.032496381325107</v>
      </c>
      <c r="T120" s="56">
        <f t="shared" ref="T120:BO120" si="124">SUM(T108:T119)</f>
        <v>35.332000000000001</v>
      </c>
      <c r="U120" s="56">
        <f t="shared" si="124"/>
        <v>44.58</v>
      </c>
      <c r="V120" s="56">
        <f t="shared" si="124"/>
        <v>59.534999999999997</v>
      </c>
      <c r="W120" s="56">
        <f t="shared" si="124"/>
        <v>25.498999999999995</v>
      </c>
      <c r="X120" s="56">
        <f t="shared" si="124"/>
        <v>9.9339999999999993</v>
      </c>
      <c r="Y120" s="56">
        <f t="shared" si="124"/>
        <v>20.626000000000001</v>
      </c>
      <c r="Z120" s="56">
        <f t="shared" si="124"/>
        <v>40.420999999999999</v>
      </c>
      <c r="AA120" s="56">
        <f t="shared" si="124"/>
        <v>61.766000000000005</v>
      </c>
      <c r="AB120" s="56">
        <f t="shared" si="124"/>
        <v>17.558999999999997</v>
      </c>
      <c r="AC120" s="56">
        <f t="shared" si="124"/>
        <v>28.572000000000003</v>
      </c>
      <c r="AD120" s="56">
        <f t="shared" si="124"/>
        <v>56.119</v>
      </c>
      <c r="AE120" s="59">
        <f t="shared" si="124"/>
        <v>48.199999999999996</v>
      </c>
      <c r="AF120" s="59">
        <f t="shared" si="124"/>
        <v>52.167999999999999</v>
      </c>
      <c r="AG120" s="59">
        <f t="shared" si="124"/>
        <v>48.241000000000007</v>
      </c>
      <c r="AH120" s="59">
        <f t="shared" si="124"/>
        <v>33.881999999999998</v>
      </c>
      <c r="AI120" s="59">
        <f t="shared" si="124"/>
        <v>51.594999999999999</v>
      </c>
      <c r="AJ120" s="59">
        <f t="shared" si="124"/>
        <v>62.248999999999988</v>
      </c>
      <c r="AK120" s="59">
        <f t="shared" si="124"/>
        <v>48.34</v>
      </c>
      <c r="AL120" s="59">
        <f t="shared" si="124"/>
        <v>51.420999999999999</v>
      </c>
      <c r="AM120" s="59">
        <f t="shared" si="124"/>
        <v>56.364000000000004</v>
      </c>
      <c r="AN120" s="59">
        <f t="shared" si="124"/>
        <v>65.209000000000003</v>
      </c>
      <c r="AO120" s="59">
        <f t="shared" si="124"/>
        <v>75.064000000000021</v>
      </c>
      <c r="AP120" s="59">
        <f t="shared" si="124"/>
        <v>98.75</v>
      </c>
      <c r="AQ120" s="59">
        <f t="shared" si="124"/>
        <v>119.98799999999999</v>
      </c>
      <c r="AR120" s="59">
        <f t="shared" si="124"/>
        <v>135.87165999999999</v>
      </c>
      <c r="AS120" s="59">
        <f t="shared" si="124"/>
        <v>168.816</v>
      </c>
      <c r="AT120" s="59">
        <f t="shared" si="124"/>
        <v>195.065</v>
      </c>
      <c r="AU120" s="59">
        <f t="shared" si="124"/>
        <v>232.226</v>
      </c>
      <c r="AV120" s="59">
        <f t="shared" si="124"/>
        <v>377.76099999999997</v>
      </c>
      <c r="AW120" s="59">
        <f t="shared" si="124"/>
        <v>414.90900000000005</v>
      </c>
      <c r="AX120" s="59">
        <f t="shared" si="124"/>
        <v>402.29900000000004</v>
      </c>
      <c r="AY120" s="59">
        <f t="shared" si="124"/>
        <v>447.96800000000007</v>
      </c>
      <c r="AZ120" s="59">
        <f t="shared" si="124"/>
        <v>575.47</v>
      </c>
      <c r="BA120" s="59">
        <f t="shared" si="124"/>
        <v>687.69899999999996</v>
      </c>
      <c r="BB120" s="59">
        <f t="shared" si="124"/>
        <v>647.32000000000016</v>
      </c>
      <c r="BC120" s="59">
        <f t="shared" si="124"/>
        <v>732.35800000000006</v>
      </c>
      <c r="BD120" s="59">
        <f t="shared" si="124"/>
        <v>754.07700000000011</v>
      </c>
      <c r="BE120" s="59">
        <f t="shared" si="124"/>
        <v>905.20900000000006</v>
      </c>
      <c r="BF120" s="59">
        <f t="shared" si="124"/>
        <v>971.47700000000009</v>
      </c>
      <c r="BG120" s="59">
        <f t="shared" si="124"/>
        <v>1003.318</v>
      </c>
      <c r="BH120" s="59">
        <f t="shared" si="124"/>
        <v>1065.4690000000001</v>
      </c>
      <c r="BI120" s="58">
        <f t="shared" si="124"/>
        <v>1163.4261025157523</v>
      </c>
      <c r="BJ120" s="58">
        <f t="shared" si="124"/>
        <v>952.42954722153752</v>
      </c>
      <c r="BK120" s="58">
        <f t="shared" si="124"/>
        <v>982.45128533261857</v>
      </c>
      <c r="BL120" s="58">
        <f t="shared" si="124"/>
        <v>977.1337867989281</v>
      </c>
      <c r="BM120" s="58">
        <f t="shared" si="124"/>
        <v>969.60426205282727</v>
      </c>
      <c r="BN120" s="58">
        <f t="shared" si="124"/>
        <v>968.26310307975768</v>
      </c>
      <c r="BO120" s="58">
        <f t="shared" si="124"/>
        <v>954.58025824368076</v>
      </c>
      <c r="BP120" s="58">
        <f t="shared" ref="BP120:BU120" si="125">SUM(BP108:BP119)</f>
        <v>966.78161779755442</v>
      </c>
      <c r="BQ120" s="58">
        <f t="shared" si="125"/>
        <v>964.97397095617725</v>
      </c>
      <c r="BR120" s="58">
        <f t="shared" si="125"/>
        <v>964.27841236512302</v>
      </c>
      <c r="BS120" s="58" t="e">
        <f t="shared" si="125"/>
        <v>#DIV/0!</v>
      </c>
      <c r="BT120" s="58" t="e">
        <f t="shared" si="125"/>
        <v>#DIV/0!</v>
      </c>
      <c r="BU120" s="58" t="e">
        <f t="shared" si="125"/>
        <v>#DIV/0!</v>
      </c>
    </row>
    <row r="121" spans="1:73">
      <c r="A121" s="60"/>
      <c r="B121" s="61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1:73" ht="15.75" thickBot="1">
      <c r="A122" s="53" t="s">
        <v>137</v>
      </c>
    </row>
    <row r="123" spans="1:73" s="4" customFormat="1" ht="15.75" thickBot="1">
      <c r="A123" s="54"/>
      <c r="B123" s="63" t="s">
        <v>1</v>
      </c>
      <c r="C123" s="63" t="s">
        <v>2</v>
      </c>
      <c r="D123" s="63" t="s">
        <v>3</v>
      </c>
      <c r="E123" s="63" t="s">
        <v>4</v>
      </c>
      <c r="F123" s="63" t="s">
        <v>5</v>
      </c>
      <c r="G123" s="63" t="s">
        <v>6</v>
      </c>
      <c r="H123" s="63" t="s">
        <v>7</v>
      </c>
      <c r="I123" s="63" t="s">
        <v>8</v>
      </c>
      <c r="J123" s="63" t="s">
        <v>9</v>
      </c>
      <c r="K123" s="63" t="s">
        <v>10</v>
      </c>
      <c r="L123" s="63" t="s">
        <v>11</v>
      </c>
      <c r="M123" s="55" t="s">
        <v>12</v>
      </c>
      <c r="N123" s="55" t="s">
        <v>13</v>
      </c>
      <c r="O123" s="55" t="s">
        <v>14</v>
      </c>
      <c r="P123" s="55" t="s">
        <v>15</v>
      </c>
      <c r="Q123" s="55" t="s">
        <v>16</v>
      </c>
      <c r="R123" s="55" t="s">
        <v>17</v>
      </c>
      <c r="S123" s="55" t="s">
        <v>18</v>
      </c>
      <c r="T123" s="55" t="s">
        <v>19</v>
      </c>
      <c r="U123" s="55" t="s">
        <v>20</v>
      </c>
      <c r="V123" s="55" t="s">
        <v>21</v>
      </c>
      <c r="W123" s="55" t="s">
        <v>22</v>
      </c>
      <c r="X123" s="55" t="s">
        <v>23</v>
      </c>
      <c r="Y123" s="55" t="s">
        <v>24</v>
      </c>
      <c r="Z123" s="55" t="s">
        <v>25</v>
      </c>
      <c r="AA123" s="55" t="s">
        <v>26</v>
      </c>
      <c r="AB123" s="55" t="s">
        <v>27</v>
      </c>
      <c r="AC123" s="55" t="s">
        <v>28</v>
      </c>
      <c r="AD123" s="55" t="s">
        <v>29</v>
      </c>
      <c r="AE123" s="55" t="s">
        <v>30</v>
      </c>
      <c r="AF123" s="55" t="s">
        <v>31</v>
      </c>
      <c r="AG123" s="55" t="s">
        <v>32</v>
      </c>
      <c r="AH123" s="55" t="s">
        <v>33</v>
      </c>
      <c r="AI123" s="55" t="s">
        <v>34</v>
      </c>
      <c r="AJ123" s="55" t="s">
        <v>35</v>
      </c>
      <c r="AK123" s="55" t="s">
        <v>36</v>
      </c>
      <c r="AL123" s="55" t="s">
        <v>37</v>
      </c>
      <c r="AM123" s="55" t="s">
        <v>38</v>
      </c>
      <c r="AN123" s="55" t="s">
        <v>39</v>
      </c>
      <c r="AO123" s="55" t="s">
        <v>40</v>
      </c>
      <c r="AP123" s="55" t="s">
        <v>41</v>
      </c>
      <c r="AQ123" s="55" t="s">
        <v>42</v>
      </c>
      <c r="AR123" s="55" t="s">
        <v>43</v>
      </c>
      <c r="AS123" s="55" t="s">
        <v>44</v>
      </c>
      <c r="AT123" s="55" t="s">
        <v>45</v>
      </c>
      <c r="AU123" s="55" t="s">
        <v>46</v>
      </c>
      <c r="AV123" s="55" t="s">
        <v>47</v>
      </c>
      <c r="AW123" s="55" t="s">
        <v>48</v>
      </c>
      <c r="AX123" s="55" t="s">
        <v>49</v>
      </c>
      <c r="AY123" s="55" t="s">
        <v>50</v>
      </c>
      <c r="AZ123" s="55" t="s">
        <v>51</v>
      </c>
      <c r="BA123" s="55" t="s">
        <v>52</v>
      </c>
      <c r="BB123" s="55" t="s">
        <v>53</v>
      </c>
      <c r="BC123" s="55" t="s">
        <v>54</v>
      </c>
      <c r="BD123" s="55" t="s">
        <v>55</v>
      </c>
      <c r="BE123" s="55" t="s">
        <v>56</v>
      </c>
      <c r="BF123" s="55" t="s">
        <v>57</v>
      </c>
      <c r="BG123" s="55" t="str">
        <f t="shared" ref="BG123:BU123" si="126">BH2</f>
        <v>22/23</v>
      </c>
      <c r="BH123" s="55" t="str">
        <f t="shared" si="126"/>
        <v>23/24</v>
      </c>
      <c r="BI123" s="55" t="str">
        <f t="shared" si="126"/>
        <v>24/25</v>
      </c>
      <c r="BJ123" s="55" t="str">
        <f t="shared" si="126"/>
        <v>25/26</v>
      </c>
      <c r="BK123" s="55" t="str">
        <f t="shared" si="126"/>
        <v>26/27</v>
      </c>
      <c r="BL123" s="55" t="str">
        <f t="shared" si="126"/>
        <v>27/28</v>
      </c>
      <c r="BM123" s="55" t="str">
        <f t="shared" si="126"/>
        <v>28/29</v>
      </c>
      <c r="BN123" s="55" t="str">
        <f t="shared" si="126"/>
        <v>29/30</v>
      </c>
      <c r="BO123" s="55" t="str">
        <f t="shared" si="126"/>
        <v>30/31</v>
      </c>
      <c r="BP123" s="55" t="str">
        <f t="shared" si="126"/>
        <v>31/32</v>
      </c>
      <c r="BQ123" s="55" t="str">
        <f t="shared" si="126"/>
        <v>32/33</v>
      </c>
      <c r="BR123" s="55" t="str">
        <f t="shared" si="126"/>
        <v>33/34</v>
      </c>
      <c r="BS123" s="55" t="str">
        <f t="shared" si="126"/>
        <v>34/35</v>
      </c>
      <c r="BT123" s="55" t="str">
        <f t="shared" si="126"/>
        <v>34/35</v>
      </c>
      <c r="BU123" s="55">
        <f t="shared" si="126"/>
        <v>0</v>
      </c>
    </row>
    <row r="124" spans="1:73">
      <c r="A124" s="4" t="s">
        <v>100</v>
      </c>
      <c r="B124" s="88"/>
      <c r="C124" s="89">
        <f t="shared" ref="C124:BI128" si="127">(C108+C92)/C76</f>
        <v>0.90993784586993121</v>
      </c>
      <c r="D124" s="89">
        <f t="shared" si="127"/>
        <v>0.87432392479631216</v>
      </c>
      <c r="E124" s="89">
        <f t="shared" si="127"/>
        <v>0.87432392479631216</v>
      </c>
      <c r="F124" s="89">
        <f t="shared" si="127"/>
        <v>0.79660142959823743</v>
      </c>
      <c r="G124" s="89">
        <f t="shared" si="127"/>
        <v>0.87430022019498232</v>
      </c>
      <c r="H124" s="89">
        <f t="shared" si="127"/>
        <v>0.83358166425275348</v>
      </c>
      <c r="I124" s="89">
        <f t="shared" si="127"/>
        <v>0.82082600323156141</v>
      </c>
      <c r="J124" s="89">
        <f t="shared" si="127"/>
        <v>0.83241630673906364</v>
      </c>
      <c r="K124" s="89">
        <f t="shared" si="127"/>
        <v>0.84647639003738717</v>
      </c>
      <c r="L124" s="89">
        <f t="shared" si="127"/>
        <v>0.83260320642260954</v>
      </c>
      <c r="M124" s="89">
        <f t="shared" si="127"/>
        <v>0.76898926523199329</v>
      </c>
      <c r="N124" s="89">
        <f t="shared" si="127"/>
        <v>1.1262675822196058</v>
      </c>
      <c r="O124" s="89">
        <f t="shared" si="127"/>
        <v>0.7956934249948534</v>
      </c>
      <c r="P124" s="89">
        <f t="shared" si="127"/>
        <v>0.78255060992534153</v>
      </c>
      <c r="Q124" s="89">
        <f t="shared" si="127"/>
        <v>0.82741513780406228</v>
      </c>
      <c r="R124" s="89">
        <f t="shared" si="127"/>
        <v>0.79457058129477476</v>
      </c>
      <c r="S124" s="89">
        <f t="shared" si="127"/>
        <v>0.78371328156925424</v>
      </c>
      <c r="T124" s="88">
        <f t="shared" si="127"/>
        <v>0.71065444009677714</v>
      </c>
      <c r="U124" s="88">
        <f t="shared" si="127"/>
        <v>0.8579086847883699</v>
      </c>
      <c r="V124" s="88">
        <f t="shared" si="127"/>
        <v>0.78865302923816571</v>
      </c>
      <c r="W124" s="88">
        <f t="shared" si="127"/>
        <v>0.79529921903718759</v>
      </c>
      <c r="X124" s="88">
        <f t="shared" si="127"/>
        <v>0.76271471215829478</v>
      </c>
      <c r="Y124" s="88">
        <f t="shared" si="127"/>
        <v>0.77508365391181633</v>
      </c>
      <c r="Z124" s="88">
        <f t="shared" si="127"/>
        <v>0.7824094032358816</v>
      </c>
      <c r="AA124" s="88">
        <f t="shared" si="127"/>
        <v>0.8031404776754596</v>
      </c>
      <c r="AB124" s="88">
        <f t="shared" si="127"/>
        <v>0.80262764520068874</v>
      </c>
      <c r="AC124" s="88">
        <f t="shared" si="127"/>
        <v>0.81143258403484275</v>
      </c>
      <c r="AD124" s="88">
        <f t="shared" si="127"/>
        <v>0.82986112277284263</v>
      </c>
      <c r="AE124" s="90">
        <f t="shared" si="127"/>
        <v>0.80416820669345324</v>
      </c>
      <c r="AF124" s="90">
        <f t="shared" si="127"/>
        <v>0.80689950674086808</v>
      </c>
      <c r="AG124" s="90">
        <f t="shared" si="127"/>
        <v>0.80388430605215977</v>
      </c>
      <c r="AH124" s="90">
        <f t="shared" si="127"/>
        <v>0.79740663608476625</v>
      </c>
      <c r="AI124" s="90">
        <f t="shared" si="127"/>
        <v>0.80306173688650306</v>
      </c>
      <c r="AJ124" s="90">
        <f t="shared" si="127"/>
        <v>0.7953964458715469</v>
      </c>
      <c r="AK124" s="90">
        <f t="shared" si="127"/>
        <v>0.79104498538515533</v>
      </c>
      <c r="AL124" s="90">
        <f t="shared" si="127"/>
        <v>0.79136838173404667</v>
      </c>
      <c r="AM124" s="90">
        <f t="shared" si="127"/>
        <v>0.79859387099044976</v>
      </c>
      <c r="AN124" s="90">
        <f t="shared" si="127"/>
        <v>0.78961258651154553</v>
      </c>
      <c r="AO124" s="90">
        <f t="shared" si="127"/>
        <v>0.78796352595938401</v>
      </c>
      <c r="AP124" s="90">
        <f t="shared" si="127"/>
        <v>0.78764672204805775</v>
      </c>
      <c r="AQ124" s="90">
        <f t="shared" si="127"/>
        <v>0.78819872295032811</v>
      </c>
      <c r="AR124" s="90">
        <f t="shared" si="127"/>
        <v>0.77982068640856483</v>
      </c>
      <c r="AS124" s="90">
        <f t="shared" si="127"/>
        <v>0.76873125615985882</v>
      </c>
      <c r="AT124" s="90">
        <f t="shared" si="127"/>
        <v>0.7854224688948177</v>
      </c>
      <c r="AU124" s="90">
        <f t="shared" si="127"/>
        <v>0.79344982185714608</v>
      </c>
      <c r="AV124" s="90">
        <f t="shared" si="127"/>
        <v>0.7782460294971647</v>
      </c>
      <c r="AW124" s="90">
        <f t="shared" si="127"/>
        <v>0.78468256750706644</v>
      </c>
      <c r="AX124" s="90">
        <f t="shared" si="127"/>
        <v>0.77988185811216626</v>
      </c>
      <c r="AY124" s="90">
        <f t="shared" si="127"/>
        <v>0.77217008006404231</v>
      </c>
      <c r="AZ124" s="90">
        <f t="shared" si="127"/>
        <v>0.76261487548669549</v>
      </c>
      <c r="BA124" s="90">
        <f t="shared" si="127"/>
        <v>0.76814459690151504</v>
      </c>
      <c r="BB124" s="90">
        <f t="shared" si="127"/>
        <v>0.76457975020090574</v>
      </c>
      <c r="BC124" s="90">
        <f t="shared" si="127"/>
        <v>0.76070251591912552</v>
      </c>
      <c r="BD124" s="90">
        <f t="shared" si="127"/>
        <v>0.75415167114152171</v>
      </c>
      <c r="BE124" s="90">
        <f t="shared" si="127"/>
        <v>0.75604243072201749</v>
      </c>
      <c r="BF124" s="90">
        <f t="shared" si="127"/>
        <v>0.7484116695225671</v>
      </c>
      <c r="BG124" s="90">
        <f t="shared" si="127"/>
        <v>0.7457299871971429</v>
      </c>
      <c r="BH124" s="90">
        <f t="shared" si="127"/>
        <v>0.74351258885931648</v>
      </c>
      <c r="BI124" s="90">
        <f t="shared" si="127"/>
        <v>0.76730493426342783</v>
      </c>
      <c r="BJ124" s="91">
        <f t="shared" ref="BJ124:BJ135" si="128">(SUM(BD124:BH124)-MAX(BD124:BH124)-MIN(BD124:BH124))/3</f>
        <v>0.74943110928707724</v>
      </c>
      <c r="BK124" s="91">
        <f t="shared" ref="BK124:BK135" si="129">(SUM(BE124:BI124)-MAX(BE124:BI124)-MIN(BE124:BI124))/3</f>
        <v>0.75006136248057587</v>
      </c>
      <c r="BL124" s="91">
        <f t="shared" ref="BL124:BU135" si="130">(SUM(BF124:BJ124)-MAX(BF124:BJ124)-MIN(BF124:BJ124))/3</f>
        <v>0.74785758866892904</v>
      </c>
      <c r="BM124" s="91">
        <f t="shared" si="130"/>
        <v>0.7484074863215987</v>
      </c>
      <c r="BN124" s="91">
        <f t="shared" si="130"/>
        <v>0.74911668681219412</v>
      </c>
      <c r="BO124" s="91">
        <f t="shared" si="130"/>
        <v>0.74929998602975079</v>
      </c>
      <c r="BP124" s="91">
        <f t="shared" si="130"/>
        <v>0.74898509414029002</v>
      </c>
      <c r="BQ124" s="91">
        <f t="shared" si="130"/>
        <v>0.74894138638784791</v>
      </c>
      <c r="BR124" s="91">
        <f t="shared" si="130"/>
        <v>0.74883642242469428</v>
      </c>
      <c r="BS124" s="91">
        <f t="shared" si="130"/>
        <v>0.74901438911344398</v>
      </c>
      <c r="BT124" s="91">
        <f t="shared" si="130"/>
        <v>0.74901438911344398</v>
      </c>
      <c r="BU124" s="91">
        <f t="shared" si="130"/>
        <v>0.74898028988052723</v>
      </c>
    </row>
    <row r="125" spans="1:73">
      <c r="A125" s="4" t="s">
        <v>102</v>
      </c>
      <c r="B125" s="88"/>
      <c r="C125" s="89">
        <f t="shared" si="127"/>
        <v>0.85355906684312155</v>
      </c>
      <c r="D125" s="89">
        <f t="shared" si="127"/>
        <v>0.82064735783665299</v>
      </c>
      <c r="E125" s="89">
        <f t="shared" si="127"/>
        <v>0.82064735783665299</v>
      </c>
      <c r="F125" s="89">
        <f t="shared" si="127"/>
        <v>0.74880953287079677</v>
      </c>
      <c r="G125" s="89">
        <f t="shared" si="127"/>
        <v>0.82061012911785569</v>
      </c>
      <c r="H125" s="89">
        <f t="shared" si="127"/>
        <v>0.78297015545417925</v>
      </c>
      <c r="I125" s="89">
        <f t="shared" si="127"/>
        <v>0.77115880099085887</v>
      </c>
      <c r="J125" s="89">
        <f t="shared" si="127"/>
        <v>0.78185486527587067</v>
      </c>
      <c r="K125" s="89">
        <f t="shared" si="127"/>
        <v>0.79462044919615726</v>
      </c>
      <c r="L125" s="89">
        <f t="shared" si="127"/>
        <v>0.78166753228473107</v>
      </c>
      <c r="M125" s="89">
        <f t="shared" si="127"/>
        <v>0.80058350305597847</v>
      </c>
      <c r="N125" s="89">
        <f t="shared" si="127"/>
        <v>0.80392668956003621</v>
      </c>
      <c r="O125" s="89">
        <f t="shared" si="127"/>
        <v>0.81567452391643602</v>
      </c>
      <c r="P125" s="89">
        <f t="shared" si="127"/>
        <v>0.78187226835903223</v>
      </c>
      <c r="Q125" s="89">
        <f t="shared" si="127"/>
        <v>0.79519099137083715</v>
      </c>
      <c r="R125" s="89">
        <f t="shared" si="127"/>
        <v>0.80149149660285779</v>
      </c>
      <c r="S125" s="89">
        <f t="shared" si="127"/>
        <v>0.77143971167296577</v>
      </c>
      <c r="T125" s="88">
        <f t="shared" si="127"/>
        <v>0.77511043645852884</v>
      </c>
      <c r="U125" s="88">
        <f t="shared" si="127"/>
        <v>0.82407275186952766</v>
      </c>
      <c r="V125" s="88">
        <f t="shared" si="127"/>
        <v>0.79781060819924099</v>
      </c>
      <c r="W125" s="88">
        <f t="shared" si="127"/>
        <v>0.76169195851694771</v>
      </c>
      <c r="X125" s="88">
        <f t="shared" si="127"/>
        <v>0.80633523835570164</v>
      </c>
      <c r="Y125" s="88">
        <f t="shared" si="127"/>
        <v>0.79329871835618071</v>
      </c>
      <c r="Z125" s="88">
        <f t="shared" si="127"/>
        <v>0.78366630207753041</v>
      </c>
      <c r="AA125" s="88">
        <f t="shared" si="127"/>
        <v>0.80125093405962544</v>
      </c>
      <c r="AB125" s="88">
        <f t="shared" si="127"/>
        <v>0.8034317950077815</v>
      </c>
      <c r="AC125" s="88">
        <f t="shared" si="127"/>
        <v>0.81265762704869093</v>
      </c>
      <c r="AD125" s="88">
        <f t="shared" si="127"/>
        <v>0.81214602433540928</v>
      </c>
      <c r="AE125" s="90">
        <f t="shared" si="127"/>
        <v>0.80753009262781827</v>
      </c>
      <c r="AF125" s="90">
        <f t="shared" si="127"/>
        <v>0.83556777485261968</v>
      </c>
      <c r="AG125" s="90">
        <f t="shared" si="127"/>
        <v>0.80488977917928772</v>
      </c>
      <c r="AH125" s="90">
        <f t="shared" si="127"/>
        <v>0.80089013461506875</v>
      </c>
      <c r="AI125" s="90">
        <f t="shared" si="127"/>
        <v>0.80284168205011019</v>
      </c>
      <c r="AJ125" s="90">
        <f t="shared" si="127"/>
        <v>0.80240689899224271</v>
      </c>
      <c r="AK125" s="90">
        <f t="shared" si="127"/>
        <v>0.78869908607552897</v>
      </c>
      <c r="AL125" s="90">
        <f t="shared" si="127"/>
        <v>0.78779976293531617</v>
      </c>
      <c r="AM125" s="90">
        <f t="shared" si="127"/>
        <v>0.7919645327860183</v>
      </c>
      <c r="AN125" s="90">
        <f t="shared" si="127"/>
        <v>0.79024848795710667</v>
      </c>
      <c r="AO125" s="90">
        <f t="shared" si="127"/>
        <v>0.79344610466548104</v>
      </c>
      <c r="AP125" s="90">
        <f t="shared" si="127"/>
        <v>0.77715109943912775</v>
      </c>
      <c r="AQ125" s="90">
        <f t="shared" si="127"/>
        <v>0.78903089255713188</v>
      </c>
      <c r="AR125" s="90">
        <f t="shared" si="127"/>
        <v>0.78152443204044353</v>
      </c>
      <c r="AS125" s="90">
        <f t="shared" si="127"/>
        <v>0.77409246228001394</v>
      </c>
      <c r="AT125" s="90">
        <f t="shared" si="127"/>
        <v>0.78889789131200183</v>
      </c>
      <c r="AU125" s="90">
        <f t="shared" si="127"/>
        <v>0.781206784200556</v>
      </c>
      <c r="AV125" s="90">
        <f t="shared" si="127"/>
        <v>0.77341865601029958</v>
      </c>
      <c r="AW125" s="90">
        <f t="shared" si="127"/>
        <v>0.77706071571675894</v>
      </c>
      <c r="AX125" s="90">
        <f t="shared" si="127"/>
        <v>0.78224023241513152</v>
      </c>
      <c r="AY125" s="90">
        <f t="shared" si="127"/>
        <v>0.77556114734587844</v>
      </c>
      <c r="AZ125" s="90">
        <f t="shared" si="127"/>
        <v>0.77166122191304576</v>
      </c>
      <c r="BA125" s="90">
        <f t="shared" si="127"/>
        <v>0.77333495699977661</v>
      </c>
      <c r="BB125" s="90">
        <f t="shared" si="127"/>
        <v>0.7568786047473518</v>
      </c>
      <c r="BC125" s="90">
        <f t="shared" si="127"/>
        <v>0.76273055540951129</v>
      </c>
      <c r="BD125" s="90">
        <f t="shared" si="127"/>
        <v>0.7479077730871273</v>
      </c>
      <c r="BE125" s="90">
        <f t="shared" si="127"/>
        <v>0.75105922563278271</v>
      </c>
      <c r="BF125" s="90">
        <f t="shared" si="127"/>
        <v>0.75853066773068989</v>
      </c>
      <c r="BG125" s="90">
        <f t="shared" si="127"/>
        <v>0.7491286857192816</v>
      </c>
      <c r="BH125" s="90">
        <f t="shared" si="127"/>
        <v>0.7514927912988697</v>
      </c>
      <c r="BI125" s="90">
        <f t="shared" si="127"/>
        <v>0.77079287648445938</v>
      </c>
      <c r="BJ125" s="91">
        <f t="shared" si="128"/>
        <v>0.75056023421697804</v>
      </c>
      <c r="BK125" s="91">
        <f t="shared" si="129"/>
        <v>0.7536942282207808</v>
      </c>
      <c r="BL125" s="91">
        <f t="shared" si="130"/>
        <v>0.75352789774884588</v>
      </c>
      <c r="BM125" s="91">
        <f t="shared" si="130"/>
        <v>0.75191575124554288</v>
      </c>
      <c r="BN125" s="91">
        <f t="shared" si="130"/>
        <v>0.75290497242283216</v>
      </c>
      <c r="BO125" s="91">
        <f t="shared" si="130"/>
        <v>0.75304595907172323</v>
      </c>
      <c r="BP125" s="91">
        <f t="shared" si="130"/>
        <v>0.75278287380574038</v>
      </c>
      <c r="BQ125" s="91">
        <f t="shared" si="130"/>
        <v>0.75315960974780038</v>
      </c>
      <c r="BR125" s="91">
        <f t="shared" si="130"/>
        <v>0.75291126843343192</v>
      </c>
      <c r="BS125" s="91">
        <f t="shared" si="130"/>
        <v>0.75291126843343192</v>
      </c>
      <c r="BT125" s="91">
        <f t="shared" si="130"/>
        <v>0.7529540666426624</v>
      </c>
      <c r="BU125" s="91">
        <f t="shared" si="130"/>
        <v>0.75295616531286236</v>
      </c>
    </row>
    <row r="126" spans="1:73">
      <c r="A126" s="4" t="s">
        <v>103</v>
      </c>
      <c r="B126" s="88"/>
      <c r="C126" s="89">
        <f t="shared" si="127"/>
        <v>0.85549730229371435</v>
      </c>
      <c r="D126" s="89">
        <f t="shared" si="127"/>
        <v>0.82221837346062854</v>
      </c>
      <c r="E126" s="89">
        <f t="shared" si="127"/>
        <v>0.82221837346062854</v>
      </c>
      <c r="F126" s="89">
        <f t="shared" si="127"/>
        <v>0.74958651171631863</v>
      </c>
      <c r="G126" s="89">
        <f t="shared" si="127"/>
        <v>0.82218990821692295</v>
      </c>
      <c r="H126" s="89">
        <f t="shared" si="127"/>
        <v>0.78413651437646403</v>
      </c>
      <c r="I126" s="89">
        <f t="shared" si="127"/>
        <v>0.77220746816895702</v>
      </c>
      <c r="J126" s="89">
        <f t="shared" si="127"/>
        <v>0.78303175575920481</v>
      </c>
      <c r="K126" s="89">
        <f t="shared" si="127"/>
        <v>0.79607616817064319</v>
      </c>
      <c r="L126" s="89">
        <f t="shared" si="127"/>
        <v>0.78305801666383912</v>
      </c>
      <c r="M126" s="89">
        <f t="shared" si="127"/>
        <v>0.79103128526960165</v>
      </c>
      <c r="N126" s="89">
        <f t="shared" si="127"/>
        <v>0.82725826789106982</v>
      </c>
      <c r="O126" s="89">
        <f t="shared" si="127"/>
        <v>0.80457230570817517</v>
      </c>
      <c r="P126" s="89">
        <f t="shared" si="127"/>
        <v>0.81156041692493552</v>
      </c>
      <c r="Q126" s="89">
        <f t="shared" si="127"/>
        <v>0.78413607521510587</v>
      </c>
      <c r="R126" s="89">
        <f t="shared" si="127"/>
        <v>0.79369498419266726</v>
      </c>
      <c r="S126" s="89">
        <f t="shared" si="127"/>
        <v>0.81670501195602374</v>
      </c>
      <c r="T126" s="88">
        <f t="shared" si="127"/>
        <v>0.79300556375610309</v>
      </c>
      <c r="U126" s="88">
        <f t="shared" si="127"/>
        <v>0.80373733219441712</v>
      </c>
      <c r="V126" s="88">
        <f t="shared" si="127"/>
        <v>0.80387608414942124</v>
      </c>
      <c r="W126" s="88">
        <f t="shared" si="127"/>
        <v>0.7713996043650162</v>
      </c>
      <c r="X126" s="88">
        <f t="shared" si="127"/>
        <v>0.80895532095192357</v>
      </c>
      <c r="Y126" s="88">
        <f t="shared" si="127"/>
        <v>0.79086451130956981</v>
      </c>
      <c r="Z126" s="88">
        <f t="shared" si="127"/>
        <v>0.80135082142178526</v>
      </c>
      <c r="AA126" s="88">
        <f t="shared" si="127"/>
        <v>0.80341912025426621</v>
      </c>
      <c r="AB126" s="88">
        <f t="shared" si="127"/>
        <v>0.80879832149827546</v>
      </c>
      <c r="AC126" s="88">
        <f t="shared" si="127"/>
        <v>0.8119661358020015</v>
      </c>
      <c r="AD126" s="88">
        <f t="shared" si="127"/>
        <v>0.80253887419346848</v>
      </c>
      <c r="AE126" s="90">
        <f t="shared" si="127"/>
        <v>0.8039544300953374</v>
      </c>
      <c r="AF126" s="90">
        <f t="shared" si="127"/>
        <v>0.80669011429145998</v>
      </c>
      <c r="AG126" s="90">
        <f t="shared" si="127"/>
        <v>0.80804313037284536</v>
      </c>
      <c r="AH126" s="90">
        <f t="shared" si="127"/>
        <v>0.79825186287544714</v>
      </c>
      <c r="AI126" s="90">
        <f t="shared" si="127"/>
        <v>0.80498799791852005</v>
      </c>
      <c r="AJ126" s="90">
        <f t="shared" si="127"/>
        <v>0.8026557056414646</v>
      </c>
      <c r="AK126" s="90">
        <f t="shared" si="127"/>
        <v>0.787287681921368</v>
      </c>
      <c r="AL126" s="90">
        <f t="shared" si="127"/>
        <v>0.79417018660663119</v>
      </c>
      <c r="AM126" s="90">
        <f t="shared" si="127"/>
        <v>0.79165327440739253</v>
      </c>
      <c r="AN126" s="90">
        <f t="shared" si="127"/>
        <v>0.79283052213136895</v>
      </c>
      <c r="AO126" s="90">
        <f t="shared" si="127"/>
        <v>0.78897254825653096</v>
      </c>
      <c r="AP126" s="90">
        <f t="shared" si="127"/>
        <v>0.79038717902203337</v>
      </c>
      <c r="AQ126" s="90">
        <f t="shared" si="127"/>
        <v>0.79136879029853302</v>
      </c>
      <c r="AR126" s="90">
        <f t="shared" si="127"/>
        <v>0.78246000437085583</v>
      </c>
      <c r="AS126" s="90">
        <f t="shared" si="127"/>
        <v>0.77318783069189811</v>
      </c>
      <c r="AT126" s="90">
        <f t="shared" si="127"/>
        <v>0.79577198923120418</v>
      </c>
      <c r="AU126" s="90">
        <f t="shared" si="127"/>
        <v>0.79566259339764056</v>
      </c>
      <c r="AV126" s="90">
        <f t="shared" si="127"/>
        <v>0.77436356295326914</v>
      </c>
      <c r="AW126" s="90">
        <f t="shared" si="127"/>
        <v>0.7802145134631282</v>
      </c>
      <c r="AX126" s="90">
        <f t="shared" si="127"/>
        <v>0.78107211354820449</v>
      </c>
      <c r="AY126" s="90">
        <f t="shared" si="127"/>
        <v>0.77373211002816744</v>
      </c>
      <c r="AZ126" s="90">
        <f t="shared" si="127"/>
        <v>0.7674106763252253</v>
      </c>
      <c r="BA126" s="90">
        <f t="shared" si="127"/>
        <v>0.76952562251066348</v>
      </c>
      <c r="BB126" s="90">
        <f t="shared" si="127"/>
        <v>0.77130966545672763</v>
      </c>
      <c r="BC126" s="90">
        <f t="shared" si="127"/>
        <v>0.75396148950014152</v>
      </c>
      <c r="BD126" s="90">
        <f t="shared" si="127"/>
        <v>0.76017425604123667</v>
      </c>
      <c r="BE126" s="90">
        <f t="shared" si="127"/>
        <v>0.75402321187935695</v>
      </c>
      <c r="BF126" s="90">
        <f t="shared" si="127"/>
        <v>0.7555328277925295</v>
      </c>
      <c r="BG126" s="90">
        <f t="shared" si="127"/>
        <v>0.7628812321297439</v>
      </c>
      <c r="BH126" s="90">
        <f t="shared" si="127"/>
        <v>0.74915780769808904</v>
      </c>
      <c r="BI126" s="90">
        <f t="shared" si="127"/>
        <v>0.76713254363122918</v>
      </c>
      <c r="BJ126" s="91">
        <f t="shared" si="128"/>
        <v>0.75657676523770778</v>
      </c>
      <c r="BK126" s="91">
        <f t="shared" si="129"/>
        <v>0.75747909060054353</v>
      </c>
      <c r="BL126" s="91">
        <f t="shared" si="130"/>
        <v>0.75833027505332706</v>
      </c>
      <c r="BM126" s="91">
        <f t="shared" si="130"/>
        <v>0.75897902932266514</v>
      </c>
      <c r="BN126" s="91">
        <f t="shared" si="130"/>
        <v>0.75746204363052616</v>
      </c>
      <c r="BO126" s="91">
        <f t="shared" si="130"/>
        <v>0.75826279832551202</v>
      </c>
      <c r="BP126" s="91">
        <f t="shared" si="130"/>
        <v>0.75775713642813225</v>
      </c>
      <c r="BQ126" s="91">
        <f t="shared" si="130"/>
        <v>0.75802405465979428</v>
      </c>
      <c r="BR126" s="91">
        <f t="shared" si="130"/>
        <v>0.7581167366023237</v>
      </c>
      <c r="BS126" s="91">
        <f t="shared" si="130"/>
        <v>0.75801466313781285</v>
      </c>
      <c r="BT126" s="91">
        <f t="shared" si="130"/>
        <v>0.75796597589675008</v>
      </c>
      <c r="BU126" s="91">
        <f t="shared" si="130"/>
        <v>0.75805181813331035</v>
      </c>
    </row>
    <row r="127" spans="1:73">
      <c r="A127" s="4" t="s">
        <v>104</v>
      </c>
      <c r="B127" s="88"/>
      <c r="C127" s="89">
        <f t="shared" si="127"/>
        <v>0.85322938428900708</v>
      </c>
      <c r="D127" s="89">
        <f t="shared" si="127"/>
        <v>0.82022408338411801</v>
      </c>
      <c r="E127" s="89">
        <f t="shared" si="127"/>
        <v>0.82022408338411801</v>
      </c>
      <c r="F127" s="89">
        <f t="shared" si="127"/>
        <v>0.74818470080043797</v>
      </c>
      <c r="G127" s="89">
        <f t="shared" si="127"/>
        <v>0.8201900848615471</v>
      </c>
      <c r="H127" s="89">
        <f t="shared" si="127"/>
        <v>0.78244545631126572</v>
      </c>
      <c r="I127" s="89">
        <f t="shared" si="127"/>
        <v>0.77060563682842842</v>
      </c>
      <c r="J127" s="89">
        <f t="shared" si="127"/>
        <v>0.78133534507449209</v>
      </c>
      <c r="K127" s="89">
        <f t="shared" si="127"/>
        <v>0.79418680318054102</v>
      </c>
      <c r="L127" s="89">
        <f t="shared" si="127"/>
        <v>0.78122586990736698</v>
      </c>
      <c r="M127" s="89">
        <f t="shared" si="127"/>
        <v>0.78887648614690453</v>
      </c>
      <c r="N127" s="89">
        <f t="shared" si="127"/>
        <v>0.78907632469107347</v>
      </c>
      <c r="O127" s="89">
        <f t="shared" si="127"/>
        <v>0.78839827119222827</v>
      </c>
      <c r="P127" s="89">
        <f t="shared" si="127"/>
        <v>0.81903836406642172</v>
      </c>
      <c r="Q127" s="89">
        <f t="shared" si="127"/>
        <v>0.80420670838320052</v>
      </c>
      <c r="R127" s="89">
        <f t="shared" si="127"/>
        <v>0.7721942370458299</v>
      </c>
      <c r="S127" s="89">
        <f t="shared" si="127"/>
        <v>0.67322725254163229</v>
      </c>
      <c r="T127" s="88">
        <f t="shared" si="127"/>
        <v>0.70707947041260377</v>
      </c>
      <c r="U127" s="88">
        <f t="shared" si="127"/>
        <v>0.78565952553345542</v>
      </c>
      <c r="V127" s="88">
        <f t="shared" si="127"/>
        <v>0.79752751835776647</v>
      </c>
      <c r="W127" s="88">
        <f t="shared" si="127"/>
        <v>0.78548742156874285</v>
      </c>
      <c r="X127" s="88">
        <f t="shared" si="127"/>
        <v>0.78900621095803225</v>
      </c>
      <c r="Y127" s="88">
        <f t="shared" si="127"/>
        <v>0.79198054576590515</v>
      </c>
      <c r="Z127" s="88">
        <f t="shared" si="127"/>
        <v>0.7999674137271694</v>
      </c>
      <c r="AA127" s="88">
        <f t="shared" si="127"/>
        <v>0.80348961642644556</v>
      </c>
      <c r="AB127" s="88">
        <f t="shared" si="127"/>
        <v>0.81022255758273232</v>
      </c>
      <c r="AC127" s="88">
        <f t="shared" si="127"/>
        <v>0.80961262609473961</v>
      </c>
      <c r="AD127" s="88">
        <f t="shared" si="127"/>
        <v>0.78665223422635866</v>
      </c>
      <c r="AE127" s="90">
        <f t="shared" si="127"/>
        <v>0.80170028222607215</v>
      </c>
      <c r="AF127" s="90">
        <f t="shared" si="127"/>
        <v>0.81035929577611432</v>
      </c>
      <c r="AG127" s="90">
        <f t="shared" si="127"/>
        <v>0.80706396595032404</v>
      </c>
      <c r="AH127" s="90">
        <f t="shared" si="127"/>
        <v>0.79602107721603399</v>
      </c>
      <c r="AI127" s="90">
        <f t="shared" si="127"/>
        <v>0.80559302953052614</v>
      </c>
      <c r="AJ127" s="90">
        <f t="shared" si="127"/>
        <v>0.80604053560318401</v>
      </c>
      <c r="AK127" s="90">
        <f t="shared" si="127"/>
        <v>0.78533842395517905</v>
      </c>
      <c r="AL127" s="90">
        <f t="shared" si="127"/>
        <v>0.79494127486527011</v>
      </c>
      <c r="AM127" s="90">
        <f t="shared" si="127"/>
        <v>0.79205139229042854</v>
      </c>
      <c r="AN127" s="90">
        <f t="shared" si="127"/>
        <v>0.791916813290514</v>
      </c>
      <c r="AO127" s="90">
        <f t="shared" si="127"/>
        <v>0.7923421822286244</v>
      </c>
      <c r="AP127" s="90">
        <f t="shared" si="127"/>
        <v>0.78388972590066874</v>
      </c>
      <c r="AQ127" s="90">
        <f t="shared" si="127"/>
        <v>0.81644379381604748</v>
      </c>
      <c r="AR127" s="90">
        <f t="shared" si="127"/>
        <v>0.77470962881392536</v>
      </c>
      <c r="AS127" s="90">
        <f t="shared" si="127"/>
        <v>0.76831481986397299</v>
      </c>
      <c r="AT127" s="90">
        <f t="shared" si="127"/>
        <v>0.78843418394718834</v>
      </c>
      <c r="AU127" s="90">
        <f t="shared" si="127"/>
        <v>0.78436064906995329</v>
      </c>
      <c r="AV127" s="90">
        <f t="shared" si="127"/>
        <v>0.77544896733303026</v>
      </c>
      <c r="AW127" s="90">
        <f t="shared" si="127"/>
        <v>0.78224907916761888</v>
      </c>
      <c r="AX127" s="90">
        <f t="shared" si="127"/>
        <v>0.77877761503619936</v>
      </c>
      <c r="AY127" s="90">
        <f t="shared" si="127"/>
        <v>0.77642718497793684</v>
      </c>
      <c r="AZ127" s="90">
        <f t="shared" si="127"/>
        <v>0.76915683487967379</v>
      </c>
      <c r="BA127" s="90">
        <f t="shared" si="127"/>
        <v>0.77603309424940226</v>
      </c>
      <c r="BB127" s="90">
        <f t="shared" si="127"/>
        <v>0.76731819694409831</v>
      </c>
      <c r="BC127" s="90">
        <f t="shared" si="127"/>
        <v>0.76455593464617966</v>
      </c>
      <c r="BD127" s="90">
        <f t="shared" si="127"/>
        <v>0.75926212396361525</v>
      </c>
      <c r="BE127" s="90">
        <f t="shared" si="127"/>
        <v>0.75321883645072985</v>
      </c>
      <c r="BF127" s="90">
        <f t="shared" si="127"/>
        <v>0.75768808151759193</v>
      </c>
      <c r="BG127" s="90">
        <f t="shared" si="127"/>
        <v>0.74155784432554184</v>
      </c>
      <c r="BH127" s="90">
        <f t="shared" si="127"/>
        <v>0.74800633146021878</v>
      </c>
      <c r="BI127" s="90">
        <f t="shared" si="127"/>
        <v>0.7668476874293837</v>
      </c>
      <c r="BJ127" s="91">
        <f t="shared" si="128"/>
        <v>0.752971083142847</v>
      </c>
      <c r="BK127" s="91">
        <f t="shared" si="129"/>
        <v>0.75297108314284678</v>
      </c>
      <c r="BL127" s="91">
        <f t="shared" si="130"/>
        <v>0.7528884987068859</v>
      </c>
      <c r="BM127" s="91">
        <f t="shared" si="130"/>
        <v>0.75131616591530426</v>
      </c>
      <c r="BN127" s="91">
        <f t="shared" si="130"/>
        <v>0.75294355499752663</v>
      </c>
      <c r="BO127" s="91">
        <f t="shared" si="130"/>
        <v>0.75294355499752674</v>
      </c>
      <c r="BP127" s="91">
        <f t="shared" si="130"/>
        <v>0.75293437894908655</v>
      </c>
      <c r="BQ127" s="91">
        <f t="shared" si="130"/>
        <v>0.75292520290064635</v>
      </c>
      <c r="BR127" s="91">
        <f t="shared" si="130"/>
        <v>0.7529221442178331</v>
      </c>
      <c r="BS127" s="91">
        <f t="shared" si="130"/>
        <v>0.75293437894908655</v>
      </c>
      <c r="BT127" s="91">
        <f t="shared" si="130"/>
        <v>0.75293437894908655</v>
      </c>
      <c r="BU127" s="91">
        <f t="shared" si="130"/>
        <v>0.75293132026627319</v>
      </c>
    </row>
    <row r="128" spans="1:73">
      <c r="A128" s="4" t="s">
        <v>105</v>
      </c>
      <c r="B128" s="88"/>
      <c r="C128" s="89">
        <f t="shared" si="127"/>
        <v>0.86825498841086346</v>
      </c>
      <c r="D128" s="89">
        <f t="shared" si="127"/>
        <v>0.83467857587298699</v>
      </c>
      <c r="E128" s="89">
        <f t="shared" si="127"/>
        <v>0.83467857587298699</v>
      </c>
      <c r="F128" s="89">
        <f t="shared" si="127"/>
        <v>0.76139239118069957</v>
      </c>
      <c r="G128" s="89">
        <f t="shared" si="127"/>
        <v>0.83464367246119509</v>
      </c>
      <c r="H128" s="89">
        <f t="shared" si="127"/>
        <v>0.79624569855234217</v>
      </c>
      <c r="I128" s="89">
        <f t="shared" si="127"/>
        <v>0.78420052097784865</v>
      </c>
      <c r="J128" s="89">
        <f t="shared" si="127"/>
        <v>0.79511558589618359</v>
      </c>
      <c r="K128" s="89">
        <f t="shared" si="127"/>
        <v>0.80818471652659074</v>
      </c>
      <c r="L128" s="89">
        <f t="shared" si="127"/>
        <v>0.79499677717794381</v>
      </c>
      <c r="M128" s="89">
        <f t="shared" si="127"/>
        <v>0.79182346044396745</v>
      </c>
      <c r="N128" s="89">
        <f t="shared" si="127"/>
        <v>0.81078289194802022</v>
      </c>
      <c r="O128" s="89">
        <f t="shared" si="127"/>
        <v>0.80000774478447734</v>
      </c>
      <c r="P128" s="89">
        <f t="shared" si="127"/>
        <v>0.82879349544623027</v>
      </c>
      <c r="Q128" s="89">
        <f t="shared" si="127"/>
        <v>0.8224622782990294</v>
      </c>
      <c r="R128" s="89">
        <f t="shared" si="127"/>
        <v>0.7688596107406892</v>
      </c>
      <c r="S128" s="89">
        <f t="shared" si="127"/>
        <v>0.8197527163445929</v>
      </c>
      <c r="T128" s="88">
        <f t="shared" si="127"/>
        <v>0.71189557222776356</v>
      </c>
      <c r="U128" s="88">
        <f t="shared" si="127"/>
        <v>0.80525269234946639</v>
      </c>
      <c r="V128" s="88">
        <f t="shared" ref="V128:BI136" si="131">(V112+V96)/V80</f>
        <v>0.77768163343071239</v>
      </c>
      <c r="W128" s="88">
        <f t="shared" si="131"/>
        <v>0.79588791959228744</v>
      </c>
      <c r="X128" s="88">
        <f t="shared" si="131"/>
        <v>0.80239652444070209</v>
      </c>
      <c r="Y128" s="88">
        <f t="shared" si="131"/>
        <v>0.78555476563851012</v>
      </c>
      <c r="Z128" s="88">
        <f t="shared" si="131"/>
        <v>0.80120439913517971</v>
      </c>
      <c r="AA128" s="88">
        <f t="shared" si="131"/>
        <v>0.81746772209624374</v>
      </c>
      <c r="AB128" s="88">
        <f t="shared" si="131"/>
        <v>0.81566364361290633</v>
      </c>
      <c r="AC128" s="88">
        <f t="shared" si="131"/>
        <v>0.81080566256050812</v>
      </c>
      <c r="AD128" s="88">
        <f t="shared" si="131"/>
        <v>0.8135213850385633</v>
      </c>
      <c r="AE128" s="90">
        <f t="shared" si="131"/>
        <v>0.80311767064856787</v>
      </c>
      <c r="AF128" s="90">
        <f t="shared" si="131"/>
        <v>0.80941246617537776</v>
      </c>
      <c r="AG128" s="90">
        <f t="shared" si="131"/>
        <v>0.80674757040240597</v>
      </c>
      <c r="AH128" s="90">
        <f t="shared" si="131"/>
        <v>0.80222664104856389</v>
      </c>
      <c r="AI128" s="90">
        <f t="shared" si="131"/>
        <v>0.80379618297151301</v>
      </c>
      <c r="AJ128" s="90">
        <f t="shared" si="131"/>
        <v>0.79943647168726573</v>
      </c>
      <c r="AK128" s="90">
        <f t="shared" si="131"/>
        <v>0.7884402379700165</v>
      </c>
      <c r="AL128" s="90">
        <f t="shared" si="131"/>
        <v>0.79459637807437467</v>
      </c>
      <c r="AM128" s="90">
        <f t="shared" si="131"/>
        <v>0.79265278682972129</v>
      </c>
      <c r="AN128" s="90">
        <f t="shared" si="131"/>
        <v>0.79341576230949507</v>
      </c>
      <c r="AO128" s="90">
        <f t="shared" si="131"/>
        <v>0.79440161564709033</v>
      </c>
      <c r="AP128" s="90">
        <f t="shared" si="131"/>
        <v>0.78344469173493059</v>
      </c>
      <c r="AQ128" s="90">
        <f t="shared" si="131"/>
        <v>0.77997582715956004</v>
      </c>
      <c r="AR128" s="90">
        <f t="shared" si="131"/>
        <v>0.78918309669556308</v>
      </c>
      <c r="AS128" s="90">
        <f t="shared" si="131"/>
        <v>0.7725146798338115</v>
      </c>
      <c r="AT128" s="90">
        <f t="shared" si="131"/>
        <v>0.78744466087020726</v>
      </c>
      <c r="AU128" s="90">
        <f t="shared" si="131"/>
        <v>0.79204715543476789</v>
      </c>
      <c r="AV128" s="90">
        <f t="shared" si="131"/>
        <v>0.78336945916035283</v>
      </c>
      <c r="AW128" s="90">
        <f t="shared" si="131"/>
        <v>0.77053612469597688</v>
      </c>
      <c r="AX128" s="90">
        <f t="shared" si="131"/>
        <v>0.78061021388101881</v>
      </c>
      <c r="AY128" s="90">
        <f t="shared" si="131"/>
        <v>0.77577026224325163</v>
      </c>
      <c r="AZ128" s="90">
        <f t="shared" si="131"/>
        <v>0.76800205785219966</v>
      </c>
      <c r="BA128" s="90">
        <f t="shared" si="131"/>
        <v>0.76891569622120415</v>
      </c>
      <c r="BB128" s="90">
        <f t="shared" si="131"/>
        <v>0.76353335109155884</v>
      </c>
      <c r="BC128" s="90">
        <f t="shared" si="131"/>
        <v>0.76106784346158229</v>
      </c>
      <c r="BD128" s="90">
        <f t="shared" si="131"/>
        <v>0.75284687770923697</v>
      </c>
      <c r="BE128" s="90">
        <f t="shared" si="131"/>
        <v>0.75166136728595878</v>
      </c>
      <c r="BF128" s="90">
        <f t="shared" si="131"/>
        <v>0.76178189987989831</v>
      </c>
      <c r="BG128" s="90">
        <f t="shared" si="131"/>
        <v>0.75097905384236663</v>
      </c>
      <c r="BH128" s="90">
        <f t="shared" si="131"/>
        <v>0.75004321603569135</v>
      </c>
      <c r="BI128" s="90">
        <f t="shared" si="131"/>
        <v>0.77379044653737372</v>
      </c>
      <c r="BJ128" s="91">
        <f t="shared" si="128"/>
        <v>0.75182909961252076</v>
      </c>
      <c r="BK128" s="91">
        <f t="shared" si="129"/>
        <v>0.75480744033607461</v>
      </c>
      <c r="BL128" s="91">
        <f t="shared" si="130"/>
        <v>0.75486335111159519</v>
      </c>
      <c r="BM128" s="91">
        <f t="shared" si="130"/>
        <v>0.752538531263654</v>
      </c>
      <c r="BN128" s="91">
        <f t="shared" si="130"/>
        <v>0.75383329702006352</v>
      </c>
      <c r="BO128" s="91">
        <f t="shared" si="130"/>
        <v>0.75406977423710797</v>
      </c>
      <c r="BP128" s="91">
        <f t="shared" si="130"/>
        <v>0.75372642287326397</v>
      </c>
      <c r="BQ128" s="91">
        <f t="shared" si="130"/>
        <v>0.7542368371977487</v>
      </c>
      <c r="BR128" s="91">
        <f t="shared" si="130"/>
        <v>0.75387649804347845</v>
      </c>
      <c r="BS128" s="91">
        <f t="shared" si="130"/>
        <v>0.75387649804347845</v>
      </c>
      <c r="BT128" s="91">
        <f t="shared" si="130"/>
        <v>0.75392652310021668</v>
      </c>
      <c r="BU128" s="91">
        <f t="shared" si="130"/>
        <v>0.75394092344135499</v>
      </c>
    </row>
    <row r="129" spans="1:89">
      <c r="A129" s="4" t="s">
        <v>106</v>
      </c>
      <c r="B129" s="88"/>
      <c r="C129" s="89">
        <f t="shared" ref="C129:AH136" si="132">(C113+C97)/C81</f>
        <v>0.85865702684243406</v>
      </c>
      <c r="D129" s="89">
        <f t="shared" si="132"/>
        <v>0.82540194028422131</v>
      </c>
      <c r="E129" s="89">
        <f t="shared" si="132"/>
        <v>0.82540194028422131</v>
      </c>
      <c r="F129" s="89">
        <f t="shared" si="132"/>
        <v>0.75281837968075749</v>
      </c>
      <c r="G129" s="89">
        <f t="shared" si="132"/>
        <v>0.82536893036855519</v>
      </c>
      <c r="H129" s="89">
        <f t="shared" si="132"/>
        <v>0.78733953864797923</v>
      </c>
      <c r="I129" s="89">
        <f t="shared" si="132"/>
        <v>0.77541202822098754</v>
      </c>
      <c r="J129" s="89">
        <f t="shared" si="132"/>
        <v>0.78622414468024948</v>
      </c>
      <c r="K129" s="89">
        <f t="shared" si="132"/>
        <v>0.79919137684827446</v>
      </c>
      <c r="L129" s="89">
        <f t="shared" si="132"/>
        <v>0.78614311726618502</v>
      </c>
      <c r="M129" s="89">
        <f t="shared" si="132"/>
        <v>0.79838093203790284</v>
      </c>
      <c r="N129" s="89">
        <f t="shared" si="132"/>
        <v>0.80691981286770798</v>
      </c>
      <c r="O129" s="89">
        <f t="shared" si="132"/>
        <v>0.78525452998572387</v>
      </c>
      <c r="P129" s="89">
        <f t="shared" si="132"/>
        <v>0.80707376415819687</v>
      </c>
      <c r="Q129" s="89">
        <f t="shared" si="132"/>
        <v>0.81615125427533075</v>
      </c>
      <c r="R129" s="89">
        <f t="shared" si="132"/>
        <v>0.79250653395713044</v>
      </c>
      <c r="S129" s="89">
        <f t="shared" si="132"/>
        <v>0.80073584342500614</v>
      </c>
      <c r="T129" s="88">
        <f t="shared" si="132"/>
        <v>0.80321101209218304</v>
      </c>
      <c r="U129" s="88">
        <f t="shared" si="132"/>
        <v>0.80452471325551378</v>
      </c>
      <c r="V129" s="88">
        <f t="shared" si="132"/>
        <v>0.80856597834624722</v>
      </c>
      <c r="W129" s="88">
        <f t="shared" si="132"/>
        <v>0.80293078102029969</v>
      </c>
      <c r="X129" s="88">
        <f t="shared" si="132"/>
        <v>0.78465934256806635</v>
      </c>
      <c r="Y129" s="88">
        <f t="shared" si="132"/>
        <v>0.7900723703066781</v>
      </c>
      <c r="Z129" s="88">
        <f t="shared" si="132"/>
        <v>0.80171748316981606</v>
      </c>
      <c r="AA129" s="88">
        <f t="shared" si="132"/>
        <v>0.80730616348024975</v>
      </c>
      <c r="AB129" s="88">
        <f t="shared" si="132"/>
        <v>0.81749959823841745</v>
      </c>
      <c r="AC129" s="88">
        <f t="shared" si="132"/>
        <v>0.81216276610819815</v>
      </c>
      <c r="AD129" s="88">
        <f t="shared" si="132"/>
        <v>0.82594116069033341</v>
      </c>
      <c r="AE129" s="90">
        <f t="shared" si="132"/>
        <v>0.80349653968048651</v>
      </c>
      <c r="AF129" s="90">
        <f t="shared" si="132"/>
        <v>0.80824021256139844</v>
      </c>
      <c r="AG129" s="90">
        <f t="shared" si="132"/>
        <v>0.80548329260330576</v>
      </c>
      <c r="AH129" s="90">
        <f t="shared" si="132"/>
        <v>0.79929950743488498</v>
      </c>
      <c r="AI129" s="90">
        <f t="shared" si="131"/>
        <v>0.80193184310753951</v>
      </c>
      <c r="AJ129" s="90">
        <f t="shared" si="131"/>
        <v>0.80623342609992887</v>
      </c>
      <c r="AK129" s="90">
        <f t="shared" si="131"/>
        <v>0.79157843311370579</v>
      </c>
      <c r="AL129" s="90">
        <f t="shared" si="131"/>
        <v>0.79706195494838095</v>
      </c>
      <c r="AM129" s="90">
        <f t="shared" si="131"/>
        <v>0.78814734455406055</v>
      </c>
      <c r="AN129" s="90">
        <f t="shared" si="131"/>
        <v>0.79137922400724736</v>
      </c>
      <c r="AO129" s="90">
        <f t="shared" si="131"/>
        <v>0.79287038292870371</v>
      </c>
      <c r="AP129" s="90">
        <f t="shared" si="131"/>
        <v>0.79093151133148554</v>
      </c>
      <c r="AQ129" s="90">
        <f t="shared" si="131"/>
        <v>0.7841160964702677</v>
      </c>
      <c r="AR129" s="90">
        <f t="shared" si="131"/>
        <v>0.78460160847282079</v>
      </c>
      <c r="AS129" s="90">
        <f t="shared" si="131"/>
        <v>0.77772829478502636</v>
      </c>
      <c r="AT129" s="90">
        <f t="shared" si="131"/>
        <v>0.78185954927835111</v>
      </c>
      <c r="AU129" s="90">
        <f t="shared" si="131"/>
        <v>0.78960909792056888</v>
      </c>
      <c r="AV129" s="90">
        <f t="shared" si="131"/>
        <v>0.77531907379577947</v>
      </c>
      <c r="AW129" s="90">
        <f t="shared" si="131"/>
        <v>0.77537529354418278</v>
      </c>
      <c r="AX129" s="90">
        <f t="shared" si="131"/>
        <v>0.77906056573966553</v>
      </c>
      <c r="AY129" s="90">
        <f t="shared" si="131"/>
        <v>0.76972428942422289</v>
      </c>
      <c r="AZ129" s="90">
        <f t="shared" si="131"/>
        <v>0.76313137329648328</v>
      </c>
      <c r="BA129" s="90">
        <f t="shared" si="131"/>
        <v>0.76308480469156903</v>
      </c>
      <c r="BB129" s="90">
        <f t="shared" si="131"/>
        <v>0.76995398102536228</v>
      </c>
      <c r="BC129" s="90">
        <f t="shared" si="131"/>
        <v>0.7664444330051664</v>
      </c>
      <c r="BD129" s="90">
        <f t="shared" si="131"/>
        <v>0.76114466203324649</v>
      </c>
      <c r="BE129" s="90">
        <f t="shared" si="131"/>
        <v>0.74982724365225473</v>
      </c>
      <c r="BF129" s="90">
        <f t="shared" si="131"/>
        <v>0.7597497193895828</v>
      </c>
      <c r="BG129" s="90">
        <f t="shared" si="131"/>
        <v>0.75189138636472919</v>
      </c>
      <c r="BH129" s="90">
        <f t="shared" si="131"/>
        <v>0.74756182781479086</v>
      </c>
      <c r="BI129" s="90">
        <f t="shared" si="131"/>
        <v>0.77109153297439692</v>
      </c>
      <c r="BJ129" s="91">
        <f t="shared" si="128"/>
        <v>0.7538227831355222</v>
      </c>
      <c r="BK129" s="91">
        <f t="shared" si="129"/>
        <v>0.7538227831355222</v>
      </c>
      <c r="BL129" s="91">
        <f t="shared" si="130"/>
        <v>0.75515462962994473</v>
      </c>
      <c r="BM129" s="91">
        <f t="shared" si="130"/>
        <v>0.75317898421192453</v>
      </c>
      <c r="BN129" s="91">
        <f t="shared" si="130"/>
        <v>0.75426673196699634</v>
      </c>
      <c r="BO129" s="91">
        <f t="shared" si="130"/>
        <v>0.75426673196699634</v>
      </c>
      <c r="BP129" s="91">
        <f t="shared" si="130"/>
        <v>0.75397076607934688</v>
      </c>
      <c r="BQ129" s="91">
        <f t="shared" si="130"/>
        <v>0.75411874902317155</v>
      </c>
      <c r="BR129" s="91">
        <f t="shared" si="130"/>
        <v>0.75416807667111307</v>
      </c>
      <c r="BS129" s="91">
        <f t="shared" si="130"/>
        <v>0.75411874902317155</v>
      </c>
      <c r="BT129" s="91">
        <f t="shared" si="130"/>
        <v>0.75418451922042706</v>
      </c>
      <c r="BU129" s="91">
        <f t="shared" si="130"/>
        <v>0.75413519157248532</v>
      </c>
    </row>
    <row r="130" spans="1:89">
      <c r="A130" s="4" t="s">
        <v>107</v>
      </c>
      <c r="B130" s="88"/>
      <c r="C130" s="89">
        <f t="shared" si="132"/>
        <v>0.83453511243650824</v>
      </c>
      <c r="D130" s="89">
        <f t="shared" si="132"/>
        <v>0.80175413963808528</v>
      </c>
      <c r="E130" s="89">
        <f t="shared" si="132"/>
        <v>0.80175413963808528</v>
      </c>
      <c r="F130" s="89">
        <f t="shared" si="132"/>
        <v>0.73021715590727554</v>
      </c>
      <c r="G130" s="89">
        <f t="shared" si="132"/>
        <v>0.8017359758740018</v>
      </c>
      <c r="H130" s="89">
        <f t="shared" si="132"/>
        <v>0.76425903284431573</v>
      </c>
      <c r="I130" s="89">
        <f t="shared" si="132"/>
        <v>0.75252364820717921</v>
      </c>
      <c r="J130" s="89">
        <f t="shared" si="132"/>
        <v>0.76319552439141036</v>
      </c>
      <c r="K130" s="89">
        <f t="shared" si="132"/>
        <v>0.77619149798601339</v>
      </c>
      <c r="L130" s="89">
        <f t="shared" si="132"/>
        <v>0.76345344717768948</v>
      </c>
      <c r="M130" s="89">
        <f t="shared" si="132"/>
        <v>0.77337586976107631</v>
      </c>
      <c r="N130" s="89">
        <f t="shared" si="132"/>
        <v>0.79770807993834392</v>
      </c>
      <c r="O130" s="89">
        <f t="shared" si="132"/>
        <v>0.78332848443168501</v>
      </c>
      <c r="P130" s="89">
        <f t="shared" si="132"/>
        <v>0.75979766891486078</v>
      </c>
      <c r="Q130" s="89">
        <f t="shared" si="132"/>
        <v>0.79696543700637401</v>
      </c>
      <c r="R130" s="89">
        <f t="shared" si="132"/>
        <v>0.75845930375994564</v>
      </c>
      <c r="S130" s="89">
        <f t="shared" si="132"/>
        <v>0.79798331954968693</v>
      </c>
      <c r="T130" s="88">
        <f t="shared" si="132"/>
        <v>0.81431280250642701</v>
      </c>
      <c r="U130" s="88">
        <f t="shared" si="132"/>
        <v>0.81100672623827785</v>
      </c>
      <c r="V130" s="88">
        <f t="shared" si="132"/>
        <v>0.77775390589178539</v>
      </c>
      <c r="W130" s="88">
        <f t="shared" si="132"/>
        <v>0.79860050953037787</v>
      </c>
      <c r="X130" s="88">
        <f t="shared" si="132"/>
        <v>0.78610308194752054</v>
      </c>
      <c r="Y130" s="88">
        <f t="shared" si="132"/>
        <v>0.78457698758178041</v>
      </c>
      <c r="Z130" s="88">
        <f t="shared" si="132"/>
        <v>0.80164326311355705</v>
      </c>
      <c r="AA130" s="88">
        <f t="shared" si="132"/>
        <v>0.80724767491928762</v>
      </c>
      <c r="AB130" s="88">
        <f t="shared" si="132"/>
        <v>0.813531171535394</v>
      </c>
      <c r="AC130" s="88">
        <f t="shared" si="132"/>
        <v>0.80792196803376615</v>
      </c>
      <c r="AD130" s="88">
        <f t="shared" si="132"/>
        <v>0.8083303341317416</v>
      </c>
      <c r="AE130" s="90">
        <f t="shared" si="132"/>
        <v>0.80457053626425501</v>
      </c>
      <c r="AF130" s="90">
        <f t="shared" si="132"/>
        <v>0.81041241862965074</v>
      </c>
      <c r="AG130" s="90">
        <f t="shared" si="132"/>
        <v>0.82907141067825396</v>
      </c>
      <c r="AH130" s="90">
        <f t="shared" si="132"/>
        <v>0.80135232232966103</v>
      </c>
      <c r="AI130" s="90">
        <f t="shared" si="131"/>
        <v>0.80687248072544171</v>
      </c>
      <c r="AJ130" s="90">
        <f t="shared" si="131"/>
        <v>0.80503813651590039</v>
      </c>
      <c r="AK130" s="90">
        <f t="shared" si="131"/>
        <v>0.79039813919111312</v>
      </c>
      <c r="AL130" s="90">
        <f t="shared" si="131"/>
        <v>0.79183421812894106</v>
      </c>
      <c r="AM130" s="90">
        <f t="shared" si="131"/>
        <v>0.79199857966185039</v>
      </c>
      <c r="AN130" s="90">
        <f t="shared" si="131"/>
        <v>0.79600458527723306</v>
      </c>
      <c r="AO130" s="90">
        <f t="shared" si="131"/>
        <v>0.7908261653073736</v>
      </c>
      <c r="AP130" s="90">
        <f t="shared" si="131"/>
        <v>0.79037454521125461</v>
      </c>
      <c r="AQ130" s="90">
        <f t="shared" si="131"/>
        <v>0.78785305147706985</v>
      </c>
      <c r="AR130" s="90">
        <f t="shared" si="131"/>
        <v>0.78353521762039935</v>
      </c>
      <c r="AS130" s="90">
        <f t="shared" si="131"/>
        <v>0.77811828782906223</v>
      </c>
      <c r="AT130" s="90">
        <f t="shared" si="131"/>
        <v>0.78715190193626727</v>
      </c>
      <c r="AU130" s="90">
        <f t="shared" si="131"/>
        <v>0.7927048885240604</v>
      </c>
      <c r="AV130" s="90">
        <f t="shared" si="131"/>
        <v>0.77732158428767639</v>
      </c>
      <c r="AW130" s="90">
        <f t="shared" si="131"/>
        <v>0.77366075100811471</v>
      </c>
      <c r="AX130" s="90">
        <f t="shared" si="131"/>
        <v>0.78093304782816264</v>
      </c>
      <c r="AY130" s="90">
        <f t="shared" si="131"/>
        <v>0.78079299037600935</v>
      </c>
      <c r="AZ130" s="90">
        <f t="shared" si="131"/>
        <v>0.76846472685149325</v>
      </c>
      <c r="BA130" s="90">
        <f t="shared" si="131"/>
        <v>0.75995761966164066</v>
      </c>
      <c r="BB130" s="90">
        <f t="shared" si="131"/>
        <v>0.76985105083679173</v>
      </c>
      <c r="BC130" s="90">
        <f t="shared" si="131"/>
        <v>0.758593712468145</v>
      </c>
      <c r="BD130" s="90">
        <f t="shared" si="131"/>
        <v>0.75838945020013659</v>
      </c>
      <c r="BE130" s="90">
        <f t="shared" si="131"/>
        <v>0.7512075600221636</v>
      </c>
      <c r="BF130" s="90">
        <f t="shared" si="131"/>
        <v>0.75406340610451605</v>
      </c>
      <c r="BG130" s="90">
        <f t="shared" si="131"/>
        <v>0.75517795595925152</v>
      </c>
      <c r="BH130" s="90">
        <f t="shared" si="131"/>
        <v>0.74984130598572218</v>
      </c>
      <c r="BI130" s="90">
        <f t="shared" si="131"/>
        <v>0.76694919353018498</v>
      </c>
      <c r="BJ130" s="91">
        <f t="shared" si="128"/>
        <v>0.75348297402864384</v>
      </c>
      <c r="BK130" s="91">
        <f t="shared" si="129"/>
        <v>0.75348297402864384</v>
      </c>
      <c r="BL130" s="91">
        <f t="shared" si="130"/>
        <v>0.75424144536413718</v>
      </c>
      <c r="BM130" s="91">
        <f t="shared" si="130"/>
        <v>0.7540479680055131</v>
      </c>
      <c r="BN130" s="91">
        <f t="shared" si="130"/>
        <v>0.75373579780714162</v>
      </c>
      <c r="BO130" s="91">
        <f t="shared" si="130"/>
        <v>0.75392412913276452</v>
      </c>
      <c r="BP130" s="91">
        <f t="shared" si="130"/>
        <v>0.75375557994709952</v>
      </c>
      <c r="BQ130" s="91">
        <f t="shared" si="130"/>
        <v>0.75390263164847304</v>
      </c>
      <c r="BR130" s="91">
        <f t="shared" si="130"/>
        <v>0.75390922569512586</v>
      </c>
      <c r="BS130" s="91">
        <f t="shared" si="130"/>
        <v>0.75386078024277925</v>
      </c>
      <c r="BT130" s="91">
        <f t="shared" si="130"/>
        <v>0.75385581243023292</v>
      </c>
      <c r="BU130" s="91">
        <f t="shared" si="130"/>
        <v>0.75389087919545938</v>
      </c>
    </row>
    <row r="131" spans="1:89">
      <c r="A131" s="4" t="s">
        <v>108</v>
      </c>
      <c r="B131" s="88"/>
      <c r="C131" s="89">
        <f t="shared" si="132"/>
        <v>0.85248848335279048</v>
      </c>
      <c r="D131" s="89">
        <f t="shared" si="132"/>
        <v>0.81937476509589557</v>
      </c>
      <c r="E131" s="89">
        <f t="shared" si="132"/>
        <v>0.81937476509589557</v>
      </c>
      <c r="F131" s="89">
        <f t="shared" si="132"/>
        <v>0.74710225251643347</v>
      </c>
      <c r="G131" s="89">
        <f t="shared" si="132"/>
        <v>0.81934494285049486</v>
      </c>
      <c r="H131" s="89">
        <f t="shared" si="132"/>
        <v>0.78147939181018589</v>
      </c>
      <c r="I131" s="89">
        <f t="shared" si="132"/>
        <v>0.76960726541300084</v>
      </c>
      <c r="J131" s="89">
        <f t="shared" si="132"/>
        <v>0.78037636723763337</v>
      </c>
      <c r="K131" s="89">
        <f t="shared" si="132"/>
        <v>0.79333375744756185</v>
      </c>
      <c r="L131" s="89">
        <f t="shared" si="132"/>
        <v>0.78036729049655373</v>
      </c>
      <c r="M131" s="89">
        <f t="shared" si="132"/>
        <v>0.78875902482781568</v>
      </c>
      <c r="N131" s="89">
        <f t="shared" si="132"/>
        <v>0.79145074429030471</v>
      </c>
      <c r="O131" s="89">
        <f t="shared" si="132"/>
        <v>0.78573879399439694</v>
      </c>
      <c r="P131" s="89">
        <f t="shared" si="132"/>
        <v>0.80897317791369339</v>
      </c>
      <c r="Q131" s="89">
        <f t="shared" si="132"/>
        <v>0.80719208096498296</v>
      </c>
      <c r="R131" s="89">
        <f t="shared" si="132"/>
        <v>0.77097187851063431</v>
      </c>
      <c r="S131" s="89">
        <f t="shared" si="132"/>
        <v>0.81572244230203528</v>
      </c>
      <c r="T131" s="88">
        <f t="shared" si="132"/>
        <v>0.76347682049776688</v>
      </c>
      <c r="U131" s="88">
        <f t="shared" si="132"/>
        <v>0.78962207069385026</v>
      </c>
      <c r="V131" s="88">
        <f t="shared" si="132"/>
        <v>0.80144058287502706</v>
      </c>
      <c r="W131" s="88">
        <f t="shared" si="132"/>
        <v>0.82292576625784852</v>
      </c>
      <c r="X131" s="88">
        <f t="shared" si="132"/>
        <v>0.79127275001919239</v>
      </c>
      <c r="Y131" s="88">
        <f t="shared" si="132"/>
        <v>0.78538779688965199</v>
      </c>
      <c r="Z131" s="88">
        <f t="shared" si="132"/>
        <v>0.8058115637591805</v>
      </c>
      <c r="AA131" s="88">
        <f t="shared" si="132"/>
        <v>0.81229852599205743</v>
      </c>
      <c r="AB131" s="88">
        <f t="shared" si="132"/>
        <v>0.81319946112533792</v>
      </c>
      <c r="AC131" s="88">
        <f t="shared" si="132"/>
        <v>0.81877349357369389</v>
      </c>
      <c r="AD131" s="88">
        <f t="shared" si="132"/>
        <v>0.86067588593444233</v>
      </c>
      <c r="AE131" s="90">
        <f t="shared" si="132"/>
        <v>0.80171838535260442</v>
      </c>
      <c r="AF131" s="90">
        <f t="shared" si="132"/>
        <v>0.80688372113761864</v>
      </c>
      <c r="AG131" s="90">
        <f t="shared" si="132"/>
        <v>0.82400702125093062</v>
      </c>
      <c r="AH131" s="90">
        <f t="shared" si="132"/>
        <v>0.79629517449603138</v>
      </c>
      <c r="AI131" s="90">
        <f t="shared" si="131"/>
        <v>0.81569063703821065</v>
      </c>
      <c r="AJ131" s="90">
        <f t="shared" si="131"/>
        <v>0.80398183996772632</v>
      </c>
      <c r="AK131" s="90">
        <f t="shared" si="131"/>
        <v>0.75706576103232537</v>
      </c>
      <c r="AL131" s="90">
        <f t="shared" si="131"/>
        <v>0.79539540375742801</v>
      </c>
      <c r="AM131" s="90">
        <f t="shared" si="131"/>
        <v>0.79586435819948609</v>
      </c>
      <c r="AN131" s="90">
        <f t="shared" si="131"/>
        <v>0.79758609862043139</v>
      </c>
      <c r="AO131" s="90">
        <f t="shared" si="131"/>
        <v>0.79359987889467398</v>
      </c>
      <c r="AP131" s="90">
        <f t="shared" si="131"/>
        <v>0.79182106735667923</v>
      </c>
      <c r="AQ131" s="90">
        <f t="shared" si="131"/>
        <v>0.78282823421609371</v>
      </c>
      <c r="AR131" s="90">
        <f t="shared" si="131"/>
        <v>0.78435049348480779</v>
      </c>
      <c r="AS131" s="90">
        <f t="shared" si="131"/>
        <v>0.77772235207857088</v>
      </c>
      <c r="AT131" s="90">
        <f t="shared" si="131"/>
        <v>0.74369589010772774</v>
      </c>
      <c r="AU131" s="90">
        <f t="shared" si="131"/>
        <v>0.7922296139832391</v>
      </c>
      <c r="AV131" s="90">
        <f t="shared" si="131"/>
        <v>0.78260365151870082</v>
      </c>
      <c r="AW131" s="90">
        <f t="shared" si="131"/>
        <v>0.77439984094613101</v>
      </c>
      <c r="AX131" s="90">
        <f t="shared" si="131"/>
        <v>0.78003579880268425</v>
      </c>
      <c r="AY131" s="90">
        <f t="shared" si="131"/>
        <v>0.79352746287463338</v>
      </c>
      <c r="AZ131" s="90">
        <f t="shared" si="131"/>
        <v>0.76906296517193506</v>
      </c>
      <c r="BA131" s="90">
        <f t="shared" si="131"/>
        <v>0.76768706657010788</v>
      </c>
      <c r="BB131" s="90">
        <f t="shared" si="131"/>
        <v>0.76560836531627385</v>
      </c>
      <c r="BC131" s="90">
        <f t="shared" si="131"/>
        <v>0.7603802930590432</v>
      </c>
      <c r="BD131" s="90">
        <f t="shared" si="131"/>
        <v>0.75213836960022051</v>
      </c>
      <c r="BE131" s="90">
        <f t="shared" si="131"/>
        <v>0.74380499907979847</v>
      </c>
      <c r="BF131" s="90">
        <f t="shared" si="131"/>
        <v>0.75231537409744842</v>
      </c>
      <c r="BG131" s="90">
        <f t="shared" si="131"/>
        <v>0.74184537334938572</v>
      </c>
      <c r="BH131" s="90">
        <f t="shared" si="131"/>
        <v>0.74863497204921259</v>
      </c>
      <c r="BI131" s="90">
        <f t="shared" si="131"/>
        <v>0.76598541538134068</v>
      </c>
      <c r="BJ131" s="91">
        <f t="shared" si="128"/>
        <v>0.74819278024307723</v>
      </c>
      <c r="BK131" s="91">
        <f t="shared" si="129"/>
        <v>0.74825178174215312</v>
      </c>
      <c r="BL131" s="91">
        <f t="shared" si="130"/>
        <v>0.74971437546324615</v>
      </c>
      <c r="BM131" s="91">
        <f t="shared" si="130"/>
        <v>0.74835984467814765</v>
      </c>
      <c r="BN131" s="91">
        <f t="shared" si="130"/>
        <v>0.74886704308487062</v>
      </c>
      <c r="BO131" s="91">
        <f t="shared" si="130"/>
        <v>0.74877533396118234</v>
      </c>
      <c r="BP131" s="91">
        <f t="shared" si="130"/>
        <v>0.74849288983505702</v>
      </c>
      <c r="BQ131" s="91">
        <f t="shared" si="130"/>
        <v>0.74866740724140024</v>
      </c>
      <c r="BR131" s="91">
        <f t="shared" si="130"/>
        <v>0.74871175562703662</v>
      </c>
      <c r="BS131" s="91">
        <f t="shared" si="130"/>
        <v>0.74864521034587994</v>
      </c>
      <c r="BT131" s="91">
        <f t="shared" si="130"/>
        <v>0.74871816560987314</v>
      </c>
      <c r="BU131" s="91">
        <f t="shared" si="130"/>
        <v>0.74867479107143897</v>
      </c>
    </row>
    <row r="132" spans="1:89">
      <c r="A132" s="4" t="s">
        <v>109</v>
      </c>
      <c r="B132" s="88"/>
      <c r="C132" s="89">
        <f t="shared" si="132"/>
        <v>0.84516588085589728</v>
      </c>
      <c r="D132" s="89">
        <f t="shared" si="132"/>
        <v>0.81184619191210716</v>
      </c>
      <c r="E132" s="89">
        <f t="shared" si="132"/>
        <v>0.81184619191210716</v>
      </c>
      <c r="F132" s="89">
        <f t="shared" si="132"/>
        <v>0.73913663637341109</v>
      </c>
      <c r="G132" s="89">
        <f t="shared" si="132"/>
        <v>0.81183146121491856</v>
      </c>
      <c r="H132" s="89">
        <f t="shared" si="132"/>
        <v>0.77374129478116671</v>
      </c>
      <c r="I132" s="89">
        <f t="shared" si="132"/>
        <v>0.76181878373055911</v>
      </c>
      <c r="J132" s="89">
        <f t="shared" si="132"/>
        <v>0.77266964934212334</v>
      </c>
      <c r="K132" s="89">
        <f t="shared" si="132"/>
        <v>0.78593464557820847</v>
      </c>
      <c r="L132" s="89">
        <f t="shared" si="132"/>
        <v>0.77301949480359067</v>
      </c>
      <c r="M132" s="89">
        <f t="shared" si="132"/>
        <v>0.78407937526574034</v>
      </c>
      <c r="N132" s="89">
        <f t="shared" si="132"/>
        <v>0.80117932366449651</v>
      </c>
      <c r="O132" s="89">
        <f t="shared" si="132"/>
        <v>0.78831076693951219</v>
      </c>
      <c r="P132" s="89">
        <f t="shared" si="132"/>
        <v>0.79057001670896476</v>
      </c>
      <c r="Q132" s="89">
        <f t="shared" si="132"/>
        <v>0.78989973802113245</v>
      </c>
      <c r="R132" s="89">
        <f t="shared" si="132"/>
        <v>0.79027866468257779</v>
      </c>
      <c r="S132" s="89">
        <f t="shared" si="132"/>
        <v>0.7159122898264364</v>
      </c>
      <c r="T132" s="88">
        <f t="shared" si="132"/>
        <v>0.74361887291942419</v>
      </c>
      <c r="U132" s="88">
        <f t="shared" si="132"/>
        <v>0.79205674215390065</v>
      </c>
      <c r="V132" s="88">
        <f t="shared" si="132"/>
        <v>0.69776152482269505</v>
      </c>
      <c r="W132" s="88">
        <f t="shared" si="132"/>
        <v>0.79248760445745059</v>
      </c>
      <c r="X132" s="88">
        <f t="shared" si="132"/>
        <v>0.81313123349233263</v>
      </c>
      <c r="Y132" s="88">
        <f t="shared" si="132"/>
        <v>0.79691731528790599</v>
      </c>
      <c r="Z132" s="88">
        <f t="shared" si="132"/>
        <v>0.79053274051045241</v>
      </c>
      <c r="AA132" s="88">
        <f t="shared" si="132"/>
        <v>0.80656225628292666</v>
      </c>
      <c r="AB132" s="88">
        <f t="shared" si="132"/>
        <v>0.81402716472443803</v>
      </c>
      <c r="AC132" s="88">
        <f t="shared" si="132"/>
        <v>0.80498900246752103</v>
      </c>
      <c r="AD132" s="88">
        <f t="shared" si="132"/>
        <v>0.81333007400913737</v>
      </c>
      <c r="AE132" s="90">
        <f t="shared" si="132"/>
        <v>0.79085848313809082</v>
      </c>
      <c r="AF132" s="90">
        <f t="shared" si="132"/>
        <v>0.81069217804409799</v>
      </c>
      <c r="AG132" s="90">
        <f t="shared" si="132"/>
        <v>0.82797287127879859</v>
      </c>
      <c r="AH132" s="90">
        <f t="shared" si="132"/>
        <v>0.80121319261717594</v>
      </c>
      <c r="AI132" s="90">
        <f t="shared" si="131"/>
        <v>0.802748766631176</v>
      </c>
      <c r="AJ132" s="90">
        <f t="shared" si="131"/>
        <v>0.80355755392026573</v>
      </c>
      <c r="AK132" s="90">
        <f t="shared" si="131"/>
        <v>0.78526017765139788</v>
      </c>
      <c r="AL132" s="90">
        <f t="shared" si="131"/>
        <v>0.79217936774113407</v>
      </c>
      <c r="AM132" s="90">
        <f t="shared" si="131"/>
        <v>0.79965885234429668</v>
      </c>
      <c r="AN132" s="90">
        <f t="shared" si="131"/>
        <v>0.79990261464057444</v>
      </c>
      <c r="AO132" s="90">
        <f t="shared" si="131"/>
        <v>0.78736337428812297</v>
      </c>
      <c r="AP132" s="90">
        <f t="shared" si="131"/>
        <v>0.79150210313846481</v>
      </c>
      <c r="AQ132" s="90">
        <f t="shared" si="131"/>
        <v>0.79015382735261952</v>
      </c>
      <c r="AR132" s="90">
        <f t="shared" si="131"/>
        <v>0.78352985068052361</v>
      </c>
      <c r="AS132" s="90">
        <f t="shared" si="131"/>
        <v>0.77320942415795502</v>
      </c>
      <c r="AT132" s="90">
        <f t="shared" si="131"/>
        <v>0.75075177309817764</v>
      </c>
      <c r="AU132" s="90">
        <f t="shared" si="131"/>
        <v>0.78592232519635752</v>
      </c>
      <c r="AV132" s="90">
        <f t="shared" si="131"/>
        <v>0.77585543705964333</v>
      </c>
      <c r="AW132" s="90">
        <f t="shared" si="131"/>
        <v>0.77564296408841815</v>
      </c>
      <c r="AX132" s="90">
        <f t="shared" si="131"/>
        <v>0.78126597613175486</v>
      </c>
      <c r="AY132" s="90">
        <f t="shared" si="131"/>
        <v>0.78173348531211062</v>
      </c>
      <c r="AZ132" s="90">
        <f t="shared" si="131"/>
        <v>0.76891926807692701</v>
      </c>
      <c r="BA132" s="90">
        <f t="shared" si="131"/>
        <v>0.77475386918706246</v>
      </c>
      <c r="BB132" s="90">
        <f t="shared" si="131"/>
        <v>0.7707264966735663</v>
      </c>
      <c r="BC132" s="90">
        <f t="shared" si="131"/>
        <v>0.76585837335330664</v>
      </c>
      <c r="BD132" s="90">
        <f t="shared" si="131"/>
        <v>0.7634707027413602</v>
      </c>
      <c r="BE132" s="90">
        <f t="shared" si="131"/>
        <v>0.74868397565036182</v>
      </c>
      <c r="BF132" s="90">
        <f t="shared" si="131"/>
        <v>0.73225538687879255</v>
      </c>
      <c r="BG132" s="90">
        <f t="shared" si="131"/>
        <v>0.74929250267562308</v>
      </c>
      <c r="BH132" s="90">
        <f t="shared" si="131"/>
        <v>0.74675056283377406</v>
      </c>
      <c r="BI132" s="90">
        <f t="shared" si="131"/>
        <v>0.76355703927346041</v>
      </c>
      <c r="BJ132" s="91">
        <f t="shared" si="128"/>
        <v>0.7482423470532531</v>
      </c>
      <c r="BK132" s="91">
        <f t="shared" si="129"/>
        <v>0.7482423470532531</v>
      </c>
      <c r="BL132" s="91">
        <f t="shared" si="130"/>
        <v>0.74809513752088341</v>
      </c>
      <c r="BM132" s="91">
        <f t="shared" si="130"/>
        <v>0.7485923989273765</v>
      </c>
      <c r="BN132" s="91">
        <f t="shared" si="130"/>
        <v>0.74819327720912965</v>
      </c>
      <c r="BO132" s="91">
        <f t="shared" si="130"/>
        <v>0.7483590310112942</v>
      </c>
      <c r="BP132" s="91">
        <f t="shared" si="130"/>
        <v>0.74822599043854521</v>
      </c>
      <c r="BQ132" s="91">
        <f t="shared" si="130"/>
        <v>0.74826488509122557</v>
      </c>
      <c r="BR132" s="91">
        <f t="shared" si="130"/>
        <v>0.74825943288632313</v>
      </c>
      <c r="BS132" s="91">
        <f t="shared" si="130"/>
        <v>0.7482833021803551</v>
      </c>
      <c r="BT132" s="91">
        <f t="shared" si="130"/>
        <v>0.74825010280536464</v>
      </c>
      <c r="BU132" s="91">
        <f t="shared" si="130"/>
        <v>0.74826920671930131</v>
      </c>
    </row>
    <row r="133" spans="1:89">
      <c r="A133" s="4" t="s">
        <v>110</v>
      </c>
      <c r="B133" s="88"/>
      <c r="C133" s="89">
        <f t="shared" si="132"/>
        <v>0.85562555046765665</v>
      </c>
      <c r="D133" s="89">
        <f t="shared" si="132"/>
        <v>0.82211215887853706</v>
      </c>
      <c r="E133" s="89">
        <f t="shared" si="132"/>
        <v>0.82211215887853706</v>
      </c>
      <c r="F133" s="89">
        <f t="shared" si="132"/>
        <v>0.74897441823804556</v>
      </c>
      <c r="G133" s="89">
        <f t="shared" si="132"/>
        <v>0.82209063122225523</v>
      </c>
      <c r="H133" s="89">
        <f t="shared" si="132"/>
        <v>0.78377423536591717</v>
      </c>
      <c r="I133" s="89">
        <f t="shared" si="132"/>
        <v>0.77177210661194151</v>
      </c>
      <c r="J133" s="89">
        <f t="shared" si="132"/>
        <v>0.78267956081046863</v>
      </c>
      <c r="K133" s="89">
        <f t="shared" si="132"/>
        <v>0.7959219454439902</v>
      </c>
      <c r="L133" s="89">
        <f t="shared" si="132"/>
        <v>0.78287373801733329</v>
      </c>
      <c r="M133" s="89">
        <f t="shared" si="132"/>
        <v>0.81613482081649513</v>
      </c>
      <c r="N133" s="89">
        <f t="shared" si="132"/>
        <v>0.79196762890511363</v>
      </c>
      <c r="O133" s="89">
        <f t="shared" si="132"/>
        <v>0.80216461770216629</v>
      </c>
      <c r="P133" s="89">
        <f t="shared" si="132"/>
        <v>0.79789691285743825</v>
      </c>
      <c r="Q133" s="89">
        <f t="shared" si="132"/>
        <v>0.80146554261284109</v>
      </c>
      <c r="R133" s="89">
        <f t="shared" si="132"/>
        <v>0.83348306550080609</v>
      </c>
      <c r="S133" s="89">
        <f t="shared" si="132"/>
        <v>0.77716876205180163</v>
      </c>
      <c r="T133" s="88">
        <f t="shared" si="132"/>
        <v>0.80527730638112549</v>
      </c>
      <c r="U133" s="88">
        <f t="shared" si="132"/>
        <v>0.78006111196125949</v>
      </c>
      <c r="V133" s="88">
        <f t="shared" si="132"/>
        <v>0.81546585799435323</v>
      </c>
      <c r="W133" s="88">
        <f t="shared" si="132"/>
        <v>0.79054423057632928</v>
      </c>
      <c r="X133" s="88">
        <f t="shared" si="132"/>
        <v>0.82005337210112816</v>
      </c>
      <c r="Y133" s="88">
        <f t="shared" si="132"/>
        <v>0.79656650830295306</v>
      </c>
      <c r="Z133" s="88">
        <f t="shared" si="132"/>
        <v>0.80215296280714876</v>
      </c>
      <c r="AA133" s="88">
        <f t="shared" si="132"/>
        <v>0.80905836205595982</v>
      </c>
      <c r="AB133" s="88">
        <f t="shared" si="132"/>
        <v>0.82163862370063911</v>
      </c>
      <c r="AC133" s="88">
        <f t="shared" si="132"/>
        <v>0.81375884204062299</v>
      </c>
      <c r="AD133" s="88">
        <f t="shared" si="132"/>
        <v>0.80811785108829082</v>
      </c>
      <c r="AE133" s="90">
        <f t="shared" si="132"/>
        <v>0.80350606347426812</v>
      </c>
      <c r="AF133" s="90">
        <f t="shared" si="132"/>
        <v>0.78088250528088921</v>
      </c>
      <c r="AG133" s="90">
        <f t="shared" si="132"/>
        <v>0.83101034641878246</v>
      </c>
      <c r="AH133" s="90">
        <f t="shared" si="132"/>
        <v>0.80399123922013416</v>
      </c>
      <c r="AI133" s="90">
        <f t="shared" si="131"/>
        <v>0.80359125738203918</v>
      </c>
      <c r="AJ133" s="90">
        <f t="shared" si="131"/>
        <v>0.80212585436863948</v>
      </c>
      <c r="AK133" s="90">
        <f t="shared" si="131"/>
        <v>0.79031413612565449</v>
      </c>
      <c r="AL133" s="90">
        <f t="shared" si="131"/>
        <v>0.7970241108475602</v>
      </c>
      <c r="AM133" s="90">
        <f t="shared" si="131"/>
        <v>0.79789462369340003</v>
      </c>
      <c r="AN133" s="90">
        <f t="shared" si="131"/>
        <v>0.79208215194953013</v>
      </c>
      <c r="AO133" s="90">
        <f t="shared" si="131"/>
        <v>0.78892143721785857</v>
      </c>
      <c r="AP133" s="90">
        <f t="shared" si="131"/>
        <v>0.79309495953491838</v>
      </c>
      <c r="AQ133" s="90">
        <f t="shared" si="131"/>
        <v>0.78595780100152235</v>
      </c>
      <c r="AR133" s="90">
        <f t="shared" si="131"/>
        <v>0.77147598321354094</v>
      </c>
      <c r="AS133" s="90">
        <f t="shared" si="131"/>
        <v>0.77403731766375772</v>
      </c>
      <c r="AT133" s="90">
        <f t="shared" si="131"/>
        <v>0.78299583804547612</v>
      </c>
      <c r="AU133" s="90">
        <f t="shared" si="131"/>
        <v>0.78272183318034327</v>
      </c>
      <c r="AV133" s="90">
        <f t="shared" si="131"/>
        <v>0.78119820833031994</v>
      </c>
      <c r="AW133" s="90">
        <f t="shared" si="131"/>
        <v>0.77899720266289141</v>
      </c>
      <c r="AX133" s="90">
        <f t="shared" si="131"/>
        <v>0.78188520378604431</v>
      </c>
      <c r="AY133" s="90">
        <f t="shared" si="131"/>
        <v>0.77020581124257437</v>
      </c>
      <c r="AZ133" s="90">
        <f t="shared" si="131"/>
        <v>0.76845948771971329</v>
      </c>
      <c r="BA133" s="90">
        <f t="shared" si="131"/>
        <v>0.77119407988866806</v>
      </c>
      <c r="BB133" s="90">
        <f t="shared" si="131"/>
        <v>0.77229964317606659</v>
      </c>
      <c r="BC133" s="90">
        <f t="shared" si="131"/>
        <v>0.75240529735497685</v>
      </c>
      <c r="BD133" s="90">
        <f t="shared" si="131"/>
        <v>0.75183144464353491</v>
      </c>
      <c r="BE133" s="90">
        <f t="shared" si="131"/>
        <v>0.74567248263178521</v>
      </c>
      <c r="BF133" s="90">
        <f t="shared" si="131"/>
        <v>0.76274575874343964</v>
      </c>
      <c r="BG133" s="90">
        <f t="shared" si="131"/>
        <v>0.75082520113222639</v>
      </c>
      <c r="BH133" s="90">
        <f t="shared" si="131"/>
        <v>0.76171249383957806</v>
      </c>
      <c r="BI133" s="90">
        <f t="shared" si="131"/>
        <v>0.76988744509903406</v>
      </c>
      <c r="BJ133" s="91">
        <f t="shared" si="128"/>
        <v>0.75478971320511334</v>
      </c>
      <c r="BK133" s="91">
        <f t="shared" si="129"/>
        <v>0.75842781790508129</v>
      </c>
      <c r="BL133" s="91">
        <f t="shared" si="130"/>
        <v>0.75974932192937705</v>
      </c>
      <c r="BM133" s="91">
        <f t="shared" si="130"/>
        <v>0.75831000831659079</v>
      </c>
      <c r="BN133" s="91">
        <f t="shared" si="130"/>
        <v>0.75996321122467891</v>
      </c>
      <c r="BO133" s="91">
        <f t="shared" si="130"/>
        <v>0.75882904938368301</v>
      </c>
      <c r="BP133" s="91">
        <f t="shared" si="130"/>
        <v>0.75882904938368301</v>
      </c>
      <c r="BQ133" s="91">
        <f t="shared" si="130"/>
        <v>0.75900206307271378</v>
      </c>
      <c r="BR133" s="91">
        <f t="shared" si="130"/>
        <v>0.75913580689891436</v>
      </c>
      <c r="BS133" s="91">
        <f t="shared" si="130"/>
        <v>0.75888672061335993</v>
      </c>
      <c r="BT133" s="91">
        <f t="shared" si="130"/>
        <v>0.75898897311843705</v>
      </c>
      <c r="BU133" s="91">
        <f t="shared" si="130"/>
        <v>0.75890594435658565</v>
      </c>
    </row>
    <row r="134" spans="1:89">
      <c r="A134" s="4" t="s">
        <v>111</v>
      </c>
      <c r="B134" s="88"/>
      <c r="C134" s="89">
        <f t="shared" si="132"/>
        <v>0.84743056021072405</v>
      </c>
      <c r="D134" s="89">
        <f t="shared" si="132"/>
        <v>0.81397243560417287</v>
      </c>
      <c r="E134" s="89">
        <f t="shared" si="132"/>
        <v>0.81397243560417287</v>
      </c>
      <c r="F134" s="89">
        <f t="shared" si="132"/>
        <v>0.74096202291552316</v>
      </c>
      <c r="G134" s="89">
        <f t="shared" si="132"/>
        <v>0.81395915237995986</v>
      </c>
      <c r="H134" s="89">
        <f t="shared" si="132"/>
        <v>0.77571180766946346</v>
      </c>
      <c r="I134" s="89">
        <f t="shared" si="132"/>
        <v>0.76374207821565387</v>
      </c>
      <c r="J134" s="89">
        <f t="shared" si="132"/>
        <v>0.77463948616393186</v>
      </c>
      <c r="K134" s="89">
        <f t="shared" si="132"/>
        <v>0.78798201362953235</v>
      </c>
      <c r="L134" s="89">
        <f t="shared" si="132"/>
        <v>0.77502623587928621</v>
      </c>
      <c r="M134" s="89">
        <f t="shared" si="132"/>
        <v>0.77220251976098542</v>
      </c>
      <c r="N134" s="89">
        <f t="shared" si="132"/>
        <v>0.77603101138023989</v>
      </c>
      <c r="O134" s="89">
        <f t="shared" si="132"/>
        <v>0.81493198040010228</v>
      </c>
      <c r="P134" s="89">
        <f t="shared" si="132"/>
        <v>0.79445700152344478</v>
      </c>
      <c r="Q134" s="89">
        <f t="shared" si="132"/>
        <v>0.80061090322710349</v>
      </c>
      <c r="R134" s="89">
        <f t="shared" si="132"/>
        <v>0.76173878473292</v>
      </c>
      <c r="S134" s="89">
        <f t="shared" si="132"/>
        <v>0.79554698880213415</v>
      </c>
      <c r="T134" s="88">
        <f t="shared" si="132"/>
        <v>0.80156795473696874</v>
      </c>
      <c r="U134" s="88">
        <f t="shared" si="132"/>
        <v>0.81450281779810896</v>
      </c>
      <c r="V134" s="88">
        <f t="shared" si="132"/>
        <v>0.79741745248833173</v>
      </c>
      <c r="W134" s="88">
        <f t="shared" si="132"/>
        <v>0.80310561971808569</v>
      </c>
      <c r="X134" s="88">
        <f t="shared" si="132"/>
        <v>0.79267252018759482</v>
      </c>
      <c r="Y134" s="88">
        <f t="shared" si="132"/>
        <v>0.79706497046796909</v>
      </c>
      <c r="Z134" s="88">
        <f t="shared" si="132"/>
        <v>0.85574702191506768</v>
      </c>
      <c r="AA134" s="88">
        <f t="shared" si="132"/>
        <v>0.80639798295848708</v>
      </c>
      <c r="AB134" s="88">
        <f t="shared" si="132"/>
        <v>0.79783843352146777</v>
      </c>
      <c r="AC134" s="88">
        <f t="shared" si="132"/>
        <v>0.82067777165315514</v>
      </c>
      <c r="AD134" s="88">
        <f t="shared" si="132"/>
        <v>0.80624143664782177</v>
      </c>
      <c r="AE134" s="90">
        <f t="shared" si="132"/>
        <v>0.82189720710177805</v>
      </c>
      <c r="AF134" s="90">
        <f t="shared" si="132"/>
        <v>0.80870411232425488</v>
      </c>
      <c r="AG134" s="90">
        <f t="shared" si="132"/>
        <v>0.82073153418693634</v>
      </c>
      <c r="AH134" s="90">
        <f t="shared" si="132"/>
        <v>0.81201801554666664</v>
      </c>
      <c r="AI134" s="90">
        <f t="shared" si="131"/>
        <v>0.81137102548151963</v>
      </c>
      <c r="AJ134" s="90">
        <f t="shared" si="131"/>
        <v>0.80183847924419149</v>
      </c>
      <c r="AK134" s="90">
        <f t="shared" si="131"/>
        <v>0.79081357455227841</v>
      </c>
      <c r="AL134" s="90">
        <f t="shared" si="131"/>
        <v>0.794206685486054</v>
      </c>
      <c r="AM134" s="90">
        <f t="shared" si="131"/>
        <v>0.79980157895873272</v>
      </c>
      <c r="AN134" s="90">
        <f t="shared" si="131"/>
        <v>0.79715358819187321</v>
      </c>
      <c r="AO134" s="90">
        <f t="shared" si="131"/>
        <v>0.79707584859442437</v>
      </c>
      <c r="AP134" s="90">
        <f t="shared" si="131"/>
        <v>0.79429046366093026</v>
      </c>
      <c r="AQ134" s="90">
        <f t="shared" si="131"/>
        <v>0.79043052668252667</v>
      </c>
      <c r="AR134" s="90">
        <f t="shared" si="131"/>
        <v>0.77955074230888632</v>
      </c>
      <c r="AS134" s="90">
        <f t="shared" si="131"/>
        <v>0.78227396238478342</v>
      </c>
      <c r="AT134" s="90">
        <f t="shared" si="131"/>
        <v>0.77839325078189692</v>
      </c>
      <c r="AU134" s="90">
        <f t="shared" si="131"/>
        <v>0.78930956128046348</v>
      </c>
      <c r="AV134" s="90">
        <f t="shared" si="131"/>
        <v>0.78518211334912436</v>
      </c>
      <c r="AW134" s="90">
        <f t="shared" si="131"/>
        <v>0.78352831219991748</v>
      </c>
      <c r="AX134" s="90">
        <f t="shared" si="131"/>
        <v>0.78360881008724137</v>
      </c>
      <c r="AY134" s="90">
        <f t="shared" si="131"/>
        <v>0.77382452049721195</v>
      </c>
      <c r="AZ134" s="90">
        <f t="shared" si="131"/>
        <v>0.76942993153190031</v>
      </c>
      <c r="BA134" s="90">
        <f t="shared" si="131"/>
        <v>0.77334089995123723</v>
      </c>
      <c r="BB134" s="90">
        <f t="shared" si="131"/>
        <v>0.77088180821681895</v>
      </c>
      <c r="BC134" s="90">
        <f t="shared" si="131"/>
        <v>0.75401336167193855</v>
      </c>
      <c r="BD134" s="90">
        <f t="shared" si="131"/>
        <v>0.75930267001695573</v>
      </c>
      <c r="BE134" s="90">
        <f t="shared" si="131"/>
        <v>0.74497131565237329</v>
      </c>
      <c r="BF134" s="90">
        <f t="shared" si="131"/>
        <v>0.75154915195836058</v>
      </c>
      <c r="BG134" s="90">
        <f t="shared" si="131"/>
        <v>0.75226727114622527</v>
      </c>
      <c r="BH134" s="90">
        <f t="shared" si="131"/>
        <v>0.75594084342317647</v>
      </c>
      <c r="BI134" s="90">
        <f t="shared" si="131"/>
        <v>0.76191988146266598</v>
      </c>
      <c r="BJ134" s="91">
        <f t="shared" si="128"/>
        <v>0.75325242217592081</v>
      </c>
      <c r="BK134" s="91">
        <f t="shared" si="129"/>
        <v>0.7532524221759207</v>
      </c>
      <c r="BL134" s="91">
        <f t="shared" si="130"/>
        <v>0.75382017891510744</v>
      </c>
      <c r="BM134" s="91">
        <f t="shared" si="130"/>
        <v>0.75414856259167262</v>
      </c>
      <c r="BN134" s="91">
        <f t="shared" si="130"/>
        <v>0.75433781483806828</v>
      </c>
      <c r="BO134" s="91">
        <f t="shared" si="130"/>
        <v>0.7537403878942337</v>
      </c>
      <c r="BP134" s="91">
        <f t="shared" si="130"/>
        <v>0.75374038789423359</v>
      </c>
      <c r="BQ134" s="91">
        <f t="shared" si="130"/>
        <v>0.75390304313367118</v>
      </c>
      <c r="BR134" s="91">
        <f t="shared" si="130"/>
        <v>0.75390304313367118</v>
      </c>
      <c r="BS134" s="91">
        <f t="shared" si="130"/>
        <v>0.75393066453985913</v>
      </c>
      <c r="BT134" s="91">
        <f t="shared" si="130"/>
        <v>0.75384882472052528</v>
      </c>
      <c r="BU134" s="91">
        <f t="shared" si="130"/>
        <v>0.75384882472052528</v>
      </c>
    </row>
    <row r="135" spans="1:89">
      <c r="A135" s="4" t="s">
        <v>112</v>
      </c>
      <c r="B135" s="88"/>
      <c r="C135" s="89">
        <f t="shared" si="132"/>
        <v>0.84431035434066359</v>
      </c>
      <c r="D135" s="89">
        <f t="shared" si="132"/>
        <v>0.81089816016759186</v>
      </c>
      <c r="E135" s="89">
        <f t="shared" si="132"/>
        <v>0.81089816016759186</v>
      </c>
      <c r="F135" s="89">
        <f t="shared" si="132"/>
        <v>0.73798991163518546</v>
      </c>
      <c r="G135" s="89">
        <f t="shared" si="132"/>
        <v>0.81088726308950843</v>
      </c>
      <c r="H135" s="89">
        <f t="shared" si="132"/>
        <v>0.77269411469308114</v>
      </c>
      <c r="I135" s="89">
        <f t="shared" si="132"/>
        <v>0.76074445340421304</v>
      </c>
      <c r="J135" s="89">
        <f t="shared" si="132"/>
        <v>0.77162919237424266</v>
      </c>
      <c r="K135" s="89">
        <f t="shared" si="132"/>
        <v>0.78498858962178975</v>
      </c>
      <c r="L135" s="89">
        <f t="shared" si="132"/>
        <v>0.77207105213844718</v>
      </c>
      <c r="M135" s="89">
        <f t="shared" si="132"/>
        <v>0.76946391944102088</v>
      </c>
      <c r="N135" s="89">
        <f t="shared" si="132"/>
        <v>0.77214910572927453</v>
      </c>
      <c r="O135" s="89">
        <f t="shared" si="132"/>
        <v>0.79436372178908876</v>
      </c>
      <c r="P135" s="89">
        <f t="shared" si="132"/>
        <v>0.80490379469439355</v>
      </c>
      <c r="Q135" s="89">
        <f t="shared" si="132"/>
        <v>0.8260318891706715</v>
      </c>
      <c r="R135" s="89">
        <f t="shared" si="132"/>
        <v>0.82273474526979107</v>
      </c>
      <c r="S135" s="89">
        <f t="shared" si="132"/>
        <v>0.82007762141081719</v>
      </c>
      <c r="T135" s="88">
        <f t="shared" si="132"/>
        <v>0.82875346910057468</v>
      </c>
      <c r="U135" s="88">
        <f t="shared" si="132"/>
        <v>0.80776756989817911</v>
      </c>
      <c r="V135" s="88">
        <f t="shared" si="132"/>
        <v>0.86121328945042552</v>
      </c>
      <c r="W135" s="88">
        <f t="shared" si="132"/>
        <v>0.80885812101169119</v>
      </c>
      <c r="X135" s="88">
        <f t="shared" si="132"/>
        <v>0.74934728919204996</v>
      </c>
      <c r="Y135" s="88">
        <f t="shared" si="132"/>
        <v>0.76690009013381411</v>
      </c>
      <c r="Z135" s="88">
        <f t="shared" si="132"/>
        <v>0.85112118985481533</v>
      </c>
      <c r="AA135" s="88">
        <f t="shared" si="132"/>
        <v>0.80220817043516501</v>
      </c>
      <c r="AB135" s="88">
        <f t="shared" si="132"/>
        <v>0.82318928213752574</v>
      </c>
      <c r="AC135" s="88">
        <f t="shared" si="132"/>
        <v>0.83145624103299864</v>
      </c>
      <c r="AD135" s="88">
        <f t="shared" si="132"/>
        <v>0.80279185457250457</v>
      </c>
      <c r="AE135" s="90">
        <f t="shared" si="132"/>
        <v>0.81121579721545145</v>
      </c>
      <c r="AF135" s="90">
        <f t="shared" si="132"/>
        <v>0.81997179543053078</v>
      </c>
      <c r="AG135" s="90">
        <f t="shared" si="132"/>
        <v>0.80119611450853045</v>
      </c>
      <c r="AH135" s="90">
        <f t="shared" si="132"/>
        <v>0.79928239824586222</v>
      </c>
      <c r="AI135" s="90">
        <f t="shared" si="131"/>
        <v>0.80534359413163215</v>
      </c>
      <c r="AJ135" s="90">
        <f t="shared" si="131"/>
        <v>0.7993251777505711</v>
      </c>
      <c r="AK135" s="90">
        <f t="shared" si="131"/>
        <v>0.77425118922697755</v>
      </c>
      <c r="AL135" s="90">
        <f t="shared" si="131"/>
        <v>0.79230724157462806</v>
      </c>
      <c r="AM135" s="90">
        <f t="shared" si="131"/>
        <v>0.8000555406268901</v>
      </c>
      <c r="AN135" s="90">
        <f t="shared" si="131"/>
        <v>0.78403240836025945</v>
      </c>
      <c r="AO135" s="90">
        <f t="shared" si="131"/>
        <v>0.80714710794067768</v>
      </c>
      <c r="AP135" s="90">
        <f t="shared" si="131"/>
        <v>0.77592035272719906</v>
      </c>
      <c r="AQ135" s="90">
        <f t="shared" si="131"/>
        <v>0.79000282937960897</v>
      </c>
      <c r="AR135" s="90">
        <f t="shared" si="131"/>
        <v>0.77744278969628244</v>
      </c>
      <c r="AS135" s="90">
        <f t="shared" si="131"/>
        <v>0.77838231989859297</v>
      </c>
      <c r="AT135" s="90">
        <f t="shared" si="131"/>
        <v>0.78375040611451796</v>
      </c>
      <c r="AU135" s="90">
        <f t="shared" si="131"/>
        <v>0.78144126045683837</v>
      </c>
      <c r="AV135" s="90">
        <f t="shared" si="131"/>
        <v>0.78203521328246306</v>
      </c>
      <c r="AW135" s="90">
        <f t="shared" si="131"/>
        <v>0.77754985428233803</v>
      </c>
      <c r="AX135" s="90">
        <f t="shared" si="131"/>
        <v>0.77742425052351216</v>
      </c>
      <c r="AY135" s="90">
        <f t="shared" si="131"/>
        <v>0.76639796777889924</v>
      </c>
      <c r="AZ135" s="90">
        <f t="shared" si="131"/>
        <v>0.75392628021890062</v>
      </c>
      <c r="BA135" s="90">
        <f t="shared" si="131"/>
        <v>0.76731085260303922</v>
      </c>
      <c r="BB135" s="90">
        <f t="shared" si="131"/>
        <v>0.77987898856916094</v>
      </c>
      <c r="BC135" s="90">
        <f t="shared" si="131"/>
        <v>0.75070817350250818</v>
      </c>
      <c r="BD135" s="90">
        <f t="shared" si="131"/>
        <v>0.75611799050341766</v>
      </c>
      <c r="BE135" s="90">
        <f t="shared" si="131"/>
        <v>0.74724798799122027</v>
      </c>
      <c r="BF135" s="90">
        <f t="shared" si="131"/>
        <v>0.75443270791169137</v>
      </c>
      <c r="BG135" s="90">
        <f t="shared" si="131"/>
        <v>0.74110964061017759</v>
      </c>
      <c r="BH135" s="90">
        <f t="shared" si="131"/>
        <v>0.77020707133846289</v>
      </c>
      <c r="BI135" s="91">
        <f>(SUM(BC135:BG135)-MAX(BC135:BG135)-MIN(BC135:BG135))/3</f>
        <v>0.75079628980180668</v>
      </c>
      <c r="BJ135" s="91">
        <f t="shared" si="128"/>
        <v>0.7525995621354431</v>
      </c>
      <c r="BK135" s="91">
        <f t="shared" si="129"/>
        <v>0.75082566190157285</v>
      </c>
      <c r="BL135" s="91">
        <f t="shared" si="130"/>
        <v>0.75260951994964709</v>
      </c>
      <c r="BM135" s="91">
        <f t="shared" si="130"/>
        <v>0.75140717127960766</v>
      </c>
      <c r="BN135" s="91">
        <f t="shared" si="130"/>
        <v>0.75201158132888768</v>
      </c>
      <c r="BO135" s="91">
        <f t="shared" si="130"/>
        <v>0.75161079843887457</v>
      </c>
      <c r="BP135" s="91">
        <f t="shared" si="130"/>
        <v>0.75200610491464615</v>
      </c>
      <c r="BQ135" s="91">
        <f t="shared" si="130"/>
        <v>0.75167651701578997</v>
      </c>
      <c r="BR135" s="91">
        <f t="shared" si="130"/>
        <v>0.75187616156080272</v>
      </c>
      <c r="BS135" s="91">
        <f t="shared" si="130"/>
        <v>0.75176447345643682</v>
      </c>
      <c r="BT135" s="91">
        <f t="shared" si="130"/>
        <v>0.75185292783041291</v>
      </c>
      <c r="BU135" s="91">
        <f t="shared" si="130"/>
        <v>0.75177238401100999</v>
      </c>
    </row>
    <row r="136" spans="1:89" ht="15.75" thickBot="1">
      <c r="A136" s="4" t="s">
        <v>138</v>
      </c>
      <c r="B136" s="88"/>
      <c r="C136" s="89">
        <f t="shared" si="132"/>
        <v>0.85437678966419395</v>
      </c>
      <c r="D136" s="89">
        <f t="shared" si="132"/>
        <v>0.82104601041433867</v>
      </c>
      <c r="E136" s="89">
        <f t="shared" si="132"/>
        <v>0.82104601041433867</v>
      </c>
      <c r="F136" s="89">
        <f t="shared" si="132"/>
        <v>0.74830341318619809</v>
      </c>
      <c r="G136" s="89">
        <f t="shared" si="132"/>
        <v>0.82102046957955899</v>
      </c>
      <c r="H136" s="89">
        <f t="shared" si="132"/>
        <v>0.7829099069834532</v>
      </c>
      <c r="I136" s="89">
        <f t="shared" si="132"/>
        <v>0.77096683382652187</v>
      </c>
      <c r="J136" s="89">
        <f t="shared" si="132"/>
        <v>0.78181085820913365</v>
      </c>
      <c r="K136" s="89">
        <f t="shared" si="132"/>
        <v>0.79491970891250097</v>
      </c>
      <c r="L136" s="89">
        <f t="shared" si="132"/>
        <v>0.78190691967335457</v>
      </c>
      <c r="M136" s="89">
        <f t="shared" si="132"/>
        <v>0.78650394604144991</v>
      </c>
      <c r="N136" s="89">
        <f t="shared" si="132"/>
        <v>0.81425099630793951</v>
      </c>
      <c r="O136" s="89">
        <f t="shared" si="132"/>
        <v>0.79503743592500098</v>
      </c>
      <c r="P136" s="89">
        <f t="shared" si="132"/>
        <v>0.79916506130729825</v>
      </c>
      <c r="Q136" s="89">
        <f t="shared" si="132"/>
        <v>0.80216115762186213</v>
      </c>
      <c r="R136" s="89">
        <f t="shared" si="132"/>
        <v>0.78239748367432616</v>
      </c>
      <c r="S136" s="89">
        <f t="shared" si="132"/>
        <v>0.7818301997735575</v>
      </c>
      <c r="T136" s="88">
        <f t="shared" si="132"/>
        <v>0.76907425383943095</v>
      </c>
      <c r="U136" s="88">
        <f t="shared" si="132"/>
        <v>0.80202300391569326</v>
      </c>
      <c r="V136" s="88">
        <f t="shared" si="132"/>
        <v>0.79058997544819398</v>
      </c>
      <c r="W136" s="88">
        <f t="shared" si="132"/>
        <v>0.79359844653346823</v>
      </c>
      <c r="X136" s="88">
        <f t="shared" si="132"/>
        <v>0.79551891336791447</v>
      </c>
      <c r="Y136" s="88">
        <f t="shared" si="132"/>
        <v>0.78929017998537521</v>
      </c>
      <c r="Z136" s="88">
        <f t="shared" si="132"/>
        <v>0.80355487383605673</v>
      </c>
      <c r="AA136" s="88">
        <f t="shared" si="132"/>
        <v>0.80664471112313196</v>
      </c>
      <c r="AB136" s="88">
        <f t="shared" si="132"/>
        <v>0.81159105209353766</v>
      </c>
      <c r="AC136" s="88">
        <f t="shared" si="132"/>
        <v>0.81287062565330903</v>
      </c>
      <c r="AD136" s="88">
        <f t="shared" si="132"/>
        <v>0.81524865733252516</v>
      </c>
      <c r="AE136" s="90">
        <f t="shared" si="132"/>
        <v>0.80435052989980949</v>
      </c>
      <c r="AF136" s="90">
        <f t="shared" si="132"/>
        <v>0.8093609403828913</v>
      </c>
      <c r="AG136" s="90">
        <f t="shared" si="132"/>
        <v>0.81500085220936069</v>
      </c>
      <c r="AH136" s="90">
        <f t="shared" ref="AH136" si="133">(AH120+AH104)/AH88</f>
        <v>0.79996500581727981</v>
      </c>
      <c r="AI136" s="90">
        <f t="shared" si="131"/>
        <v>0.80492587935371684</v>
      </c>
      <c r="AJ136" s="90">
        <f t="shared" si="131"/>
        <v>0.80277486684276622</v>
      </c>
      <c r="AK136" s="90">
        <f t="shared" si="131"/>
        <v>0.78548516800376145</v>
      </c>
      <c r="AL136" s="90">
        <f t="shared" si="131"/>
        <v>0.79344164655440785</v>
      </c>
      <c r="AM136" s="90">
        <f t="shared" si="131"/>
        <v>0.79448104665912145</v>
      </c>
      <c r="AN136" s="90">
        <f t="shared" si="131"/>
        <v>0.79305507156045774</v>
      </c>
      <c r="AO136" s="90">
        <f t="shared" si="131"/>
        <v>0.79250912065730039</v>
      </c>
      <c r="AP136" s="90">
        <f t="shared" si="131"/>
        <v>0.78724892044701478</v>
      </c>
      <c r="AQ136" s="90">
        <f t="shared" si="131"/>
        <v>0.79006212446272761</v>
      </c>
      <c r="AR136" s="90">
        <f t="shared" si="131"/>
        <v>0.78117838518506355</v>
      </c>
      <c r="AS136" s="90">
        <f t="shared" si="131"/>
        <v>0.77463605425004178</v>
      </c>
      <c r="AT136" s="90">
        <f t="shared" si="131"/>
        <v>0.78001550474299153</v>
      </c>
      <c r="AU136" s="90">
        <f t="shared" si="131"/>
        <v>0.78863501074453057</v>
      </c>
      <c r="AV136" s="90">
        <f t="shared" si="131"/>
        <v>0.77824352348473769</v>
      </c>
      <c r="AW136" s="90">
        <f t="shared" si="131"/>
        <v>0.77778829334586475</v>
      </c>
      <c r="AX136" s="90">
        <f t="shared" si="131"/>
        <v>0.78047993880838507</v>
      </c>
      <c r="AY136" s="90">
        <f t="shared" si="131"/>
        <v>0.77553904091787407</v>
      </c>
      <c r="AZ136" s="90">
        <f t="shared" si="131"/>
        <v>0.76698011114516651</v>
      </c>
      <c r="BA136" s="90">
        <f t="shared" si="131"/>
        <v>0.76939437179354508</v>
      </c>
      <c r="BB136" s="90">
        <f t="shared" si="131"/>
        <v>0.76816992694789377</v>
      </c>
      <c r="BC136" s="90">
        <f t="shared" si="131"/>
        <v>0.75955431085205094</v>
      </c>
      <c r="BD136" s="90">
        <f t="shared" si="131"/>
        <v>0.75616618618939047</v>
      </c>
      <c r="BE136" s="90">
        <f t="shared" si="131"/>
        <v>0.75042345798194088</v>
      </c>
      <c r="BF136" s="90">
        <f t="shared" si="131"/>
        <v>0.75560042612074196</v>
      </c>
      <c r="BG136" s="90">
        <f t="shared" si="131"/>
        <v>0.74956985998730963</v>
      </c>
      <c r="BH136" s="90">
        <f t="shared" si="131"/>
        <v>0.75066990862967287</v>
      </c>
      <c r="BI136" s="91">
        <f t="shared" si="131"/>
        <v>0.76612145543751009</v>
      </c>
      <c r="BJ136" s="91">
        <f t="shared" ref="BJ136:BU136" si="134">(BJ120+BJ104)/BJ88</f>
        <v>0.7521493268373961</v>
      </c>
      <c r="BK136" s="91">
        <f t="shared" si="134"/>
        <v>0.75297283697328565</v>
      </c>
      <c r="BL136" s="91">
        <f t="shared" si="134"/>
        <v>0.75332686979577312</v>
      </c>
      <c r="BM136" s="91">
        <f t="shared" si="134"/>
        <v>0.75256743698651518</v>
      </c>
      <c r="BN136" s="91">
        <f t="shared" si="134"/>
        <v>0.75308315683469107</v>
      </c>
      <c r="BO136" s="91">
        <f t="shared" si="134"/>
        <v>0.75306467491700457</v>
      </c>
      <c r="BP136" s="91">
        <f t="shared" si="134"/>
        <v>0.75292011997342423</v>
      </c>
      <c r="BQ136" s="91">
        <f t="shared" si="134"/>
        <v>0.75304002088402566</v>
      </c>
      <c r="BR136" s="91">
        <f t="shared" si="134"/>
        <v>0.75302220603920866</v>
      </c>
      <c r="BS136" s="91" t="e">
        <f t="shared" si="134"/>
        <v>#DIV/0!</v>
      </c>
      <c r="BT136" s="91" t="e">
        <f t="shared" si="134"/>
        <v>#DIV/0!</v>
      </c>
      <c r="BU136" s="91" t="e">
        <f t="shared" si="134"/>
        <v>#DIV/0!</v>
      </c>
    </row>
    <row r="137" spans="1:89">
      <c r="A137" s="60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1:89" ht="15.75" thickBot="1">
      <c r="A138" s="53" t="s">
        <v>139</v>
      </c>
      <c r="CK138" t="s">
        <v>140</v>
      </c>
    </row>
    <row r="139" spans="1:89" s="4" customFormat="1" ht="15.75" thickBot="1">
      <c r="A139" s="54"/>
      <c r="B139" s="63" t="s">
        <v>1</v>
      </c>
      <c r="C139" s="63" t="s">
        <v>2</v>
      </c>
      <c r="D139" s="63" t="s">
        <v>3</v>
      </c>
      <c r="E139" s="63" t="s">
        <v>4</v>
      </c>
      <c r="F139" s="63" t="s">
        <v>5</v>
      </c>
      <c r="G139" s="63" t="s">
        <v>6</v>
      </c>
      <c r="H139" s="63" t="s">
        <v>7</v>
      </c>
      <c r="I139" s="63" t="s">
        <v>8</v>
      </c>
      <c r="J139" s="63" t="s">
        <v>9</v>
      </c>
      <c r="K139" s="63" t="s">
        <v>10</v>
      </c>
      <c r="L139" s="63" t="s">
        <v>11</v>
      </c>
      <c r="M139" s="55" t="s">
        <v>12</v>
      </c>
      <c r="N139" s="55" t="s">
        <v>13</v>
      </c>
      <c r="O139" s="55" t="s">
        <v>14</v>
      </c>
      <c r="P139" s="55" t="s">
        <v>15</v>
      </c>
      <c r="Q139" s="55" t="s">
        <v>16</v>
      </c>
      <c r="R139" s="55" t="s">
        <v>17</v>
      </c>
      <c r="S139" s="55" t="s">
        <v>18</v>
      </c>
      <c r="T139" s="55" t="s">
        <v>19</v>
      </c>
      <c r="U139" s="55" t="s">
        <v>20</v>
      </c>
      <c r="V139" s="55" t="s">
        <v>21</v>
      </c>
      <c r="W139" s="55" t="s">
        <v>22</v>
      </c>
      <c r="X139" s="55" t="s">
        <v>23</v>
      </c>
      <c r="Y139" s="55" t="s">
        <v>24</v>
      </c>
      <c r="Z139" s="55" t="s">
        <v>25</v>
      </c>
      <c r="AA139" s="55" t="s">
        <v>26</v>
      </c>
      <c r="AB139" s="55" t="s">
        <v>27</v>
      </c>
      <c r="AC139" s="55" t="s">
        <v>28</v>
      </c>
      <c r="AD139" s="55" t="s">
        <v>29</v>
      </c>
      <c r="AE139" s="55" t="s">
        <v>30</v>
      </c>
      <c r="AF139" s="55" t="s">
        <v>31</v>
      </c>
      <c r="AG139" s="55" t="s">
        <v>32</v>
      </c>
      <c r="AH139" s="55" t="s">
        <v>33</v>
      </c>
      <c r="AI139" s="55" t="s">
        <v>34</v>
      </c>
      <c r="AJ139" s="55" t="s">
        <v>35</v>
      </c>
      <c r="AK139" s="55" t="s">
        <v>36</v>
      </c>
      <c r="AL139" s="55" t="s">
        <v>37</v>
      </c>
      <c r="AM139" s="55" t="s">
        <v>38</v>
      </c>
      <c r="AN139" s="55" t="s">
        <v>39</v>
      </c>
      <c r="AO139" s="55" t="s">
        <v>40</v>
      </c>
      <c r="AP139" s="55" t="s">
        <v>41</v>
      </c>
      <c r="AQ139" s="55" t="s">
        <v>42</v>
      </c>
      <c r="AR139" s="55" t="s">
        <v>43</v>
      </c>
      <c r="AS139" s="55" t="s">
        <v>44</v>
      </c>
      <c r="AT139" s="55" t="s">
        <v>45</v>
      </c>
      <c r="AU139" s="55" t="s">
        <v>46</v>
      </c>
      <c r="AV139" s="55" t="s">
        <v>47</v>
      </c>
      <c r="AW139" s="55" t="s">
        <v>48</v>
      </c>
      <c r="AX139" s="55" t="s">
        <v>49</v>
      </c>
      <c r="AY139" s="55" t="s">
        <v>50</v>
      </c>
      <c r="AZ139" s="55" t="s">
        <v>51</v>
      </c>
      <c r="BA139" s="55" t="s">
        <v>52</v>
      </c>
      <c r="BB139" s="55" t="s">
        <v>53</v>
      </c>
      <c r="BC139" s="55" t="s">
        <v>54</v>
      </c>
      <c r="BD139" s="55" t="s">
        <v>55</v>
      </c>
      <c r="BE139" s="55" t="s">
        <v>56</v>
      </c>
      <c r="BF139" s="55" t="s">
        <v>57</v>
      </c>
      <c r="BG139" s="55" t="str">
        <f t="shared" ref="BG139:BU139" si="135">BH2</f>
        <v>22/23</v>
      </c>
      <c r="BH139" s="55" t="str">
        <f t="shared" si="135"/>
        <v>23/24</v>
      </c>
      <c r="BI139" s="55" t="str">
        <f t="shared" si="135"/>
        <v>24/25</v>
      </c>
      <c r="BJ139" s="55" t="str">
        <f t="shared" si="135"/>
        <v>25/26</v>
      </c>
      <c r="BK139" s="55" t="str">
        <f t="shared" si="135"/>
        <v>26/27</v>
      </c>
      <c r="BL139" s="55" t="str">
        <f t="shared" si="135"/>
        <v>27/28</v>
      </c>
      <c r="BM139" s="55" t="str">
        <f t="shared" si="135"/>
        <v>28/29</v>
      </c>
      <c r="BN139" s="55" t="str">
        <f t="shared" si="135"/>
        <v>29/30</v>
      </c>
      <c r="BO139" s="55" t="str">
        <f t="shared" si="135"/>
        <v>30/31</v>
      </c>
      <c r="BP139" s="55" t="str">
        <f t="shared" si="135"/>
        <v>31/32</v>
      </c>
      <c r="BQ139" s="55" t="str">
        <f t="shared" si="135"/>
        <v>32/33</v>
      </c>
      <c r="BR139" s="55" t="str">
        <f t="shared" si="135"/>
        <v>33/34</v>
      </c>
      <c r="BS139" s="55" t="str">
        <f t="shared" si="135"/>
        <v>34/35</v>
      </c>
      <c r="BT139" s="55" t="str">
        <f t="shared" si="135"/>
        <v>34/35</v>
      </c>
      <c r="BU139" s="55">
        <f t="shared" si="135"/>
        <v>0</v>
      </c>
      <c r="CK139" s="4" t="s">
        <v>141</v>
      </c>
    </row>
    <row r="140" spans="1:89">
      <c r="A140" s="4" t="s">
        <v>100</v>
      </c>
      <c r="C140" s="92">
        <v>0</v>
      </c>
      <c r="D140" s="92">
        <v>0</v>
      </c>
      <c r="E140" s="92">
        <v>0</v>
      </c>
      <c r="F140" s="92">
        <v>0</v>
      </c>
      <c r="G140" s="92">
        <v>0</v>
      </c>
      <c r="H140" s="92">
        <v>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92">
        <v>0</v>
      </c>
      <c r="P140" s="92">
        <v>0</v>
      </c>
      <c r="Q140" s="92">
        <v>0</v>
      </c>
      <c r="R140" s="92">
        <v>0</v>
      </c>
      <c r="S140" s="92">
        <v>0</v>
      </c>
      <c r="T140" s="92">
        <v>0</v>
      </c>
      <c r="U140" s="92">
        <v>0</v>
      </c>
      <c r="V140" s="92">
        <v>0</v>
      </c>
      <c r="W140" s="92">
        <v>0</v>
      </c>
      <c r="X140" s="92">
        <v>0</v>
      </c>
      <c r="Y140" s="92">
        <v>0</v>
      </c>
      <c r="Z140" s="92">
        <v>0</v>
      </c>
      <c r="AA140" s="92">
        <v>0</v>
      </c>
      <c r="AB140" s="92">
        <v>0</v>
      </c>
      <c r="AC140" s="92">
        <v>0</v>
      </c>
      <c r="AD140" s="92">
        <v>0</v>
      </c>
      <c r="AE140" s="93">
        <v>0</v>
      </c>
      <c r="AF140" s="93">
        <v>0</v>
      </c>
      <c r="AG140" s="93">
        <v>0</v>
      </c>
      <c r="AH140" s="93">
        <v>0</v>
      </c>
      <c r="AI140" s="94">
        <v>0.108</v>
      </c>
      <c r="AJ140" s="94">
        <v>1.0999999999999999E-2</v>
      </c>
      <c r="AK140" s="94">
        <v>1.0999999999999999E-2</v>
      </c>
      <c r="AL140" s="94">
        <v>1.4999999999999999E-2</v>
      </c>
      <c r="AM140" s="94">
        <v>1.861</v>
      </c>
      <c r="AN140" s="95">
        <v>2E-3</v>
      </c>
      <c r="AO140" s="95">
        <v>6.0000000000000001E-3</v>
      </c>
      <c r="AP140" s="95">
        <v>1.077</v>
      </c>
      <c r="AQ140" s="95">
        <v>8.2000000000000003E-2</v>
      </c>
      <c r="AR140" s="95">
        <v>0</v>
      </c>
      <c r="AS140" s="95">
        <v>2.7E-2</v>
      </c>
      <c r="AT140" s="95">
        <v>2.7E-2</v>
      </c>
      <c r="AU140" s="95">
        <v>1.66</v>
      </c>
      <c r="AV140" s="95">
        <v>0</v>
      </c>
      <c r="AW140" s="95">
        <v>0</v>
      </c>
      <c r="AX140" s="95">
        <v>0.01</v>
      </c>
      <c r="AY140" s="95">
        <v>2.4E-2</v>
      </c>
      <c r="AZ140" s="95">
        <v>0.03</v>
      </c>
      <c r="BA140" s="95">
        <v>0</v>
      </c>
      <c r="BB140" s="95">
        <v>4.5999999999999999E-2</v>
      </c>
      <c r="BC140" s="95">
        <v>2.5999999999999999E-2</v>
      </c>
      <c r="BD140" s="95">
        <v>0</v>
      </c>
      <c r="BE140" s="95">
        <v>0.115</v>
      </c>
      <c r="BF140" s="95">
        <v>2.7E-2</v>
      </c>
      <c r="BG140" s="95">
        <v>7.0000000000000001E-3</v>
      </c>
      <c r="BH140" s="95">
        <v>3.9E-2</v>
      </c>
      <c r="BI140" s="95">
        <v>6.14</v>
      </c>
      <c r="BJ140" s="96">
        <f t="shared" ref="BJ140:BJ151" si="136">(SUM(BE140:BI140)-MAX(BE140:BI140)-MIN(BE140:BI140))/3</f>
        <v>6.0333333333333239E-2</v>
      </c>
      <c r="BK140" s="96">
        <f t="shared" ref="BK140:BK151" si="137">(SUM(BF140:BJ140)-MAX(BF140:BJ140)-MIN(BF140:BJ140))/3</f>
        <v>4.2111111111111245E-2</v>
      </c>
      <c r="BL140" s="96">
        <f t="shared" ref="BL140:BU151" si="138">(SUM(BG140:BK140)-MAX(BG140:BK140)-MIN(BG140:BK140))/3</f>
        <v>4.7148148148148418E-2</v>
      </c>
      <c r="BM140" s="96">
        <f t="shared" si="138"/>
        <v>4.9864197530864511E-2</v>
      </c>
      <c r="BN140" s="96">
        <f t="shared" si="138"/>
        <v>5.2448559670782498E-2</v>
      </c>
      <c r="BO140" s="96">
        <f t="shared" si="138"/>
        <v>4.9820301783265138E-2</v>
      </c>
      <c r="BP140" s="96">
        <f t="shared" si="138"/>
        <v>4.8944215820759356E-2</v>
      </c>
      <c r="BQ140" s="96">
        <f t="shared" si="138"/>
        <v>4.9542905044963004E-2</v>
      </c>
      <c r="BR140" s="96">
        <f t="shared" si="138"/>
        <v>4.9742468119697549E-2</v>
      </c>
      <c r="BS140" s="96">
        <f t="shared" si="138"/>
        <v>4.970189164930857E-2</v>
      </c>
      <c r="BT140" s="96">
        <f t="shared" si="138"/>
        <v>4.9662421604656372E-2</v>
      </c>
      <c r="BU140" s="96">
        <f t="shared" si="138"/>
        <v>4.963573943297598E-2</v>
      </c>
    </row>
    <row r="141" spans="1:89">
      <c r="A141" s="4" t="s">
        <v>102</v>
      </c>
      <c r="B141" s="97"/>
      <c r="C141" s="92">
        <v>0</v>
      </c>
      <c r="D141" s="92">
        <v>0</v>
      </c>
      <c r="E141" s="92">
        <v>0</v>
      </c>
      <c r="F141" s="92">
        <v>0</v>
      </c>
      <c r="G141" s="92">
        <v>0</v>
      </c>
      <c r="H141" s="92">
        <v>0</v>
      </c>
      <c r="I141" s="92">
        <v>0</v>
      </c>
      <c r="J141" s="92">
        <v>0</v>
      </c>
      <c r="K141" s="92">
        <v>0</v>
      </c>
      <c r="L141" s="92">
        <v>0</v>
      </c>
      <c r="M141" s="92">
        <v>0</v>
      </c>
      <c r="N141" s="92">
        <v>0</v>
      </c>
      <c r="O141" s="92">
        <v>0</v>
      </c>
      <c r="P141" s="92">
        <v>0</v>
      </c>
      <c r="Q141" s="92">
        <v>0</v>
      </c>
      <c r="R141" s="92">
        <v>0</v>
      </c>
      <c r="S141" s="92">
        <v>0</v>
      </c>
      <c r="T141" s="92">
        <v>0</v>
      </c>
      <c r="U141" s="92">
        <v>0</v>
      </c>
      <c r="V141" s="92">
        <v>0</v>
      </c>
      <c r="W141" s="92">
        <v>0</v>
      </c>
      <c r="X141" s="92">
        <v>0</v>
      </c>
      <c r="Y141" s="92">
        <v>0</v>
      </c>
      <c r="Z141" s="92">
        <v>0</v>
      </c>
      <c r="AA141" s="92">
        <v>0</v>
      </c>
      <c r="AB141" s="92">
        <v>0</v>
      </c>
      <c r="AC141" s="92">
        <v>0</v>
      </c>
      <c r="AD141" s="92">
        <v>0</v>
      </c>
      <c r="AE141" s="93">
        <v>0</v>
      </c>
      <c r="AF141" s="93">
        <v>0</v>
      </c>
      <c r="AG141" s="93">
        <v>0</v>
      </c>
      <c r="AH141" s="93">
        <v>0</v>
      </c>
      <c r="AI141" s="94">
        <v>8.0000000000000002E-3</v>
      </c>
      <c r="AJ141" s="94">
        <v>7.0999999999999994E-2</v>
      </c>
      <c r="AK141" s="94">
        <v>8.0000000000000002E-3</v>
      </c>
      <c r="AL141" s="94">
        <v>0</v>
      </c>
      <c r="AM141" s="94">
        <v>1.0049999999999999</v>
      </c>
      <c r="AN141" s="95">
        <v>7.3999999999999996E-2</v>
      </c>
      <c r="AO141" s="95">
        <v>1.0999999999999999E-2</v>
      </c>
      <c r="AP141" s="95">
        <v>2.9000000000000001E-2</v>
      </c>
      <c r="AQ141" s="95">
        <v>2.7E-2</v>
      </c>
      <c r="AR141" s="95">
        <v>2.7E-2</v>
      </c>
      <c r="AS141" s="95">
        <v>0</v>
      </c>
      <c r="AT141" s="95">
        <v>0</v>
      </c>
      <c r="AU141" s="95">
        <v>2.7E-2</v>
      </c>
      <c r="AV141" s="95">
        <v>6.5000000000000002E-2</v>
      </c>
      <c r="AW141" s="95">
        <v>2.5999999999999999E-2</v>
      </c>
      <c r="AX141" s="95">
        <v>4.1000000000000002E-2</v>
      </c>
      <c r="AY141" s="95">
        <v>0.03</v>
      </c>
      <c r="AZ141" s="95">
        <v>2E-3</v>
      </c>
      <c r="BA141" s="95">
        <v>0.02</v>
      </c>
      <c r="BB141" s="95">
        <v>0</v>
      </c>
      <c r="BC141" s="95">
        <v>8.0000000000000002E-3</v>
      </c>
      <c r="BD141" s="95">
        <v>0</v>
      </c>
      <c r="BE141" s="95">
        <v>5.3999999999999999E-2</v>
      </c>
      <c r="BF141" s="95">
        <v>2.7E-2</v>
      </c>
      <c r="BG141" s="95">
        <v>2.7E-2</v>
      </c>
      <c r="BH141" s="95">
        <v>3.4000000000000002E-2</v>
      </c>
      <c r="BI141" s="95">
        <v>2.7E-2</v>
      </c>
      <c r="BJ141" s="96">
        <f t="shared" si="136"/>
        <v>2.933333333333334E-2</v>
      </c>
      <c r="BK141" s="96">
        <f t="shared" si="137"/>
        <v>2.777777777777778E-2</v>
      </c>
      <c r="BL141" s="96">
        <f t="shared" si="138"/>
        <v>2.8037037037037037E-2</v>
      </c>
      <c r="BM141" s="96">
        <f t="shared" si="138"/>
        <v>2.8382716049382712E-2</v>
      </c>
      <c r="BN141" s="96">
        <f t="shared" si="138"/>
        <v>2.8065843621399186E-2</v>
      </c>
      <c r="BO141" s="96">
        <f t="shared" si="138"/>
        <v>2.8161865569272981E-2</v>
      </c>
      <c r="BP141" s="96">
        <f t="shared" si="138"/>
        <v>2.8088248742569738E-2</v>
      </c>
      <c r="BQ141" s="96">
        <f t="shared" si="138"/>
        <v>2.8105319311080634E-2</v>
      </c>
      <c r="BR141" s="96">
        <f t="shared" si="138"/>
        <v>2.8118477874307782E-2</v>
      </c>
      <c r="BS141" s="96">
        <f t="shared" si="138"/>
        <v>2.8104015309319382E-2</v>
      </c>
      <c r="BT141" s="96">
        <f t="shared" si="138"/>
        <v>2.8109270831569264E-2</v>
      </c>
      <c r="BU141" s="96">
        <f t="shared" si="138"/>
        <v>2.8106201817323099E-2</v>
      </c>
    </row>
    <row r="142" spans="1:89">
      <c r="A142" s="4" t="s">
        <v>103</v>
      </c>
      <c r="B142" s="97"/>
      <c r="C142" s="92">
        <v>0</v>
      </c>
      <c r="D142" s="92">
        <v>0</v>
      </c>
      <c r="E142" s="92">
        <v>0</v>
      </c>
      <c r="F142" s="92">
        <v>0</v>
      </c>
      <c r="G142" s="92">
        <v>0</v>
      </c>
      <c r="H142" s="92">
        <v>0</v>
      </c>
      <c r="I142" s="92">
        <v>0</v>
      </c>
      <c r="J142" s="92">
        <v>0</v>
      </c>
      <c r="K142" s="92">
        <v>0</v>
      </c>
      <c r="L142" s="92">
        <v>0</v>
      </c>
      <c r="M142" s="92">
        <v>0</v>
      </c>
      <c r="N142" s="92">
        <v>0</v>
      </c>
      <c r="O142" s="92">
        <v>0</v>
      </c>
      <c r="P142" s="92">
        <v>0</v>
      </c>
      <c r="Q142" s="92">
        <v>0</v>
      </c>
      <c r="R142" s="92">
        <v>0</v>
      </c>
      <c r="S142" s="92">
        <v>0</v>
      </c>
      <c r="T142" s="92">
        <v>0</v>
      </c>
      <c r="U142" s="92">
        <v>0</v>
      </c>
      <c r="V142" s="92">
        <v>0</v>
      </c>
      <c r="W142" s="92">
        <v>0</v>
      </c>
      <c r="X142" s="92">
        <v>0</v>
      </c>
      <c r="Y142" s="92">
        <v>0</v>
      </c>
      <c r="Z142" s="92">
        <v>0</v>
      </c>
      <c r="AA142" s="92">
        <v>0</v>
      </c>
      <c r="AB142" s="92">
        <v>0</v>
      </c>
      <c r="AC142" s="92">
        <v>0</v>
      </c>
      <c r="AD142" s="92">
        <v>0</v>
      </c>
      <c r="AE142" s="93">
        <v>0</v>
      </c>
      <c r="AF142" s="93">
        <v>0</v>
      </c>
      <c r="AG142" s="93">
        <v>0</v>
      </c>
      <c r="AH142" s="93">
        <v>0</v>
      </c>
      <c r="AI142" s="94">
        <v>7.2999999999999995E-2</v>
      </c>
      <c r="AJ142" s="94">
        <v>9.8000000000000004E-2</v>
      </c>
      <c r="AK142" s="94">
        <v>4.0000000000000001E-3</v>
      </c>
      <c r="AL142" s="94">
        <v>1E-3</v>
      </c>
      <c r="AM142" s="94">
        <v>0.92800000000000005</v>
      </c>
      <c r="AN142" s="95">
        <v>4.0000000000000001E-3</v>
      </c>
      <c r="AO142" s="95">
        <v>1.7999999999999999E-2</v>
      </c>
      <c r="AP142" s="95">
        <v>0.02</v>
      </c>
      <c r="AQ142" s="95">
        <v>1.9E-2</v>
      </c>
      <c r="AR142" s="95">
        <v>8.8999999999999996E-2</v>
      </c>
      <c r="AS142" s="95">
        <v>4.7E-2</v>
      </c>
      <c r="AT142" s="95">
        <v>0.27</v>
      </c>
      <c r="AU142" s="95">
        <v>0.26300000000000001</v>
      </c>
      <c r="AV142" s="95">
        <v>2.7E-2</v>
      </c>
      <c r="AW142" s="95">
        <v>2.3E-2</v>
      </c>
      <c r="AX142" s="95">
        <v>1.4E-2</v>
      </c>
      <c r="AY142" s="95">
        <v>0.02</v>
      </c>
      <c r="AZ142" s="95">
        <v>8.5000000000000006E-2</v>
      </c>
      <c r="BA142" s="95">
        <v>0.02</v>
      </c>
      <c r="BB142" s="95">
        <v>0.108</v>
      </c>
      <c r="BC142" s="95">
        <v>7.9000000000000001E-2</v>
      </c>
      <c r="BD142" s="95">
        <v>0</v>
      </c>
      <c r="BE142" s="95">
        <v>26.012</v>
      </c>
      <c r="BF142" s="95">
        <v>5.2999999999999999E-2</v>
      </c>
      <c r="BG142" s="95">
        <v>2.4E-2</v>
      </c>
      <c r="BH142" s="95">
        <v>15.77</v>
      </c>
      <c r="BI142" s="95">
        <v>0</v>
      </c>
      <c r="BJ142" s="96">
        <f t="shared" si="136"/>
        <v>5.2823333333333338</v>
      </c>
      <c r="BK142" s="96">
        <f t="shared" si="137"/>
        <v>1.7864444444444452</v>
      </c>
      <c r="BL142" s="96">
        <f t="shared" si="138"/>
        <v>2.3642592592592586</v>
      </c>
      <c r="BM142" s="96">
        <f t="shared" si="138"/>
        <v>3.1443456790123463</v>
      </c>
      <c r="BN142" s="96">
        <f t="shared" si="138"/>
        <v>2.4316831275720165</v>
      </c>
      <c r="BO142" s="96">
        <f t="shared" si="138"/>
        <v>2.6467626886145403</v>
      </c>
      <c r="BP142" s="96">
        <f t="shared" si="138"/>
        <v>2.4809016918152715</v>
      </c>
      <c r="BQ142" s="96">
        <f t="shared" si="138"/>
        <v>2.519782502667276</v>
      </c>
      <c r="BR142" s="96">
        <f t="shared" si="138"/>
        <v>2.5491489610323623</v>
      </c>
      <c r="BS142" s="96">
        <f t="shared" si="138"/>
        <v>2.5166110518383031</v>
      </c>
      <c r="BT142" s="96">
        <f t="shared" si="138"/>
        <v>2.5285141718459805</v>
      </c>
      <c r="BU142" s="96">
        <f t="shared" si="138"/>
        <v>2.5216359087838534</v>
      </c>
    </row>
    <row r="143" spans="1:89">
      <c r="A143" s="4" t="s">
        <v>104</v>
      </c>
      <c r="B143" s="97"/>
      <c r="C143" s="92">
        <v>0</v>
      </c>
      <c r="D143" s="92">
        <v>0</v>
      </c>
      <c r="E143" s="92">
        <v>0</v>
      </c>
      <c r="F143" s="92">
        <v>0</v>
      </c>
      <c r="G143" s="92">
        <v>0</v>
      </c>
      <c r="H143" s="92">
        <v>0</v>
      </c>
      <c r="I143" s="92">
        <v>0</v>
      </c>
      <c r="J143" s="92">
        <v>0</v>
      </c>
      <c r="K143" s="92">
        <v>0</v>
      </c>
      <c r="L143" s="92">
        <v>0</v>
      </c>
      <c r="M143" s="92">
        <v>0</v>
      </c>
      <c r="N143" s="92">
        <v>0</v>
      </c>
      <c r="O143" s="92">
        <v>0</v>
      </c>
      <c r="P143" s="92">
        <v>0</v>
      </c>
      <c r="Q143" s="92">
        <v>0</v>
      </c>
      <c r="R143" s="92">
        <v>0</v>
      </c>
      <c r="S143" s="92">
        <v>0</v>
      </c>
      <c r="T143" s="92">
        <v>0</v>
      </c>
      <c r="U143" s="92">
        <v>0</v>
      </c>
      <c r="V143" s="92">
        <v>0</v>
      </c>
      <c r="W143" s="92">
        <v>0</v>
      </c>
      <c r="X143" s="92">
        <v>0</v>
      </c>
      <c r="Y143" s="92">
        <v>0</v>
      </c>
      <c r="Z143" s="92">
        <v>0</v>
      </c>
      <c r="AA143" s="92">
        <v>0</v>
      </c>
      <c r="AB143" s="92">
        <v>0</v>
      </c>
      <c r="AC143" s="92">
        <v>0</v>
      </c>
      <c r="AD143" s="92">
        <v>0</v>
      </c>
      <c r="AE143" s="93">
        <v>0</v>
      </c>
      <c r="AF143" s="93">
        <v>0</v>
      </c>
      <c r="AG143" s="93">
        <v>0</v>
      </c>
      <c r="AH143" s="93">
        <v>0</v>
      </c>
      <c r="AI143" s="98">
        <v>8.8999999999999996E-2</v>
      </c>
      <c r="AJ143" s="94">
        <v>0.01</v>
      </c>
      <c r="AK143" s="94">
        <v>0.02</v>
      </c>
      <c r="AL143" s="94">
        <v>1.2E-2</v>
      </c>
      <c r="AM143" s="94">
        <v>3.1E-2</v>
      </c>
      <c r="AN143" s="95">
        <v>0</v>
      </c>
      <c r="AO143" s="95">
        <v>5.3999999999999999E-2</v>
      </c>
      <c r="AP143" s="95">
        <v>7.0000000000000001E-3</v>
      </c>
      <c r="AQ143" s="95">
        <v>0</v>
      </c>
      <c r="AR143" s="95">
        <v>5.0999999999999997E-2</v>
      </c>
      <c r="AS143" s="95">
        <v>3.9E-2</v>
      </c>
      <c r="AT143" s="95">
        <v>0.38300000000000001</v>
      </c>
      <c r="AU143" s="95">
        <v>0.17899999999999999</v>
      </c>
      <c r="AV143" s="95">
        <v>0</v>
      </c>
      <c r="AW143" s="95">
        <v>4.3999999999999997E-2</v>
      </c>
      <c r="AX143" s="95">
        <v>2.7E-2</v>
      </c>
      <c r="AY143" s="95">
        <v>3.5999999999999997E-2</v>
      </c>
      <c r="AZ143" s="95">
        <v>0.02</v>
      </c>
      <c r="BA143" s="95">
        <v>4.3999999999999997E-2</v>
      </c>
      <c r="BB143" s="95">
        <v>6.0000000000000001E-3</v>
      </c>
      <c r="BC143" s="95">
        <v>0</v>
      </c>
      <c r="BD143" s="95">
        <v>0</v>
      </c>
      <c r="BE143" s="95">
        <v>6.2E-2</v>
      </c>
      <c r="BF143" s="95">
        <v>3.3000000000000002E-2</v>
      </c>
      <c r="BG143" s="95">
        <v>3.3000000000000002E-2</v>
      </c>
      <c r="BH143" s="95">
        <v>58.46</v>
      </c>
      <c r="BI143" s="95">
        <v>0.23599999999999999</v>
      </c>
      <c r="BJ143" s="96">
        <f t="shared" si="136"/>
        <v>0.1103333333333324</v>
      </c>
      <c r="BK143" s="96">
        <f t="shared" si="137"/>
        <v>0.12644444444444305</v>
      </c>
      <c r="BL143" s="96">
        <f t="shared" si="138"/>
        <v>0.15759259259259098</v>
      </c>
      <c r="BM143" s="96">
        <f t="shared" si="138"/>
        <v>0.1733456790123441</v>
      </c>
      <c r="BN143" s="96">
        <f t="shared" si="138"/>
        <v>0.1524609053497927</v>
      </c>
      <c r="BO143" s="96">
        <f t="shared" si="138"/>
        <v>0.14549931412894224</v>
      </c>
      <c r="BP143" s="96">
        <f t="shared" si="138"/>
        <v>0.15185093735710864</v>
      </c>
      <c r="BQ143" s="96">
        <f t="shared" si="138"/>
        <v>0.15396814509983078</v>
      </c>
      <c r="BR143" s="96">
        <f t="shared" si="138"/>
        <v>0.1527599959355774</v>
      </c>
      <c r="BS143" s="96">
        <f t="shared" si="138"/>
        <v>0.15235727954749292</v>
      </c>
      <c r="BT143" s="96">
        <f t="shared" si="138"/>
        <v>0.15232273761339299</v>
      </c>
      <c r="BU143" s="96">
        <f t="shared" si="138"/>
        <v>0.15248000436548778</v>
      </c>
    </row>
    <row r="144" spans="1:89">
      <c r="A144" s="4" t="s">
        <v>105</v>
      </c>
      <c r="B144" s="97"/>
      <c r="C144" s="92">
        <v>0</v>
      </c>
      <c r="D144" s="92">
        <v>0</v>
      </c>
      <c r="E144" s="92">
        <v>0</v>
      </c>
      <c r="F144" s="92">
        <v>0</v>
      </c>
      <c r="G144" s="92">
        <v>0</v>
      </c>
      <c r="H144" s="92">
        <v>0</v>
      </c>
      <c r="I144" s="92">
        <v>0</v>
      </c>
      <c r="J144" s="92">
        <v>0</v>
      </c>
      <c r="K144" s="92">
        <v>0</v>
      </c>
      <c r="L144" s="92">
        <v>0</v>
      </c>
      <c r="M144" s="92">
        <v>0</v>
      </c>
      <c r="N144" s="92">
        <v>0</v>
      </c>
      <c r="O144" s="92">
        <v>0</v>
      </c>
      <c r="P144" s="92">
        <v>0</v>
      </c>
      <c r="Q144" s="92">
        <v>0</v>
      </c>
      <c r="R144" s="92">
        <v>0</v>
      </c>
      <c r="S144" s="92">
        <v>0</v>
      </c>
      <c r="T144" s="92">
        <v>0</v>
      </c>
      <c r="U144" s="92">
        <v>0</v>
      </c>
      <c r="V144" s="92">
        <v>0</v>
      </c>
      <c r="W144" s="92">
        <v>0</v>
      </c>
      <c r="X144" s="92">
        <v>0</v>
      </c>
      <c r="Y144" s="92">
        <v>0</v>
      </c>
      <c r="Z144" s="92">
        <v>0</v>
      </c>
      <c r="AA144" s="92">
        <v>0</v>
      </c>
      <c r="AB144" s="92">
        <v>0</v>
      </c>
      <c r="AC144" s="92">
        <v>0</v>
      </c>
      <c r="AD144" s="92">
        <v>0</v>
      </c>
      <c r="AE144" s="93">
        <v>0</v>
      </c>
      <c r="AF144" s="93">
        <v>0</v>
      </c>
      <c r="AG144" s="93">
        <v>0</v>
      </c>
      <c r="AH144" s="93">
        <v>0</v>
      </c>
      <c r="AI144" s="94">
        <v>0.06</v>
      </c>
      <c r="AJ144" s="94">
        <v>5.2999999999999999E-2</v>
      </c>
      <c r="AK144" s="94">
        <v>1.2E-2</v>
      </c>
      <c r="AL144" s="94">
        <v>4.8000000000000001E-2</v>
      </c>
      <c r="AM144" s="94">
        <v>1.0999999999999999E-2</v>
      </c>
      <c r="AN144" s="95">
        <v>4.0000000000000001E-3</v>
      </c>
      <c r="AO144" s="95">
        <v>2.3E-2</v>
      </c>
      <c r="AP144" s="95">
        <v>1.159</v>
      </c>
      <c r="AQ144" s="95">
        <v>3.7999999999999999E-2</v>
      </c>
      <c r="AR144" s="95">
        <v>2.9000000000000001E-2</v>
      </c>
      <c r="AS144" s="95">
        <v>0.19500000000000001</v>
      </c>
      <c r="AT144" s="95">
        <v>0.51100000000000001</v>
      </c>
      <c r="AU144" s="95">
        <v>0</v>
      </c>
      <c r="AV144" s="95">
        <v>0</v>
      </c>
      <c r="AW144" s="95">
        <v>2.9000000000000001E-2</v>
      </c>
      <c r="AX144" s="95">
        <v>2.3E-2</v>
      </c>
      <c r="AY144" s="95">
        <v>2.3E-2</v>
      </c>
      <c r="AZ144" s="95">
        <v>0</v>
      </c>
      <c r="BA144" s="95">
        <v>2.5999999999999999E-2</v>
      </c>
      <c r="BB144" s="95">
        <v>4.2999999999999997E-2</v>
      </c>
      <c r="BC144" s="95">
        <v>5.0999999999999997E-2</v>
      </c>
      <c r="BD144" s="95">
        <v>0</v>
      </c>
      <c r="BE144" s="95">
        <v>2.5999999999999999E-2</v>
      </c>
      <c r="BF144" s="95">
        <v>2.7E-2</v>
      </c>
      <c r="BG144" s="95">
        <v>1E-3</v>
      </c>
      <c r="BH144" s="95">
        <v>38.029000000000003</v>
      </c>
      <c r="BI144" s="95">
        <v>0.33</v>
      </c>
      <c r="BJ144" s="96">
        <f t="shared" si="136"/>
        <v>0.12766666666666679</v>
      </c>
      <c r="BK144" s="96">
        <f t="shared" si="137"/>
        <v>0.16155555555555565</v>
      </c>
      <c r="BL144" s="96">
        <f t="shared" si="138"/>
        <v>0.20640740740740823</v>
      </c>
      <c r="BM144" s="96">
        <f t="shared" si="138"/>
        <v>0.23265432098765718</v>
      </c>
      <c r="BN144" s="96">
        <f t="shared" si="138"/>
        <v>0.20020576131687365</v>
      </c>
      <c r="BO144" s="96">
        <f t="shared" si="138"/>
        <v>0.18938957475994581</v>
      </c>
      <c r="BP144" s="96">
        <f t="shared" si="138"/>
        <v>0.19866758116140923</v>
      </c>
      <c r="BQ144" s="96">
        <f t="shared" si="138"/>
        <v>0.20176024996189704</v>
      </c>
      <c r="BR144" s="96">
        <f t="shared" si="138"/>
        <v>0.20021119748006</v>
      </c>
      <c r="BS144" s="96">
        <f t="shared" si="138"/>
        <v>0.19969484665278095</v>
      </c>
      <c r="BT144" s="96">
        <f t="shared" si="138"/>
        <v>0.19952454176475007</v>
      </c>
      <c r="BU144" s="96">
        <f t="shared" si="138"/>
        <v>0.199810195299197</v>
      </c>
    </row>
    <row r="145" spans="1:73">
      <c r="A145" s="4" t="s">
        <v>106</v>
      </c>
      <c r="B145" s="97"/>
      <c r="C145" s="92">
        <v>0</v>
      </c>
      <c r="D145" s="92">
        <v>0</v>
      </c>
      <c r="E145" s="92">
        <v>0</v>
      </c>
      <c r="F145" s="92">
        <v>0</v>
      </c>
      <c r="G145" s="92">
        <v>0</v>
      </c>
      <c r="H145" s="92">
        <v>0</v>
      </c>
      <c r="I145" s="92">
        <v>0</v>
      </c>
      <c r="J145" s="92">
        <v>0</v>
      </c>
      <c r="K145" s="92">
        <v>0</v>
      </c>
      <c r="L145" s="92">
        <v>0</v>
      </c>
      <c r="M145" s="92">
        <v>0</v>
      </c>
      <c r="N145" s="92">
        <v>0</v>
      </c>
      <c r="O145" s="92">
        <v>0</v>
      </c>
      <c r="P145" s="92">
        <v>0</v>
      </c>
      <c r="Q145" s="92">
        <v>0</v>
      </c>
      <c r="R145" s="92">
        <v>0</v>
      </c>
      <c r="S145" s="92">
        <v>0</v>
      </c>
      <c r="T145" s="92">
        <v>0</v>
      </c>
      <c r="U145" s="92">
        <v>0</v>
      </c>
      <c r="V145" s="92">
        <v>0</v>
      </c>
      <c r="W145" s="92">
        <v>0</v>
      </c>
      <c r="X145" s="92">
        <v>0</v>
      </c>
      <c r="Y145" s="92">
        <v>0</v>
      </c>
      <c r="Z145" s="92">
        <v>0</v>
      </c>
      <c r="AA145" s="92">
        <v>0</v>
      </c>
      <c r="AB145" s="92">
        <v>0</v>
      </c>
      <c r="AC145" s="92">
        <v>0</v>
      </c>
      <c r="AD145" s="92">
        <v>0</v>
      </c>
      <c r="AE145" s="93">
        <v>0</v>
      </c>
      <c r="AF145" s="93">
        <v>0</v>
      </c>
      <c r="AG145" s="93">
        <v>0</v>
      </c>
      <c r="AH145" s="93">
        <v>0</v>
      </c>
      <c r="AI145" s="94">
        <v>7.0000000000000007E-2</v>
      </c>
      <c r="AJ145" s="94">
        <v>4.2999999999999997E-2</v>
      </c>
      <c r="AK145" s="94">
        <v>0.03</v>
      </c>
      <c r="AL145" s="94">
        <v>0.05</v>
      </c>
      <c r="AM145" s="94">
        <v>3.1E-2</v>
      </c>
      <c r="AN145" s="95">
        <v>0.04</v>
      </c>
      <c r="AO145" s="95">
        <v>4.7E-2</v>
      </c>
      <c r="AP145" s="95">
        <v>1.7999999999999999E-2</v>
      </c>
      <c r="AQ145" s="95">
        <v>1.9E-2</v>
      </c>
      <c r="AR145" s="95">
        <v>2.5000000000000001E-2</v>
      </c>
      <c r="AS145" s="95">
        <v>0.47599999999999998</v>
      </c>
      <c r="AT145" s="95">
        <v>0.183</v>
      </c>
      <c r="AU145" s="95">
        <v>3.9E-2</v>
      </c>
      <c r="AV145" s="95">
        <v>6.5000000000000002E-2</v>
      </c>
      <c r="AW145" s="95">
        <v>0</v>
      </c>
      <c r="AX145" s="95">
        <v>4.2999999999999997E-2</v>
      </c>
      <c r="AY145" s="95">
        <v>6.0999999999999999E-2</v>
      </c>
      <c r="AZ145" s="95">
        <v>2.5999999999999999E-2</v>
      </c>
      <c r="BA145" s="95">
        <v>0.54</v>
      </c>
      <c r="BB145" s="95">
        <v>0</v>
      </c>
      <c r="BC145" s="95">
        <v>3.4000000000000002E-2</v>
      </c>
      <c r="BD145" s="95">
        <v>0</v>
      </c>
      <c r="BE145" s="95">
        <v>4.1000000000000002E-2</v>
      </c>
      <c r="BF145" s="95">
        <v>2.5999999999999999E-2</v>
      </c>
      <c r="BG145" s="95">
        <v>7.2999999999999995E-2</v>
      </c>
      <c r="BH145" s="95">
        <v>21.927</v>
      </c>
      <c r="BI145" s="95">
        <v>0.38</v>
      </c>
      <c r="BJ145" s="96">
        <f t="shared" si="136"/>
        <v>0.16466666666666652</v>
      </c>
      <c r="BK145" s="96">
        <f t="shared" si="137"/>
        <v>0.20588888888888821</v>
      </c>
      <c r="BL145" s="96">
        <f t="shared" si="138"/>
        <v>0.25018518518518479</v>
      </c>
      <c r="BM145" s="96">
        <f t="shared" si="138"/>
        <v>0.27869135802469064</v>
      </c>
      <c r="BN145" s="96">
        <f t="shared" si="138"/>
        <v>0.24492181069958788</v>
      </c>
      <c r="BO145" s="96">
        <f t="shared" si="138"/>
        <v>0.2336652949245536</v>
      </c>
      <c r="BP145" s="96">
        <f t="shared" si="138"/>
        <v>0.2429240969364421</v>
      </c>
      <c r="BQ145" s="96">
        <f t="shared" si="138"/>
        <v>0.24601036427373832</v>
      </c>
      <c r="BR145" s="96">
        <f t="shared" si="138"/>
        <v>0.24461875730325613</v>
      </c>
      <c r="BS145" s="96">
        <f t="shared" si="138"/>
        <v>0.2441548883130954</v>
      </c>
      <c r="BT145" s="96">
        <f t="shared" si="138"/>
        <v>0.24389924751759787</v>
      </c>
      <c r="BU145" s="96">
        <f t="shared" si="138"/>
        <v>0.24422429771131648</v>
      </c>
    </row>
    <row r="146" spans="1:73">
      <c r="A146" s="4" t="s">
        <v>107</v>
      </c>
      <c r="B146" s="97"/>
      <c r="C146" s="92">
        <v>0</v>
      </c>
      <c r="D146" s="92">
        <v>0</v>
      </c>
      <c r="E146" s="92">
        <v>0</v>
      </c>
      <c r="F146" s="92">
        <v>0</v>
      </c>
      <c r="G146" s="92">
        <v>0</v>
      </c>
      <c r="H146" s="92">
        <v>0</v>
      </c>
      <c r="I146" s="92">
        <v>0</v>
      </c>
      <c r="J146" s="92">
        <v>0</v>
      </c>
      <c r="K146" s="92">
        <v>0</v>
      </c>
      <c r="L146" s="92">
        <v>0</v>
      </c>
      <c r="M146" s="92">
        <v>0</v>
      </c>
      <c r="N146" s="92">
        <v>0</v>
      </c>
      <c r="O146" s="92">
        <v>0</v>
      </c>
      <c r="P146" s="92">
        <v>0</v>
      </c>
      <c r="Q146" s="92">
        <v>0</v>
      </c>
      <c r="R146" s="92">
        <v>0</v>
      </c>
      <c r="S146" s="92">
        <v>0</v>
      </c>
      <c r="T146" s="92">
        <v>0</v>
      </c>
      <c r="U146" s="92">
        <v>0</v>
      </c>
      <c r="V146" s="92">
        <v>0</v>
      </c>
      <c r="W146" s="92">
        <v>0</v>
      </c>
      <c r="X146" s="92">
        <v>0</v>
      </c>
      <c r="Y146" s="92">
        <v>0</v>
      </c>
      <c r="Z146" s="92">
        <v>0</v>
      </c>
      <c r="AA146" s="92">
        <v>0</v>
      </c>
      <c r="AB146" s="92">
        <v>0</v>
      </c>
      <c r="AC146" s="92">
        <v>0</v>
      </c>
      <c r="AD146" s="92">
        <v>0</v>
      </c>
      <c r="AE146" s="93">
        <v>0</v>
      </c>
      <c r="AF146" s="93">
        <v>0</v>
      </c>
      <c r="AG146" s="93">
        <v>0</v>
      </c>
      <c r="AH146" s="93">
        <v>0</v>
      </c>
      <c r="AI146" s="94">
        <v>8.5999999999999993E-2</v>
      </c>
      <c r="AJ146" s="94">
        <v>4.4999999999999998E-2</v>
      </c>
      <c r="AK146" s="94">
        <v>1.9E-2</v>
      </c>
      <c r="AL146" s="94">
        <v>1.7000000000000001E-2</v>
      </c>
      <c r="AM146" s="95">
        <v>1.4999999999999999E-2</v>
      </c>
      <c r="AN146" s="95">
        <v>0.02</v>
      </c>
      <c r="AO146" s="95">
        <v>0</v>
      </c>
      <c r="AP146" s="95">
        <v>2.8000000000000001E-2</v>
      </c>
      <c r="AQ146" s="95">
        <v>5.2999999999999999E-2</v>
      </c>
      <c r="AR146" s="95">
        <v>4.3999999999999997E-2</v>
      </c>
      <c r="AS146" s="95">
        <v>0.88100000000000001</v>
      </c>
      <c r="AT146" s="95">
        <v>0.63500000000000001</v>
      </c>
      <c r="AU146" s="95">
        <v>0.39200000000000002</v>
      </c>
      <c r="AV146" s="95">
        <v>5.6000000000000001E-2</v>
      </c>
      <c r="AW146" s="95">
        <v>7.6999999999999999E-2</v>
      </c>
      <c r="AX146" s="95">
        <v>2.5000000000000001E-2</v>
      </c>
      <c r="AY146" s="95">
        <v>7.0000000000000001E-3</v>
      </c>
      <c r="AZ146" s="95">
        <v>1.9E-2</v>
      </c>
      <c r="BA146" s="95">
        <v>6.5000000000000002E-2</v>
      </c>
      <c r="BB146" s="95">
        <v>0</v>
      </c>
      <c r="BC146" s="95">
        <v>2E-3</v>
      </c>
      <c r="BD146" s="95">
        <v>6.0999999999999999E-2</v>
      </c>
      <c r="BE146" s="95">
        <v>0.1</v>
      </c>
      <c r="BF146" s="95">
        <v>0</v>
      </c>
      <c r="BG146" s="95">
        <v>0</v>
      </c>
      <c r="BH146" s="95">
        <v>34.237000000000002</v>
      </c>
      <c r="BI146" s="95">
        <v>0.30599999999999999</v>
      </c>
      <c r="BJ146" s="96">
        <f t="shared" si="136"/>
        <v>0.13533333333333294</v>
      </c>
      <c r="BK146" s="96">
        <f t="shared" si="137"/>
        <v>0.14711111111111089</v>
      </c>
      <c r="BL146" s="96">
        <f t="shared" si="138"/>
        <v>0.19614814814814707</v>
      </c>
      <c r="BM146" s="96">
        <f t="shared" si="138"/>
        <v>0.21641975308641845</v>
      </c>
      <c r="BN146" s="96">
        <f t="shared" si="138"/>
        <v>0.18655967078189206</v>
      </c>
      <c r="BO146" s="96">
        <f t="shared" si="138"/>
        <v>0.17660631001371666</v>
      </c>
      <c r="BP146" s="96">
        <f t="shared" si="138"/>
        <v>0.18643804298125191</v>
      </c>
      <c r="BQ146" s="96">
        <f t="shared" si="138"/>
        <v>0.18971528730376366</v>
      </c>
      <c r="BR146" s="96">
        <f t="shared" si="138"/>
        <v>0.18757100035563587</v>
      </c>
      <c r="BS146" s="96">
        <f t="shared" si="138"/>
        <v>0.18685623803959328</v>
      </c>
      <c r="BT146" s="96">
        <f t="shared" si="138"/>
        <v>0.18695509379216038</v>
      </c>
      <c r="BU146" s="96">
        <f t="shared" si="138"/>
        <v>0.18712744406246318</v>
      </c>
    </row>
    <row r="147" spans="1:73">
      <c r="A147" s="4" t="s">
        <v>108</v>
      </c>
      <c r="B147" s="97"/>
      <c r="C147" s="92">
        <v>0</v>
      </c>
      <c r="D147" s="92">
        <v>0</v>
      </c>
      <c r="E147" s="92">
        <v>0</v>
      </c>
      <c r="F147" s="92">
        <v>0</v>
      </c>
      <c r="G147" s="92">
        <v>0</v>
      </c>
      <c r="H147" s="92">
        <v>0</v>
      </c>
      <c r="I147" s="92">
        <v>0</v>
      </c>
      <c r="J147" s="92">
        <v>0</v>
      </c>
      <c r="K147" s="92">
        <v>0</v>
      </c>
      <c r="L147" s="92">
        <v>0</v>
      </c>
      <c r="M147" s="92">
        <v>0</v>
      </c>
      <c r="N147" s="92">
        <v>0</v>
      </c>
      <c r="O147" s="92">
        <v>0</v>
      </c>
      <c r="P147" s="92">
        <v>0</v>
      </c>
      <c r="Q147" s="92">
        <v>0</v>
      </c>
      <c r="R147" s="92">
        <v>0</v>
      </c>
      <c r="S147" s="92">
        <v>0</v>
      </c>
      <c r="T147" s="92">
        <v>0</v>
      </c>
      <c r="U147" s="92">
        <v>0</v>
      </c>
      <c r="V147" s="92">
        <v>0</v>
      </c>
      <c r="W147" s="92">
        <v>0</v>
      </c>
      <c r="X147" s="92">
        <v>0</v>
      </c>
      <c r="Y147" s="92">
        <v>0</v>
      </c>
      <c r="Z147" s="92">
        <v>0</v>
      </c>
      <c r="AA147" s="92">
        <v>0</v>
      </c>
      <c r="AB147" s="92">
        <v>0</v>
      </c>
      <c r="AC147" s="92">
        <v>0</v>
      </c>
      <c r="AD147" s="92">
        <v>0</v>
      </c>
      <c r="AE147" s="93">
        <v>0</v>
      </c>
      <c r="AF147" s="93">
        <v>0</v>
      </c>
      <c r="AG147" s="93">
        <v>0</v>
      </c>
      <c r="AH147" s="93">
        <v>0</v>
      </c>
      <c r="AI147" s="94">
        <v>7.5999999999999998E-2</v>
      </c>
      <c r="AJ147" s="94">
        <v>1.2E-2</v>
      </c>
      <c r="AK147" s="94">
        <v>8.9999999999999993E-3</v>
      </c>
      <c r="AL147" s="94">
        <v>1.2E-2</v>
      </c>
      <c r="AM147" s="95">
        <v>2.5000000000000001E-2</v>
      </c>
      <c r="AN147" s="95">
        <v>1.2999999999999999E-2</v>
      </c>
      <c r="AO147" s="95">
        <v>2.3E-2</v>
      </c>
      <c r="AP147" s="95">
        <v>2.9000000000000001E-2</v>
      </c>
      <c r="AQ147" s="95">
        <v>9.4E-2</v>
      </c>
      <c r="AR147" s="95">
        <v>0</v>
      </c>
      <c r="AS147" s="95">
        <v>0.45600000000000002</v>
      </c>
      <c r="AT147" s="95">
        <v>0.35499999999999998</v>
      </c>
      <c r="AU147" s="95">
        <v>1.091</v>
      </c>
      <c r="AV147" s="95">
        <v>2.5999999999999999E-2</v>
      </c>
      <c r="AW147" s="95">
        <v>0</v>
      </c>
      <c r="AX147" s="95">
        <v>0.01</v>
      </c>
      <c r="AY147" s="95">
        <v>0.05</v>
      </c>
      <c r="AZ147" s="95">
        <v>3.5000000000000003E-2</v>
      </c>
      <c r="BA147" s="95">
        <v>0</v>
      </c>
      <c r="BB147" s="95">
        <v>2.8000000000000001E-2</v>
      </c>
      <c r="BC147" s="95">
        <v>5.8000000000000003E-2</v>
      </c>
      <c r="BD147" s="95">
        <v>0</v>
      </c>
      <c r="BE147" s="95">
        <v>3.5999999999999997E-2</v>
      </c>
      <c r="BF147" s="95">
        <v>3.3000000000000002E-2</v>
      </c>
      <c r="BG147" s="95">
        <v>2.5000000000000001E-2</v>
      </c>
      <c r="BH147" s="95">
        <v>2.7E-2</v>
      </c>
      <c r="BI147" s="96">
        <f>(SUM(BD147:BH147)-MAX(BD147:BH147)-MIN(BD147:BH147))/3</f>
        <v>2.8333333333333332E-2</v>
      </c>
      <c r="BJ147" s="96">
        <f t="shared" si="136"/>
        <v>2.944444444444444E-2</v>
      </c>
      <c r="BK147" s="96">
        <f t="shared" si="137"/>
        <v>2.8259259259259262E-2</v>
      </c>
      <c r="BL147" s="96">
        <f t="shared" si="138"/>
        <v>2.7864197530864204E-2</v>
      </c>
      <c r="BM147" s="96">
        <f t="shared" si="138"/>
        <v>2.8152263374485603E-2</v>
      </c>
      <c r="BN147" s="96">
        <f t="shared" si="138"/>
        <v>2.8248285322359398E-2</v>
      </c>
      <c r="BO147" s="96">
        <f t="shared" si="138"/>
        <v>2.8219935985368091E-2</v>
      </c>
      <c r="BP147" s="96">
        <f t="shared" ref="BP147:BU151" si="139">(SUM(BK147:BO147)-MAX(BK147:BO147)-MIN(BK147:BO147))/3</f>
        <v>2.8206828227404366E-2</v>
      </c>
      <c r="BQ147" s="96">
        <f t="shared" si="139"/>
        <v>2.8193009195752686E-2</v>
      </c>
      <c r="BR147" s="96">
        <f t="shared" si="139"/>
        <v>2.8206591136175043E-2</v>
      </c>
      <c r="BS147" s="96">
        <f t="shared" si="139"/>
        <v>2.8211118449649169E-2</v>
      </c>
      <c r="BT147" s="96">
        <f t="shared" si="139"/>
        <v>2.8208179271076189E-2</v>
      </c>
      <c r="BU147" s="96">
        <f t="shared" si="139"/>
        <v>2.8207199544885195E-2</v>
      </c>
    </row>
    <row r="148" spans="1:73">
      <c r="A148" s="4" t="s">
        <v>109</v>
      </c>
      <c r="B148" s="97"/>
      <c r="C148" s="92">
        <v>0</v>
      </c>
      <c r="D148" s="92">
        <v>0</v>
      </c>
      <c r="E148" s="92">
        <v>0</v>
      </c>
      <c r="F148" s="92">
        <v>0</v>
      </c>
      <c r="G148" s="92">
        <v>0</v>
      </c>
      <c r="H148" s="92">
        <v>0</v>
      </c>
      <c r="I148" s="92">
        <v>0</v>
      </c>
      <c r="J148" s="92">
        <v>0</v>
      </c>
      <c r="K148" s="92">
        <v>0</v>
      </c>
      <c r="L148" s="92">
        <v>0</v>
      </c>
      <c r="M148" s="92">
        <v>0</v>
      </c>
      <c r="N148" s="92">
        <v>0</v>
      </c>
      <c r="O148" s="92">
        <v>0</v>
      </c>
      <c r="P148" s="92">
        <v>0</v>
      </c>
      <c r="Q148" s="92">
        <v>0</v>
      </c>
      <c r="R148" s="92">
        <v>0</v>
      </c>
      <c r="S148" s="92">
        <v>0</v>
      </c>
      <c r="T148" s="92">
        <v>0</v>
      </c>
      <c r="U148" s="92">
        <v>0</v>
      </c>
      <c r="V148" s="92">
        <v>0</v>
      </c>
      <c r="W148" s="92">
        <v>0</v>
      </c>
      <c r="X148" s="92">
        <v>0</v>
      </c>
      <c r="Y148" s="92">
        <v>0</v>
      </c>
      <c r="Z148" s="92">
        <v>0</v>
      </c>
      <c r="AA148" s="92">
        <v>0</v>
      </c>
      <c r="AB148" s="92">
        <v>0</v>
      </c>
      <c r="AC148" s="92">
        <v>0</v>
      </c>
      <c r="AD148" s="92">
        <v>0</v>
      </c>
      <c r="AE148" s="93">
        <v>0</v>
      </c>
      <c r="AF148" s="93">
        <v>0</v>
      </c>
      <c r="AG148" s="93">
        <v>0</v>
      </c>
      <c r="AH148" s="93">
        <v>0</v>
      </c>
      <c r="AI148" s="94">
        <v>2.8000000000000001E-2</v>
      </c>
      <c r="AJ148" s="94">
        <v>4.3999999999999997E-2</v>
      </c>
      <c r="AK148" s="94">
        <v>1.9E-2</v>
      </c>
      <c r="AL148" s="94">
        <v>1.0999999999999999E-2</v>
      </c>
      <c r="AM148" s="95">
        <v>0.01</v>
      </c>
      <c r="AN148" s="95">
        <v>6.0000000000000001E-3</v>
      </c>
      <c r="AO148" s="95">
        <v>3.5999999999999997E-2</v>
      </c>
      <c r="AP148" s="95">
        <v>0.08</v>
      </c>
      <c r="AQ148" s="95">
        <v>9.0999999999999998E-2</v>
      </c>
      <c r="AR148" s="95">
        <v>3.9E-2</v>
      </c>
      <c r="AS148" s="95">
        <v>0.33500000000000002</v>
      </c>
      <c r="AT148" s="95">
        <v>2.7E-2</v>
      </c>
      <c r="AU148" s="95">
        <v>0.33600000000000002</v>
      </c>
      <c r="AV148" s="95">
        <v>1.9E-2</v>
      </c>
      <c r="AW148" s="95">
        <v>0</v>
      </c>
      <c r="AX148" s="95">
        <v>1.6E-2</v>
      </c>
      <c r="AY148" s="95">
        <v>2.3E-2</v>
      </c>
      <c r="AZ148" s="95">
        <v>2.5999999999999999E-2</v>
      </c>
      <c r="BA148" s="95">
        <v>0</v>
      </c>
      <c r="BB148" s="95">
        <v>7.0000000000000001E-3</v>
      </c>
      <c r="BC148" s="95">
        <v>8.0000000000000002E-3</v>
      </c>
      <c r="BD148" s="95">
        <v>0</v>
      </c>
      <c r="BE148" s="95">
        <v>0</v>
      </c>
      <c r="BF148" s="95">
        <v>0</v>
      </c>
      <c r="BG148" s="95">
        <v>2.7E-2</v>
      </c>
      <c r="BH148" s="95">
        <v>0</v>
      </c>
      <c r="BI148" s="96">
        <f>(SUM(BD148:BH148)-MAX(BD148:BH148)-MIN(BD148:BH148))/3</f>
        <v>0</v>
      </c>
      <c r="BJ148" s="96">
        <f t="shared" si="136"/>
        <v>0</v>
      </c>
      <c r="BK148" s="96">
        <f t="shared" si="137"/>
        <v>0</v>
      </c>
      <c r="BL148" s="96">
        <f t="shared" si="138"/>
        <v>0</v>
      </c>
      <c r="BM148" s="96">
        <f t="shared" si="138"/>
        <v>0</v>
      </c>
      <c r="BN148" s="96">
        <f t="shared" si="138"/>
        <v>0</v>
      </c>
      <c r="BO148" s="96">
        <f t="shared" si="138"/>
        <v>0</v>
      </c>
      <c r="BP148" s="96">
        <f t="shared" si="139"/>
        <v>0</v>
      </c>
      <c r="BQ148" s="96">
        <f t="shared" si="139"/>
        <v>0</v>
      </c>
      <c r="BR148" s="96">
        <f t="shared" si="139"/>
        <v>0</v>
      </c>
      <c r="BS148" s="96">
        <f t="shared" si="139"/>
        <v>0</v>
      </c>
      <c r="BT148" s="96">
        <f t="shared" si="139"/>
        <v>0</v>
      </c>
      <c r="BU148" s="96">
        <f t="shared" si="139"/>
        <v>0</v>
      </c>
    </row>
    <row r="149" spans="1:73">
      <c r="A149" s="4" t="s">
        <v>110</v>
      </c>
      <c r="B149" s="97"/>
      <c r="C149" s="92">
        <v>0</v>
      </c>
      <c r="D149" s="92">
        <v>0</v>
      </c>
      <c r="E149" s="92">
        <v>0</v>
      </c>
      <c r="F149" s="92">
        <v>0</v>
      </c>
      <c r="G149" s="92">
        <v>0</v>
      </c>
      <c r="H149" s="92">
        <v>0</v>
      </c>
      <c r="I149" s="92">
        <v>0</v>
      </c>
      <c r="J149" s="92">
        <v>0</v>
      </c>
      <c r="K149" s="92">
        <v>0</v>
      </c>
      <c r="L149" s="92">
        <v>0</v>
      </c>
      <c r="M149" s="92">
        <v>0</v>
      </c>
      <c r="N149" s="92">
        <v>0</v>
      </c>
      <c r="O149" s="92">
        <v>0</v>
      </c>
      <c r="P149" s="92">
        <v>0</v>
      </c>
      <c r="Q149" s="92">
        <v>0</v>
      </c>
      <c r="R149" s="92">
        <v>0</v>
      </c>
      <c r="S149" s="92">
        <v>0</v>
      </c>
      <c r="T149" s="92">
        <v>0</v>
      </c>
      <c r="U149" s="92">
        <v>0</v>
      </c>
      <c r="V149" s="92">
        <v>0</v>
      </c>
      <c r="W149" s="92">
        <v>0</v>
      </c>
      <c r="X149" s="92">
        <v>0</v>
      </c>
      <c r="Y149" s="92">
        <v>0</v>
      </c>
      <c r="Z149" s="92">
        <v>0</v>
      </c>
      <c r="AA149" s="92">
        <v>0</v>
      </c>
      <c r="AB149" s="92">
        <v>0</v>
      </c>
      <c r="AC149" s="92">
        <v>0</v>
      </c>
      <c r="AD149" s="92">
        <v>0</v>
      </c>
      <c r="AE149" s="93">
        <v>0</v>
      </c>
      <c r="AF149" s="93">
        <v>0</v>
      </c>
      <c r="AG149" s="93">
        <v>0</v>
      </c>
      <c r="AH149" s="93">
        <v>0</v>
      </c>
      <c r="AI149" s="94">
        <v>7.0000000000000007E-2</v>
      </c>
      <c r="AJ149" s="94">
        <v>0.04</v>
      </c>
      <c r="AK149" s="94">
        <v>2.1000000000000001E-2</v>
      </c>
      <c r="AL149" s="94">
        <v>6.0000000000000001E-3</v>
      </c>
      <c r="AM149" s="95">
        <v>1.4999999999999999E-2</v>
      </c>
      <c r="AN149" s="95">
        <v>0</v>
      </c>
      <c r="AO149" s="95">
        <v>6.0000000000000001E-3</v>
      </c>
      <c r="AP149" s="95">
        <v>1.7999999999999999E-2</v>
      </c>
      <c r="AQ149" s="95">
        <v>1.9E-2</v>
      </c>
      <c r="AR149" s="95">
        <v>0</v>
      </c>
      <c r="AS149" s="95">
        <v>0</v>
      </c>
      <c r="AT149" s="95">
        <v>0.215</v>
      </c>
      <c r="AU149" s="95">
        <v>0</v>
      </c>
      <c r="AV149" s="95">
        <v>1.9E-2</v>
      </c>
      <c r="AW149" s="95">
        <v>2.5999999999999999E-2</v>
      </c>
      <c r="AX149" s="95">
        <v>3.5999999999999997E-2</v>
      </c>
      <c r="AY149" s="95">
        <v>4.7E-2</v>
      </c>
      <c r="AZ149" s="95">
        <v>5.0999999999999997E-2</v>
      </c>
      <c r="BA149" s="95">
        <v>2.1999999999999999E-2</v>
      </c>
      <c r="BB149" s="95">
        <v>3.0000000000000001E-3</v>
      </c>
      <c r="BC149" s="95">
        <v>0.104</v>
      </c>
      <c r="BD149" s="95">
        <v>7.9000000000000001E-2</v>
      </c>
      <c r="BE149" s="95">
        <v>0.108</v>
      </c>
      <c r="BF149" s="95">
        <v>0.108</v>
      </c>
      <c r="BG149" s="95">
        <v>0.79900000000000004</v>
      </c>
      <c r="BH149" s="95">
        <v>7.0000000000000001E-3</v>
      </c>
      <c r="BI149" s="96">
        <f>(SUM(BD149:BH149)-MAX(BD149:BH149)-MIN(BD149:BH149))/3</f>
        <v>9.8333333333333314E-2</v>
      </c>
      <c r="BJ149" s="96">
        <f t="shared" si="136"/>
        <v>0.10477777777777779</v>
      </c>
      <c r="BK149" s="96">
        <f t="shared" si="137"/>
        <v>0.1037037037037037</v>
      </c>
      <c r="BL149" s="96">
        <f t="shared" si="138"/>
        <v>0.10227160493827155</v>
      </c>
      <c r="BM149" s="96">
        <f t="shared" si="138"/>
        <v>0.10143621399176951</v>
      </c>
      <c r="BN149" s="96">
        <f t="shared" si="138"/>
        <v>0.10247050754458158</v>
      </c>
      <c r="BO149" s="96">
        <f t="shared" si="138"/>
        <v>0.1028152720621856</v>
      </c>
      <c r="BP149" s="96">
        <f t="shared" si="139"/>
        <v>0.10251912818167958</v>
      </c>
      <c r="BQ149" s="96">
        <f t="shared" si="139"/>
        <v>0.10242041355484423</v>
      </c>
      <c r="BR149" s="96">
        <f t="shared" si="139"/>
        <v>0.10247001642703514</v>
      </c>
      <c r="BS149" s="96">
        <f t="shared" si="139"/>
        <v>0.10248655071776545</v>
      </c>
      <c r="BT149" s="96">
        <f t="shared" si="139"/>
        <v>0.10249189844216006</v>
      </c>
      <c r="BU149" s="96">
        <f t="shared" si="139"/>
        <v>0.10248282186232022</v>
      </c>
    </row>
    <row r="150" spans="1:73">
      <c r="A150" s="4" t="s">
        <v>111</v>
      </c>
      <c r="B150" s="97"/>
      <c r="C150" s="92">
        <v>0</v>
      </c>
      <c r="D150" s="92">
        <v>0</v>
      </c>
      <c r="E150" s="92">
        <v>0</v>
      </c>
      <c r="F150" s="92">
        <v>0</v>
      </c>
      <c r="G150" s="92">
        <v>0</v>
      </c>
      <c r="H150" s="92">
        <v>0</v>
      </c>
      <c r="I150" s="92">
        <v>0</v>
      </c>
      <c r="J150" s="92">
        <v>0</v>
      </c>
      <c r="K150" s="92">
        <v>0</v>
      </c>
      <c r="L150" s="92">
        <v>0</v>
      </c>
      <c r="M150" s="92">
        <v>0</v>
      </c>
      <c r="N150" s="92">
        <v>0</v>
      </c>
      <c r="O150" s="92">
        <v>0</v>
      </c>
      <c r="P150" s="92">
        <v>0</v>
      </c>
      <c r="Q150" s="92">
        <v>0</v>
      </c>
      <c r="R150" s="92">
        <v>0</v>
      </c>
      <c r="S150" s="92">
        <v>0</v>
      </c>
      <c r="T150" s="92">
        <v>0</v>
      </c>
      <c r="U150" s="92">
        <v>0</v>
      </c>
      <c r="V150" s="92">
        <v>0</v>
      </c>
      <c r="W150" s="92">
        <v>0</v>
      </c>
      <c r="X150" s="92">
        <v>0</v>
      </c>
      <c r="Y150" s="92">
        <v>0</v>
      </c>
      <c r="Z150" s="92">
        <v>0</v>
      </c>
      <c r="AA150" s="92">
        <v>0</v>
      </c>
      <c r="AB150" s="92">
        <v>0</v>
      </c>
      <c r="AC150" s="92">
        <v>0</v>
      </c>
      <c r="AD150" s="92">
        <v>0</v>
      </c>
      <c r="AE150" s="93">
        <v>0</v>
      </c>
      <c r="AF150" s="93">
        <v>0</v>
      </c>
      <c r="AG150" s="93">
        <v>0</v>
      </c>
      <c r="AH150" s="93">
        <v>0</v>
      </c>
      <c r="AI150" s="94">
        <v>6.4000000000000001E-2</v>
      </c>
      <c r="AJ150" s="94">
        <v>1.2999999999999999E-2</v>
      </c>
      <c r="AK150" s="94">
        <v>3.6999999999999998E-2</v>
      </c>
      <c r="AL150" s="94">
        <v>0.84599999999999997</v>
      </c>
      <c r="AM150" s="95">
        <v>0</v>
      </c>
      <c r="AN150" s="95">
        <v>6.0000000000000001E-3</v>
      </c>
      <c r="AO150" s="95">
        <v>5.8000000000000003E-2</v>
      </c>
      <c r="AP150" s="95">
        <v>0</v>
      </c>
      <c r="AQ150" s="95">
        <v>0</v>
      </c>
      <c r="AR150" s="95">
        <v>0</v>
      </c>
      <c r="AS150" s="95">
        <v>0</v>
      </c>
      <c r="AT150" s="95">
        <v>0.187</v>
      </c>
      <c r="AU150" s="95">
        <v>4.2999999999999997E-2</v>
      </c>
      <c r="AV150" s="95">
        <v>0</v>
      </c>
      <c r="AW150" s="95">
        <v>2.3E-2</v>
      </c>
      <c r="AX150" s="95">
        <v>2.7E-2</v>
      </c>
      <c r="AY150" s="95">
        <v>2.3E-2</v>
      </c>
      <c r="AZ150" s="95">
        <v>0</v>
      </c>
      <c r="BA150" s="95">
        <v>1.6E-2</v>
      </c>
      <c r="BB150" s="95">
        <v>0</v>
      </c>
      <c r="BC150" s="95">
        <v>2.5999999999999999E-2</v>
      </c>
      <c r="BD150" s="95">
        <v>0.08</v>
      </c>
      <c r="BE150" s="95">
        <v>8.1000000000000003E-2</v>
      </c>
      <c r="BF150" s="95">
        <v>0.22500000000000001</v>
      </c>
      <c r="BG150" s="95">
        <v>0.19400000000000001</v>
      </c>
      <c r="BH150" s="95">
        <v>2.7E-2</v>
      </c>
      <c r="BI150" s="96">
        <f>(SUM(BD150:BH150)-MAX(BD150:BH150)-MIN(BD150:BH150))/3</f>
        <v>0.11833333333333336</v>
      </c>
      <c r="BJ150" s="96">
        <f t="shared" si="136"/>
        <v>0.13111111111111115</v>
      </c>
      <c r="BK150" s="96">
        <f t="shared" si="137"/>
        <v>0.14781481481481487</v>
      </c>
      <c r="BL150" s="96">
        <f t="shared" si="138"/>
        <v>0.13241975308641979</v>
      </c>
      <c r="BM150" s="96">
        <f t="shared" si="138"/>
        <v>0.1272880658436214</v>
      </c>
      <c r="BN150" s="96">
        <f t="shared" si="138"/>
        <v>0.13027297668038412</v>
      </c>
      <c r="BO150" s="96">
        <f t="shared" si="138"/>
        <v>0.13126794695930502</v>
      </c>
      <c r="BP150" s="96">
        <f t="shared" si="139"/>
        <v>0.13132022557536963</v>
      </c>
      <c r="BQ150" s="96">
        <f t="shared" si="139"/>
        <v>0.1309537164050196</v>
      </c>
      <c r="BR150" s="96">
        <f t="shared" si="139"/>
        <v>0.1308315466815696</v>
      </c>
      <c r="BS150" s="96">
        <f t="shared" si="139"/>
        <v>0.13101773668196476</v>
      </c>
      <c r="BT150" s="96">
        <f t="shared" si="139"/>
        <v>0.13107980001542982</v>
      </c>
      <c r="BU150" s="96">
        <f t="shared" si="139"/>
        <v>0.13101708436747142</v>
      </c>
    </row>
    <row r="151" spans="1:73">
      <c r="A151" s="4" t="s">
        <v>112</v>
      </c>
      <c r="B151" s="97"/>
      <c r="C151" s="92">
        <v>0</v>
      </c>
      <c r="D151" s="92">
        <v>0</v>
      </c>
      <c r="E151" s="92">
        <v>0</v>
      </c>
      <c r="F151" s="92">
        <v>0</v>
      </c>
      <c r="G151" s="92">
        <v>0</v>
      </c>
      <c r="H151" s="92">
        <v>0</v>
      </c>
      <c r="I151" s="92">
        <v>0</v>
      </c>
      <c r="J151" s="92">
        <v>0</v>
      </c>
      <c r="K151" s="92">
        <v>0</v>
      </c>
      <c r="L151" s="92">
        <v>0</v>
      </c>
      <c r="M151" s="92">
        <v>0</v>
      </c>
      <c r="N151" s="92">
        <v>0</v>
      </c>
      <c r="O151" s="92">
        <v>0</v>
      </c>
      <c r="P151" s="92">
        <v>0</v>
      </c>
      <c r="Q151" s="92">
        <v>0</v>
      </c>
      <c r="R151" s="92">
        <v>0</v>
      </c>
      <c r="S151" s="92">
        <v>0</v>
      </c>
      <c r="T151" s="92">
        <v>0</v>
      </c>
      <c r="U151" s="92">
        <v>0</v>
      </c>
      <c r="V151" s="92">
        <v>0</v>
      </c>
      <c r="W151" s="92">
        <v>0</v>
      </c>
      <c r="X151" s="92">
        <v>0</v>
      </c>
      <c r="Y151" s="92">
        <v>0</v>
      </c>
      <c r="Z151" s="92">
        <v>0</v>
      </c>
      <c r="AA151" s="92">
        <v>0</v>
      </c>
      <c r="AB151" s="92">
        <v>0</v>
      </c>
      <c r="AC151" s="92">
        <v>0</v>
      </c>
      <c r="AD151" s="92">
        <v>0</v>
      </c>
      <c r="AE151" s="93">
        <v>0</v>
      </c>
      <c r="AF151" s="93">
        <v>0</v>
      </c>
      <c r="AG151" s="93">
        <v>0</v>
      </c>
      <c r="AH151" s="93">
        <v>0</v>
      </c>
      <c r="AI151" s="94">
        <v>8.2000000000000003E-2</v>
      </c>
      <c r="AJ151" s="94">
        <v>7.0999999999999994E-2</v>
      </c>
      <c r="AK151" s="94">
        <v>0.02</v>
      </c>
      <c r="AL151" s="94">
        <v>2.1000000000000001E-2</v>
      </c>
      <c r="AM151" s="95">
        <v>0</v>
      </c>
      <c r="AN151" s="95">
        <v>6.0000000000000001E-3</v>
      </c>
      <c r="AO151" s="95">
        <v>3.4000000000000002E-2</v>
      </c>
      <c r="AP151" s="95">
        <v>1.7000000000000001E-2</v>
      </c>
      <c r="AQ151" s="95">
        <v>8.5000000000000006E-2</v>
      </c>
      <c r="AR151" s="95">
        <v>3.9E-2</v>
      </c>
      <c r="AS151" s="95">
        <v>8.4000000000000005E-2</v>
      </c>
      <c r="AT151" s="95">
        <v>0.84</v>
      </c>
      <c r="AU151" s="95">
        <v>2.7E-2</v>
      </c>
      <c r="AV151" s="95">
        <v>6.9000000000000006E-2</v>
      </c>
      <c r="AW151" s="95">
        <v>0</v>
      </c>
      <c r="AX151" s="95">
        <v>5.6000000000000001E-2</v>
      </c>
      <c r="AY151" s="95">
        <v>0</v>
      </c>
      <c r="AZ151" s="95">
        <v>4.9000000000000002E-2</v>
      </c>
      <c r="BA151" s="95">
        <v>0</v>
      </c>
      <c r="BB151" s="95">
        <v>2.1999999999999999E-2</v>
      </c>
      <c r="BC151" s="95">
        <v>0</v>
      </c>
      <c r="BD151" s="95">
        <v>8.2000000000000003E-2</v>
      </c>
      <c r="BE151" s="95">
        <v>5.8999999999999997E-2</v>
      </c>
      <c r="BF151" s="95">
        <v>5.3999999999999999E-2</v>
      </c>
      <c r="BG151" s="95">
        <v>5.3999999999999999E-2</v>
      </c>
      <c r="BH151" s="95">
        <v>25.273</v>
      </c>
      <c r="BI151" s="96">
        <f>(SUM(BD151:BH151)-MAX(BD151:BH151)-MIN(BD151:BH151))/3</f>
        <v>6.49999999999996E-2</v>
      </c>
      <c r="BJ151" s="96">
        <f t="shared" si="136"/>
        <v>5.9333333333334293E-2</v>
      </c>
      <c r="BK151" s="96">
        <f t="shared" si="137"/>
        <v>5.9444444444445542E-2</v>
      </c>
      <c r="BL151" s="96">
        <f t="shared" si="138"/>
        <v>6.1259259259259811E-2</v>
      </c>
      <c r="BM151" s="96">
        <f t="shared" si="138"/>
        <v>6.1901234567901919E-2</v>
      </c>
      <c r="BN151" s="96">
        <f t="shared" si="138"/>
        <v>6.0868312757202413E-2</v>
      </c>
      <c r="BO151" s="96">
        <f t="shared" si="138"/>
        <v>6.0524005486969255E-2</v>
      </c>
      <c r="BP151" s="96">
        <f t="shared" si="139"/>
        <v>6.08838591678105E-2</v>
      </c>
      <c r="BQ151" s="96">
        <f t="shared" si="139"/>
        <v>6.1003810394757579E-2</v>
      </c>
      <c r="BR151" s="96">
        <f t="shared" si="139"/>
        <v>6.0918660773256833E-2</v>
      </c>
      <c r="BS151" s="96">
        <f t="shared" si="139"/>
        <v>6.0890277566089911E-2</v>
      </c>
      <c r="BT151" s="96">
        <f t="shared" si="139"/>
        <v>6.0897599169052408E-2</v>
      </c>
      <c r="BU151" s="96">
        <f t="shared" si="139"/>
        <v>6.0902179169466386E-2</v>
      </c>
    </row>
    <row r="152" spans="1:73" ht="15.75" thickBot="1">
      <c r="A152" s="4" t="s">
        <v>113</v>
      </c>
      <c r="B152" s="97"/>
      <c r="C152" s="97">
        <v>0</v>
      </c>
      <c r="D152" s="97">
        <v>0</v>
      </c>
      <c r="E152" s="97">
        <v>0</v>
      </c>
      <c r="F152" s="97">
        <v>0</v>
      </c>
      <c r="G152" s="97">
        <v>0</v>
      </c>
      <c r="H152" s="97">
        <v>0</v>
      </c>
      <c r="I152" s="97">
        <v>0</v>
      </c>
      <c r="J152" s="97">
        <v>0</v>
      </c>
      <c r="K152" s="97">
        <v>0</v>
      </c>
      <c r="L152" s="97">
        <v>0</v>
      </c>
      <c r="M152" s="97">
        <v>0</v>
      </c>
      <c r="N152" s="97">
        <v>0</v>
      </c>
      <c r="O152" s="97">
        <v>0</v>
      </c>
      <c r="P152" s="97">
        <v>0</v>
      </c>
      <c r="Q152" s="97">
        <v>0</v>
      </c>
      <c r="R152" s="97">
        <v>0</v>
      </c>
      <c r="S152" s="97">
        <v>0</v>
      </c>
      <c r="T152" s="97">
        <v>0</v>
      </c>
      <c r="U152" s="97">
        <v>0</v>
      </c>
      <c r="V152" s="97">
        <v>0</v>
      </c>
      <c r="W152" s="97">
        <v>0</v>
      </c>
      <c r="X152" s="97">
        <v>0</v>
      </c>
      <c r="Y152" s="97">
        <v>0</v>
      </c>
      <c r="Z152" s="97">
        <v>0</v>
      </c>
      <c r="AA152" s="97">
        <v>0</v>
      </c>
      <c r="AB152" s="97">
        <v>0</v>
      </c>
      <c r="AC152" s="97">
        <v>0</v>
      </c>
      <c r="AD152" s="97">
        <v>0</v>
      </c>
      <c r="AE152" s="59">
        <v>0</v>
      </c>
      <c r="AF152" s="99">
        <v>0</v>
      </c>
      <c r="AG152" s="99">
        <v>0</v>
      </c>
      <c r="AH152" s="93">
        <v>0</v>
      </c>
      <c r="AI152" s="100">
        <f t="shared" ref="AI152:BO152" si="140">SUM(AI140:AI151)</f>
        <v>0.81399999999999995</v>
      </c>
      <c r="AJ152" s="100">
        <f t="shared" si="140"/>
        <v>0.5109999999999999</v>
      </c>
      <c r="AK152" s="100">
        <f t="shared" si="140"/>
        <v>0.20999999999999996</v>
      </c>
      <c r="AL152" s="100">
        <f t="shared" si="140"/>
        <v>1.0389999999999999</v>
      </c>
      <c r="AM152" s="100">
        <f t="shared" si="140"/>
        <v>3.9319999999999999</v>
      </c>
      <c r="AN152" s="100">
        <f t="shared" si="140"/>
        <v>0.17500000000000002</v>
      </c>
      <c r="AO152" s="100">
        <f t="shared" si="140"/>
        <v>0.31599999999999995</v>
      </c>
      <c r="AP152" s="100">
        <f t="shared" si="140"/>
        <v>2.4819999999999993</v>
      </c>
      <c r="AQ152" s="100">
        <f t="shared" si="140"/>
        <v>0.52699999999999991</v>
      </c>
      <c r="AR152" s="100">
        <f t="shared" si="140"/>
        <v>0.34299999999999992</v>
      </c>
      <c r="AS152" s="100">
        <f t="shared" si="140"/>
        <v>2.54</v>
      </c>
      <c r="AT152" s="100">
        <f t="shared" si="140"/>
        <v>3.633</v>
      </c>
      <c r="AU152" s="100">
        <f t="shared" si="140"/>
        <v>4.0569999999999995</v>
      </c>
      <c r="AV152" s="100">
        <f t="shared" si="140"/>
        <v>0.34600000000000003</v>
      </c>
      <c r="AW152" s="100">
        <f t="shared" si="140"/>
        <v>0.248</v>
      </c>
      <c r="AX152" s="100">
        <f t="shared" si="140"/>
        <v>0.32799999999999996</v>
      </c>
      <c r="AY152" s="100">
        <f t="shared" si="140"/>
        <v>0.34400000000000003</v>
      </c>
      <c r="AZ152" s="100">
        <f t="shared" si="140"/>
        <v>0.34299999999999997</v>
      </c>
      <c r="BA152" s="100">
        <f t="shared" si="140"/>
        <v>0.75300000000000011</v>
      </c>
      <c r="BB152" s="100">
        <f t="shared" si="140"/>
        <v>0.26300000000000001</v>
      </c>
      <c r="BC152" s="100">
        <f t="shared" si="140"/>
        <v>0.39600000000000002</v>
      </c>
      <c r="BD152" s="100">
        <f t="shared" si="140"/>
        <v>0.30200000000000005</v>
      </c>
      <c r="BE152" s="100">
        <f t="shared" si="140"/>
        <v>26.694000000000006</v>
      </c>
      <c r="BF152" s="100">
        <f t="shared" si="140"/>
        <v>0.6130000000000001</v>
      </c>
      <c r="BG152" s="100">
        <f t="shared" si="140"/>
        <v>1.264</v>
      </c>
      <c r="BH152" s="100">
        <f t="shared" si="140"/>
        <v>193.82999999999996</v>
      </c>
      <c r="BI152" s="101">
        <f t="shared" si="140"/>
        <v>7.7289999999999992</v>
      </c>
      <c r="BJ152" s="101">
        <f t="shared" si="140"/>
        <v>6.2346666666666657</v>
      </c>
      <c r="BK152" s="101">
        <f t="shared" si="140"/>
        <v>2.8365555555555555</v>
      </c>
      <c r="BL152" s="101">
        <f t="shared" si="140"/>
        <v>3.5735925925925907</v>
      </c>
      <c r="BM152" s="101">
        <f t="shared" si="140"/>
        <v>4.4424814814814813</v>
      </c>
      <c r="BN152" s="101">
        <f t="shared" si="140"/>
        <v>3.6182057613168728</v>
      </c>
      <c r="BO152" s="101">
        <f t="shared" si="140"/>
        <v>3.7927325102880638</v>
      </c>
      <c r="BP152" s="101">
        <f t="shared" ref="BP152:BU152" si="141">SUM(BP140:BP151)</f>
        <v>3.6607448559670761</v>
      </c>
      <c r="BQ152" s="101">
        <f t="shared" si="141"/>
        <v>3.7114557232129228</v>
      </c>
      <c r="BR152" s="101">
        <f t="shared" si="141"/>
        <v>3.734597673118933</v>
      </c>
      <c r="BS152" s="101">
        <f t="shared" si="141"/>
        <v>3.7000858947653623</v>
      </c>
      <c r="BT152" s="101">
        <f t="shared" si="141"/>
        <v>3.7116649618678252</v>
      </c>
      <c r="BU152" s="101">
        <f t="shared" si="141"/>
        <v>3.7056290764167601</v>
      </c>
    </row>
    <row r="153" spans="1:73">
      <c r="A153" s="60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1:73" ht="15.75" thickBot="1">
      <c r="A154" s="53" t="s">
        <v>142</v>
      </c>
    </row>
    <row r="155" spans="1:73" s="4" customFormat="1" ht="15.75" thickBot="1">
      <c r="A155" s="54"/>
      <c r="B155" s="63" t="s">
        <v>1</v>
      </c>
      <c r="C155" s="63" t="s">
        <v>2</v>
      </c>
      <c r="D155" s="63" t="s">
        <v>3</v>
      </c>
      <c r="E155" s="63" t="s">
        <v>4</v>
      </c>
      <c r="F155" s="63" t="s">
        <v>5</v>
      </c>
      <c r="G155" s="63" t="s">
        <v>6</v>
      </c>
      <c r="H155" s="63" t="s">
        <v>7</v>
      </c>
      <c r="I155" s="63" t="s">
        <v>8</v>
      </c>
      <c r="J155" s="63" t="s">
        <v>9</v>
      </c>
      <c r="K155" s="63" t="s">
        <v>10</v>
      </c>
      <c r="L155" s="63" t="s">
        <v>11</v>
      </c>
      <c r="M155" s="55" t="s">
        <v>12</v>
      </c>
      <c r="N155" s="55" t="s">
        <v>13</v>
      </c>
      <c r="O155" s="55" t="s">
        <v>14</v>
      </c>
      <c r="P155" s="55" t="s">
        <v>15</v>
      </c>
      <c r="Q155" s="55" t="s">
        <v>16</v>
      </c>
      <c r="R155" s="55" t="s">
        <v>17</v>
      </c>
      <c r="S155" s="55" t="s">
        <v>18</v>
      </c>
      <c r="T155" s="55" t="s">
        <v>19</v>
      </c>
      <c r="U155" s="55" t="s">
        <v>20</v>
      </c>
      <c r="V155" s="55" t="s">
        <v>21</v>
      </c>
      <c r="W155" s="55" t="s">
        <v>22</v>
      </c>
      <c r="X155" s="55" t="s">
        <v>23</v>
      </c>
      <c r="Y155" s="55" t="s">
        <v>24</v>
      </c>
      <c r="Z155" s="55" t="s">
        <v>25</v>
      </c>
      <c r="AA155" s="55" t="s">
        <v>26</v>
      </c>
      <c r="AB155" s="55" t="s">
        <v>27</v>
      </c>
      <c r="AC155" s="55" t="s">
        <v>28</v>
      </c>
      <c r="AD155" s="55" t="s">
        <v>29</v>
      </c>
      <c r="AE155" s="55" t="s">
        <v>30</v>
      </c>
      <c r="AF155" s="55" t="s">
        <v>31</v>
      </c>
      <c r="AG155" s="55" t="s">
        <v>32</v>
      </c>
      <c r="AH155" s="55" t="s">
        <v>33</v>
      </c>
      <c r="AI155" s="55" t="s">
        <v>34</v>
      </c>
      <c r="AJ155" s="55" t="s">
        <v>35</v>
      </c>
      <c r="AK155" s="55" t="s">
        <v>36</v>
      </c>
      <c r="AL155" s="55" t="s">
        <v>37</v>
      </c>
      <c r="AM155" s="55" t="s">
        <v>38</v>
      </c>
      <c r="AN155" s="55" t="s">
        <v>39</v>
      </c>
      <c r="AO155" s="55" t="s">
        <v>40</v>
      </c>
      <c r="AP155" s="55" t="s">
        <v>41</v>
      </c>
      <c r="AQ155" s="55" t="s">
        <v>42</v>
      </c>
      <c r="AR155" s="55" t="s">
        <v>43</v>
      </c>
      <c r="AS155" s="55" t="s">
        <v>44</v>
      </c>
      <c r="AT155" s="55" t="s">
        <v>45</v>
      </c>
      <c r="AU155" s="55" t="s">
        <v>46</v>
      </c>
      <c r="AV155" s="55" t="s">
        <v>47</v>
      </c>
      <c r="AW155" s="55" t="s">
        <v>48</v>
      </c>
      <c r="AX155" s="55" t="s">
        <v>49</v>
      </c>
      <c r="AY155" s="55" t="s">
        <v>50</v>
      </c>
      <c r="AZ155" s="55" t="s">
        <v>51</v>
      </c>
      <c r="BA155" s="55" t="s">
        <v>52</v>
      </c>
      <c r="BB155" s="55" t="s">
        <v>53</v>
      </c>
      <c r="BC155" s="55" t="s">
        <v>54</v>
      </c>
      <c r="BD155" s="55" t="s">
        <v>55</v>
      </c>
      <c r="BE155" s="55" t="s">
        <v>56</v>
      </c>
      <c r="BF155" s="55" t="s">
        <v>57</v>
      </c>
      <c r="BG155" s="55" t="str">
        <f t="shared" ref="BG155:BU155" si="142">BH2</f>
        <v>22/23</v>
      </c>
      <c r="BH155" s="55" t="str">
        <f t="shared" si="142"/>
        <v>23/24</v>
      </c>
      <c r="BI155" s="55" t="str">
        <f t="shared" si="142"/>
        <v>24/25</v>
      </c>
      <c r="BJ155" s="55" t="str">
        <f t="shared" si="142"/>
        <v>25/26</v>
      </c>
      <c r="BK155" s="55" t="str">
        <f t="shared" si="142"/>
        <v>26/27</v>
      </c>
      <c r="BL155" s="55" t="str">
        <f t="shared" si="142"/>
        <v>27/28</v>
      </c>
      <c r="BM155" s="55" t="str">
        <f t="shared" si="142"/>
        <v>28/29</v>
      </c>
      <c r="BN155" s="55" t="str">
        <f t="shared" si="142"/>
        <v>29/30</v>
      </c>
      <c r="BO155" s="55" t="str">
        <f t="shared" si="142"/>
        <v>30/31</v>
      </c>
      <c r="BP155" s="55" t="str">
        <f t="shared" si="142"/>
        <v>31/32</v>
      </c>
      <c r="BQ155" s="55" t="str">
        <f t="shared" si="142"/>
        <v>32/33</v>
      </c>
      <c r="BR155" s="55" t="str">
        <f t="shared" si="142"/>
        <v>33/34</v>
      </c>
      <c r="BS155" s="55" t="str">
        <f t="shared" si="142"/>
        <v>34/35</v>
      </c>
      <c r="BT155" s="55" t="str">
        <f t="shared" si="142"/>
        <v>34/35</v>
      </c>
      <c r="BU155" s="55">
        <f t="shared" si="142"/>
        <v>0</v>
      </c>
    </row>
    <row r="156" spans="1:73">
      <c r="A156" s="4" t="s">
        <v>100</v>
      </c>
      <c r="B156" s="56"/>
      <c r="C156" s="57">
        <f t="shared" ref="C156:C167" si="143">(SUM($R156:$V156)/SUM($R$168:$V$168))*C$168</f>
        <v>0</v>
      </c>
      <c r="D156" s="57">
        <f t="shared" ref="D156:Q156" si="144">(SUM($S156:$W156)/SUM($R$168:$V$168))*C$168</f>
        <v>0</v>
      </c>
      <c r="E156" s="57">
        <f t="shared" si="144"/>
        <v>0</v>
      </c>
      <c r="F156" s="57">
        <f t="shared" si="144"/>
        <v>0</v>
      </c>
      <c r="G156" s="57">
        <f t="shared" si="144"/>
        <v>0</v>
      </c>
      <c r="H156" s="57">
        <f t="shared" si="144"/>
        <v>0</v>
      </c>
      <c r="I156" s="57">
        <f t="shared" si="144"/>
        <v>0</v>
      </c>
      <c r="J156" s="57">
        <f t="shared" si="144"/>
        <v>0</v>
      </c>
      <c r="K156" s="57">
        <f t="shared" si="144"/>
        <v>0</v>
      </c>
      <c r="L156" s="57">
        <f t="shared" si="144"/>
        <v>1.0241073843657018</v>
      </c>
      <c r="M156" s="57">
        <f t="shared" si="144"/>
        <v>0.87780632945631587</v>
      </c>
      <c r="N156" s="57">
        <f t="shared" si="144"/>
        <v>11.557783337841492</v>
      </c>
      <c r="O156" s="57">
        <f t="shared" si="144"/>
        <v>18.360782391127938</v>
      </c>
      <c r="P156" s="57">
        <f t="shared" si="144"/>
        <v>23.773921422775221</v>
      </c>
      <c r="Q156" s="57">
        <f t="shared" si="144"/>
        <v>27.065695158236405</v>
      </c>
      <c r="R156" s="69">
        <v>1.4</v>
      </c>
      <c r="S156" s="69">
        <v>0</v>
      </c>
      <c r="T156" s="69">
        <v>16.8</v>
      </c>
      <c r="U156" s="69">
        <v>86.1</v>
      </c>
      <c r="V156" s="69">
        <v>178.7</v>
      </c>
      <c r="W156" s="69">
        <v>151.1</v>
      </c>
      <c r="X156" s="69">
        <v>251.5</v>
      </c>
      <c r="Y156" s="69">
        <v>186</v>
      </c>
      <c r="Z156" s="69">
        <v>122.7</v>
      </c>
      <c r="AA156" s="69">
        <v>459.5</v>
      </c>
      <c r="AB156" s="69">
        <v>494.8</v>
      </c>
      <c r="AC156" s="69">
        <v>270.39999999999998</v>
      </c>
      <c r="AD156" s="69">
        <v>480.1</v>
      </c>
      <c r="AE156" s="69">
        <v>446.22099999999995</v>
      </c>
      <c r="AF156" s="59">
        <f>'[1]Argentina Soybean Meal Exports'!AK$290</f>
        <v>0</v>
      </c>
      <c r="AG156" s="59">
        <f>'[1]Argentina Soybean Meal Exports'!AW$290</f>
        <v>298.38299999999998</v>
      </c>
      <c r="AH156" s="59">
        <f>'[1]Argentina Soybean Meal Exports'!BI$290</f>
        <v>275.82499999999999</v>
      </c>
      <c r="AI156" s="59">
        <f>'[1]Argentina Soybean Meal Exports'!BU$290</f>
        <v>384.86200000000002</v>
      </c>
      <c r="AJ156" s="59">
        <f>'[1]Argentina Soybean Meal Exports'!CG$290</f>
        <v>209.25899999999999</v>
      </c>
      <c r="AK156" s="59">
        <f>'[1]Argentina Soybean Meal Exports'!CS$290</f>
        <v>232.708</v>
      </c>
      <c r="AL156" s="59">
        <f>'[1]Argentina Soybean Meal Exports'!DE$290</f>
        <v>801.91899999999998</v>
      </c>
      <c r="AM156" s="59">
        <f>'[1]Argentina Soybean Meal Exports'!DQ$290</f>
        <v>504.16</v>
      </c>
      <c r="AN156" s="59">
        <f>'[1]Argentina Soybean Meal Exports'!EC$290</f>
        <v>534.49699999999996</v>
      </c>
      <c r="AO156" s="59">
        <f>'[1]Argentina Soybean Meal Exports'!EO$290</f>
        <v>786.24599999999998</v>
      </c>
      <c r="AP156" s="59">
        <f>'[1]Argentina Soybean Meal Exports'!FA$290</f>
        <v>1069.732</v>
      </c>
      <c r="AQ156" s="59">
        <f>'[1]Argentina Soybean Meal Exports'!FM$290</f>
        <v>1127.0909999999999</v>
      </c>
      <c r="AR156" s="59">
        <f>'[1]Argentina Soybean Meal Exports'!FY$290</f>
        <v>1387.6389999999999</v>
      </c>
      <c r="AS156" s="59">
        <f>'[1]Argentina Soybean Meal Exports'!GK$290</f>
        <v>1689.26</v>
      </c>
      <c r="AT156" s="59">
        <f>'[1]Argentina Soybean Meal Exports'!GW$290</f>
        <v>1511.0730000000001</v>
      </c>
      <c r="AU156" s="59">
        <f>'[1]Argentina Soybean Meal Exports'!HI$290</f>
        <v>1266.222</v>
      </c>
      <c r="AV156" s="59">
        <f>'[1]Argentina Soybean Meal Exports'!HU$290</f>
        <v>1724.115</v>
      </c>
      <c r="AW156" s="59">
        <f>'[1]Argentina Soybean Meal Exports'!IG$290</f>
        <v>1048.682</v>
      </c>
      <c r="AX156" s="59">
        <f>'[1]Argentina Soybean Meal Exports'!IS$290</f>
        <v>1944.1769999999999</v>
      </c>
      <c r="AY156" s="59">
        <f>'[1]Argentina Soybean Meal Exports'!JE$290</f>
        <v>1593.8710000000001</v>
      </c>
      <c r="AZ156" s="59">
        <f>'[1]Argentina Soybean Meal Exports'!JQ$290</f>
        <v>1124.752</v>
      </c>
      <c r="BA156" s="59">
        <f>'[1]Argentina Soybean Meal Exports'!KC$290</f>
        <v>990.51099999999997</v>
      </c>
      <c r="BB156" s="59">
        <f>'[1]Argentina Soybean Meal Exports'!KO$290</f>
        <v>1359.2239999999999</v>
      </c>
      <c r="BC156" s="59">
        <f>'[1]Argentina Soybean Meal Exports'!LA$290</f>
        <v>2115.761</v>
      </c>
      <c r="BD156" s="59">
        <f>'[1]Argentina Soybean Meal Exports'!LM$290</f>
        <v>2382.9095339999999</v>
      </c>
      <c r="BE156" s="59">
        <f>'[1]Argentina Soybean Meal Exports'!LY$290</f>
        <v>2118.9778849999998</v>
      </c>
      <c r="BF156" s="59">
        <f>'[1]Argentina Soybean Meal Exports'!MK$290</f>
        <v>2323.4490000000001</v>
      </c>
      <c r="BG156" s="59">
        <f>'[1]Argentina Soybean Meal Exports'!MW$290</f>
        <v>1894.28</v>
      </c>
      <c r="BH156" s="59">
        <f>'[1]Argentina Soybean Meal Exports'!NI$290</f>
        <v>2427.3980000000001</v>
      </c>
      <c r="BI156" s="59">
        <f>'[1]Argentina Soybean Meal Exports'!NU$290</f>
        <v>2144.8380000000002</v>
      </c>
      <c r="BJ156" s="58">
        <f t="shared" ref="BJ156:BJ166" si="145">(SUM(BD156:BH156)/SUM(BD$168:BH$168))*BJ$168</f>
        <v>2311.3367600322404</v>
      </c>
      <c r="BK156" s="58">
        <f t="shared" ref="BK156:BK166" si="146">(SUM(BE156:BI156)/SUM(BE$168:BI$168))*BK$168</f>
        <v>2502.5593419229144</v>
      </c>
      <c r="BL156" s="58">
        <f t="shared" ref="BL156:BU166" si="147">(SUM(BF156:BJ156)/SUM(BF$168:BJ$168))*BL$168</f>
        <v>2481.9229046440487</v>
      </c>
      <c r="BM156" s="58">
        <f t="shared" si="147"/>
        <v>2526.0662968408506</v>
      </c>
      <c r="BN156" s="58">
        <f t="shared" si="147"/>
        <v>2589.8578455292723</v>
      </c>
      <c r="BO156" s="58">
        <f t="shared" si="147"/>
        <v>2600.5034066407484</v>
      </c>
      <c r="BP156" s="58">
        <f t="shared" si="147"/>
        <v>2490.7919924802391</v>
      </c>
      <c r="BQ156" s="58">
        <f t="shared" si="147"/>
        <v>2540.1819591155668</v>
      </c>
      <c r="BR156" s="58">
        <f t="shared" si="147"/>
        <v>2537.8284892270317</v>
      </c>
      <c r="BS156" s="58">
        <f t="shared" si="147"/>
        <v>2549.4803001213354</v>
      </c>
      <c r="BT156" s="58">
        <f t="shared" si="147"/>
        <v>2551.8327385985717</v>
      </c>
      <c r="BU156" s="58">
        <f t="shared" si="147"/>
        <v>2543.7572295169844</v>
      </c>
    </row>
    <row r="157" spans="1:73">
      <c r="A157" s="4" t="s">
        <v>102</v>
      </c>
      <c r="B157" s="56"/>
      <c r="C157" s="57">
        <f t="shared" si="143"/>
        <v>0</v>
      </c>
      <c r="D157" s="57">
        <f t="shared" ref="D157:Q157" si="148">(SUM($S157:$W157)/SUM($R$168:$V$168))*C$168</f>
        <v>0</v>
      </c>
      <c r="E157" s="57">
        <f t="shared" si="148"/>
        <v>0</v>
      </c>
      <c r="F157" s="57">
        <f t="shared" si="148"/>
        <v>0</v>
      </c>
      <c r="G157" s="57">
        <f t="shared" si="148"/>
        <v>0</v>
      </c>
      <c r="H157" s="57">
        <f t="shared" si="148"/>
        <v>0</v>
      </c>
      <c r="I157" s="57">
        <f t="shared" si="148"/>
        <v>0</v>
      </c>
      <c r="J157" s="57">
        <f t="shared" si="148"/>
        <v>0</v>
      </c>
      <c r="K157" s="57">
        <f t="shared" si="148"/>
        <v>0</v>
      </c>
      <c r="L157" s="57">
        <f t="shared" si="148"/>
        <v>1.0499053286448472</v>
      </c>
      <c r="M157" s="57">
        <f t="shared" si="148"/>
        <v>0.89991885312415487</v>
      </c>
      <c r="N157" s="57">
        <f t="shared" si="148"/>
        <v>11.848931566134706</v>
      </c>
      <c r="O157" s="57">
        <f t="shared" si="148"/>
        <v>18.823302677846904</v>
      </c>
      <c r="P157" s="57">
        <f t="shared" si="148"/>
        <v>24.372802272112526</v>
      </c>
      <c r="Q157" s="57">
        <f t="shared" si="148"/>
        <v>27.747497971328105</v>
      </c>
      <c r="R157" s="69">
        <v>5.5</v>
      </c>
      <c r="S157" s="69">
        <v>2.1</v>
      </c>
      <c r="T157" s="69">
        <v>30.1</v>
      </c>
      <c r="U157" s="69">
        <v>89.2</v>
      </c>
      <c r="V157" s="69">
        <v>167.9</v>
      </c>
      <c r="W157" s="69">
        <v>154.30000000000001</v>
      </c>
      <c r="X157" s="69">
        <v>163.9</v>
      </c>
      <c r="Y157" s="69">
        <v>61</v>
      </c>
      <c r="Z157" s="69">
        <v>107.6</v>
      </c>
      <c r="AA157" s="69">
        <v>385.5</v>
      </c>
      <c r="AB157" s="69">
        <v>333.1</v>
      </c>
      <c r="AC157" s="69">
        <v>305.2</v>
      </c>
      <c r="AD157" s="69">
        <v>273.7</v>
      </c>
      <c r="AE157" s="69">
        <v>336.28300000000002</v>
      </c>
      <c r="AF157" s="59">
        <f>'[1]Argentina Soybean Meal Exports'!AL$290</f>
        <v>0</v>
      </c>
      <c r="AG157" s="59">
        <f>'[1]Argentina Soybean Meal Exports'!AX$290</f>
        <v>225.21199999999999</v>
      </c>
      <c r="AH157" s="59">
        <f>'[1]Argentina Soybean Meal Exports'!BJ$290</f>
        <v>267.87299999999999</v>
      </c>
      <c r="AI157" s="59">
        <f>'[1]Argentina Soybean Meal Exports'!BV$290</f>
        <v>273.03500000000003</v>
      </c>
      <c r="AJ157" s="59">
        <f>'[1]Argentina Soybean Meal Exports'!CH$290</f>
        <v>354.67700000000002</v>
      </c>
      <c r="AK157" s="59">
        <f>'[1]Argentina Soybean Meal Exports'!CT$290</f>
        <v>689.93600000000004</v>
      </c>
      <c r="AL157" s="59">
        <f>'[1]Argentina Soybean Meal Exports'!DF$290</f>
        <v>912.20600000000002</v>
      </c>
      <c r="AM157" s="59">
        <f>'[1]Argentina Soybean Meal Exports'!DR$290</f>
        <v>1169.6690000000001</v>
      </c>
      <c r="AN157" s="59">
        <f>'[1]Argentina Soybean Meal Exports'!ED$290</f>
        <v>1225.423</v>
      </c>
      <c r="AO157" s="59">
        <f>'[1]Argentina Soybean Meal Exports'!EP$290</f>
        <v>1338.9939999999999</v>
      </c>
      <c r="AP157" s="59">
        <f>'[1]Argentina Soybean Meal Exports'!FB$290</f>
        <v>1140.7860000000001</v>
      </c>
      <c r="AQ157" s="59">
        <f>'[1]Argentina Soybean Meal Exports'!FN$290</f>
        <v>1424.95</v>
      </c>
      <c r="AR157" s="59">
        <f>'[1]Argentina Soybean Meal Exports'!FZ$290</f>
        <v>1720.403</v>
      </c>
      <c r="AS157" s="59">
        <f>'[1]Argentina Soybean Meal Exports'!GL$290</f>
        <v>2049.5300000000002</v>
      </c>
      <c r="AT157" s="59">
        <f>'[1]Argentina Soybean Meal Exports'!GX$290</f>
        <v>2356.2539999999999</v>
      </c>
      <c r="AU157" s="59">
        <f>'[1]Argentina Soybean Meal Exports'!HJ$290</f>
        <v>1658.1469999999999</v>
      </c>
      <c r="AV157" s="59">
        <f>'[1]Argentina Soybean Meal Exports'!HV$290</f>
        <v>2422.3589999999999</v>
      </c>
      <c r="AW157" s="59">
        <f>'[1]Argentina Soybean Meal Exports'!IH$290</f>
        <v>2594.5419999999999</v>
      </c>
      <c r="AX157" s="59">
        <f>'[1]Argentina Soybean Meal Exports'!IT$290</f>
        <v>2599.34</v>
      </c>
      <c r="AY157" s="59">
        <f>'[1]Argentina Soybean Meal Exports'!JF$290</f>
        <v>2170.259</v>
      </c>
      <c r="AZ157" s="59">
        <f>'[1]Argentina Soybean Meal Exports'!JR$290</f>
        <v>2300.0720000000001</v>
      </c>
      <c r="BA157" s="59">
        <f>'[1]Argentina Soybean Meal Exports'!KD$290</f>
        <v>2887.1210000000001</v>
      </c>
      <c r="BB157" s="59">
        <f>'[1]Argentina Soybean Meal Exports'!KP$290</f>
        <v>2782.0140000000001</v>
      </c>
      <c r="BC157" s="59">
        <f>'[1]Argentina Soybean Meal Exports'!LB$290</f>
        <v>2388.1640000000002</v>
      </c>
      <c r="BD157" s="59">
        <f>'[1]Argentina Soybean Meal Exports'!LN$290</f>
        <v>2689.5192999999999</v>
      </c>
      <c r="BE157" s="59">
        <f>'[1]Argentina Soybean Meal Exports'!LZ$290</f>
        <v>2092.8220350000001</v>
      </c>
      <c r="BF157" s="59">
        <f>'[1]Argentina Soybean Meal Exports'!ML$290</f>
        <v>2594.44</v>
      </c>
      <c r="BG157" s="59">
        <f>'[1]Argentina Soybean Meal Exports'!MX$290</f>
        <v>2269.0340000000001</v>
      </c>
      <c r="BH157" s="59">
        <f>'[1]Argentina Soybean Meal Exports'!NJ$290</f>
        <v>3080.7159999999999</v>
      </c>
      <c r="BI157" s="59">
        <f>'[1]Argentina Soybean Meal Exports'!NV$290</f>
        <v>2820.3249999999998</v>
      </c>
      <c r="BJ157" s="58">
        <f t="shared" si="145"/>
        <v>2638.8500630401568</v>
      </c>
      <c r="BK157" s="58">
        <f t="shared" si="146"/>
        <v>2949.5295051396461</v>
      </c>
      <c r="BL157" s="58">
        <f t="shared" si="147"/>
        <v>2996.5962072153034</v>
      </c>
      <c r="BM157" s="58">
        <f t="shared" si="147"/>
        <v>3080.9839274640722</v>
      </c>
      <c r="BN157" s="58">
        <f t="shared" si="147"/>
        <v>3161.1518631624622</v>
      </c>
      <c r="BO157" s="58">
        <f t="shared" si="147"/>
        <v>3148.0324031996006</v>
      </c>
      <c r="BP157" s="58">
        <f t="shared" si="147"/>
        <v>2975.5087836574039</v>
      </c>
      <c r="BQ157" s="58">
        <f t="shared" si="147"/>
        <v>3067.2587812362167</v>
      </c>
      <c r="BR157" s="58">
        <f t="shared" si="147"/>
        <v>3072.4546369397685</v>
      </c>
      <c r="BS157" s="58">
        <f t="shared" si="147"/>
        <v>3086.5871517439509</v>
      </c>
      <c r="BT157" s="58">
        <f t="shared" si="147"/>
        <v>3084.8812936390905</v>
      </c>
      <c r="BU157" s="58">
        <f t="shared" si="147"/>
        <v>3069.9683513553878</v>
      </c>
    </row>
    <row r="158" spans="1:73">
      <c r="A158" s="4" t="s">
        <v>103</v>
      </c>
      <c r="B158" s="56"/>
      <c r="C158" s="57">
        <f t="shared" si="143"/>
        <v>0</v>
      </c>
      <c r="D158" s="57">
        <f t="shared" ref="D158:Q166" si="149">(SUM($R158:$V158)/SUM($R$168:$V$168))*D$168</f>
        <v>0</v>
      </c>
      <c r="E158" s="57">
        <f t="shared" si="149"/>
        <v>0</v>
      </c>
      <c r="F158" s="57">
        <f t="shared" si="149"/>
        <v>0</v>
      </c>
      <c r="G158" s="57">
        <f t="shared" si="149"/>
        <v>0</v>
      </c>
      <c r="H158" s="57">
        <f t="shared" si="149"/>
        <v>0</v>
      </c>
      <c r="I158" s="57">
        <f t="shared" si="149"/>
        <v>0</v>
      </c>
      <c r="J158" s="57">
        <f t="shared" si="149"/>
        <v>0</v>
      </c>
      <c r="K158" s="57">
        <f t="shared" si="149"/>
        <v>0.59690289423857179</v>
      </c>
      <c r="L158" s="57">
        <f t="shared" si="149"/>
        <v>0.51163105220449012</v>
      </c>
      <c r="M158" s="57">
        <f t="shared" si="149"/>
        <v>6.7364755206924531</v>
      </c>
      <c r="N158" s="57">
        <f t="shared" si="149"/>
        <v>10.701616175277252</v>
      </c>
      <c r="O158" s="57">
        <f t="shared" si="149"/>
        <v>13.856674330538274</v>
      </c>
      <c r="P158" s="57">
        <f t="shared" si="149"/>
        <v>15.775290776305111</v>
      </c>
      <c r="Q158" s="57">
        <f t="shared" si="149"/>
        <v>11.08533946443062</v>
      </c>
      <c r="R158" s="69">
        <v>0</v>
      </c>
      <c r="S158" s="69">
        <v>0</v>
      </c>
      <c r="T158" s="69">
        <v>13.2</v>
      </c>
      <c r="U158" s="69">
        <v>68.400000000000006</v>
      </c>
      <c r="V158" s="69">
        <v>170.6</v>
      </c>
      <c r="W158" s="69">
        <v>141.69999999999999</v>
      </c>
      <c r="X158" s="69">
        <v>60.7</v>
      </c>
      <c r="Y158" s="69">
        <v>90.6</v>
      </c>
      <c r="Z158" s="69">
        <v>92.2</v>
      </c>
      <c r="AA158" s="69">
        <v>148.30000000000001</v>
      </c>
      <c r="AB158" s="69">
        <v>357.8</v>
      </c>
      <c r="AC158" s="69">
        <v>463.7</v>
      </c>
      <c r="AD158" s="69">
        <v>229.3</v>
      </c>
      <c r="AE158" s="59">
        <v>158.94800000000001</v>
      </c>
      <c r="AF158" s="59">
        <f>'[1]Argentina Soybean Meal Exports'!AM$290</f>
        <v>0</v>
      </c>
      <c r="AG158" s="59">
        <f>'[1]Argentina Soybean Meal Exports'!AY$290</f>
        <v>585.73800000000006</v>
      </c>
      <c r="AH158" s="59">
        <f>'[1]Argentina Soybean Meal Exports'!BK$290</f>
        <v>609.18200000000002</v>
      </c>
      <c r="AI158" s="59">
        <f>'[1]Argentina Soybean Meal Exports'!BW$290</f>
        <v>676.38699999999994</v>
      </c>
      <c r="AJ158" s="59">
        <f>'[1]Argentina Soybean Meal Exports'!CI$290</f>
        <v>931.42</v>
      </c>
      <c r="AK158" s="59">
        <f>'[1]Argentina Soybean Meal Exports'!CU$290</f>
        <v>1078.758</v>
      </c>
      <c r="AL158" s="59">
        <f>'[1]Argentina Soybean Meal Exports'!DG$290</f>
        <v>1077.6030000000001</v>
      </c>
      <c r="AM158" s="59">
        <f>'[1]Argentina Soybean Meal Exports'!DS$290</f>
        <v>1296.6769999999999</v>
      </c>
      <c r="AN158" s="59">
        <f>'[1]Argentina Soybean Meal Exports'!EE$290</f>
        <v>1502.529</v>
      </c>
      <c r="AO158" s="59">
        <f>'[1]Argentina Soybean Meal Exports'!EQ$290</f>
        <v>1507.538</v>
      </c>
      <c r="AP158" s="59">
        <f>'[1]Argentina Soybean Meal Exports'!FC$290</f>
        <v>1903.3320000000001</v>
      </c>
      <c r="AQ158" s="59">
        <f>'[1]Argentina Soybean Meal Exports'!FO$290</f>
        <v>1917.0250000000001</v>
      </c>
      <c r="AR158" s="59">
        <f>'[1]Argentina Soybean Meal Exports'!GA$290</f>
        <v>2103.3319999999999</v>
      </c>
      <c r="AS158" s="59">
        <f>'[1]Argentina Soybean Meal Exports'!GM$290</f>
        <v>2550.2460000000001</v>
      </c>
      <c r="AT158" s="59">
        <f>'[1]Argentina Soybean Meal Exports'!GY$290</f>
        <v>2612.748</v>
      </c>
      <c r="AU158" s="59">
        <f>'[1]Argentina Soybean Meal Exports'!HK$290</f>
        <v>2458.7139999999999</v>
      </c>
      <c r="AV158" s="59">
        <f>'[1]Argentina Soybean Meal Exports'!HW$290</f>
        <v>2215.4839999999999</v>
      </c>
      <c r="AW158" s="59">
        <f>'[1]Argentina Soybean Meal Exports'!II$290</f>
        <v>2938.6370000000002</v>
      </c>
      <c r="AX158" s="59">
        <f>'[1]Argentina Soybean Meal Exports'!IU$290</f>
        <v>2902.9209999999998</v>
      </c>
      <c r="AY158" s="59">
        <f>'[1]Argentina Soybean Meal Exports'!JG$290</f>
        <v>2875.7489999999998</v>
      </c>
      <c r="AZ158" s="59">
        <f>'[1]Argentina Soybean Meal Exports'!JS$290</f>
        <v>2694.4479999999999</v>
      </c>
      <c r="BA158" s="59">
        <f>'[1]Argentina Soybean Meal Exports'!KE$290</f>
        <v>3026.4870000000001</v>
      </c>
      <c r="BB158" s="59">
        <f>'[1]Argentina Soybean Meal Exports'!KQ$290</f>
        <v>2179.1869999999999</v>
      </c>
      <c r="BC158" s="59">
        <f>'[1]Argentina Soybean Meal Exports'!LC$290</f>
        <v>3270.3789999999999</v>
      </c>
      <c r="BD158" s="59">
        <f>'[1]Argentina Soybean Meal Exports'!LO$290</f>
        <v>2938.7237100000002</v>
      </c>
      <c r="BE158" s="59">
        <f>'[1]Argentina Soybean Meal Exports'!MA$290</f>
        <v>2486.4765040000002</v>
      </c>
      <c r="BF158" s="59">
        <f>'[1]Argentina Soybean Meal Exports'!MM$290</f>
        <v>3026.0219999999999</v>
      </c>
      <c r="BG158" s="59">
        <f>'[1]Argentina Soybean Meal Exports'!MY$290</f>
        <v>2730.4270000000001</v>
      </c>
      <c r="BH158" s="59">
        <f>'[1]Argentina Soybean Meal Exports'!NK$290</f>
        <v>2554.4929999999999</v>
      </c>
      <c r="BI158" s="59">
        <f>'[1]Argentina Soybean Meal Exports'!NW$290</f>
        <v>2725.1790000000001</v>
      </c>
      <c r="BJ158" s="58">
        <f t="shared" si="145"/>
        <v>2848.1931795237638</v>
      </c>
      <c r="BK158" s="58">
        <f t="shared" si="146"/>
        <v>3102.1431744070119</v>
      </c>
      <c r="BL158" s="58">
        <f t="shared" si="147"/>
        <v>3104.1222121804653</v>
      </c>
      <c r="BM158" s="58">
        <f t="shared" si="147"/>
        <v>3126.2142657605368</v>
      </c>
      <c r="BN158" s="58">
        <f t="shared" si="147"/>
        <v>3128.007115305903</v>
      </c>
      <c r="BO158" s="58">
        <f t="shared" si="147"/>
        <v>3239.2090537032591</v>
      </c>
      <c r="BP158" s="58">
        <f t="shared" si="147"/>
        <v>3072.1500574268134</v>
      </c>
      <c r="BQ158" s="58">
        <f t="shared" si="147"/>
        <v>3139.9391642714354</v>
      </c>
      <c r="BR158" s="58">
        <f t="shared" si="147"/>
        <v>3133.9405408753955</v>
      </c>
      <c r="BS158" s="58">
        <f t="shared" si="147"/>
        <v>3141.10393129359</v>
      </c>
      <c r="BT158" s="58">
        <f t="shared" si="147"/>
        <v>3142.6491863165611</v>
      </c>
      <c r="BU158" s="58">
        <f t="shared" si="147"/>
        <v>3145.2685495140986</v>
      </c>
    </row>
    <row r="159" spans="1:73">
      <c r="A159" s="4" t="s">
        <v>104</v>
      </c>
      <c r="B159" s="56"/>
      <c r="C159" s="57">
        <f t="shared" si="143"/>
        <v>0</v>
      </c>
      <c r="D159" s="57">
        <f t="shared" si="149"/>
        <v>0</v>
      </c>
      <c r="E159" s="57">
        <f t="shared" si="149"/>
        <v>0</v>
      </c>
      <c r="F159" s="57">
        <f t="shared" si="149"/>
        <v>0</v>
      </c>
      <c r="G159" s="57">
        <f t="shared" si="149"/>
        <v>0</v>
      </c>
      <c r="H159" s="57">
        <f t="shared" si="149"/>
        <v>0</v>
      </c>
      <c r="I159" s="57">
        <f t="shared" si="149"/>
        <v>0</v>
      </c>
      <c r="J159" s="57">
        <f t="shared" si="149"/>
        <v>0</v>
      </c>
      <c r="K159" s="57">
        <f t="shared" si="149"/>
        <v>0.54459697051663525</v>
      </c>
      <c r="L159" s="57">
        <f t="shared" si="149"/>
        <v>0.46679740329997305</v>
      </c>
      <c r="M159" s="57">
        <f t="shared" si="149"/>
        <v>6.1461658101163117</v>
      </c>
      <c r="N159" s="57">
        <f t="shared" si="149"/>
        <v>9.763845685691102</v>
      </c>
      <c r="O159" s="57">
        <f t="shared" si="149"/>
        <v>12.642429672707603</v>
      </c>
      <c r="P159" s="57">
        <f t="shared" si="149"/>
        <v>14.392919935082503</v>
      </c>
      <c r="Q159" s="57">
        <f t="shared" si="149"/>
        <v>10.113943738166082</v>
      </c>
      <c r="R159" s="69">
        <v>5</v>
      </c>
      <c r="S159" s="69">
        <v>14.3</v>
      </c>
      <c r="T159" s="69">
        <v>9</v>
      </c>
      <c r="U159" s="69">
        <v>121.1</v>
      </c>
      <c r="V159" s="69">
        <v>80.7</v>
      </c>
      <c r="W159" s="69">
        <v>114.4</v>
      </c>
      <c r="X159" s="69">
        <v>267.3</v>
      </c>
      <c r="Y159" s="69">
        <v>236.1</v>
      </c>
      <c r="Z159" s="69">
        <v>356.1</v>
      </c>
      <c r="AA159" s="69">
        <v>260.39999999999998</v>
      </c>
      <c r="AB159" s="69">
        <v>354.6</v>
      </c>
      <c r="AC159" s="69">
        <v>613.20000000000005</v>
      </c>
      <c r="AD159" s="69">
        <v>473.6</v>
      </c>
      <c r="AE159" s="59">
        <v>509.745</v>
      </c>
      <c r="AF159" s="59">
        <f>'[1]Argentina Soybean Meal Exports'!AN$290</f>
        <v>0</v>
      </c>
      <c r="AG159" s="59">
        <f>'[1]Argentina Soybean Meal Exports'!AZ$290</f>
        <v>620.03399999999999</v>
      </c>
      <c r="AH159" s="59">
        <f>'[1]Argentina Soybean Meal Exports'!BL$290</f>
        <v>601.04899999999998</v>
      </c>
      <c r="AI159" s="59">
        <f>'[1]Argentina Soybean Meal Exports'!BX$290</f>
        <v>773.30200000000002</v>
      </c>
      <c r="AJ159" s="59">
        <f>'[1]Argentina Soybean Meal Exports'!CJ$290</f>
        <v>876.22</v>
      </c>
      <c r="AK159" s="59">
        <f>'[1]Argentina Soybean Meal Exports'!CV$290</f>
        <v>1250.396</v>
      </c>
      <c r="AL159" s="59">
        <f>'[1]Argentina Soybean Meal Exports'!DH$290</f>
        <v>1405.7439999999999</v>
      </c>
      <c r="AM159" s="59">
        <f>'[1]Argentina Soybean Meal Exports'!DT$290</f>
        <v>1394.799</v>
      </c>
      <c r="AN159" s="59">
        <f>'[1]Argentina Soybean Meal Exports'!EF$290</f>
        <v>1571.5</v>
      </c>
      <c r="AO159" s="59">
        <f>'[1]Argentina Soybean Meal Exports'!ER$290</f>
        <v>1519.318</v>
      </c>
      <c r="AP159" s="59">
        <f>'[1]Argentina Soybean Meal Exports'!FD$290</f>
        <v>1690.242</v>
      </c>
      <c r="AQ159" s="59">
        <f>'[1]Argentina Soybean Meal Exports'!FP$290</f>
        <v>1824.9780000000001</v>
      </c>
      <c r="AR159" s="59">
        <f>'[1]Argentina Soybean Meal Exports'!GB$290</f>
        <v>1953.162</v>
      </c>
      <c r="AS159" s="59">
        <f>'[1]Argentina Soybean Meal Exports'!GN$290</f>
        <v>2103.5070000000001</v>
      </c>
      <c r="AT159" s="59">
        <f>'[1]Argentina Soybean Meal Exports'!GZ$290</f>
        <v>2269.7199999999998</v>
      </c>
      <c r="AU159" s="59">
        <f>'[1]Argentina Soybean Meal Exports'!HL$290</f>
        <v>1741.598</v>
      </c>
      <c r="AV159" s="59">
        <f>'[1]Argentina Soybean Meal Exports'!HX$290</f>
        <v>2574.5039999999999</v>
      </c>
      <c r="AW159" s="59">
        <f>'[1]Argentina Soybean Meal Exports'!IJ$290</f>
        <v>2686.92</v>
      </c>
      <c r="AX159" s="59">
        <f>'[1]Argentina Soybean Meal Exports'!IV$290</f>
        <v>2228.2809999999999</v>
      </c>
      <c r="AY159" s="59">
        <f>'[1]Argentina Soybean Meal Exports'!JH$290</f>
        <v>2356.9160000000002</v>
      </c>
      <c r="AZ159" s="59">
        <f>'[1]Argentina Soybean Meal Exports'!JT$290</f>
        <v>2440.098</v>
      </c>
      <c r="BA159" s="59">
        <f>'[1]Argentina Soybean Meal Exports'!KF$290</f>
        <v>3091.5430000000001</v>
      </c>
      <c r="BB159" s="59">
        <f>'[1]Argentina Soybean Meal Exports'!KR$290</f>
        <v>3249.5740000000001</v>
      </c>
      <c r="BC159" s="59">
        <f>'[1]Argentina Soybean Meal Exports'!LD$290</f>
        <v>3011.4369999999999</v>
      </c>
      <c r="BD159" s="59">
        <f>'[1]Argentina Soybean Meal Exports'!LP$290</f>
        <v>2685.66419</v>
      </c>
      <c r="BE159" s="59">
        <f>'[1]Argentina Soybean Meal Exports'!MB$290</f>
        <v>2213.1349150000001</v>
      </c>
      <c r="BF159" s="59">
        <f>'[1]Argentina Soybean Meal Exports'!MN$290</f>
        <v>2842.5149999999999</v>
      </c>
      <c r="BG159" s="59">
        <f>'[1]Argentina Soybean Meal Exports'!MZ$290</f>
        <v>2818.9560000000001</v>
      </c>
      <c r="BH159" s="59">
        <f>'[1]Argentina Soybean Meal Exports'!NL$290</f>
        <v>2816.5940000000001</v>
      </c>
      <c r="BI159" s="59">
        <f>'[1]Argentina Soybean Meal Exports'!NY$290</f>
        <v>2498.674</v>
      </c>
      <c r="BJ159" s="58">
        <f t="shared" si="145"/>
        <v>2773.6967566079434</v>
      </c>
      <c r="BK159" s="58">
        <f t="shared" si="146"/>
        <v>3025.8149238415976</v>
      </c>
      <c r="BL159" s="58">
        <f t="shared" si="147"/>
        <v>3074.190954436559</v>
      </c>
      <c r="BM159" s="58">
        <f t="shared" si="147"/>
        <v>3120.2353046456406</v>
      </c>
      <c r="BN159" s="58">
        <f t="shared" si="147"/>
        <v>3096.3301820147376</v>
      </c>
      <c r="BO159" s="58">
        <f t="shared" si="147"/>
        <v>3149.4073828080027</v>
      </c>
      <c r="BP159" s="58">
        <f t="shared" si="147"/>
        <v>3028.3191128273543</v>
      </c>
      <c r="BQ159" s="58">
        <f t="shared" si="147"/>
        <v>3093.195749549307</v>
      </c>
      <c r="BR159" s="58">
        <f t="shared" si="147"/>
        <v>3093.6965873464583</v>
      </c>
      <c r="BS159" s="58">
        <f t="shared" si="147"/>
        <v>3097.497546369008</v>
      </c>
      <c r="BT159" s="58">
        <f t="shared" si="147"/>
        <v>3092.1898029091717</v>
      </c>
      <c r="BU159" s="58">
        <f t="shared" si="147"/>
        <v>3092.4232757800264</v>
      </c>
    </row>
    <row r="160" spans="1:73">
      <c r="A160" s="4" t="s">
        <v>105</v>
      </c>
      <c r="B160" s="56"/>
      <c r="C160" s="57">
        <f t="shared" si="143"/>
        <v>0</v>
      </c>
      <c r="D160" s="57">
        <f t="shared" si="149"/>
        <v>0</v>
      </c>
      <c r="E160" s="57">
        <f t="shared" si="149"/>
        <v>0</v>
      </c>
      <c r="F160" s="57">
        <f t="shared" si="149"/>
        <v>0</v>
      </c>
      <c r="G160" s="57">
        <f t="shared" si="149"/>
        <v>0</v>
      </c>
      <c r="H160" s="57">
        <f t="shared" si="149"/>
        <v>0</v>
      </c>
      <c r="I160" s="57">
        <f t="shared" si="149"/>
        <v>0</v>
      </c>
      <c r="J160" s="57">
        <f t="shared" si="149"/>
        <v>0</v>
      </c>
      <c r="K160" s="57">
        <f t="shared" si="149"/>
        <v>0.92825263727346496</v>
      </c>
      <c r="L160" s="57">
        <f t="shared" si="149"/>
        <v>0.79564511766296997</v>
      </c>
      <c r="M160" s="57">
        <f t="shared" si="149"/>
        <v>10.475994049229104</v>
      </c>
      <c r="N160" s="57">
        <f t="shared" si="149"/>
        <v>16.642243711117121</v>
      </c>
      <c r="O160" s="57">
        <f t="shared" si="149"/>
        <v>21.548721936705437</v>
      </c>
      <c r="P160" s="57">
        <f t="shared" si="149"/>
        <v>24.532391127941573</v>
      </c>
      <c r="Q160" s="57">
        <f t="shared" si="149"/>
        <v>17.23897754936435</v>
      </c>
      <c r="R160" s="69">
        <v>9.6999999999999993</v>
      </c>
      <c r="S160" s="69">
        <v>36.1</v>
      </c>
      <c r="T160" s="69">
        <v>64.3</v>
      </c>
      <c r="U160" s="69">
        <v>131.9</v>
      </c>
      <c r="V160" s="69">
        <v>150.19999999999999</v>
      </c>
      <c r="W160" s="69">
        <v>260.8</v>
      </c>
      <c r="X160" s="69">
        <v>307.2</v>
      </c>
      <c r="Y160" s="69">
        <v>553.79999999999995</v>
      </c>
      <c r="Z160" s="69">
        <v>434.1</v>
      </c>
      <c r="AA160" s="69">
        <v>391.8</v>
      </c>
      <c r="AB160" s="69">
        <v>496.5</v>
      </c>
      <c r="AC160" s="69">
        <v>607.6</v>
      </c>
      <c r="AD160" s="69">
        <v>552.79999999999995</v>
      </c>
      <c r="AE160" s="59">
        <v>689.197</v>
      </c>
      <c r="AF160" s="59">
        <f>'[1]Argentina Soybean Meal Exports'!AO$290</f>
        <v>0</v>
      </c>
      <c r="AG160" s="59">
        <f>'[1]Argentina Soybean Meal Exports'!BA$290</f>
        <v>654.38800000000003</v>
      </c>
      <c r="AH160" s="59">
        <f>'[1]Argentina Soybean Meal Exports'!BM$290</f>
        <v>593.44399999999996</v>
      </c>
      <c r="AI160" s="59">
        <f>'[1]Argentina Soybean Meal Exports'!BY$290</f>
        <v>777.65499999999997</v>
      </c>
      <c r="AJ160" s="59">
        <f>'[1]Argentina Soybean Meal Exports'!CK$290</f>
        <v>1012.922</v>
      </c>
      <c r="AK160" s="59">
        <f>'[1]Argentina Soybean Meal Exports'!CW$290</f>
        <v>1134.126</v>
      </c>
      <c r="AL160" s="59">
        <f>'[1]Argentina Soybean Meal Exports'!DI$290</f>
        <v>1248.682</v>
      </c>
      <c r="AM160" s="59">
        <f>'[1]Argentina Soybean Meal Exports'!DU$290</f>
        <v>1274.7080000000001</v>
      </c>
      <c r="AN160" s="59">
        <f>'[1]Argentina Soybean Meal Exports'!EG$290</f>
        <v>1440.5060000000001</v>
      </c>
      <c r="AO160" s="59">
        <f>'[1]Argentina Soybean Meal Exports'!ES$290</f>
        <v>1659.068</v>
      </c>
      <c r="AP160" s="59">
        <f>'[1]Argentina Soybean Meal Exports'!FE$290</f>
        <v>1690.963</v>
      </c>
      <c r="AQ160" s="59">
        <f>'[1]Argentina Soybean Meal Exports'!FQ$290</f>
        <v>1551.2280000000001</v>
      </c>
      <c r="AR160" s="59">
        <f>'[1]Argentina Soybean Meal Exports'!GC$290</f>
        <v>1926.56</v>
      </c>
      <c r="AS160" s="59">
        <f>'[1]Argentina Soybean Meal Exports'!GO$290</f>
        <v>2379.58</v>
      </c>
      <c r="AT160" s="59">
        <f>'[1]Argentina Soybean Meal Exports'!HA$290</f>
        <v>2366.645</v>
      </c>
      <c r="AU160" s="59">
        <f>'[1]Argentina Soybean Meal Exports'!HM$290</f>
        <v>2100.2919999999999</v>
      </c>
      <c r="AV160" s="59">
        <f>'[1]Argentina Soybean Meal Exports'!HY$290</f>
        <v>2026.7149999999999</v>
      </c>
      <c r="AW160" s="59">
        <f>'[1]Argentina Soybean Meal Exports'!IK$290</f>
        <v>2710.4360000000001</v>
      </c>
      <c r="AX160" s="59">
        <f>'[1]Argentina Soybean Meal Exports'!IW$290</f>
        <v>2481.203</v>
      </c>
      <c r="AY160" s="59">
        <f>'[1]Argentina Soybean Meal Exports'!JI$290</f>
        <v>2466.817</v>
      </c>
      <c r="AZ160" s="59">
        <f>'[1]Argentina Soybean Meal Exports'!JU$290</f>
        <v>2658.1280000000002</v>
      </c>
      <c r="BA160" s="59">
        <f>'[1]Argentina Soybean Meal Exports'!KG$290</f>
        <v>2472.4630000000002</v>
      </c>
      <c r="BB160" s="59">
        <f>'[1]Argentina Soybean Meal Exports'!KS$290</f>
        <v>3509.0079999999998</v>
      </c>
      <c r="BC160" s="59">
        <f>'[1]Argentina Soybean Meal Exports'!LE$290</f>
        <v>2460.0929999999998</v>
      </c>
      <c r="BD160" s="59">
        <f>'[1]Argentina Soybean Meal Exports'!LQ$290</f>
        <v>2936.0358449999999</v>
      </c>
      <c r="BE160" s="59">
        <f>'[1]Argentina Soybean Meal Exports'!MC$290</f>
        <v>2178.5574780000002</v>
      </c>
      <c r="BF160" s="59">
        <f>'[1]Argentina Soybean Meal Exports'!MO$290</f>
        <v>3019.46</v>
      </c>
      <c r="BG160" s="59">
        <f>'[1]Argentina Soybean Meal Exports'!NA$290</f>
        <v>2324.34</v>
      </c>
      <c r="BH160" s="59">
        <f>'[1]Argentina Soybean Meal Exports'!NM$290</f>
        <v>2636.4960000000001</v>
      </c>
      <c r="BI160" s="59">
        <f>'[1]Argentina Soybean Meal Exports'!NX$290</f>
        <v>2776.259</v>
      </c>
      <c r="BJ160" s="58">
        <f t="shared" si="145"/>
        <v>2715.2292015711619</v>
      </c>
      <c r="BK160" s="58">
        <f t="shared" si="146"/>
        <v>2967.3715328689764</v>
      </c>
      <c r="BL160" s="58">
        <f t="shared" si="147"/>
        <v>3011.8927040322337</v>
      </c>
      <c r="BM160" s="58">
        <f t="shared" si="147"/>
        <v>3005.1243520396461</v>
      </c>
      <c r="BN160" s="58">
        <f t="shared" si="147"/>
        <v>3078.4966893810843</v>
      </c>
      <c r="BO160" s="58">
        <f t="shared" si="147"/>
        <v>3145.7706469252635</v>
      </c>
      <c r="BP160" s="58">
        <f t="shared" si="147"/>
        <v>2965.6760350805885</v>
      </c>
      <c r="BQ160" s="58">
        <f t="shared" si="147"/>
        <v>3041.7311850494407</v>
      </c>
      <c r="BR160" s="58">
        <f t="shared" si="147"/>
        <v>3041.3920854917633</v>
      </c>
      <c r="BS160" s="58">
        <f t="shared" si="147"/>
        <v>3047.3597816952047</v>
      </c>
      <c r="BT160" s="58">
        <f t="shared" si="147"/>
        <v>3054.6133283856284</v>
      </c>
      <c r="BU160" s="58">
        <f t="shared" si="147"/>
        <v>3048.3859468484516</v>
      </c>
    </row>
    <row r="161" spans="1:73">
      <c r="A161" s="4" t="s">
        <v>106</v>
      </c>
      <c r="B161" s="56"/>
      <c r="C161" s="57">
        <f t="shared" si="143"/>
        <v>0</v>
      </c>
      <c r="D161" s="57">
        <f t="shared" si="149"/>
        <v>0</v>
      </c>
      <c r="E161" s="57">
        <f t="shared" si="149"/>
        <v>0</v>
      </c>
      <c r="F161" s="57">
        <f t="shared" si="149"/>
        <v>0</v>
      </c>
      <c r="G161" s="57">
        <f t="shared" si="149"/>
        <v>0</v>
      </c>
      <c r="H161" s="57">
        <f t="shared" si="149"/>
        <v>0</v>
      </c>
      <c r="I161" s="57">
        <f t="shared" si="149"/>
        <v>0</v>
      </c>
      <c r="J161" s="57">
        <f t="shared" si="149"/>
        <v>0</v>
      </c>
      <c r="K161" s="57">
        <f t="shared" si="149"/>
        <v>1.344333243170138</v>
      </c>
      <c r="L161" s="57">
        <f t="shared" si="149"/>
        <v>1.1522856370029755</v>
      </c>
      <c r="M161" s="57">
        <f t="shared" si="149"/>
        <v>15.171760887205844</v>
      </c>
      <c r="N161" s="57">
        <f t="shared" si="149"/>
        <v>24.101974573978904</v>
      </c>
      <c r="O161" s="57">
        <f t="shared" si="149"/>
        <v>31.207736002163919</v>
      </c>
      <c r="P161" s="57">
        <f t="shared" si="149"/>
        <v>35.528807140925075</v>
      </c>
      <c r="Q161" s="57">
        <f t="shared" si="149"/>
        <v>24.966188801731136</v>
      </c>
      <c r="R161" s="82">
        <v>32.1</v>
      </c>
      <c r="S161" s="82">
        <v>55.3</v>
      </c>
      <c r="T161" s="82">
        <v>145.69999999999999</v>
      </c>
      <c r="U161" s="82">
        <v>136.6</v>
      </c>
      <c r="V161" s="82">
        <v>198.3</v>
      </c>
      <c r="W161" s="82">
        <v>298.3</v>
      </c>
      <c r="X161" s="82">
        <v>432.5</v>
      </c>
      <c r="Y161" s="82">
        <v>444.3</v>
      </c>
      <c r="Z161" s="82">
        <v>683</v>
      </c>
      <c r="AA161" s="82">
        <v>646.4</v>
      </c>
      <c r="AB161" s="82">
        <v>485.9</v>
      </c>
      <c r="AC161" s="69">
        <v>626.1</v>
      </c>
      <c r="AD161" s="69">
        <v>581.9</v>
      </c>
      <c r="AE161" s="59">
        <v>642.67099999999994</v>
      </c>
      <c r="AF161" s="59">
        <f>'[1]Argentina Soybean Meal Exports'!AP$290</f>
        <v>0</v>
      </c>
      <c r="AG161" s="59">
        <f>'[1]Argentina Soybean Meal Exports'!BB$290</f>
        <v>772.178</v>
      </c>
      <c r="AH161" s="59">
        <f>'[1]Argentina Soybean Meal Exports'!BN$290</f>
        <v>670.00900000000001</v>
      </c>
      <c r="AI161" s="59">
        <f>'[1]Argentina Soybean Meal Exports'!BZ$290</f>
        <v>913.11400000000003</v>
      </c>
      <c r="AJ161" s="59">
        <f>'[1]Argentina Soybean Meal Exports'!CL$290</f>
        <v>1018.356</v>
      </c>
      <c r="AK161" s="59">
        <f>'[1]Argentina Soybean Meal Exports'!CX$290</f>
        <v>1189.952</v>
      </c>
      <c r="AL161" s="59">
        <f>'[1]Argentina Soybean Meal Exports'!DJ$290</f>
        <v>1527.2349999999999</v>
      </c>
      <c r="AM161" s="59">
        <f>'[1]Argentina Soybean Meal Exports'!DV$290</f>
        <v>1225.3219999999999</v>
      </c>
      <c r="AN161" s="59">
        <f>'[1]Argentina Soybean Meal Exports'!EH$290</f>
        <v>1633.9159999999999</v>
      </c>
      <c r="AO161" s="59">
        <f>'[1]Argentina Soybean Meal Exports'!ET$290</f>
        <v>1378.7329999999999</v>
      </c>
      <c r="AP161" s="59">
        <f>'[1]Argentina Soybean Meal Exports'!FF$290</f>
        <v>1995.4280000000001</v>
      </c>
      <c r="AQ161" s="59">
        <f>'[1]Argentina Soybean Meal Exports'!FR$290</f>
        <v>1755.8320000000001</v>
      </c>
      <c r="AR161" s="59">
        <f>'[1]Argentina Soybean Meal Exports'!GD$290</f>
        <v>2020.5229999999999</v>
      </c>
      <c r="AS161" s="59">
        <f>'[1]Argentina Soybean Meal Exports'!GP$290</f>
        <v>2236.7600000000002</v>
      </c>
      <c r="AT161" s="59">
        <f>'[1]Argentina Soybean Meal Exports'!HB$290</f>
        <v>2244.145</v>
      </c>
      <c r="AU161" s="59">
        <f>'[1]Argentina Soybean Meal Exports'!HN$290</f>
        <v>2571.752</v>
      </c>
      <c r="AV161" s="59">
        <f>'[1]Argentina Soybean Meal Exports'!HZ$290</f>
        <v>1648.0239999999999</v>
      </c>
      <c r="AW161" s="59">
        <f>'[1]Argentina Soybean Meal Exports'!IL$290</f>
        <v>2655.029</v>
      </c>
      <c r="AX161" s="59">
        <f>'[1]Argentina Soybean Meal Exports'!IX$290</f>
        <v>2727.8870000000002</v>
      </c>
      <c r="AY161" s="59">
        <f>'[1]Argentina Soybean Meal Exports'!JJ$290</f>
        <v>2235.1320000000001</v>
      </c>
      <c r="AZ161" s="59">
        <f>'[1]Argentina Soybean Meal Exports'!JV$290</f>
        <v>3005.643</v>
      </c>
      <c r="BA161" s="59">
        <f>'[1]Argentina Soybean Meal Exports'!KH$290</f>
        <v>2674.01</v>
      </c>
      <c r="BB161" s="59">
        <f>'[1]Argentina Soybean Meal Exports'!KT$290</f>
        <v>2878.2240000000002</v>
      </c>
      <c r="BC161" s="59">
        <f>'[1]Argentina Soybean Meal Exports'!LF$290</f>
        <v>2441.3890000000001</v>
      </c>
      <c r="BD161" s="59">
        <f>'[1]Argentina Soybean Meal Exports'!LR$290</f>
        <v>2869.9118619999999</v>
      </c>
      <c r="BE161" s="59">
        <f>'[1]Argentina Soybean Meal Exports'!MD$290</f>
        <v>2150.5239470000001</v>
      </c>
      <c r="BF161" s="59">
        <f>'[1]Argentina Soybean Meal Exports'!MP$290</f>
        <v>2390.8850000000002</v>
      </c>
      <c r="BG161" s="59">
        <f>'[1]Argentina Soybean Meal Exports'!NB$290</f>
        <v>2186.2649999999999</v>
      </c>
      <c r="BH161" s="59">
        <f>'[1]Argentina Soybean Meal Exports'!NN$290</f>
        <v>2670.1779999999999</v>
      </c>
      <c r="BI161" s="59">
        <f>'[1]Argentina Soybean Meal Exports'!NZ$290</f>
        <v>1824.15</v>
      </c>
      <c r="BJ161" s="58">
        <f t="shared" si="145"/>
        <v>2543.7244798754427</v>
      </c>
      <c r="BK161" s="58">
        <f t="shared" si="146"/>
        <v>2574.3764637504546</v>
      </c>
      <c r="BL161" s="58">
        <f t="shared" si="147"/>
        <v>2596.81591402822</v>
      </c>
      <c r="BM161" s="58">
        <f t="shared" si="147"/>
        <v>2642.1271535432534</v>
      </c>
      <c r="BN161" s="58">
        <f t="shared" si="147"/>
        <v>2664.3126076683247</v>
      </c>
      <c r="BO161" s="58">
        <f t="shared" si="147"/>
        <v>2647.1103007758561</v>
      </c>
      <c r="BP161" s="58">
        <f t="shared" si="147"/>
        <v>2613.1293895002582</v>
      </c>
      <c r="BQ161" s="58">
        <f t="shared" si="147"/>
        <v>2624.9484879532215</v>
      </c>
      <c r="BR161" s="58">
        <f t="shared" si="147"/>
        <v>2632.6990731031829</v>
      </c>
      <c r="BS161" s="58">
        <f t="shared" si="147"/>
        <v>2638.3255878881828</v>
      </c>
      <c r="BT161" s="58">
        <f t="shared" si="147"/>
        <v>2636.4399718001691</v>
      </c>
      <c r="BU161" s="58">
        <f t="shared" si="147"/>
        <v>2631.2425678441405</v>
      </c>
    </row>
    <row r="162" spans="1:73">
      <c r="A162" s="4" t="s">
        <v>107</v>
      </c>
      <c r="B162" s="56"/>
      <c r="C162" s="57">
        <f t="shared" si="143"/>
        <v>0</v>
      </c>
      <c r="D162" s="57">
        <f t="shared" si="149"/>
        <v>0</v>
      </c>
      <c r="E162" s="57">
        <f t="shared" si="149"/>
        <v>0</v>
      </c>
      <c r="F162" s="57">
        <f t="shared" si="149"/>
        <v>0</v>
      </c>
      <c r="G162" s="57">
        <f t="shared" si="149"/>
        <v>0</v>
      </c>
      <c r="H162" s="57">
        <f t="shared" si="149"/>
        <v>0</v>
      </c>
      <c r="I162" s="57">
        <f t="shared" si="149"/>
        <v>0</v>
      </c>
      <c r="J162" s="57">
        <f t="shared" si="149"/>
        <v>0</v>
      </c>
      <c r="K162" s="57">
        <f t="shared" si="149"/>
        <v>1.657458750338112</v>
      </c>
      <c r="L162" s="57">
        <f t="shared" si="149"/>
        <v>1.4206789288612387</v>
      </c>
      <c r="M162" s="57">
        <f t="shared" si="149"/>
        <v>18.705605896672978</v>
      </c>
      <c r="N162" s="57">
        <f t="shared" si="149"/>
        <v>29.715867595347579</v>
      </c>
      <c r="O162" s="57">
        <f t="shared" si="149"/>
        <v>38.476720989991883</v>
      </c>
      <c r="P162" s="57">
        <f t="shared" si="149"/>
        <v>43.80426697322153</v>
      </c>
      <c r="Q162" s="57">
        <f t="shared" si="149"/>
        <v>30.781376791993505</v>
      </c>
      <c r="R162" s="69">
        <v>37.9</v>
      </c>
      <c r="S162" s="69">
        <v>75</v>
      </c>
      <c r="T162" s="69">
        <v>110.1</v>
      </c>
      <c r="U162" s="69">
        <v>207</v>
      </c>
      <c r="V162" s="69">
        <v>270.3</v>
      </c>
      <c r="W162" s="69">
        <v>248</v>
      </c>
      <c r="X162" s="69">
        <v>369.3</v>
      </c>
      <c r="Y162" s="69">
        <v>496.1</v>
      </c>
      <c r="Z162" s="69">
        <v>615.6</v>
      </c>
      <c r="AA162" s="69">
        <v>385.8</v>
      </c>
      <c r="AB162" s="69">
        <v>373.1</v>
      </c>
      <c r="AC162" s="69">
        <v>487.8</v>
      </c>
      <c r="AD162" s="69">
        <v>613</v>
      </c>
      <c r="AE162" s="59">
        <v>528.45000000000005</v>
      </c>
      <c r="AF162" s="59">
        <f>'[1]Argentina Soybean Meal Exports'!AQ$290</f>
        <v>0</v>
      </c>
      <c r="AG162" s="59">
        <f>'[1]Argentina Soybean Meal Exports'!BC$290</f>
        <v>501.50900000000001</v>
      </c>
      <c r="AH162" s="59">
        <f>'[1]Argentina Soybean Meal Exports'!BO$290</f>
        <v>565.75900000000001</v>
      </c>
      <c r="AI162" s="59">
        <f>'[1]Argentina Soybean Meal Exports'!CA$290</f>
        <v>960.97400000000005</v>
      </c>
      <c r="AJ162" s="59">
        <f>'[1]Argentina Soybean Meal Exports'!CM$290</f>
        <v>1040.1949999999999</v>
      </c>
      <c r="AK162" s="59">
        <f>'[1]Argentina Soybean Meal Exports'!CY$290</f>
        <v>1092.1959999999999</v>
      </c>
      <c r="AL162" s="59">
        <f>'[1]Argentina Soybean Meal Exports'!DK$290</f>
        <v>997.74900000000002</v>
      </c>
      <c r="AM162" s="59">
        <f>'[1]Argentina Soybean Meal Exports'!DW$290</f>
        <v>1355.5029999999999</v>
      </c>
      <c r="AN162" s="59">
        <f>'[1]Argentina Soybean Meal Exports'!EI$290</f>
        <v>1217.9459999999999</v>
      </c>
      <c r="AO162" s="59">
        <f>'[1]Argentina Soybean Meal Exports'!EU$290</f>
        <v>1794.8340000000001</v>
      </c>
      <c r="AP162" s="59">
        <f>'[1]Argentina Soybean Meal Exports'!FG$290</f>
        <v>1673.71</v>
      </c>
      <c r="AQ162" s="59">
        <f>'[1]Argentina Soybean Meal Exports'!FS$290</f>
        <v>1679.7570000000001</v>
      </c>
      <c r="AR162" s="59">
        <f>'[1]Argentina Soybean Meal Exports'!GE$290</f>
        <v>2001.52</v>
      </c>
      <c r="AS162" s="59">
        <f>'[1]Argentina Soybean Meal Exports'!GQ$290</f>
        <v>1924.788</v>
      </c>
      <c r="AT162" s="59">
        <f>'[1]Argentina Soybean Meal Exports'!HC$290</f>
        <v>2309.2399999999998</v>
      </c>
      <c r="AU162" s="59">
        <f>'[1]Argentina Soybean Meal Exports'!HO$290</f>
        <v>2323.1689999999999</v>
      </c>
      <c r="AV162" s="59">
        <f>'[1]Argentina Soybean Meal Exports'!IA$290</f>
        <v>1602.116</v>
      </c>
      <c r="AW162" s="59">
        <f>'[1]Argentina Soybean Meal Exports'!IM$290</f>
        <v>2509.3539999999998</v>
      </c>
      <c r="AX162" s="59">
        <f>'[1]Argentina Soybean Meal Exports'!IY$290</f>
        <v>2386.0720000000001</v>
      </c>
      <c r="AY162" s="59">
        <f>'[1]Argentina Soybean Meal Exports'!JK$290</f>
        <v>1779.143</v>
      </c>
      <c r="AZ162" s="59">
        <f>'[1]Argentina Soybean Meal Exports'!JW$290</f>
        <v>2480.1460000000002</v>
      </c>
      <c r="BA162" s="59">
        <f>'[1]Argentina Soybean Meal Exports'!KI$290</f>
        <v>2461.2130000000002</v>
      </c>
      <c r="BB162" s="59">
        <f>'[1]Argentina Soybean Meal Exports'!KU$290</f>
        <v>3117.2820000000002</v>
      </c>
      <c r="BC162" s="59">
        <f>'[1]Argentina Soybean Meal Exports'!LG$290</f>
        <v>2280.4589999999998</v>
      </c>
      <c r="BD162" s="59">
        <f>'[1]Argentina Soybean Meal Exports'!LS$290</f>
        <v>2393.4606309999999</v>
      </c>
      <c r="BE162" s="59">
        <f>'[1]Argentina Soybean Meal Exports'!ME$290</f>
        <v>2402.320913</v>
      </c>
      <c r="BF162" s="59">
        <f>'[1]Argentina Soybean Meal Exports'!MQ$290</f>
        <v>2634.6889999999999</v>
      </c>
      <c r="BG162" s="59">
        <f>'[1]Argentina Soybean Meal Exports'!NC$290</f>
        <v>2355.326</v>
      </c>
      <c r="BH162" s="59">
        <f>'[1]Argentina Soybean Meal Exports'!NO$290</f>
        <v>2667.3420000000001</v>
      </c>
      <c r="BI162" s="59">
        <f>'[1]Argentina Soybean Meal Exports'!OA$290</f>
        <v>1718.529</v>
      </c>
      <c r="BJ162" s="58">
        <f t="shared" si="145"/>
        <v>2582.1619863934598</v>
      </c>
      <c r="BK162" s="58">
        <f t="shared" si="146"/>
        <v>2701.9723223373721</v>
      </c>
      <c r="BL162" s="58">
        <f t="shared" si="147"/>
        <v>2673.4660343271648</v>
      </c>
      <c r="BM162" s="58">
        <f t="shared" si="147"/>
        <v>2692.8789349872281</v>
      </c>
      <c r="BN162" s="58">
        <f t="shared" si="147"/>
        <v>2693.6036343873416</v>
      </c>
      <c r="BO162" s="58">
        <f t="shared" si="147"/>
        <v>2687.9244508459237</v>
      </c>
      <c r="BP162" s="58">
        <f t="shared" si="147"/>
        <v>2677.8941899099368</v>
      </c>
      <c r="BQ162" s="58">
        <f t="shared" si="147"/>
        <v>2689.9690753770064</v>
      </c>
      <c r="BR162" s="58">
        <f t="shared" si="147"/>
        <v>2685.1534488915186</v>
      </c>
      <c r="BS162" s="58">
        <f t="shared" si="147"/>
        <v>2688.4540571014873</v>
      </c>
      <c r="BT162" s="58">
        <f t="shared" si="147"/>
        <v>2686.9089598823457</v>
      </c>
      <c r="BU162" s="58">
        <f t="shared" si="147"/>
        <v>2685.8790444251745</v>
      </c>
    </row>
    <row r="163" spans="1:73">
      <c r="A163" s="4" t="s">
        <v>108</v>
      </c>
      <c r="B163" s="56"/>
      <c r="C163" s="57">
        <f t="shared" si="143"/>
        <v>0</v>
      </c>
      <c r="D163" s="57">
        <f t="shared" si="149"/>
        <v>0</v>
      </c>
      <c r="E163" s="57">
        <f t="shared" si="149"/>
        <v>0</v>
      </c>
      <c r="F163" s="57">
        <f t="shared" si="149"/>
        <v>0</v>
      </c>
      <c r="G163" s="57">
        <f t="shared" si="149"/>
        <v>0</v>
      </c>
      <c r="H163" s="57">
        <f t="shared" si="149"/>
        <v>0</v>
      </c>
      <c r="I163" s="57">
        <f t="shared" si="149"/>
        <v>0</v>
      </c>
      <c r="J163" s="57">
        <f t="shared" si="149"/>
        <v>0</v>
      </c>
      <c r="K163" s="57">
        <f t="shared" si="149"/>
        <v>1.1739248038950501</v>
      </c>
      <c r="L163" s="57">
        <f t="shared" si="149"/>
        <v>1.0062212604814715</v>
      </c>
      <c r="M163" s="57">
        <f t="shared" si="149"/>
        <v>13.248579929672706</v>
      </c>
      <c r="N163" s="57">
        <f t="shared" si="149"/>
        <v>21.04679469840411</v>
      </c>
      <c r="O163" s="57">
        <f t="shared" si="149"/>
        <v>27.251825804706517</v>
      </c>
      <c r="P163" s="57">
        <f t="shared" si="149"/>
        <v>31.025155531512034</v>
      </c>
      <c r="Q163" s="57">
        <f t="shared" si="149"/>
        <v>21.801460643765214</v>
      </c>
      <c r="R163" s="69">
        <v>12.4</v>
      </c>
      <c r="S163" s="69">
        <v>55.1</v>
      </c>
      <c r="T163" s="69">
        <v>83.5</v>
      </c>
      <c r="U163" s="69">
        <v>126.7</v>
      </c>
      <c r="V163" s="69">
        <v>218.3</v>
      </c>
      <c r="W163" s="69">
        <v>228.5</v>
      </c>
      <c r="X163" s="69">
        <v>476.8</v>
      </c>
      <c r="Y163" s="69">
        <v>319.7</v>
      </c>
      <c r="Z163" s="69">
        <v>619.6</v>
      </c>
      <c r="AA163" s="69">
        <v>452.9</v>
      </c>
      <c r="AB163" s="69">
        <v>554.29999999999995</v>
      </c>
      <c r="AC163" s="69">
        <v>558.70000000000005</v>
      </c>
      <c r="AD163" s="69">
        <v>766.6</v>
      </c>
      <c r="AE163" s="59">
        <v>519.10299999999995</v>
      </c>
      <c r="AF163" s="59">
        <f>'[1]Argentina Soybean Meal Exports'!AR$290</f>
        <v>607.29899999999998</v>
      </c>
      <c r="AG163" s="59">
        <f>'[1]Argentina Soybean Meal Exports'!BD$290</f>
        <v>657.95</v>
      </c>
      <c r="AH163" s="59">
        <f>'[1]Argentina Soybean Meal Exports'!BP$290</f>
        <v>905.08600000000001</v>
      </c>
      <c r="AI163" s="59">
        <f>'[1]Argentina Soybean Meal Exports'!CB$290</f>
        <v>869.68799999999999</v>
      </c>
      <c r="AJ163" s="59">
        <f>'[1]Argentina Soybean Meal Exports'!CN$290</f>
        <v>890.51199999999994</v>
      </c>
      <c r="AK163" s="59">
        <f>'[1]Argentina Soybean Meal Exports'!CZ$290</f>
        <v>1492.002</v>
      </c>
      <c r="AL163" s="59">
        <f>'[1]Argentina Soybean Meal Exports'!DL$290</f>
        <v>1227.056</v>
      </c>
      <c r="AM163" s="59">
        <f>'[1]Argentina Soybean Meal Exports'!DX$290</f>
        <v>1055.777</v>
      </c>
      <c r="AN163" s="59">
        <f>'[1]Argentina Soybean Meal Exports'!EJ$290</f>
        <v>1585.9169999999999</v>
      </c>
      <c r="AO163" s="59">
        <f>'[1]Argentina Soybean Meal Exports'!EV$290</f>
        <v>1844.664</v>
      </c>
      <c r="AP163" s="59">
        <f>'[1]Argentina Soybean Meal Exports'!FH$290</f>
        <v>1799.3879999999999</v>
      </c>
      <c r="AQ163" s="59">
        <f>'[1]Argentina Soybean Meal Exports'!FT$290</f>
        <v>1434.2560000000001</v>
      </c>
      <c r="AR163" s="59">
        <f>'[1]Argentina Soybean Meal Exports'!GF$290</f>
        <v>1990.539</v>
      </c>
      <c r="AS163" s="59">
        <f>'[1]Argentina Soybean Meal Exports'!GR$290</f>
        <v>2001.547</v>
      </c>
      <c r="AT163" s="59">
        <f>'[1]Argentina Soybean Meal Exports'!HD$290</f>
        <v>2968.8310000000001</v>
      </c>
      <c r="AU163" s="59">
        <f>'[1]Argentina Soybean Meal Exports'!HP$290</f>
        <v>2536.636</v>
      </c>
      <c r="AV163" s="59">
        <f>'[1]Argentina Soybean Meal Exports'!IB$290</f>
        <v>1912.173</v>
      </c>
      <c r="AW163" s="59">
        <f>'[1]Argentina Soybean Meal Exports'!IN$290</f>
        <v>2746.7759999999998</v>
      </c>
      <c r="AX163" s="59">
        <f>'[1]Argentina Soybean Meal Exports'!IZ$290</f>
        <v>2591.9409999999998</v>
      </c>
      <c r="AY163" s="59">
        <f>'[1]Argentina Soybean Meal Exports'!JL$290</f>
        <v>1692.075</v>
      </c>
      <c r="AZ163" s="59">
        <f>'[1]Argentina Soybean Meal Exports'!JX$290</f>
        <v>1921.9280000000001</v>
      </c>
      <c r="BA163" s="59">
        <f>'[1]Argentina Soybean Meal Exports'!KJ$290</f>
        <v>2230.25</v>
      </c>
      <c r="BB163" s="59">
        <f>'[1]Argentina Soybean Meal Exports'!KV$290</f>
        <v>2755.3449999999998</v>
      </c>
      <c r="BC163" s="59">
        <f>'[1]Argentina Soybean Meal Exports'!LH$290</f>
        <v>2404.2339999999999</v>
      </c>
      <c r="BD163" s="59">
        <f>'[1]Argentina Soybean Meal Exports'!LT$290</f>
        <v>2407.1967850000001</v>
      </c>
      <c r="BE163" s="59">
        <f>'[1]Argentina Soybean Meal Exports'!MF$290</f>
        <v>2320.0874229999999</v>
      </c>
      <c r="BF163" s="59">
        <f>'[1]Argentina Soybean Meal Exports'!MR$290</f>
        <v>2975.4769999999999</v>
      </c>
      <c r="BG163" s="59">
        <f>'[1]Argentina Soybean Meal Exports'!ND$290</f>
        <v>2210.65</v>
      </c>
      <c r="BH163" s="59">
        <f>'[1]Argentina Soybean Meal Exports'!NP$290</f>
        <v>2425.73</v>
      </c>
      <c r="BI163" s="59">
        <f>'[1]Argentina Soybean Meal Exports'!OB$290</f>
        <v>2360.2399999999998</v>
      </c>
      <c r="BJ163" s="58">
        <f t="shared" si="145"/>
        <v>2558.5246048185832</v>
      </c>
      <c r="BK163" s="58">
        <f t="shared" si="146"/>
        <v>2819.88101731802</v>
      </c>
      <c r="BL163" s="58">
        <f t="shared" si="147"/>
        <v>2801.4765693871641</v>
      </c>
      <c r="BM163" s="58">
        <f t="shared" si="147"/>
        <v>2771.1873346544812</v>
      </c>
      <c r="BN163" s="58">
        <f t="shared" si="147"/>
        <v>2829.420153809433</v>
      </c>
      <c r="BO163" s="58">
        <f t="shared" si="147"/>
        <v>2892.6970977698588</v>
      </c>
      <c r="BP163" s="58">
        <f t="shared" si="147"/>
        <v>2765.472418773038</v>
      </c>
      <c r="BQ163" s="58">
        <f t="shared" si="147"/>
        <v>2822.9324345877917</v>
      </c>
      <c r="BR163" s="58">
        <f t="shared" si="147"/>
        <v>2812.0507148787947</v>
      </c>
      <c r="BS163" s="58">
        <f t="shared" si="147"/>
        <v>2816.3418879189203</v>
      </c>
      <c r="BT163" s="58">
        <f t="shared" si="147"/>
        <v>2824.5145639637831</v>
      </c>
      <c r="BU163" s="58">
        <f t="shared" si="147"/>
        <v>2821.898910785681</v>
      </c>
    </row>
    <row r="164" spans="1:73">
      <c r="A164" s="4" t="s">
        <v>109</v>
      </c>
      <c r="B164" s="56"/>
      <c r="C164" s="57">
        <f t="shared" si="143"/>
        <v>0</v>
      </c>
      <c r="D164" s="57">
        <f t="shared" si="149"/>
        <v>0</v>
      </c>
      <c r="E164" s="57">
        <f t="shared" si="149"/>
        <v>0</v>
      </c>
      <c r="F164" s="57">
        <f t="shared" si="149"/>
        <v>0</v>
      </c>
      <c r="G164" s="57">
        <f t="shared" si="149"/>
        <v>0</v>
      </c>
      <c r="H164" s="57">
        <f t="shared" si="149"/>
        <v>0</v>
      </c>
      <c r="I164" s="57">
        <f t="shared" si="149"/>
        <v>0</v>
      </c>
      <c r="J164" s="57">
        <f t="shared" si="149"/>
        <v>0</v>
      </c>
      <c r="K164" s="57">
        <f t="shared" si="149"/>
        <v>2.1045442250473356</v>
      </c>
      <c r="L164" s="57">
        <f t="shared" si="149"/>
        <v>1.8038950500405735</v>
      </c>
      <c r="M164" s="57">
        <f t="shared" si="149"/>
        <v>23.751284825534217</v>
      </c>
      <c r="N164" s="57">
        <f t="shared" si="149"/>
        <v>37.731471463348662</v>
      </c>
      <c r="O164" s="57">
        <f t="shared" si="149"/>
        <v>48.855490938598862</v>
      </c>
      <c r="P164" s="57">
        <f t="shared" si="149"/>
        <v>55.620097376251017</v>
      </c>
      <c r="Q164" s="57">
        <f t="shared" si="149"/>
        <v>39.08439275087909</v>
      </c>
      <c r="R164" s="69">
        <v>89.6</v>
      </c>
      <c r="S164" s="69">
        <v>141.5</v>
      </c>
      <c r="T164" s="69">
        <v>101.3</v>
      </c>
      <c r="U164" s="69">
        <v>172.1</v>
      </c>
      <c r="V164" s="69">
        <v>384.7</v>
      </c>
      <c r="W164" s="69">
        <v>315.60000000000002</v>
      </c>
      <c r="X164" s="69">
        <v>264.7</v>
      </c>
      <c r="Y164" s="69">
        <v>364.5</v>
      </c>
      <c r="Z164" s="69">
        <v>505.8</v>
      </c>
      <c r="AA164" s="69">
        <v>277.3</v>
      </c>
      <c r="AB164" s="69">
        <v>524.5</v>
      </c>
      <c r="AC164" s="69">
        <v>542.6</v>
      </c>
      <c r="AD164" s="69">
        <v>691.5</v>
      </c>
      <c r="AE164" s="59">
        <f>'[1]Argentina Soybean Meal Exports'!AG$290</f>
        <v>0</v>
      </c>
      <c r="AF164" s="59">
        <f>'[1]Argentina Soybean Meal Exports'!AS$290</f>
        <v>452.25400000000002</v>
      </c>
      <c r="AG164" s="59">
        <f>'[1]Argentina Soybean Meal Exports'!BE$290</f>
        <v>652.76499999999999</v>
      </c>
      <c r="AH164" s="59">
        <f>'[1]Argentina Soybean Meal Exports'!BQ$290</f>
        <v>601.29899999999998</v>
      </c>
      <c r="AI164" s="59">
        <f>'[1]Argentina Soybean Meal Exports'!CC$290</f>
        <v>839.87900000000002</v>
      </c>
      <c r="AJ164" s="59">
        <f>'[1]Argentina Soybean Meal Exports'!CO$290</f>
        <v>416.85599999999999</v>
      </c>
      <c r="AK164" s="59">
        <f>'[1]Argentina Soybean Meal Exports'!DA$290</f>
        <v>952.87900000000002</v>
      </c>
      <c r="AL164" s="59">
        <f>'[1]Argentina Soybean Meal Exports'!DM$290</f>
        <v>1267.194</v>
      </c>
      <c r="AM164" s="59">
        <f>'[1]Argentina Soybean Meal Exports'!DY$290</f>
        <v>1180.4680000000001</v>
      </c>
      <c r="AN164" s="59">
        <f>'[1]Argentina Soybean Meal Exports'!EK$290</f>
        <v>1691.518</v>
      </c>
      <c r="AO164" s="59">
        <f>'[1]Argentina Soybean Meal Exports'!EW$290</f>
        <v>1571.5650000000001</v>
      </c>
      <c r="AP164" s="59">
        <f>'[1]Argentina Soybean Meal Exports'!FI$290</f>
        <v>1553.0809999999999</v>
      </c>
      <c r="AQ164" s="59">
        <f>'[1]Argentina Soybean Meal Exports'!FU$290</f>
        <v>1364.0329999999999</v>
      </c>
      <c r="AR164" s="59">
        <f>'[1]Argentina Soybean Meal Exports'!GG$290</f>
        <v>1829.0160000000001</v>
      </c>
      <c r="AS164" s="59">
        <f>'[1]Argentina Soybean Meal Exports'!GS$290</f>
        <v>2011.903</v>
      </c>
      <c r="AT164" s="59">
        <f>'[1]Argentina Soybean Meal Exports'!HE$290</f>
        <v>2799.7979999999998</v>
      </c>
      <c r="AU164" s="59">
        <f>'[1]Argentina Soybean Meal Exports'!HQ$290</f>
        <v>1796.9659999999999</v>
      </c>
      <c r="AV164" s="59">
        <f>'[1]Argentina Soybean Meal Exports'!IC$290</f>
        <v>1632.86</v>
      </c>
      <c r="AW164" s="59">
        <f>'[1]Argentina Soybean Meal Exports'!IO$290</f>
        <v>2220.2460000000001</v>
      </c>
      <c r="AX164" s="59">
        <f>'[1]Argentina Soybean Meal Exports'!JA$290</f>
        <v>2142.145</v>
      </c>
      <c r="AY164" s="59">
        <f>'[1]Argentina Soybean Meal Exports'!JM$290</f>
        <v>1687.64</v>
      </c>
      <c r="AZ164" s="59">
        <f>'[1]Argentina Soybean Meal Exports'!JY$290</f>
        <v>1457.604</v>
      </c>
      <c r="BA164" s="59">
        <f>'[1]Argentina Soybean Meal Exports'!KK$290</f>
        <v>2243.194</v>
      </c>
      <c r="BB164" s="59">
        <f>'[1]Argentina Soybean Meal Exports'!KW$290</f>
        <v>1906.3510000000001</v>
      </c>
      <c r="BC164" s="59">
        <f>'[1]Argentina Soybean Meal Exports'!LI$290</f>
        <v>2558.953</v>
      </c>
      <c r="BD164" s="59">
        <f>'[1]Argentina Soybean Meal Exports'!LU$290</f>
        <v>2416.3949779999998</v>
      </c>
      <c r="BE164" s="59">
        <f>'[1]Argentina Soybean Meal Exports'!MG$290</f>
        <v>2026.7015200000001</v>
      </c>
      <c r="BF164" s="59">
        <f>'[1]Argentina Soybean Meal Exports'!MS$290</f>
        <v>2407.94</v>
      </c>
      <c r="BG164" s="59">
        <f>'[1]Argentina Soybean Meal Exports'!NE$290</f>
        <v>2044.972</v>
      </c>
      <c r="BH164" s="59">
        <f>'[1]Argentina Soybean Meal Exports'!NQ$290</f>
        <v>2046.3309999999999</v>
      </c>
      <c r="BI164" s="59">
        <f>'[1]Argentina Soybean Meal Exports'!OC$290</f>
        <v>2455.9569999999999</v>
      </c>
      <c r="BJ164" s="58">
        <f t="shared" si="145"/>
        <v>2268.8973541983655</v>
      </c>
      <c r="BK164" s="58">
        <f t="shared" si="146"/>
        <v>2519.2963727716365</v>
      </c>
      <c r="BL164" s="58">
        <f t="shared" si="147"/>
        <v>2509.3763695023354</v>
      </c>
      <c r="BM164" s="58">
        <f t="shared" si="147"/>
        <v>2538.3919807446564</v>
      </c>
      <c r="BN164" s="58">
        <f t="shared" si="147"/>
        <v>2574.9758532706664</v>
      </c>
      <c r="BO164" s="58">
        <f t="shared" si="147"/>
        <v>2671.1721014946688</v>
      </c>
      <c r="BP164" s="58">
        <f t="shared" si="147"/>
        <v>2490.6304010162312</v>
      </c>
      <c r="BQ164" s="58">
        <f t="shared" si="147"/>
        <v>2562.6425355567926</v>
      </c>
      <c r="BR164" s="58">
        <f t="shared" si="147"/>
        <v>2556.9093412057118</v>
      </c>
      <c r="BS164" s="58">
        <f t="shared" si="147"/>
        <v>2567.5625744166027</v>
      </c>
      <c r="BT164" s="58">
        <f t="shared" si="147"/>
        <v>2571.2660465088143</v>
      </c>
      <c r="BU164" s="58">
        <f t="shared" si="147"/>
        <v>2569.7833907380013</v>
      </c>
    </row>
    <row r="165" spans="1:73">
      <c r="A165" s="4" t="s">
        <v>110</v>
      </c>
      <c r="B165" s="56"/>
      <c r="C165" s="57">
        <f t="shared" si="143"/>
        <v>0</v>
      </c>
      <c r="D165" s="57">
        <f t="shared" si="149"/>
        <v>0</v>
      </c>
      <c r="E165" s="57">
        <f t="shared" si="149"/>
        <v>0</v>
      </c>
      <c r="F165" s="57">
        <f t="shared" si="149"/>
        <v>0</v>
      </c>
      <c r="G165" s="57">
        <f t="shared" si="149"/>
        <v>0</v>
      </c>
      <c r="H165" s="57">
        <f t="shared" si="149"/>
        <v>0</v>
      </c>
      <c r="I165" s="57">
        <f t="shared" si="149"/>
        <v>0</v>
      </c>
      <c r="J165" s="57">
        <f t="shared" si="149"/>
        <v>0</v>
      </c>
      <c r="K165" s="57">
        <f t="shared" si="149"/>
        <v>1.89200703272924</v>
      </c>
      <c r="L165" s="57">
        <f t="shared" si="149"/>
        <v>1.6217203137679199</v>
      </c>
      <c r="M165" s="57">
        <f t="shared" si="149"/>
        <v>21.352650797944282</v>
      </c>
      <c r="N165" s="57">
        <f t="shared" si="149"/>
        <v>33.920983229645664</v>
      </c>
      <c r="O165" s="57">
        <f t="shared" si="149"/>
        <v>43.921591831214499</v>
      </c>
      <c r="P165" s="57">
        <f t="shared" si="149"/>
        <v>50.003043007844198</v>
      </c>
      <c r="Q165" s="57">
        <f t="shared" si="149"/>
        <v>35.137273464971599</v>
      </c>
      <c r="R165" s="69">
        <v>39</v>
      </c>
      <c r="S165" s="69">
        <v>40.799999999999997</v>
      </c>
      <c r="T165" s="69">
        <v>166</v>
      </c>
      <c r="U165" s="69">
        <v>178.8</v>
      </c>
      <c r="V165" s="69">
        <v>374.8</v>
      </c>
      <c r="W165" s="69">
        <v>131.4</v>
      </c>
      <c r="X165" s="69">
        <v>199.6</v>
      </c>
      <c r="Y165" s="69">
        <v>357.7</v>
      </c>
      <c r="Z165" s="69">
        <v>381.9</v>
      </c>
      <c r="AA165" s="69">
        <v>456.8</v>
      </c>
      <c r="AB165" s="69">
        <v>412.8</v>
      </c>
      <c r="AC165" s="69">
        <v>504.6</v>
      </c>
      <c r="AD165" s="69">
        <v>555.79999999999995</v>
      </c>
      <c r="AE165" s="59">
        <f>'[1]Argentina Soybean Meal Exports'!AH$290</f>
        <v>0</v>
      </c>
      <c r="AF165" s="59">
        <f>'[1]Argentina Soybean Meal Exports'!AT$290</f>
        <v>476.87900000000002</v>
      </c>
      <c r="AG165" s="59">
        <f>'[1]Argentina Soybean Meal Exports'!BF$290</f>
        <v>580.15</v>
      </c>
      <c r="AH165" s="59">
        <f>'[1]Argentina Soybean Meal Exports'!BR$290</f>
        <v>680.24800000000005</v>
      </c>
      <c r="AI165" s="59">
        <f>'[1]Argentina Soybean Meal Exports'!CD$290</f>
        <v>528.99900000000002</v>
      </c>
      <c r="AJ165" s="59">
        <f>'[1]Argentina Soybean Meal Exports'!CP$290</f>
        <v>451.96600000000001</v>
      </c>
      <c r="AK165" s="59">
        <f>'[1]Argentina Soybean Meal Exports'!DB$290</f>
        <v>1409.4110000000001</v>
      </c>
      <c r="AL165" s="59">
        <f>'[1]Argentina Soybean Meal Exports'!DN$290</f>
        <v>1054.046</v>
      </c>
      <c r="AM165" s="59">
        <f>'[1]Argentina Soybean Meal Exports'!DZ$290</f>
        <v>1120.8340000000001</v>
      </c>
      <c r="AN165" s="59">
        <f>'[1]Argentina Soybean Meal Exports'!EL$290</f>
        <v>1255.1510000000001</v>
      </c>
      <c r="AO165" s="59">
        <f>'[1]Argentina Soybean Meal Exports'!EX$290</f>
        <v>1087.472</v>
      </c>
      <c r="AP165" s="59">
        <f>'[1]Argentina Soybean Meal Exports'!FJ$290</f>
        <v>1748.41</v>
      </c>
      <c r="AQ165" s="59">
        <f>'[1]Argentina Soybean Meal Exports'!FV$290</f>
        <v>1680.8209999999999</v>
      </c>
      <c r="AR165" s="59">
        <f>'[1]Argentina Soybean Meal Exports'!GH$290</f>
        <v>1670.633</v>
      </c>
      <c r="AS165" s="59">
        <f>'[1]Argentina Soybean Meal Exports'!GT$290</f>
        <v>2272.8820000000001</v>
      </c>
      <c r="AT165" s="59">
        <f>'[1]Argentina Soybean Meal Exports'!HF$290</f>
        <v>2395.5729999999999</v>
      </c>
      <c r="AU165" s="59">
        <f>'[1]Argentina Soybean Meal Exports'!HR$290</f>
        <v>1851.8209999999999</v>
      </c>
      <c r="AV165" s="59">
        <f>'[1]Argentina Soybean Meal Exports'!ID$290</f>
        <v>1547.4280000000001</v>
      </c>
      <c r="AW165" s="59">
        <f>'[1]Argentina Soybean Meal Exports'!IP$290</f>
        <v>1658.998</v>
      </c>
      <c r="AX165" s="59">
        <f>'[1]Argentina Soybean Meal Exports'!JB$290</f>
        <v>2045.557</v>
      </c>
      <c r="AY165" s="59">
        <f>'[1]Argentina Soybean Meal Exports'!JN$290</f>
        <v>1329.6030000000001</v>
      </c>
      <c r="AZ165" s="59">
        <f>'[1]Argentina Soybean Meal Exports'!JZ$290</f>
        <v>1267.078</v>
      </c>
      <c r="BA165" s="59">
        <f>'[1]Argentina Soybean Meal Exports'!KL$290</f>
        <v>1747.2950000000001</v>
      </c>
      <c r="BB165" s="59">
        <f>'[1]Argentina Soybean Meal Exports'!KX$290</f>
        <v>1932.8</v>
      </c>
      <c r="BC165" s="59">
        <f>'[1]Argentina Soybean Meal Exports'!LJ$290</f>
        <v>2088.183</v>
      </c>
      <c r="BD165" s="59">
        <f>'[1]Argentina Soybean Meal Exports'!LV$290</f>
        <v>1725.84123</v>
      </c>
      <c r="BE165" s="59">
        <f>'[1]Argentina Soybean Meal Exports'!MH$290</f>
        <v>1837.9621400000001</v>
      </c>
      <c r="BF165" s="59">
        <f>'[1]Argentina Soybean Meal Exports'!MT$290</f>
        <v>2074.3200000000002</v>
      </c>
      <c r="BG165" s="59">
        <f>'[1]Argentina Soybean Meal Exports'!NF$290</f>
        <v>682.26300000000003</v>
      </c>
      <c r="BH165" s="59">
        <f>'[1]Argentina Soybean Meal Exports'!NR$290</f>
        <v>2130.933</v>
      </c>
      <c r="BI165" s="59">
        <f>'[1]Argentina Soybean Meal Exports'!OD$290</f>
        <v>2082.44</v>
      </c>
      <c r="BJ165" s="58">
        <f t="shared" si="145"/>
        <v>1752.3835886816682</v>
      </c>
      <c r="BK165" s="58">
        <f t="shared" si="146"/>
        <v>2020.5750508106448</v>
      </c>
      <c r="BL165" s="58">
        <f t="shared" si="147"/>
        <v>1950.0572883418056</v>
      </c>
      <c r="BM165" s="58">
        <f t="shared" si="147"/>
        <v>1941.191914079227</v>
      </c>
      <c r="BN165" s="58">
        <f t="shared" si="147"/>
        <v>2168.3279026489304</v>
      </c>
      <c r="BO165" s="58">
        <f t="shared" si="147"/>
        <v>2118.0560687767488</v>
      </c>
      <c r="BP165" s="58">
        <f t="shared" si="147"/>
        <v>1973.1959487386882</v>
      </c>
      <c r="BQ165" s="58">
        <f t="shared" si="147"/>
        <v>2039.6416449314709</v>
      </c>
      <c r="BR165" s="58">
        <f t="shared" si="147"/>
        <v>2030.16582451708</v>
      </c>
      <c r="BS165" s="58">
        <f t="shared" si="147"/>
        <v>2048.0826958350131</v>
      </c>
      <c r="BT165" s="58">
        <f t="shared" si="147"/>
        <v>2065.8774779225841</v>
      </c>
      <c r="BU165" s="58">
        <f t="shared" si="147"/>
        <v>2041.8284365598006</v>
      </c>
    </row>
    <row r="166" spans="1:73">
      <c r="A166" s="4" t="s">
        <v>111</v>
      </c>
      <c r="B166" s="56"/>
      <c r="C166" s="57">
        <f t="shared" si="143"/>
        <v>0</v>
      </c>
      <c r="D166" s="57">
        <f t="shared" si="149"/>
        <v>0</v>
      </c>
      <c r="E166" s="57">
        <f t="shared" si="149"/>
        <v>0</v>
      </c>
      <c r="F166" s="57">
        <f t="shared" si="149"/>
        <v>0</v>
      </c>
      <c r="G166" s="57">
        <f t="shared" si="149"/>
        <v>0</v>
      </c>
      <c r="H166" s="57">
        <f t="shared" si="149"/>
        <v>0</v>
      </c>
      <c r="I166" s="57">
        <f t="shared" si="149"/>
        <v>0</v>
      </c>
      <c r="J166" s="57">
        <f t="shared" si="149"/>
        <v>0</v>
      </c>
      <c r="K166" s="57">
        <f t="shared" si="149"/>
        <v>1.0541655396267242</v>
      </c>
      <c r="L166" s="57">
        <f t="shared" si="149"/>
        <v>0.90357046253719231</v>
      </c>
      <c r="M166" s="57">
        <f t="shared" si="149"/>
        <v>11.897011090073031</v>
      </c>
      <c r="N166" s="57">
        <f t="shared" si="149"/>
        <v>18.89968217473627</v>
      </c>
      <c r="O166" s="57">
        <f t="shared" si="149"/>
        <v>24.471700027048957</v>
      </c>
      <c r="P166" s="57">
        <f t="shared" si="149"/>
        <v>27.860089261563427</v>
      </c>
      <c r="Q166" s="57">
        <f t="shared" si="149"/>
        <v>19.577360021639166</v>
      </c>
      <c r="R166" s="69">
        <v>30.2</v>
      </c>
      <c r="S166" s="69">
        <v>42.3</v>
      </c>
      <c r="T166" s="69">
        <v>77.5</v>
      </c>
      <c r="U166" s="69">
        <v>163.30000000000001</v>
      </c>
      <c r="V166" s="69">
        <v>132.1</v>
      </c>
      <c r="W166" s="69">
        <v>104.6</v>
      </c>
      <c r="X166" s="69">
        <v>264.7</v>
      </c>
      <c r="Y166" s="69">
        <v>350.1</v>
      </c>
      <c r="Z166" s="69">
        <v>487.1</v>
      </c>
      <c r="AA166" s="69">
        <v>301.2</v>
      </c>
      <c r="AB166" s="69">
        <v>464.5</v>
      </c>
      <c r="AC166" s="69">
        <v>583.79999999999995</v>
      </c>
      <c r="AD166" s="69">
        <v>604</v>
      </c>
      <c r="AE166" s="59">
        <f>'[1]Argentina Soybean Meal Exports'!AI$290</f>
        <v>0</v>
      </c>
      <c r="AF166" s="59">
        <f>'[1]Argentina Soybean Meal Exports'!AU$290</f>
        <v>619.21799999999996</v>
      </c>
      <c r="AG166" s="59">
        <f>'[1]Argentina Soybean Meal Exports'!BG$290</f>
        <v>558.39300000000003</v>
      </c>
      <c r="AH166" s="59">
        <f>'[1]Argentina Soybean Meal Exports'!BS$290</f>
        <v>838.99900000000002</v>
      </c>
      <c r="AI166" s="59">
        <f>'[1]Argentina Soybean Meal Exports'!CE$290</f>
        <v>566.94299999999998</v>
      </c>
      <c r="AJ166" s="59">
        <f>'[1]Argentina Soybean Meal Exports'!CQ$290</f>
        <v>476.43700000000001</v>
      </c>
      <c r="AK166" s="59">
        <f>'[1]Argentina Soybean Meal Exports'!DC$290</f>
        <v>978.428</v>
      </c>
      <c r="AL166" s="59">
        <f>'[1]Argentina Soybean Meal Exports'!DO$290</f>
        <v>782.62800000000004</v>
      </c>
      <c r="AM166" s="59">
        <f>'[1]Argentina Soybean Meal Exports'!EA$290</f>
        <v>737.76900000000001</v>
      </c>
      <c r="AN166" s="59">
        <f>'[1]Argentina Soybean Meal Exports'!EM$290</f>
        <v>1172.578</v>
      </c>
      <c r="AO166" s="59">
        <f>'[1]Argentina Soybean Meal Exports'!EY$290</f>
        <v>1583.152</v>
      </c>
      <c r="AP166" s="59">
        <f>'[1]Argentina Soybean Meal Exports'!FK$290</f>
        <v>1536.231</v>
      </c>
      <c r="AQ166" s="59">
        <f>'[1]Argentina Soybean Meal Exports'!FW$290</f>
        <v>1646.816</v>
      </c>
      <c r="AR166" s="59">
        <f>'[1]Argentina Soybean Meal Exports'!GI$290</f>
        <v>2006.8050000000001</v>
      </c>
      <c r="AS166" s="59">
        <f>'[1]Argentina Soybean Meal Exports'!GU$290</f>
        <v>2052.9810000000002</v>
      </c>
      <c r="AT166" s="59">
        <f>'[1]Argentina Soybean Meal Exports'!HG$290</f>
        <v>2426.0990000000002</v>
      </c>
      <c r="AU166" s="59">
        <f>'[1]Argentina Soybean Meal Exports'!HS$290</f>
        <v>1825.8969999999999</v>
      </c>
      <c r="AV166" s="59">
        <f>'[1]Argentina Soybean Meal Exports'!IE$290</f>
        <v>1480.9670000000001</v>
      </c>
      <c r="AW166" s="59">
        <f>'[1]Argentina Soybean Meal Exports'!IQ$290</f>
        <v>1819.8789999999999</v>
      </c>
      <c r="AX166" s="59">
        <f>'[1]Argentina Soybean Meal Exports'!JC$290</f>
        <v>1479.761</v>
      </c>
      <c r="AY166" s="59">
        <f>'[1]Argentina Soybean Meal Exports'!JO$290</f>
        <v>1214.5060000000001</v>
      </c>
      <c r="AZ166" s="59">
        <f>'[1]Argentina Soybean Meal Exports'!KA$290</f>
        <v>1402.539</v>
      </c>
      <c r="BA166" s="59">
        <f>'[1]Argentina Soybean Meal Exports'!KM$290</f>
        <v>1576.0060000000001</v>
      </c>
      <c r="BB166" s="59">
        <f>'[1]Argentina Soybean Meal Exports'!KY$290</f>
        <v>2939.4380000000001</v>
      </c>
      <c r="BC166" s="59">
        <f>'[1]Argentina Soybean Meal Exports'!LK$290</f>
        <v>2723.8406799999998</v>
      </c>
      <c r="BD166" s="59">
        <f>'[1]Argentina Soybean Meal Exports'!LW$290</f>
        <v>2197.1312950000001</v>
      </c>
      <c r="BE166" s="59">
        <f>'[1]Argentina Soybean Meal Exports'!MI$290</f>
        <v>2053.0010000000002</v>
      </c>
      <c r="BF166" s="59">
        <f>'[1]Argentina Soybean Meal Exports'!MU$290</f>
        <v>1785.1569999999999</v>
      </c>
      <c r="BG166" s="59">
        <f>'[1]Argentina Soybean Meal Exports'!NG$290</f>
        <v>2546.5439999999999</v>
      </c>
      <c r="BH166" s="59">
        <f>'[1]Argentina Soybean Meal Exports'!NS$290</f>
        <v>1504.663</v>
      </c>
      <c r="BI166" s="58">
        <f>(SUM(BC166:BG166)/SUM(BC$168:BG$168))*BI$168</f>
        <v>1464.9347175839202</v>
      </c>
      <c r="BJ166" s="58">
        <f t="shared" si="145"/>
        <v>2091.4380111346391</v>
      </c>
      <c r="BK166" s="58">
        <f t="shared" si="146"/>
        <v>2145.9173810118004</v>
      </c>
      <c r="BL166" s="58">
        <f t="shared" si="147"/>
        <v>2099.9382710438367</v>
      </c>
      <c r="BM166" s="58">
        <f t="shared" si="147"/>
        <v>2184.1383189319995</v>
      </c>
      <c r="BN166" s="58">
        <f t="shared" si="147"/>
        <v>2030.9583707342199</v>
      </c>
      <c r="BO166" s="58">
        <f t="shared" si="147"/>
        <v>2170.1496695494129</v>
      </c>
      <c r="BP166" s="58">
        <f t="shared" si="147"/>
        <v>2117.656567409977</v>
      </c>
      <c r="BQ166" s="58">
        <f t="shared" si="147"/>
        <v>2126.2204022542542</v>
      </c>
      <c r="BR166" s="58">
        <f t="shared" si="147"/>
        <v>2120.568239533889</v>
      </c>
      <c r="BS166" s="58">
        <f t="shared" si="147"/>
        <v>2125.8246657759728</v>
      </c>
      <c r="BT166" s="58">
        <f t="shared" si="147"/>
        <v>2113.1106498963504</v>
      </c>
      <c r="BU166" s="58">
        <f t="shared" si="147"/>
        <v>2132.0839089047008</v>
      </c>
    </row>
    <row r="167" spans="1:73">
      <c r="A167" s="4" t="s">
        <v>112</v>
      </c>
      <c r="B167" s="56"/>
      <c r="C167" s="57">
        <f t="shared" si="143"/>
        <v>0</v>
      </c>
      <c r="D167" s="57">
        <f t="shared" ref="D167:P167" si="150">(SUM($R167:$V167)/SUM($R$168:$V$168))*D$168</f>
        <v>0</v>
      </c>
      <c r="E167" s="57">
        <f t="shared" si="150"/>
        <v>0</v>
      </c>
      <c r="F167" s="57">
        <f t="shared" si="150"/>
        <v>0</v>
      </c>
      <c r="G167" s="57">
        <f t="shared" si="150"/>
        <v>0</v>
      </c>
      <c r="H167" s="57">
        <f t="shared" si="150"/>
        <v>0</v>
      </c>
      <c r="I167" s="57">
        <f t="shared" si="150"/>
        <v>0</v>
      </c>
      <c r="J167" s="57">
        <f t="shared" si="150"/>
        <v>0</v>
      </c>
      <c r="K167" s="57">
        <f t="shared" si="150"/>
        <v>1.3362861779821475</v>
      </c>
      <c r="L167" s="57">
        <f t="shared" si="150"/>
        <v>1.1453881525561265</v>
      </c>
      <c r="M167" s="57">
        <f t="shared" si="150"/>
        <v>15.080944008655665</v>
      </c>
      <c r="N167" s="57">
        <f t="shared" si="150"/>
        <v>23.957702190965644</v>
      </c>
      <c r="O167" s="57">
        <f t="shared" si="150"/>
        <v>31.020929131728426</v>
      </c>
      <c r="P167" s="57">
        <f t="shared" si="150"/>
        <v>35.316134703813901</v>
      </c>
      <c r="Q167" s="69">
        <v>14.8</v>
      </c>
      <c r="R167" s="69">
        <v>20.2</v>
      </c>
      <c r="S167" s="69">
        <v>20.8</v>
      </c>
      <c r="T167" s="69">
        <v>123.2</v>
      </c>
      <c r="U167" s="69">
        <v>133.69999999999999</v>
      </c>
      <c r="V167" s="69">
        <v>266.7</v>
      </c>
      <c r="W167" s="69">
        <v>217</v>
      </c>
      <c r="X167" s="69">
        <v>162.6</v>
      </c>
      <c r="Y167" s="69">
        <v>79.5</v>
      </c>
      <c r="Z167" s="69">
        <v>357.8</v>
      </c>
      <c r="AA167" s="69">
        <v>288.60000000000002</v>
      </c>
      <c r="AB167" s="69">
        <v>239.4</v>
      </c>
      <c r="AC167" s="69">
        <v>588.79999999999995</v>
      </c>
      <c r="AD167" s="69">
        <v>408.33600000000007</v>
      </c>
      <c r="AE167" s="59">
        <f>'[1]Argentina Soybean Meal Exports'!AJ$290</f>
        <v>0</v>
      </c>
      <c r="AF167" s="59">
        <f>'[1]Argentina Soybean Meal Exports'!AV$290</f>
        <v>473.87099999999998</v>
      </c>
      <c r="AG167" s="59">
        <f>'[1]Argentina Soybean Meal Exports'!BH$290</f>
        <v>567.53700000000003</v>
      </c>
      <c r="AH167" s="59">
        <f>'[1]Argentina Soybean Meal Exports'!BT$290</f>
        <v>492.46499999999997</v>
      </c>
      <c r="AI167" s="59">
        <f>'[1]Argentina Soybean Meal Exports'!CF$290</f>
        <v>392.11099999999999</v>
      </c>
      <c r="AJ167" s="59">
        <f>'[1]Argentina Soybean Meal Exports'!CR$290</f>
        <v>330.78300000000002</v>
      </c>
      <c r="AK167" s="59">
        <f>'[1]Argentina Soybean Meal Exports'!DD$290</f>
        <v>619.36500000000001</v>
      </c>
      <c r="AL167" s="59">
        <f>'[1]Argentina Soybean Meal Exports'!DP$290</f>
        <v>756.86300000000006</v>
      </c>
      <c r="AM167" s="59">
        <f>'[1]Argentina Soybean Meal Exports'!EB$290</f>
        <v>508.428</v>
      </c>
      <c r="AN167" s="59">
        <f>'[1]Argentina Soybean Meal Exports'!EN$290</f>
        <v>896.28099999999995</v>
      </c>
      <c r="AO167" s="59">
        <f>'[1]Argentina Soybean Meal Exports'!EZ$290</f>
        <v>1216.7840000000001</v>
      </c>
      <c r="AP167" s="59">
        <f>'[1]Argentina Soybean Meal Exports'!FL$290</f>
        <v>1303.335</v>
      </c>
      <c r="AQ167" s="59">
        <f>'[1]Argentina Soybean Meal Exports'!FX$290</f>
        <v>1410.59</v>
      </c>
      <c r="AR167" s="59">
        <f>'[1]Argentina Soybean Meal Exports'!GJ$290</f>
        <v>1791.5329999999999</v>
      </c>
      <c r="AS167" s="59">
        <f>'[1]Argentina Soybean Meal Exports'!GV$290</f>
        <v>1628.441</v>
      </c>
      <c r="AT167" s="59">
        <f>'[1]Argentina Soybean Meal Exports'!HH$290</f>
        <v>2106.2139999999999</v>
      </c>
      <c r="AU167" s="59">
        <f>'[1]Argentina Soybean Meal Exports'!HT$290</f>
        <v>1800.1780000000001</v>
      </c>
      <c r="AV167" s="59">
        <f>'[1]Argentina Soybean Meal Exports'!IF$290</f>
        <v>1197.24</v>
      </c>
      <c r="AW167" s="59">
        <f>'[1]Argentina Soybean Meal Exports'!IR$290</f>
        <v>1899.2059999999999</v>
      </c>
      <c r="AX167" s="59">
        <f>'[1]Argentina Soybean Meal Exports'!JD$290</f>
        <v>2306.4380000000001</v>
      </c>
      <c r="AY167" s="59">
        <f>'[1]Argentina Soybean Meal Exports'!JP$290</f>
        <v>1089.982</v>
      </c>
      <c r="AZ167" s="59">
        <f>'[1]Argentina Soybean Meal Exports'!KB$290</f>
        <v>1319.058</v>
      </c>
      <c r="BA167" s="59">
        <f>'[1]Argentina Soybean Meal Exports'!KN$290</f>
        <v>1704.0340000000001</v>
      </c>
      <c r="BB167" s="59">
        <f>'[1]Argentina Soybean Meal Exports'!KZ$290</f>
        <v>2508.8290000000002</v>
      </c>
      <c r="BC167" s="59">
        <f>'[1]Argentina Soybean Meal Exports'!LL$290</f>
        <v>2176.1533239999999</v>
      </c>
      <c r="BD167" s="59">
        <f>'[1]Argentina Soybean Meal Exports'!LX$290</f>
        <v>1873.26983</v>
      </c>
      <c r="BE167" s="59">
        <f>'[1]Argentina Soybean Meal Exports'!MJ$290</f>
        <v>1763.848</v>
      </c>
      <c r="BF167" s="59">
        <f>'[1]Argentina Soybean Meal Exports'!MV$290</f>
        <v>1639.79</v>
      </c>
      <c r="BG167" s="59">
        <f>'[1]Argentina Soybean Meal Exports'!NH$290</f>
        <v>1988.1569999999999</v>
      </c>
      <c r="BH167" s="59">
        <f>'[1]Argentina Soybean Meal Exports'!NT$290</f>
        <v>1973.2339999999999</v>
      </c>
      <c r="BI167" s="58">
        <f>(SUM(BC167:BG167)/SUM(BC$168:BG$168))*BI$168</f>
        <v>1223.3475227272484</v>
      </c>
      <c r="BJ167" s="58">
        <f t="shared" ref="BJ167:BO167" si="151">BJ168-SUM(BJ156:BJ166)</f>
        <v>1915.564014122574</v>
      </c>
      <c r="BK167" s="58">
        <f t="shared" si="151"/>
        <v>170.56291381992196</v>
      </c>
      <c r="BL167" s="58">
        <f t="shared" si="151"/>
        <v>200.14457086086622</v>
      </c>
      <c r="BM167" s="58">
        <f t="shared" si="151"/>
        <v>-128.53978369159449</v>
      </c>
      <c r="BN167" s="58">
        <f t="shared" si="151"/>
        <v>-515.44221791237578</v>
      </c>
      <c r="BO167" s="58">
        <f t="shared" si="151"/>
        <v>-970.03258248934435</v>
      </c>
      <c r="BP167" s="58">
        <f t="shared" ref="BP167:BU167" si="152">BP168-SUM(BP156:BP166)</f>
        <v>329.57510317947163</v>
      </c>
      <c r="BQ167" s="58">
        <f t="shared" si="152"/>
        <v>-248.66141988250092</v>
      </c>
      <c r="BR167" s="58">
        <f t="shared" si="152"/>
        <v>-216.85898201059535</v>
      </c>
      <c r="BS167" s="58">
        <f t="shared" si="152"/>
        <v>-306.62018015926515</v>
      </c>
      <c r="BT167" s="58">
        <f t="shared" si="152"/>
        <v>-324.28401982306968</v>
      </c>
      <c r="BU167" s="58">
        <f t="shared" si="152"/>
        <v>-282.51961227244465</v>
      </c>
    </row>
    <row r="168" spans="1:73" ht="15.75" thickBot="1">
      <c r="A168" s="4" t="s">
        <v>113</v>
      </c>
      <c r="B168" s="56"/>
      <c r="C168" s="56">
        <v>0</v>
      </c>
      <c r="D168" s="56">
        <v>0</v>
      </c>
      <c r="E168" s="56">
        <v>0</v>
      </c>
      <c r="F168" s="56">
        <v>0</v>
      </c>
      <c r="G168" s="56">
        <v>0</v>
      </c>
      <c r="H168" s="56">
        <v>0</v>
      </c>
      <c r="I168" s="56">
        <v>0</v>
      </c>
      <c r="J168" s="56">
        <v>0</v>
      </c>
      <c r="K168" s="56">
        <v>14</v>
      </c>
      <c r="L168" s="56">
        <v>12</v>
      </c>
      <c r="M168" s="56">
        <v>158</v>
      </c>
      <c r="N168" s="56">
        <v>251</v>
      </c>
      <c r="O168" s="56">
        <v>325</v>
      </c>
      <c r="P168" s="56">
        <v>370</v>
      </c>
      <c r="Q168" s="56">
        <v>260</v>
      </c>
      <c r="R168" s="56">
        <f t="shared" ref="R168:BH168" si="153">SUM(R156:R167)</f>
        <v>283</v>
      </c>
      <c r="S168" s="56">
        <f t="shared" si="153"/>
        <v>483.3</v>
      </c>
      <c r="T168" s="56">
        <f t="shared" si="153"/>
        <v>940.7</v>
      </c>
      <c r="U168" s="56">
        <f t="shared" si="153"/>
        <v>1614.9</v>
      </c>
      <c r="V168" s="56">
        <f t="shared" si="153"/>
        <v>2593.2999999999997</v>
      </c>
      <c r="W168" s="56">
        <f t="shared" si="153"/>
        <v>2365.6999999999998</v>
      </c>
      <c r="X168" s="56">
        <f t="shared" si="153"/>
        <v>3220.7999999999993</v>
      </c>
      <c r="Y168" s="56">
        <f t="shared" si="153"/>
        <v>3539.3999999999996</v>
      </c>
      <c r="Z168" s="56">
        <f t="shared" si="153"/>
        <v>4763.5000000000009</v>
      </c>
      <c r="AA168" s="56">
        <f t="shared" si="153"/>
        <v>4454.5000000000009</v>
      </c>
      <c r="AB168" s="56">
        <f t="shared" si="153"/>
        <v>5091.3</v>
      </c>
      <c r="AC168" s="56">
        <f t="shared" si="153"/>
        <v>6152.5000000000009</v>
      </c>
      <c r="AD168" s="56">
        <f t="shared" si="153"/>
        <v>6230.6360000000004</v>
      </c>
      <c r="AE168" s="56">
        <f t="shared" si="153"/>
        <v>3830.6179999999995</v>
      </c>
      <c r="AF168" s="56">
        <f t="shared" si="153"/>
        <v>2629.5209999999997</v>
      </c>
      <c r="AG168" s="56">
        <f t="shared" si="153"/>
        <v>6674.2370000000001</v>
      </c>
      <c r="AH168" s="56">
        <f t="shared" si="153"/>
        <v>7101.2379999999994</v>
      </c>
      <c r="AI168" s="56">
        <f t="shared" si="153"/>
        <v>7956.9489999999996</v>
      </c>
      <c r="AJ168" s="56">
        <f t="shared" si="153"/>
        <v>8009.6030000000001</v>
      </c>
      <c r="AK168" s="56">
        <f t="shared" si="153"/>
        <v>12120.157000000001</v>
      </c>
      <c r="AL168" s="56">
        <f t="shared" si="153"/>
        <v>13058.924999999999</v>
      </c>
      <c r="AM168" s="56">
        <f t="shared" si="153"/>
        <v>12824.114000000003</v>
      </c>
      <c r="AN168" s="56">
        <f t="shared" si="153"/>
        <v>15727.761999999999</v>
      </c>
      <c r="AO168" s="56">
        <f t="shared" si="153"/>
        <v>17288.368000000002</v>
      </c>
      <c r="AP168" s="56">
        <f t="shared" si="153"/>
        <v>19104.637999999999</v>
      </c>
      <c r="AQ168" s="56">
        <f t="shared" si="153"/>
        <v>18817.377</v>
      </c>
      <c r="AR168" s="56">
        <f t="shared" si="153"/>
        <v>22401.665000000001</v>
      </c>
      <c r="AS168" s="56">
        <f t="shared" si="153"/>
        <v>24901.424999999999</v>
      </c>
      <c r="AT168" s="56">
        <f t="shared" si="153"/>
        <v>28366.340000000004</v>
      </c>
      <c r="AU168" s="56">
        <f t="shared" si="153"/>
        <v>23931.392</v>
      </c>
      <c r="AV168" s="56">
        <f t="shared" si="153"/>
        <v>21983.985000000001</v>
      </c>
      <c r="AW168" s="56">
        <f t="shared" si="153"/>
        <v>27488.705000000002</v>
      </c>
      <c r="AX168" s="56">
        <f t="shared" si="153"/>
        <v>27835.722999999998</v>
      </c>
      <c r="AY168" s="56">
        <f t="shared" si="153"/>
        <v>22491.692999999999</v>
      </c>
      <c r="AZ168" s="56">
        <f t="shared" si="153"/>
        <v>24071.494000000002</v>
      </c>
      <c r="BA168" s="56">
        <f t="shared" si="153"/>
        <v>27104.127</v>
      </c>
      <c r="BB168" s="56">
        <f t="shared" si="153"/>
        <v>31117.276000000002</v>
      </c>
      <c r="BC168" s="56">
        <f t="shared" si="153"/>
        <v>29919.046004</v>
      </c>
      <c r="BD168" s="56">
        <f t="shared" si="153"/>
        <v>29516.059190000004</v>
      </c>
      <c r="BE168" s="56">
        <f t="shared" si="153"/>
        <v>25644.413759999996</v>
      </c>
      <c r="BF168" s="56">
        <f t="shared" si="153"/>
        <v>29714.143999999997</v>
      </c>
      <c r="BG168" s="56">
        <f t="shared" si="153"/>
        <v>26051.214</v>
      </c>
      <c r="BH168" s="56">
        <f t="shared" si="153"/>
        <v>28934.108</v>
      </c>
      <c r="BI168" s="58">
        <f t="shared" ref="BI168:BU168" si="154">BI26</f>
        <v>18250</v>
      </c>
      <c r="BJ168" s="58">
        <f t="shared" si="154"/>
        <v>29000</v>
      </c>
      <c r="BK168" s="58">
        <f t="shared" si="154"/>
        <v>29500</v>
      </c>
      <c r="BL168" s="58">
        <f t="shared" si="154"/>
        <v>29500</v>
      </c>
      <c r="BM168" s="58">
        <f t="shared" si="154"/>
        <v>29500</v>
      </c>
      <c r="BN168" s="58">
        <f t="shared" si="154"/>
        <v>29500</v>
      </c>
      <c r="BO168" s="58">
        <f t="shared" si="154"/>
        <v>29500</v>
      </c>
      <c r="BP168" s="58">
        <f t="shared" si="154"/>
        <v>29500</v>
      </c>
      <c r="BQ168" s="58">
        <f t="shared" si="154"/>
        <v>29500</v>
      </c>
      <c r="BR168" s="58">
        <f t="shared" si="154"/>
        <v>29500</v>
      </c>
      <c r="BS168" s="58">
        <f t="shared" si="154"/>
        <v>29500</v>
      </c>
      <c r="BT168" s="58">
        <f t="shared" si="154"/>
        <v>29500</v>
      </c>
      <c r="BU168" s="58">
        <f t="shared" si="154"/>
        <v>29500</v>
      </c>
    </row>
    <row r="169" spans="1:73">
      <c r="A169" s="60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102">
        <f t="shared" ref="AL169:BH169" si="155">SUM(AL156:AL161)/AL168</f>
        <v>0.53399410747821885</v>
      </c>
      <c r="AM169" s="102">
        <f t="shared" si="155"/>
        <v>0.53534575566000109</v>
      </c>
      <c r="AN169" s="102">
        <f t="shared" si="155"/>
        <v>0.50282875592852949</v>
      </c>
      <c r="AO169" s="102">
        <f t="shared" si="155"/>
        <v>0.47372296795163077</v>
      </c>
      <c r="AP169" s="102">
        <f t="shared" si="155"/>
        <v>0.496763299048116</v>
      </c>
      <c r="AQ169" s="102">
        <f t="shared" si="155"/>
        <v>0.51022541558262879</v>
      </c>
      <c r="AR169" s="102">
        <f t="shared" si="155"/>
        <v>0.49601755048118068</v>
      </c>
      <c r="AS169" s="102">
        <f t="shared" si="155"/>
        <v>0.52241520314600476</v>
      </c>
      <c r="AT169" s="102">
        <f t="shared" si="155"/>
        <v>0.47100136993351976</v>
      </c>
      <c r="AU169" s="102">
        <f t="shared" si="155"/>
        <v>0.49293935764371755</v>
      </c>
      <c r="AV169" s="102">
        <f t="shared" si="155"/>
        <v>0.5736540031300057</v>
      </c>
      <c r="AW169" s="102">
        <f t="shared" si="155"/>
        <v>0.5323730601350628</v>
      </c>
      <c r="AX169" s="102">
        <f t="shared" si="155"/>
        <v>0.53470172123784976</v>
      </c>
      <c r="AY169" s="102">
        <f t="shared" si="155"/>
        <v>0.60905793085473825</v>
      </c>
      <c r="AZ169" s="102">
        <f t="shared" si="155"/>
        <v>0.59087072036326449</v>
      </c>
      <c r="BA169" s="102">
        <f t="shared" si="155"/>
        <v>0.55866529108279339</v>
      </c>
      <c r="BB169" s="102">
        <f t="shared" si="155"/>
        <v>0.51280937958708206</v>
      </c>
      <c r="BC169" s="102">
        <f t="shared" si="155"/>
        <v>0.52432229951124476</v>
      </c>
      <c r="BD169" s="102">
        <f t="shared" si="155"/>
        <v>0.55911137509139808</v>
      </c>
      <c r="BE169" s="102">
        <f t="shared" si="155"/>
        <v>0.51631099419603199</v>
      </c>
      <c r="BF169" s="102">
        <f t="shared" si="155"/>
        <v>0.5450862390651402</v>
      </c>
      <c r="BG169" s="102">
        <f t="shared" si="155"/>
        <v>0.5459746328904288</v>
      </c>
      <c r="BH169" s="102">
        <f t="shared" si="155"/>
        <v>0.55940466524836363</v>
      </c>
      <c r="BI169" s="102">
        <f>SUM(BI156:BI162)/BI168</f>
        <v>0.90454542465753418</v>
      </c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1:73" ht="15.75" thickBot="1">
      <c r="A170" s="53" t="s">
        <v>143</v>
      </c>
      <c r="BH170" s="58">
        <f>BH169-AVERAGE(BC169:BG169)*BH168</f>
        <v>-15570.652219971089</v>
      </c>
      <c r="BI170" s="58">
        <f>BI169-(AVERAGE(BD169:BH169)*BI168)</f>
        <v>-9948.5863132688173</v>
      </c>
    </row>
    <row r="171" spans="1:73" s="4" customFormat="1" ht="15.75" thickBot="1">
      <c r="A171" s="54"/>
      <c r="B171" s="63" t="s">
        <v>1</v>
      </c>
      <c r="C171" s="63" t="s">
        <v>2</v>
      </c>
      <c r="D171" s="63" t="s">
        <v>3</v>
      </c>
      <c r="E171" s="63" t="s">
        <v>4</v>
      </c>
      <c r="F171" s="63" t="s">
        <v>5</v>
      </c>
      <c r="G171" s="63" t="s">
        <v>6</v>
      </c>
      <c r="H171" s="63" t="s">
        <v>7</v>
      </c>
      <c r="I171" s="63" t="s">
        <v>8</v>
      </c>
      <c r="J171" s="63" t="s">
        <v>9</v>
      </c>
      <c r="K171" s="63" t="s">
        <v>10</v>
      </c>
      <c r="L171" s="63" t="s">
        <v>11</v>
      </c>
      <c r="M171" s="55" t="s">
        <v>12</v>
      </c>
      <c r="N171" s="55" t="s">
        <v>13</v>
      </c>
      <c r="O171" s="55" t="s">
        <v>14</v>
      </c>
      <c r="P171" s="55" t="s">
        <v>15</v>
      </c>
      <c r="Q171" s="55" t="s">
        <v>16</v>
      </c>
      <c r="R171" s="55" t="s">
        <v>17</v>
      </c>
      <c r="S171" s="55" t="s">
        <v>18</v>
      </c>
      <c r="T171" s="55" t="s">
        <v>19</v>
      </c>
      <c r="U171" s="55" t="s">
        <v>20</v>
      </c>
      <c r="V171" s="55" t="s">
        <v>21</v>
      </c>
      <c r="W171" s="55" t="s">
        <v>22</v>
      </c>
      <c r="X171" s="55" t="s">
        <v>23</v>
      </c>
      <c r="Y171" s="55" t="s">
        <v>24</v>
      </c>
      <c r="Z171" s="55" t="s">
        <v>25</v>
      </c>
      <c r="AA171" s="55" t="s">
        <v>26</v>
      </c>
      <c r="AB171" s="55" t="s">
        <v>27</v>
      </c>
      <c r="AC171" s="55" t="s">
        <v>28</v>
      </c>
      <c r="AD171" s="55" t="s">
        <v>29</v>
      </c>
      <c r="AE171" s="55" t="s">
        <v>30</v>
      </c>
      <c r="AF171" s="55" t="s">
        <v>31</v>
      </c>
      <c r="AG171" s="55" t="s">
        <v>32</v>
      </c>
      <c r="AH171" s="55" t="s">
        <v>33</v>
      </c>
      <c r="AI171" s="55" t="s">
        <v>34</v>
      </c>
      <c r="AJ171" s="55" t="s">
        <v>35</v>
      </c>
      <c r="AK171" s="55" t="s">
        <v>36</v>
      </c>
      <c r="AL171" s="55" t="s">
        <v>37</v>
      </c>
      <c r="AM171" s="55" t="s">
        <v>38</v>
      </c>
      <c r="AN171" s="55" t="s">
        <v>39</v>
      </c>
      <c r="AO171" s="55" t="s">
        <v>40</v>
      </c>
      <c r="AP171" s="55" t="s">
        <v>41</v>
      </c>
      <c r="AQ171" s="55" t="s">
        <v>42</v>
      </c>
      <c r="AR171" s="55" t="s">
        <v>43</v>
      </c>
      <c r="AS171" s="55" t="s">
        <v>44</v>
      </c>
      <c r="AT171" s="55" t="s">
        <v>45</v>
      </c>
      <c r="AU171" s="55" t="s">
        <v>46</v>
      </c>
      <c r="AV171" s="55" t="s">
        <v>47</v>
      </c>
      <c r="AW171" s="55" t="s">
        <v>48</v>
      </c>
      <c r="AX171" s="55" t="s">
        <v>49</v>
      </c>
      <c r="AY171" s="55" t="s">
        <v>50</v>
      </c>
      <c r="AZ171" s="55" t="s">
        <v>51</v>
      </c>
      <c r="BA171" s="55" t="s">
        <v>52</v>
      </c>
      <c r="BB171" s="55" t="s">
        <v>53</v>
      </c>
      <c r="BC171" s="55" t="s">
        <v>54</v>
      </c>
      <c r="BD171" s="55" t="s">
        <v>55</v>
      </c>
      <c r="BE171" s="55" t="s">
        <v>56</v>
      </c>
      <c r="BF171" s="55" t="s">
        <v>57</v>
      </c>
      <c r="BG171" s="55" t="str">
        <f t="shared" ref="BG171:BU171" si="156">BH2</f>
        <v>22/23</v>
      </c>
      <c r="BH171" s="55" t="str">
        <f t="shared" si="156"/>
        <v>23/24</v>
      </c>
      <c r="BI171" s="55" t="str">
        <f t="shared" si="156"/>
        <v>24/25</v>
      </c>
      <c r="BJ171" s="55" t="str">
        <f t="shared" si="156"/>
        <v>25/26</v>
      </c>
      <c r="BK171" s="55" t="str">
        <f t="shared" si="156"/>
        <v>26/27</v>
      </c>
      <c r="BL171" s="55" t="str">
        <f t="shared" si="156"/>
        <v>27/28</v>
      </c>
      <c r="BM171" s="55" t="str">
        <f t="shared" si="156"/>
        <v>28/29</v>
      </c>
      <c r="BN171" s="55" t="str">
        <f t="shared" si="156"/>
        <v>29/30</v>
      </c>
      <c r="BO171" s="55" t="str">
        <f t="shared" si="156"/>
        <v>30/31</v>
      </c>
      <c r="BP171" s="55" t="str">
        <f t="shared" si="156"/>
        <v>31/32</v>
      </c>
      <c r="BQ171" s="55" t="str">
        <f t="shared" si="156"/>
        <v>32/33</v>
      </c>
      <c r="BR171" s="55" t="str">
        <f t="shared" si="156"/>
        <v>33/34</v>
      </c>
      <c r="BS171" s="55" t="str">
        <f t="shared" si="156"/>
        <v>34/35</v>
      </c>
      <c r="BT171" s="55" t="str">
        <f t="shared" si="156"/>
        <v>34/35</v>
      </c>
      <c r="BU171" s="55">
        <f t="shared" si="156"/>
        <v>0</v>
      </c>
    </row>
    <row r="172" spans="1:73" s="56" customFormat="1" ht="14.25">
      <c r="A172" s="4" t="s">
        <v>100</v>
      </c>
      <c r="C172" s="58">
        <f t="shared" ref="C172:BI172" si="157">B199+C92+C108+C140-C156-C188</f>
        <v>0.23711158675996993</v>
      </c>
      <c r="D172" s="58">
        <f t="shared" si="157"/>
        <v>0.18985942656378238</v>
      </c>
      <c r="E172" s="58">
        <f t="shared" si="157"/>
        <v>-1.0117726775419229</v>
      </c>
      <c r="F172" s="58">
        <f t="shared" si="157"/>
        <v>-2.2243359388273714</v>
      </c>
      <c r="G172" s="58">
        <f t="shared" si="157"/>
        <v>3.5695628373299257</v>
      </c>
      <c r="H172" s="58">
        <f t="shared" si="157"/>
        <v>0.76025143036674969</v>
      </c>
      <c r="I172" s="58">
        <f t="shared" si="157"/>
        <v>-1.119919261322146</v>
      </c>
      <c r="J172" s="58">
        <f t="shared" si="157"/>
        <v>1.2597203210167875</v>
      </c>
      <c r="K172" s="58">
        <f t="shared" si="157"/>
        <v>6.7654168500577541</v>
      </c>
      <c r="L172" s="58">
        <f t="shared" si="157"/>
        <v>-24.912123252407689</v>
      </c>
      <c r="M172" s="58">
        <f t="shared" si="157"/>
        <v>29.589467027239277</v>
      </c>
      <c r="N172" s="58">
        <f t="shared" si="157"/>
        <v>14.144714199722484</v>
      </c>
      <c r="O172" s="58">
        <f t="shared" si="157"/>
        <v>14.919099329561067</v>
      </c>
      <c r="P172" s="58">
        <f t="shared" si="157"/>
        <v>-5.1098388561891444</v>
      </c>
      <c r="Q172" s="58">
        <f t="shared" si="157"/>
        <v>-16.76204012647284</v>
      </c>
      <c r="R172" s="59">
        <f t="shared" si="157"/>
        <v>15.743874786629192</v>
      </c>
      <c r="S172" s="59">
        <f t="shared" si="157"/>
        <v>27.0944626429092</v>
      </c>
      <c r="T172" s="59">
        <f t="shared" si="157"/>
        <v>7.3410000000000011</v>
      </c>
      <c r="U172" s="59">
        <f t="shared" si="157"/>
        <v>-28.493000000000002</v>
      </c>
      <c r="V172" s="59">
        <f t="shared" si="157"/>
        <v>-55.457999999999998</v>
      </c>
      <c r="W172" s="59">
        <f t="shared" si="157"/>
        <v>27.199999999999996</v>
      </c>
      <c r="X172" s="59">
        <f t="shared" si="157"/>
        <v>-165.29900000000001</v>
      </c>
      <c r="Y172" s="59">
        <f t="shared" si="157"/>
        <v>-67.463999999999999</v>
      </c>
      <c r="Z172" s="59">
        <f t="shared" si="157"/>
        <v>6.2980000000000302</v>
      </c>
      <c r="AA172" s="59">
        <f t="shared" si="157"/>
        <v>-342.41800000000001</v>
      </c>
      <c r="AB172" s="59">
        <f t="shared" si="157"/>
        <v>-112.38400000000004</v>
      </c>
      <c r="AC172" s="59">
        <f t="shared" si="157"/>
        <v>188.24600000000004</v>
      </c>
      <c r="AD172" s="59">
        <f t="shared" si="157"/>
        <v>-260.93100000000004</v>
      </c>
      <c r="AE172" s="59">
        <f t="shared" si="157"/>
        <v>-239.57799999999995</v>
      </c>
      <c r="AF172" s="59">
        <f t="shared" si="157"/>
        <v>252.798</v>
      </c>
      <c r="AG172" s="59">
        <f t="shared" si="157"/>
        <v>-13.931999999999988</v>
      </c>
      <c r="AH172" s="59">
        <f t="shared" si="157"/>
        <v>50.40900000000002</v>
      </c>
      <c r="AI172" s="59">
        <f t="shared" si="157"/>
        <v>9.5449999999998454</v>
      </c>
      <c r="AJ172" s="59">
        <f t="shared" si="157"/>
        <v>593.80399999999997</v>
      </c>
      <c r="AK172" s="59">
        <f t="shared" si="157"/>
        <v>708.56100000000004</v>
      </c>
      <c r="AL172" s="59">
        <f t="shared" si="157"/>
        <v>357.11600000000033</v>
      </c>
      <c r="AM172" s="59">
        <f t="shared" si="157"/>
        <v>816.27800000000002</v>
      </c>
      <c r="AN172" s="59">
        <f t="shared" si="157"/>
        <v>771.9259999999997</v>
      </c>
      <c r="AO172" s="59">
        <f t="shared" si="157"/>
        <v>475.42600000000027</v>
      </c>
      <c r="AP172" s="59">
        <f t="shared" si="157"/>
        <v>509.1429999999998</v>
      </c>
      <c r="AQ172" s="59">
        <f t="shared" si="157"/>
        <v>621.63999999999987</v>
      </c>
      <c r="AR172" s="59">
        <f t="shared" si="157"/>
        <v>718.90320000000077</v>
      </c>
      <c r="AS172" s="59">
        <f t="shared" si="157"/>
        <v>596.45899999999995</v>
      </c>
      <c r="AT172" s="59">
        <f t="shared" si="157"/>
        <v>339.94000000000005</v>
      </c>
      <c r="AU172" s="59">
        <f t="shared" si="157"/>
        <v>1107.4259999999999</v>
      </c>
      <c r="AV172" s="59">
        <f t="shared" si="157"/>
        <v>983.48699999999985</v>
      </c>
      <c r="AW172" s="59">
        <f t="shared" si="157"/>
        <v>1828.4429999999998</v>
      </c>
      <c r="AX172" s="59">
        <f t="shared" si="157"/>
        <v>576.66799999999967</v>
      </c>
      <c r="AY172" s="59">
        <f t="shared" si="157"/>
        <v>906.02899999999988</v>
      </c>
      <c r="AZ172" s="59">
        <f t="shared" si="157"/>
        <v>1947.5300000000002</v>
      </c>
      <c r="BA172" s="59">
        <f t="shared" si="157"/>
        <v>1946.454</v>
      </c>
      <c r="BB172" s="59">
        <f t="shared" si="157"/>
        <v>1309.8179999999998</v>
      </c>
      <c r="BC172" s="59">
        <f t="shared" si="157"/>
        <v>902.21599999999978</v>
      </c>
      <c r="BD172" s="59">
        <f t="shared" si="157"/>
        <v>-69.214534000000413</v>
      </c>
      <c r="BE172" s="59">
        <f t="shared" si="157"/>
        <v>535.61311499999977</v>
      </c>
      <c r="BF172" s="59">
        <f t="shared" si="157"/>
        <v>114.25600000000065</v>
      </c>
      <c r="BG172" s="59">
        <f t="shared" si="157"/>
        <v>1285.8340000000003</v>
      </c>
      <c r="BH172" s="59">
        <f t="shared" si="157"/>
        <v>487.6569999999997</v>
      </c>
      <c r="BI172" s="59">
        <f t="shared" si="157"/>
        <v>-33.677000000000021</v>
      </c>
      <c r="BJ172" s="58">
        <f t="shared" ref="BJ172:BJ182" si="158">BJ$184*(SUM(AZ172:BI172)/SUM(AZ$184:BI$184))</f>
        <v>963.00434850898637</v>
      </c>
      <c r="BK172" s="58">
        <f t="shared" ref="BK172:BK182" si="159">BK$184*(SUM(BA172:BJ172)/SUM(BA$184:BJ$184))</f>
        <v>834.34036622744975</v>
      </c>
      <c r="BL172" s="58">
        <f t="shared" ref="BL172:BU182" si="160">BL$184*(SUM(BB172:BK172)/SUM(BB$184:BK$184))</f>
        <v>1092.3033126675059</v>
      </c>
      <c r="BM172" s="58">
        <f t="shared" si="160"/>
        <v>1178.7202046678692</v>
      </c>
      <c r="BN172" s="58">
        <f t="shared" si="160"/>
        <v>1077.9516641492994</v>
      </c>
      <c r="BO172" s="58">
        <f t="shared" si="160"/>
        <v>1039.5249981427019</v>
      </c>
      <c r="BP172" s="58">
        <f t="shared" si="160"/>
        <v>1158.8991935344388</v>
      </c>
      <c r="BQ172" s="58">
        <f t="shared" si="160"/>
        <v>1127.1948296400142</v>
      </c>
      <c r="BR172" s="58">
        <f t="shared" si="160"/>
        <v>1135.643490979088</v>
      </c>
      <c r="BS172" s="58" t="e">
        <f t="shared" si="160"/>
        <v>#DIV/0!</v>
      </c>
      <c r="BT172" s="58" t="e">
        <f t="shared" si="160"/>
        <v>#DIV/0!</v>
      </c>
      <c r="BU172" s="58" t="e">
        <f t="shared" si="160"/>
        <v>#DIV/0!</v>
      </c>
    </row>
    <row r="173" spans="1:73" s="56" customFormat="1" ht="14.25">
      <c r="A173" s="4" t="s">
        <v>102</v>
      </c>
      <c r="C173" s="58">
        <f t="shared" ref="C173:BI177" si="161">C188+C93+C109+C141-C157-C189</f>
        <v>0.35189396973132014</v>
      </c>
      <c r="D173" s="58">
        <f t="shared" si="161"/>
        <v>0.28193797371156332</v>
      </c>
      <c r="E173" s="58">
        <f t="shared" si="161"/>
        <v>0.22635919469991328</v>
      </c>
      <c r="F173" s="58">
        <f t="shared" si="161"/>
        <v>0.39923057777980198</v>
      </c>
      <c r="G173" s="58">
        <f t="shared" si="161"/>
        <v>0.84577555073317201</v>
      </c>
      <c r="H173" s="58">
        <f t="shared" si="161"/>
        <v>1.1297737955151463</v>
      </c>
      <c r="I173" s="58">
        <f t="shared" si="161"/>
        <v>1.7963809520711185</v>
      </c>
      <c r="J173" s="58">
        <f t="shared" si="161"/>
        <v>2.3600599314331201</v>
      </c>
      <c r="K173" s="58">
        <f t="shared" si="161"/>
        <v>10.535697525215108</v>
      </c>
      <c r="L173" s="58">
        <f t="shared" si="161"/>
        <v>12.375029842145395</v>
      </c>
      <c r="M173" s="58">
        <f t="shared" si="161"/>
        <v>24.098355205965539</v>
      </c>
      <c r="N173" s="58">
        <f t="shared" si="161"/>
        <v>18.912780786033402</v>
      </c>
      <c r="O173" s="58">
        <f t="shared" si="161"/>
        <v>12.842327246662661</v>
      </c>
      <c r="P173" s="58">
        <f t="shared" si="161"/>
        <v>2.1402591768526023</v>
      </c>
      <c r="Q173" s="58">
        <f t="shared" si="161"/>
        <v>16.416019673917859</v>
      </c>
      <c r="R173" s="59">
        <f t="shared" si="161"/>
        <v>28.406179158435286</v>
      </c>
      <c r="S173" s="59">
        <f t="shared" si="161"/>
        <v>63.254342486956261</v>
      </c>
      <c r="T173" s="59">
        <f t="shared" si="161"/>
        <v>29.342999999999996</v>
      </c>
      <c r="U173" s="59">
        <f t="shared" si="161"/>
        <v>31.123000000000012</v>
      </c>
      <c r="V173" s="59">
        <f t="shared" si="161"/>
        <v>-41.411000000000001</v>
      </c>
      <c r="W173" s="59">
        <f t="shared" si="161"/>
        <v>-1.5770000000000124</v>
      </c>
      <c r="X173" s="59">
        <f t="shared" si="161"/>
        <v>165.78399999999999</v>
      </c>
      <c r="Y173" s="59">
        <f t="shared" si="161"/>
        <v>264.38200000000001</v>
      </c>
      <c r="Z173" s="59">
        <f t="shared" si="161"/>
        <v>273.18599999999992</v>
      </c>
      <c r="AA173" s="59">
        <f t="shared" si="161"/>
        <v>-111.536</v>
      </c>
      <c r="AB173" s="59">
        <f t="shared" si="161"/>
        <v>60.339999999999975</v>
      </c>
      <c r="AC173" s="59">
        <f t="shared" si="161"/>
        <v>284.48999999999995</v>
      </c>
      <c r="AD173" s="59">
        <f t="shared" si="161"/>
        <v>230.45500000000007</v>
      </c>
      <c r="AE173" s="59">
        <f t="shared" si="161"/>
        <v>214.69099999999997</v>
      </c>
      <c r="AF173" s="59">
        <f t="shared" si="161"/>
        <v>604.49599999999998</v>
      </c>
      <c r="AG173" s="59">
        <f t="shared" si="161"/>
        <v>424.05400000000009</v>
      </c>
      <c r="AH173" s="59">
        <f t="shared" si="161"/>
        <v>448.64100000000008</v>
      </c>
      <c r="AI173" s="59">
        <f t="shared" si="161"/>
        <v>701.39899999999989</v>
      </c>
      <c r="AJ173" s="59">
        <f t="shared" si="161"/>
        <v>745.85100000000011</v>
      </c>
      <c r="AK173" s="59">
        <f t="shared" si="161"/>
        <v>529.72200000000009</v>
      </c>
      <c r="AL173" s="59">
        <f t="shared" si="161"/>
        <v>487.33100000000002</v>
      </c>
      <c r="AM173" s="59">
        <f t="shared" si="161"/>
        <v>288.98</v>
      </c>
      <c r="AN173" s="59">
        <f t="shared" si="161"/>
        <v>338.55300000000011</v>
      </c>
      <c r="AO173" s="59">
        <f t="shared" si="161"/>
        <v>549.62400000000014</v>
      </c>
      <c r="AP173" s="59">
        <f t="shared" si="161"/>
        <v>815.15300000000002</v>
      </c>
      <c r="AQ173" s="59">
        <f t="shared" si="161"/>
        <v>615.21100000000035</v>
      </c>
      <c r="AR173" s="59">
        <f t="shared" si="161"/>
        <v>846.35600000000022</v>
      </c>
      <c r="AS173" s="59">
        <f t="shared" si="161"/>
        <v>633.95899999999961</v>
      </c>
      <c r="AT173" s="59">
        <f t="shared" si="161"/>
        <v>41.087000000000216</v>
      </c>
      <c r="AU173" s="59">
        <f t="shared" si="161"/>
        <v>707.06699999999955</v>
      </c>
      <c r="AV173" s="59">
        <f t="shared" si="161"/>
        <v>610.6370000000004</v>
      </c>
      <c r="AW173" s="59">
        <f t="shared" si="161"/>
        <v>398.50500000000022</v>
      </c>
      <c r="AX173" s="59">
        <f t="shared" si="161"/>
        <v>413.58500000000004</v>
      </c>
      <c r="AY173" s="59">
        <f t="shared" si="161"/>
        <v>803.51199999999983</v>
      </c>
      <c r="AZ173" s="59">
        <f t="shared" si="161"/>
        <v>910.97500000000002</v>
      </c>
      <c r="BA173" s="59">
        <f t="shared" si="161"/>
        <v>-408.5590000000002</v>
      </c>
      <c r="BB173" s="59">
        <f t="shared" si="161"/>
        <v>562.97900000000004</v>
      </c>
      <c r="BC173" s="59">
        <f t="shared" si="161"/>
        <v>666.93499999999972</v>
      </c>
      <c r="BD173" s="59">
        <f t="shared" si="161"/>
        <v>-46.181299999999737</v>
      </c>
      <c r="BE173" s="59">
        <f t="shared" si="161"/>
        <v>1119.8909650000001</v>
      </c>
      <c r="BF173" s="59">
        <f t="shared" si="161"/>
        <v>264.97499999999991</v>
      </c>
      <c r="BG173" s="59">
        <f t="shared" si="161"/>
        <v>553.07700000000011</v>
      </c>
      <c r="BH173" s="59">
        <f t="shared" si="161"/>
        <v>-153.65199999999959</v>
      </c>
      <c r="BI173" s="59">
        <f t="shared" si="161"/>
        <v>-344.5059999999994</v>
      </c>
      <c r="BJ173" s="58">
        <f t="shared" si="158"/>
        <v>357.24114476527103</v>
      </c>
      <c r="BK173" s="58">
        <f t="shared" si="159"/>
        <v>288.3769683310245</v>
      </c>
      <c r="BL173" s="58">
        <f t="shared" si="160"/>
        <v>564.13491086580802</v>
      </c>
      <c r="BM173" s="58">
        <f t="shared" si="160"/>
        <v>630.65267155734875</v>
      </c>
      <c r="BN173" s="58">
        <f t="shared" si="160"/>
        <v>545.65578587226514</v>
      </c>
      <c r="BO173" s="58">
        <f t="shared" si="160"/>
        <v>527.74169731059885</v>
      </c>
      <c r="BP173" s="58">
        <f t="shared" ref="BP173:BU175" si="162">BP$184*(SUM(BF173:BO173)/SUM(BF$184:BO$184))</f>
        <v>466.11551263556538</v>
      </c>
      <c r="BQ173" s="58">
        <f t="shared" si="162"/>
        <v>426.18818096240994</v>
      </c>
      <c r="BR173" s="58">
        <f t="shared" si="162"/>
        <v>420.86990034584727</v>
      </c>
      <c r="BS173" s="58" t="e">
        <f t="shared" si="162"/>
        <v>#DIV/0!</v>
      </c>
      <c r="BT173" s="58" t="e">
        <f t="shared" si="162"/>
        <v>#DIV/0!</v>
      </c>
      <c r="BU173" s="58" t="e">
        <f t="shared" si="162"/>
        <v>#DIV/0!</v>
      </c>
    </row>
    <row r="174" spans="1:73" s="56" customFormat="1" ht="14.25">
      <c r="A174" s="4" t="s">
        <v>103</v>
      </c>
      <c r="C174" s="58">
        <f t="shared" si="161"/>
        <v>0.4920882936358989</v>
      </c>
      <c r="D174" s="58">
        <f t="shared" si="161"/>
        <v>0.39412167568843864</v>
      </c>
      <c r="E174" s="58">
        <f t="shared" si="161"/>
        <v>-0.25861091732150299</v>
      </c>
      <c r="F174" s="58">
        <f t="shared" si="161"/>
        <v>-1.1677237838783245</v>
      </c>
      <c r="G174" s="58">
        <f t="shared" si="161"/>
        <v>1.1823240935253578</v>
      </c>
      <c r="H174" s="58">
        <f t="shared" si="161"/>
        <v>1.5786436661564531</v>
      </c>
      <c r="I174" s="58">
        <f t="shared" si="161"/>
        <v>1.3596110520372502</v>
      </c>
      <c r="J174" s="58">
        <f t="shared" si="161"/>
        <v>2.1476442779090101</v>
      </c>
      <c r="K174" s="58">
        <f t="shared" si="161"/>
        <v>12.979668683436765</v>
      </c>
      <c r="L174" s="58">
        <f t="shared" si="161"/>
        <v>1.0010933655136256</v>
      </c>
      <c r="M174" s="58">
        <f t="shared" si="161"/>
        <v>32.94555592630104</v>
      </c>
      <c r="N174" s="58">
        <f t="shared" si="161"/>
        <v>21.268741249801892</v>
      </c>
      <c r="O174" s="58">
        <f t="shared" si="161"/>
        <v>9.650951141312202</v>
      </c>
      <c r="P174" s="58">
        <f t="shared" si="161"/>
        <v>13.27841822591661</v>
      </c>
      <c r="Q174" s="58">
        <f t="shared" si="161"/>
        <v>54.168111417751575</v>
      </c>
      <c r="R174" s="59">
        <f t="shared" si="161"/>
        <v>83.045775767933947</v>
      </c>
      <c r="S174" s="59">
        <f t="shared" si="161"/>
        <v>62.023365935985005</v>
      </c>
      <c r="T174" s="59">
        <f t="shared" si="161"/>
        <v>121.83200000000002</v>
      </c>
      <c r="U174" s="59">
        <f t="shared" si="161"/>
        <v>76.407999999999987</v>
      </c>
      <c r="V174" s="59">
        <f t="shared" si="161"/>
        <v>29.718000000000018</v>
      </c>
      <c r="W174" s="59">
        <f t="shared" si="161"/>
        <v>142.04599999999999</v>
      </c>
      <c r="X174" s="59">
        <f t="shared" si="161"/>
        <v>350.74</v>
      </c>
      <c r="Y174" s="59">
        <f t="shared" si="161"/>
        <v>443.6939999999999</v>
      </c>
      <c r="Z174" s="59">
        <f t="shared" si="161"/>
        <v>416.11799999999994</v>
      </c>
      <c r="AA174" s="59">
        <f t="shared" si="161"/>
        <v>229.73900000000003</v>
      </c>
      <c r="AB174" s="59">
        <f t="shared" si="161"/>
        <v>161.13700000000006</v>
      </c>
      <c r="AC174" s="59">
        <f t="shared" si="161"/>
        <v>190.81900000000007</v>
      </c>
      <c r="AD174" s="59">
        <f t="shared" si="161"/>
        <v>341.36599999999999</v>
      </c>
      <c r="AE174" s="59">
        <f t="shared" si="161"/>
        <v>591.37200000000007</v>
      </c>
      <c r="AF174" s="59">
        <f t="shared" si="161"/>
        <v>637.14</v>
      </c>
      <c r="AG174" s="59">
        <f t="shared" si="161"/>
        <v>50.196999999999946</v>
      </c>
      <c r="AH174" s="59">
        <f t="shared" si="161"/>
        <v>133.67500000000001</v>
      </c>
      <c r="AI174" s="59">
        <f t="shared" si="161"/>
        <v>223.81300000000005</v>
      </c>
      <c r="AJ174" s="59">
        <f t="shared" si="161"/>
        <v>313.8900000000001</v>
      </c>
      <c r="AK174" s="59">
        <f t="shared" si="161"/>
        <v>328.7679999999998</v>
      </c>
      <c r="AL174" s="59">
        <f t="shared" si="161"/>
        <v>271.91900000000004</v>
      </c>
      <c r="AM174" s="59">
        <f t="shared" si="161"/>
        <v>126.45200000000011</v>
      </c>
      <c r="AN174" s="59">
        <f t="shared" si="161"/>
        <v>32.719999999999914</v>
      </c>
      <c r="AO174" s="59">
        <f t="shared" si="161"/>
        <v>291.92700000000002</v>
      </c>
      <c r="AP174" s="59">
        <f t="shared" si="161"/>
        <v>-91.238999999999919</v>
      </c>
      <c r="AQ174" s="59">
        <f t="shared" si="161"/>
        <v>110.47899999999936</v>
      </c>
      <c r="AR174" s="59">
        <f t="shared" si="161"/>
        <v>211.54599999999948</v>
      </c>
      <c r="AS174" s="59">
        <f t="shared" si="161"/>
        <v>-284.94399999999985</v>
      </c>
      <c r="AT174" s="59">
        <f t="shared" si="161"/>
        <v>-954.54200000000037</v>
      </c>
      <c r="AU174" s="59">
        <f t="shared" si="161"/>
        <v>224.72299999999962</v>
      </c>
      <c r="AV174" s="59">
        <f t="shared" si="161"/>
        <v>593.94699999999955</v>
      </c>
      <c r="AW174" s="59">
        <f t="shared" si="161"/>
        <v>-604.6550000000002</v>
      </c>
      <c r="AX174" s="59">
        <f t="shared" si="161"/>
        <v>-351.25399999999968</v>
      </c>
      <c r="AY174" s="59">
        <f t="shared" si="161"/>
        <v>-53.351999999999862</v>
      </c>
      <c r="AZ174" s="59">
        <f t="shared" si="161"/>
        <v>684.55199999999979</v>
      </c>
      <c r="BA174" s="59">
        <f t="shared" si="161"/>
        <v>433.06700000000023</v>
      </c>
      <c r="BB174" s="59">
        <f t="shared" si="161"/>
        <v>879.43800000000022</v>
      </c>
      <c r="BC174" s="59">
        <f t="shared" si="161"/>
        <v>-294.47000000000025</v>
      </c>
      <c r="BD174" s="59">
        <f t="shared" si="161"/>
        <v>-469.49370999999996</v>
      </c>
      <c r="BE174" s="59">
        <f t="shared" si="161"/>
        <v>562.98649599999999</v>
      </c>
      <c r="BF174" s="59">
        <f t="shared" si="161"/>
        <v>19.001999999999612</v>
      </c>
      <c r="BG174" s="59">
        <f t="shared" si="161"/>
        <v>132.48999999999955</v>
      </c>
      <c r="BH174" s="59">
        <f t="shared" si="161"/>
        <v>389.43899999999996</v>
      </c>
      <c r="BI174" s="59">
        <f t="shared" si="161"/>
        <v>-540.3449999999998</v>
      </c>
      <c r="BJ174" s="58">
        <f t="shared" si="158"/>
        <v>205.32839494891684</v>
      </c>
      <c r="BK174" s="58">
        <f t="shared" si="159"/>
        <v>147.70235992208219</v>
      </c>
      <c r="BL174" s="58">
        <f t="shared" si="160"/>
        <v>178.09935440029696</v>
      </c>
      <c r="BM174" s="58">
        <f t="shared" si="160"/>
        <v>63.780661705123336</v>
      </c>
      <c r="BN174" s="58">
        <f t="shared" si="160"/>
        <v>116.24924242933096</v>
      </c>
      <c r="BO174" s="58">
        <f t="shared" si="160"/>
        <v>175.83808120821539</v>
      </c>
      <c r="BP174" s="58">
        <f t="shared" si="162"/>
        <v>127.93922634221023</v>
      </c>
      <c r="BQ174" s="58">
        <f t="shared" si="162"/>
        <v>123.64648557910338</v>
      </c>
      <c r="BR174" s="58">
        <f t="shared" si="162"/>
        <v>125.66211754090635</v>
      </c>
      <c r="BS174" s="58" t="e">
        <f t="shared" si="162"/>
        <v>#DIV/0!</v>
      </c>
      <c r="BT174" s="58" t="e">
        <f t="shared" si="162"/>
        <v>#DIV/0!</v>
      </c>
      <c r="BU174" s="58" t="e">
        <f t="shared" si="162"/>
        <v>#DIV/0!</v>
      </c>
    </row>
    <row r="175" spans="1:73" s="56" customFormat="1" ht="14.25">
      <c r="A175" s="4" t="s">
        <v>104</v>
      </c>
      <c r="C175" s="58">
        <f t="shared" si="161"/>
        <v>0.44101459554643463</v>
      </c>
      <c r="D175" s="58">
        <f t="shared" si="161"/>
        <v>0.35329576376904476</v>
      </c>
      <c r="E175" s="58">
        <f t="shared" si="161"/>
        <v>3.7361847627934708E-2</v>
      </c>
      <c r="F175" s="58">
        <f t="shared" si="161"/>
        <v>-0.23881614380435767</v>
      </c>
      <c r="G175" s="58">
        <f t="shared" si="161"/>
        <v>1.05984335867613</v>
      </c>
      <c r="H175" s="58">
        <f t="shared" si="161"/>
        <v>1.4154980534212536</v>
      </c>
      <c r="I175" s="58">
        <f t="shared" si="161"/>
        <v>1.7579818811208394</v>
      </c>
      <c r="J175" s="58">
        <f t="shared" si="161"/>
        <v>2.4643478878197733</v>
      </c>
      <c r="K175" s="58">
        <f t="shared" si="161"/>
        <v>12.16468271611528</v>
      </c>
      <c r="L175" s="58">
        <f t="shared" si="161"/>
        <v>8.9663745469962066</v>
      </c>
      <c r="M175" s="58">
        <f t="shared" si="161"/>
        <v>28.224487742894507</v>
      </c>
      <c r="N175" s="58">
        <f t="shared" si="161"/>
        <v>27.037322085383934</v>
      </c>
      <c r="O175" s="58">
        <f t="shared" si="161"/>
        <v>8.5112871703477708</v>
      </c>
      <c r="P175" s="58">
        <f t="shared" si="161"/>
        <v>26.771514281163373</v>
      </c>
      <c r="Q175" s="58">
        <f t="shared" si="161"/>
        <v>40.993546119542316</v>
      </c>
      <c r="R175" s="59">
        <f t="shared" si="161"/>
        <v>54.386121715287544</v>
      </c>
      <c r="S175" s="59">
        <f t="shared" si="161"/>
        <v>61.687184826344328</v>
      </c>
      <c r="T175" s="59">
        <f t="shared" si="161"/>
        <v>139.047</v>
      </c>
      <c r="U175" s="59">
        <f t="shared" si="161"/>
        <v>41.163000000000011</v>
      </c>
      <c r="V175" s="59">
        <f t="shared" si="161"/>
        <v>196.59700000000004</v>
      </c>
      <c r="W175" s="59">
        <f t="shared" si="161"/>
        <v>195.66800000000006</v>
      </c>
      <c r="X175" s="59">
        <f t="shared" si="161"/>
        <v>195.00200000000001</v>
      </c>
      <c r="Y175" s="59">
        <f t="shared" si="161"/>
        <v>239.78399999999993</v>
      </c>
      <c r="Z175" s="59">
        <f t="shared" si="161"/>
        <v>309.23599999999999</v>
      </c>
      <c r="AA175" s="59">
        <f t="shared" si="161"/>
        <v>349.53800000000012</v>
      </c>
      <c r="AB175" s="59">
        <f t="shared" si="161"/>
        <v>179.98699999999997</v>
      </c>
      <c r="AC175" s="59">
        <f t="shared" si="161"/>
        <v>-43.753000000000156</v>
      </c>
      <c r="AD175" s="59">
        <f t="shared" si="161"/>
        <v>148.70299999999992</v>
      </c>
      <c r="AE175" s="59">
        <f t="shared" si="161"/>
        <v>254.233</v>
      </c>
      <c r="AF175" s="59">
        <f t="shared" si="161"/>
        <v>721.80099999999993</v>
      </c>
      <c r="AG175" s="59">
        <f t="shared" si="161"/>
        <v>20.349999999999852</v>
      </c>
      <c r="AH175" s="59">
        <f t="shared" si="161"/>
        <v>211.36199999999997</v>
      </c>
      <c r="AI175" s="59">
        <f t="shared" si="161"/>
        <v>278.06400000000002</v>
      </c>
      <c r="AJ175" s="59">
        <f t="shared" si="161"/>
        <v>367.29300000000012</v>
      </c>
      <c r="AK175" s="59">
        <f t="shared" si="161"/>
        <v>73.189000000000078</v>
      </c>
      <c r="AL175" s="59">
        <f t="shared" si="161"/>
        <v>-22.83499999999998</v>
      </c>
      <c r="AM175" s="59">
        <f t="shared" si="161"/>
        <v>64.442999999999643</v>
      </c>
      <c r="AN175" s="59">
        <f t="shared" si="161"/>
        <v>70.600999999999885</v>
      </c>
      <c r="AO175" s="59">
        <f t="shared" si="161"/>
        <v>216.03999999999985</v>
      </c>
      <c r="AP175" s="59">
        <f t="shared" si="161"/>
        <v>-54.482999999999834</v>
      </c>
      <c r="AQ175" s="59">
        <f t="shared" si="161"/>
        <v>379.17600000000016</v>
      </c>
      <c r="AR175" s="59">
        <f t="shared" si="161"/>
        <v>405.44112000000007</v>
      </c>
      <c r="AS175" s="59">
        <f t="shared" si="161"/>
        <v>312.77018000000066</v>
      </c>
      <c r="AT175" s="59">
        <f t="shared" si="161"/>
        <v>100.06199999999967</v>
      </c>
      <c r="AU175" s="59">
        <f t="shared" si="161"/>
        <v>344.62300000000039</v>
      </c>
      <c r="AV175" s="59">
        <f t="shared" si="161"/>
        <v>291.43300000000011</v>
      </c>
      <c r="AW175" s="59">
        <f t="shared" si="161"/>
        <v>32.103999999999814</v>
      </c>
      <c r="AX175" s="59">
        <f t="shared" si="161"/>
        <v>373.90000000000066</v>
      </c>
      <c r="AY175" s="59">
        <f t="shared" si="161"/>
        <v>386.44999999999982</v>
      </c>
      <c r="AZ175" s="59">
        <f t="shared" si="161"/>
        <v>360.93299999999988</v>
      </c>
      <c r="BA175" s="59">
        <f t="shared" si="161"/>
        <v>678.42399999999998</v>
      </c>
      <c r="BB175" s="59">
        <f t="shared" si="161"/>
        <v>-512.6990000000003</v>
      </c>
      <c r="BC175" s="59">
        <f t="shared" si="161"/>
        <v>46.5</v>
      </c>
      <c r="BD175" s="59">
        <f t="shared" si="161"/>
        <v>-460.37419000000045</v>
      </c>
      <c r="BE175" s="59">
        <f t="shared" si="161"/>
        <v>798.61308499999905</v>
      </c>
      <c r="BF175" s="59">
        <f t="shared" si="161"/>
        <v>-302.79300000000001</v>
      </c>
      <c r="BG175" s="59">
        <f t="shared" si="161"/>
        <v>-33.28200000000038</v>
      </c>
      <c r="BH175" s="59">
        <f t="shared" si="161"/>
        <v>-106.36400000000015</v>
      </c>
      <c r="BI175" s="59">
        <f t="shared" si="161"/>
        <v>-681.33600000000024</v>
      </c>
      <c r="BJ175" s="58">
        <f t="shared" si="158"/>
        <v>-24.271211575207818</v>
      </c>
      <c r="BK175" s="58">
        <f t="shared" si="159"/>
        <v>-66.996730241542025</v>
      </c>
      <c r="BL175" s="58">
        <f t="shared" si="160"/>
        <v>-231.75388100572181</v>
      </c>
      <c r="BM175" s="58">
        <f t="shared" si="160"/>
        <v>-204.81037571987247</v>
      </c>
      <c r="BN175" s="58">
        <f t="shared" si="160"/>
        <v>-221.59707468936122</v>
      </c>
      <c r="BO175" s="58">
        <f t="shared" si="160"/>
        <v>-148.23035517467545</v>
      </c>
      <c r="BP175" s="58">
        <f t="shared" si="162"/>
        <v>-291.37608935201467</v>
      </c>
      <c r="BQ175" s="58">
        <f t="shared" si="162"/>
        <v>-249.39920654591359</v>
      </c>
      <c r="BR175" s="58">
        <f t="shared" si="162"/>
        <v>-283.23085389673844</v>
      </c>
      <c r="BS175" s="58" t="e">
        <f t="shared" si="162"/>
        <v>#DIV/0!</v>
      </c>
      <c r="BT175" s="58" t="e">
        <f t="shared" si="162"/>
        <v>#DIV/0!</v>
      </c>
      <c r="BU175" s="58" t="e">
        <f t="shared" si="162"/>
        <v>#DIV/0!</v>
      </c>
    </row>
    <row r="176" spans="1:73" s="56" customFormat="1" ht="14.25">
      <c r="A176" s="4" t="s">
        <v>105</v>
      </c>
      <c r="C176" s="58">
        <f t="shared" si="161"/>
        <v>0.52287940298054503</v>
      </c>
      <c r="D176" s="58">
        <f t="shared" si="161"/>
        <v>0.41888254915366974</v>
      </c>
      <c r="E176" s="58">
        <f t="shared" si="161"/>
        <v>-0.27746975269471497</v>
      </c>
      <c r="F176" s="58">
        <f t="shared" si="161"/>
        <v>-1.2484282026233178</v>
      </c>
      <c r="G176" s="58">
        <f t="shared" si="161"/>
        <v>1.2565950987415566</v>
      </c>
      <c r="H176" s="58">
        <f t="shared" si="161"/>
        <v>1.6782992135341617</v>
      </c>
      <c r="I176" s="58">
        <f t="shared" si="161"/>
        <v>1.4408567742326497</v>
      </c>
      <c r="J176" s="58">
        <f t="shared" si="161"/>
        <v>2.2783521224468002</v>
      </c>
      <c r="K176" s="58">
        <f t="shared" si="161"/>
        <v>13.496921493695112</v>
      </c>
      <c r="L176" s="58">
        <f t="shared" si="161"/>
        <v>0.73580321839031626</v>
      </c>
      <c r="M176" s="58">
        <f t="shared" si="161"/>
        <v>42.403151646196804</v>
      </c>
      <c r="N176" s="58">
        <f t="shared" si="161"/>
        <v>5.4665924973588389</v>
      </c>
      <c r="O176" s="58">
        <f t="shared" si="161"/>
        <v>14.849818400103636</v>
      </c>
      <c r="P176" s="58">
        <f t="shared" si="161"/>
        <v>24.216035248097619</v>
      </c>
      <c r="Q176" s="58">
        <f t="shared" si="161"/>
        <v>23.785295574045008</v>
      </c>
      <c r="R176" s="59">
        <f t="shared" si="161"/>
        <v>40.538388779525391</v>
      </c>
      <c r="S176" s="59">
        <f t="shared" si="161"/>
        <v>67.457709805002565</v>
      </c>
      <c r="T176" s="59">
        <f t="shared" si="161"/>
        <v>64.424000000000035</v>
      </c>
      <c r="U176" s="59">
        <f t="shared" si="161"/>
        <v>52.852999999999994</v>
      </c>
      <c r="V176" s="59">
        <f t="shared" si="161"/>
        <v>87.17199999999994</v>
      </c>
      <c r="W176" s="59">
        <f t="shared" si="161"/>
        <v>23.174999999999983</v>
      </c>
      <c r="X176" s="59">
        <f t="shared" si="161"/>
        <v>119.9440000000001</v>
      </c>
      <c r="Y176" s="59">
        <f t="shared" si="161"/>
        <v>36.033000000000158</v>
      </c>
      <c r="Z176" s="59">
        <f t="shared" si="161"/>
        <v>210.51299999999989</v>
      </c>
      <c r="AA176" s="59">
        <f t="shared" si="161"/>
        <v>22.228999999999985</v>
      </c>
      <c r="AB176" s="59">
        <f t="shared" si="161"/>
        <v>-76.409999999999968</v>
      </c>
      <c r="AC176" s="59">
        <f t="shared" si="161"/>
        <v>-43.719000000000051</v>
      </c>
      <c r="AD176" s="59">
        <f t="shared" si="161"/>
        <v>104.29500000000007</v>
      </c>
      <c r="AE176" s="59">
        <f t="shared" si="161"/>
        <v>-105.36399999999992</v>
      </c>
      <c r="AF176" s="59">
        <f t="shared" si="161"/>
        <v>750.03899999999999</v>
      </c>
      <c r="AG176" s="59">
        <f t="shared" si="161"/>
        <v>72.200999999999965</v>
      </c>
      <c r="AH176" s="59">
        <f t="shared" si="161"/>
        <v>359.81499999999994</v>
      </c>
      <c r="AI176" s="59">
        <f t="shared" si="161"/>
        <v>297.47500000000014</v>
      </c>
      <c r="AJ176" s="59">
        <f t="shared" si="161"/>
        <v>375.4410000000002</v>
      </c>
      <c r="AK176" s="59">
        <f t="shared" si="161"/>
        <v>438.49599999999987</v>
      </c>
      <c r="AL176" s="59">
        <f t="shared" si="161"/>
        <v>-18.310000000000059</v>
      </c>
      <c r="AM176" s="59">
        <f t="shared" si="161"/>
        <v>257.44899999999978</v>
      </c>
      <c r="AN176" s="59">
        <f t="shared" si="161"/>
        <v>78.104999999999905</v>
      </c>
      <c r="AO176" s="59">
        <f t="shared" si="161"/>
        <v>264.34999999999991</v>
      </c>
      <c r="AP176" s="59">
        <f t="shared" si="161"/>
        <v>19.982000000000198</v>
      </c>
      <c r="AQ176" s="59">
        <f t="shared" si="161"/>
        <v>496.9290000000002</v>
      </c>
      <c r="AR176" s="59">
        <f t="shared" si="161"/>
        <v>334.17197999999996</v>
      </c>
      <c r="AS176" s="59">
        <f t="shared" si="161"/>
        <v>-139.87120000000016</v>
      </c>
      <c r="AT176" s="59">
        <f t="shared" si="161"/>
        <v>131.95599999999945</v>
      </c>
      <c r="AU176" s="59">
        <f t="shared" si="161"/>
        <v>-223.66999999999996</v>
      </c>
      <c r="AV176" s="59">
        <f t="shared" si="161"/>
        <v>875.9490000000003</v>
      </c>
      <c r="AW176" s="59">
        <f t="shared" si="161"/>
        <v>-121.01399999999978</v>
      </c>
      <c r="AX176" s="59">
        <f t="shared" si="161"/>
        <v>-211.15999999999974</v>
      </c>
      <c r="AY176" s="59">
        <f t="shared" si="161"/>
        <v>885.41700000000003</v>
      </c>
      <c r="AZ176" s="59">
        <f t="shared" si="161"/>
        <v>86.625999999999522</v>
      </c>
      <c r="BA176" s="59">
        <f t="shared" si="161"/>
        <v>610.07099999999923</v>
      </c>
      <c r="BB176" s="59">
        <f t="shared" si="161"/>
        <v>-465.85799999999972</v>
      </c>
      <c r="BC176" s="59">
        <f t="shared" si="161"/>
        <v>563.18600000000015</v>
      </c>
      <c r="BD176" s="59">
        <f t="shared" si="161"/>
        <v>-685.47184500000003</v>
      </c>
      <c r="BE176" s="59">
        <f t="shared" si="161"/>
        <v>650.09052199999974</v>
      </c>
      <c r="BF176" s="59">
        <f t="shared" si="161"/>
        <v>-678.94999999999982</v>
      </c>
      <c r="BG176" s="59">
        <f t="shared" si="161"/>
        <v>546.53399999999965</v>
      </c>
      <c r="BH176" s="59">
        <f t="shared" si="161"/>
        <v>-604.16200000000003</v>
      </c>
      <c r="BI176" s="59">
        <f>BI191+BI96+BI112+BI144-BI161-BI192</f>
        <v>71.587999999999852</v>
      </c>
      <c r="BJ176" s="58">
        <f t="shared" si="158"/>
        <v>10.703025197739247</v>
      </c>
      <c r="BK176" s="58">
        <f t="shared" si="159"/>
        <v>1.9878417402692348</v>
      </c>
      <c r="BL176" s="58">
        <f t="shared" si="160"/>
        <v>-101.87353869219817</v>
      </c>
      <c r="BM176" s="58">
        <f t="shared" si="160"/>
        <v>-43.653470156393816</v>
      </c>
      <c r="BN176" s="58">
        <f t="shared" si="160"/>
        <v>-140.58229998054074</v>
      </c>
      <c r="BO176" s="58">
        <f t="shared" si="160"/>
        <v>-39.77090835726252</v>
      </c>
      <c r="BP176" s="58">
        <f t="shared" ref="BP176:BU176" si="163">BP$184*(SUM(BF176:BO176)/SUM(BF$184:BO$184))</f>
        <v>-140.99791789208962</v>
      </c>
      <c r="BQ176" s="58">
        <f t="shared" si="163"/>
        <v>-54.622568947577349</v>
      </c>
      <c r="BR176" s="58">
        <f t="shared" si="163"/>
        <v>-132.49512875096153</v>
      </c>
      <c r="BS176" s="58" t="e">
        <f t="shared" si="163"/>
        <v>#DIV/0!</v>
      </c>
      <c r="BT176" s="58" t="e">
        <f t="shared" si="163"/>
        <v>#DIV/0!</v>
      </c>
      <c r="BU176" s="58" t="e">
        <f t="shared" si="163"/>
        <v>#DIV/0!</v>
      </c>
    </row>
    <row r="177" spans="1:73" s="56" customFormat="1" ht="14.25">
      <c r="A177" s="4" t="s">
        <v>106</v>
      </c>
      <c r="C177" s="58">
        <f t="shared" si="161"/>
        <v>0.48202578691387371</v>
      </c>
      <c r="D177" s="58">
        <f t="shared" si="161"/>
        <v>0.38613110099851822</v>
      </c>
      <c r="E177" s="58">
        <f t="shared" si="161"/>
        <v>9.5969162829455001E-2</v>
      </c>
      <c r="F177" s="58">
        <f t="shared" si="161"/>
        <v>-9.5699051423617121E-2</v>
      </c>
      <c r="G177" s="58">
        <f t="shared" si="161"/>
        <v>1.1583469759112897</v>
      </c>
      <c r="H177" s="58">
        <f t="shared" si="161"/>
        <v>1.5469655763289334</v>
      </c>
      <c r="I177" s="58">
        <f t="shared" si="161"/>
        <v>2.0314425081530736</v>
      </c>
      <c r="J177" s="58">
        <f t="shared" si="161"/>
        <v>2.8034668977842152</v>
      </c>
      <c r="K177" s="58">
        <f t="shared" si="161"/>
        <v>12.656255059644939</v>
      </c>
      <c r="L177" s="58">
        <f t="shared" si="161"/>
        <v>10.811273923246276</v>
      </c>
      <c r="M177" s="58">
        <f t="shared" si="161"/>
        <v>21.597059182880926</v>
      </c>
      <c r="N177" s="58">
        <f t="shared" si="161"/>
        <v>1.7665180387130164</v>
      </c>
      <c r="O177" s="58">
        <f t="shared" si="161"/>
        <v>14.702909159903097</v>
      </c>
      <c r="P177" s="58">
        <f t="shared" si="161"/>
        <v>22.948440558833155</v>
      </c>
      <c r="Q177" s="58">
        <f t="shared" si="161"/>
        <v>12.808776293559561</v>
      </c>
      <c r="R177" s="59">
        <f t="shared" si="161"/>
        <v>40.028624359887573</v>
      </c>
      <c r="S177" s="59">
        <f t="shared" si="161"/>
        <v>44.188387928727636</v>
      </c>
      <c r="T177" s="59">
        <f t="shared" si="161"/>
        <v>-69.589999999999975</v>
      </c>
      <c r="U177" s="59">
        <f t="shared" si="161"/>
        <v>25.733000000000004</v>
      </c>
      <c r="V177" s="59">
        <f t="shared" si="161"/>
        <v>44.486000000000047</v>
      </c>
      <c r="W177" s="59">
        <f t="shared" ref="W177:BH183" si="164">W192+W97+W113+W145-W161-W193</f>
        <v>-32.655000000000058</v>
      </c>
      <c r="X177" s="59">
        <f t="shared" si="164"/>
        <v>51.459000000000032</v>
      </c>
      <c r="Y177" s="59">
        <f t="shared" si="164"/>
        <v>-60.153999999999996</v>
      </c>
      <c r="Z177" s="59">
        <f t="shared" si="164"/>
        <v>-142.60600000000008</v>
      </c>
      <c r="AA177" s="59">
        <f t="shared" si="164"/>
        <v>-214.52299999999997</v>
      </c>
      <c r="AB177" s="59">
        <f t="shared" si="164"/>
        <v>9.8729999999998768</v>
      </c>
      <c r="AC177" s="59">
        <f t="shared" si="164"/>
        <v>-84.974000000000103</v>
      </c>
      <c r="AD177" s="59">
        <f t="shared" si="164"/>
        <v>203.81599999999997</v>
      </c>
      <c r="AE177" s="59">
        <f t="shared" si="164"/>
        <v>44.925000000000068</v>
      </c>
      <c r="AF177" s="59">
        <f t="shared" si="164"/>
        <v>660.92499999999984</v>
      </c>
      <c r="AG177" s="59">
        <f t="shared" si="164"/>
        <v>-143.49300000000017</v>
      </c>
      <c r="AH177" s="59">
        <f t="shared" si="164"/>
        <v>260.40999999999991</v>
      </c>
      <c r="AI177" s="59">
        <f t="shared" si="164"/>
        <v>140.57199999999995</v>
      </c>
      <c r="AJ177" s="59">
        <f t="shared" si="164"/>
        <v>475.85099999999966</v>
      </c>
      <c r="AK177" s="59">
        <f t="shared" si="164"/>
        <v>-156.5630000000001</v>
      </c>
      <c r="AL177" s="59">
        <f t="shared" si="164"/>
        <v>-159.94199999999978</v>
      </c>
      <c r="AM177" s="59">
        <f t="shared" si="164"/>
        <v>11.540000000000077</v>
      </c>
      <c r="AN177" s="59">
        <f t="shared" si="164"/>
        <v>95.664000000000101</v>
      </c>
      <c r="AO177" s="59">
        <f t="shared" si="164"/>
        <v>368.9799999999999</v>
      </c>
      <c r="AP177" s="59">
        <f t="shared" si="164"/>
        <v>-192.42300000000034</v>
      </c>
      <c r="AQ177" s="59">
        <f t="shared" si="164"/>
        <v>319.45999999999981</v>
      </c>
      <c r="AR177" s="59">
        <f t="shared" si="164"/>
        <v>-21.279999999999745</v>
      </c>
      <c r="AS177" s="59">
        <f t="shared" si="164"/>
        <v>207.15199999999936</v>
      </c>
      <c r="AT177" s="59">
        <f t="shared" si="164"/>
        <v>209.49699999999984</v>
      </c>
      <c r="AU177" s="59">
        <f t="shared" si="164"/>
        <v>-883.03099999999961</v>
      </c>
      <c r="AV177" s="59">
        <f t="shared" si="164"/>
        <v>1225.239</v>
      </c>
      <c r="AW177" s="59">
        <f t="shared" si="164"/>
        <v>13.17899999999986</v>
      </c>
      <c r="AX177" s="59">
        <f t="shared" si="164"/>
        <v>-548.76699999999994</v>
      </c>
      <c r="AY177" s="59">
        <f t="shared" si="164"/>
        <v>422.04600000000062</v>
      </c>
      <c r="AZ177" s="59">
        <f t="shared" si="164"/>
        <v>-313.83800000000065</v>
      </c>
      <c r="BA177" s="59">
        <f t="shared" si="164"/>
        <v>552.60500000000002</v>
      </c>
      <c r="BB177" s="59">
        <f t="shared" si="164"/>
        <v>-429.18100000000027</v>
      </c>
      <c r="BC177" s="59">
        <f t="shared" si="164"/>
        <v>136.39999999999986</v>
      </c>
      <c r="BD177" s="59">
        <f t="shared" si="164"/>
        <v>-223.82186199999956</v>
      </c>
      <c r="BE177" s="59">
        <f t="shared" si="164"/>
        <v>571.08505300000002</v>
      </c>
      <c r="BF177" s="59">
        <f t="shared" si="164"/>
        <v>183.81499999999949</v>
      </c>
      <c r="BG177" s="59">
        <f t="shared" si="164"/>
        <v>739.08600000000024</v>
      </c>
      <c r="BH177" s="59">
        <f t="shared" si="164"/>
        <v>-743.01199999999949</v>
      </c>
      <c r="BI177" s="59">
        <f>BI192+BI97+BI113+BI145-BI162-BI193</f>
        <v>-209.4349999999996</v>
      </c>
      <c r="BJ177" s="58">
        <f t="shared" si="158"/>
        <v>30.136797490581085</v>
      </c>
      <c r="BK177" s="58">
        <f t="shared" si="159"/>
        <v>68.128586036401614</v>
      </c>
      <c r="BL177" s="58">
        <f t="shared" si="160"/>
        <v>21.260147629836279</v>
      </c>
      <c r="BM177" s="58">
        <f t="shared" si="160"/>
        <v>110.62295038350032</v>
      </c>
      <c r="BN177" s="58">
        <f t="shared" si="160"/>
        <v>92.43822165511861</v>
      </c>
      <c r="BO177" s="58">
        <f t="shared" si="160"/>
        <v>119.19850931144592</v>
      </c>
      <c r="BP177" s="58">
        <f t="shared" ref="BP177:BU177" si="165">BP$184*(SUM(BF177:BO177)/SUM(BF$184:BO$184))</f>
        <v>59.421486072248264</v>
      </c>
      <c r="BQ177" s="58">
        <f t="shared" si="165"/>
        <v>35.715351262350907</v>
      </c>
      <c r="BR177" s="58">
        <f t="shared" si="165"/>
        <v>-52.867184807127245</v>
      </c>
      <c r="BS177" s="58" t="e">
        <f t="shared" si="165"/>
        <v>#DIV/0!</v>
      </c>
      <c r="BT177" s="58" t="e">
        <f t="shared" si="165"/>
        <v>#DIV/0!</v>
      </c>
      <c r="BU177" s="58" t="e">
        <f t="shared" si="165"/>
        <v>#DIV/0!</v>
      </c>
    </row>
    <row r="178" spans="1:73" s="56" customFormat="1" ht="14.25">
      <c r="A178" s="4" t="s">
        <v>107</v>
      </c>
      <c r="C178" s="58">
        <f t="shared" ref="C178:AH183" si="166">C193+C98+C114+C146-C162-C194</f>
        <v>0.55991023921717331</v>
      </c>
      <c r="D178" s="58">
        <f t="shared" si="166"/>
        <v>0.4482638950999126</v>
      </c>
      <c r="E178" s="58">
        <f t="shared" si="166"/>
        <v>0.80091106618004559</v>
      </c>
      <c r="F178" s="58">
        <f t="shared" si="166"/>
        <v>1.9561295422935139</v>
      </c>
      <c r="G178" s="58">
        <f t="shared" si="166"/>
        <v>1.3447612190037681</v>
      </c>
      <c r="H178" s="58">
        <f t="shared" si="166"/>
        <v>1.7946609799201927</v>
      </c>
      <c r="I178" s="58">
        <f t="shared" si="166"/>
        <v>3.7346146638955684</v>
      </c>
      <c r="J178" s="58">
        <f t="shared" si="166"/>
        <v>4.6309860604427495</v>
      </c>
      <c r="K178" s="58">
        <f t="shared" si="166"/>
        <v>15.972732731886286</v>
      </c>
      <c r="L178" s="58">
        <f t="shared" si="166"/>
        <v>33.147696492037312</v>
      </c>
      <c r="M178" s="58">
        <f t="shared" si="166"/>
        <v>30.675553072197154</v>
      </c>
      <c r="N178" s="58">
        <f t="shared" si="166"/>
        <v>2.3914110618949138</v>
      </c>
      <c r="O178" s="58">
        <f t="shared" si="166"/>
        <v>23.633473092803129</v>
      </c>
      <c r="P178" s="58">
        <f t="shared" si="166"/>
        <v>18.39742663629934</v>
      </c>
      <c r="Q178" s="58">
        <f t="shared" si="166"/>
        <v>39.284394597811549</v>
      </c>
      <c r="R178" s="59">
        <f t="shared" si="166"/>
        <v>38.442633374613735</v>
      </c>
      <c r="S178" s="59">
        <f t="shared" si="166"/>
        <v>80.273046244139351</v>
      </c>
      <c r="T178" s="59">
        <f t="shared" si="166"/>
        <v>69.457999999999998</v>
      </c>
      <c r="U178" s="59">
        <f t="shared" si="166"/>
        <v>-27.550999999999959</v>
      </c>
      <c r="V178" s="59">
        <f t="shared" si="166"/>
        <v>61.454000000000065</v>
      </c>
      <c r="W178" s="59">
        <f t="shared" si="166"/>
        <v>91.902999999999935</v>
      </c>
      <c r="X178" s="59">
        <f t="shared" si="166"/>
        <v>-89.837000000000046</v>
      </c>
      <c r="Y178" s="59">
        <f t="shared" si="166"/>
        <v>-82.723000000000013</v>
      </c>
      <c r="Z178" s="59">
        <f t="shared" si="166"/>
        <v>-131.8119999999999</v>
      </c>
      <c r="AA178" s="59">
        <f t="shared" si="166"/>
        <v>-93.019000000000005</v>
      </c>
      <c r="AB178" s="59">
        <f t="shared" si="166"/>
        <v>216.4729999999999</v>
      </c>
      <c r="AC178" s="59">
        <f t="shared" si="166"/>
        <v>19.025000000000205</v>
      </c>
      <c r="AD178" s="59">
        <f t="shared" si="166"/>
        <v>197.20600000000007</v>
      </c>
      <c r="AE178" s="59">
        <f t="shared" si="166"/>
        <v>194.048</v>
      </c>
      <c r="AF178" s="59">
        <f t="shared" si="166"/>
        <v>657.3040000000002</v>
      </c>
      <c r="AG178" s="59">
        <f t="shared" si="166"/>
        <v>392.86899999999986</v>
      </c>
      <c r="AH178" s="59">
        <f t="shared" si="166"/>
        <v>297.22899999999998</v>
      </c>
      <c r="AI178" s="59">
        <f t="shared" si="164"/>
        <v>-97.092999999999961</v>
      </c>
      <c r="AJ178" s="59">
        <f t="shared" si="164"/>
        <v>416.03400000000005</v>
      </c>
      <c r="AK178" s="59">
        <f t="shared" si="164"/>
        <v>252.54999999999984</v>
      </c>
      <c r="AL178" s="59">
        <f t="shared" si="164"/>
        <v>166.43500000000006</v>
      </c>
      <c r="AM178" s="59">
        <f t="shared" si="164"/>
        <v>113.87200000000013</v>
      </c>
      <c r="AN178" s="59">
        <f t="shared" si="164"/>
        <v>636.21699999999964</v>
      </c>
      <c r="AO178" s="59">
        <f t="shared" si="164"/>
        <v>77.725000000000023</v>
      </c>
      <c r="AP178" s="59">
        <f t="shared" si="164"/>
        <v>-185.64500000000021</v>
      </c>
      <c r="AQ178" s="59">
        <f t="shared" si="164"/>
        <v>447.75899999999956</v>
      </c>
      <c r="AR178" s="59">
        <f t="shared" si="164"/>
        <v>104.95629999999971</v>
      </c>
      <c r="AS178" s="59">
        <f t="shared" si="164"/>
        <v>1095.6319999999998</v>
      </c>
      <c r="AT178" s="59">
        <f t="shared" si="164"/>
        <v>317.51400000000035</v>
      </c>
      <c r="AU178" s="59">
        <f t="shared" si="164"/>
        <v>-325.87099999999964</v>
      </c>
      <c r="AV178" s="59">
        <f t="shared" si="164"/>
        <v>1154.5750000000003</v>
      </c>
      <c r="AW178" s="59">
        <f t="shared" si="164"/>
        <v>145.65300000000104</v>
      </c>
      <c r="AX178" s="59">
        <f t="shared" si="164"/>
        <v>-547.99600000000009</v>
      </c>
      <c r="AY178" s="59">
        <f t="shared" si="164"/>
        <v>368.72400000000016</v>
      </c>
      <c r="AZ178" s="59">
        <f t="shared" si="164"/>
        <v>-93.478000000000293</v>
      </c>
      <c r="BA178" s="59">
        <f t="shared" si="164"/>
        <v>651.10299999999972</v>
      </c>
      <c r="BB178" s="59">
        <f t="shared" si="164"/>
        <v>-250.66900000000032</v>
      </c>
      <c r="BC178" s="59">
        <f t="shared" si="164"/>
        <v>345.63499999999954</v>
      </c>
      <c r="BD178" s="59">
        <f t="shared" si="164"/>
        <v>56.453369000000293</v>
      </c>
      <c r="BE178" s="59">
        <f t="shared" si="164"/>
        <v>606.91408700000034</v>
      </c>
      <c r="BF178" s="59">
        <f t="shared" si="164"/>
        <v>-355.3929999999998</v>
      </c>
      <c r="BG178" s="59">
        <f t="shared" si="164"/>
        <v>74.179999999999723</v>
      </c>
      <c r="BH178" s="59">
        <f t="shared" si="164"/>
        <v>-114.81200000000024</v>
      </c>
      <c r="BI178" s="59">
        <f>BI193+BI98+BI114+BI146-BI163-BI194</f>
        <v>-989.68999999999971</v>
      </c>
      <c r="BJ178" s="58">
        <f t="shared" si="158"/>
        <v>-7.9719886293330093</v>
      </c>
      <c r="BK178" s="58">
        <f t="shared" si="159"/>
        <v>1.765719613203611</v>
      </c>
      <c r="BL178" s="58">
        <f t="shared" si="160"/>
        <v>-109.33440171446679</v>
      </c>
      <c r="BM178" s="58">
        <f t="shared" si="160"/>
        <v>-94.927558297121976</v>
      </c>
      <c r="BN178" s="58">
        <f t="shared" si="160"/>
        <v>-157.38863650775821</v>
      </c>
      <c r="BO178" s="58">
        <f t="shared" si="160"/>
        <v>-158.1713042480938</v>
      </c>
      <c r="BP178" s="58">
        <f t="shared" ref="BP178:BU178" si="167">BP$184*(SUM(BF178:BO178)/SUM(BF$184:BO$184))</f>
        <v>-275.56480967979985</v>
      </c>
      <c r="BQ178" s="58">
        <f t="shared" si="167"/>
        <v>-227.30055476687829</v>
      </c>
      <c r="BR178" s="58">
        <f t="shared" si="167"/>
        <v>-271.43163348392017</v>
      </c>
      <c r="BS178" s="58" t="e">
        <f t="shared" si="167"/>
        <v>#DIV/0!</v>
      </c>
      <c r="BT178" s="58" t="e">
        <f t="shared" si="167"/>
        <v>#DIV/0!</v>
      </c>
      <c r="BU178" s="58" t="e">
        <f t="shared" si="167"/>
        <v>#DIV/0!</v>
      </c>
    </row>
    <row r="179" spans="1:73" s="56" customFormat="1" ht="14.25">
      <c r="A179" s="4" t="s">
        <v>108</v>
      </c>
      <c r="C179" s="58">
        <f t="shared" si="166"/>
        <v>0.50834906667383251</v>
      </c>
      <c r="D179" s="58">
        <f t="shared" si="166"/>
        <v>0.40716913407675015</v>
      </c>
      <c r="E179" s="58">
        <f t="shared" si="166"/>
        <v>0.21029884818590894</v>
      </c>
      <c r="F179" s="58">
        <f t="shared" si="166"/>
        <v>0.2261501391276024</v>
      </c>
      <c r="G179" s="58">
        <f t="shared" si="166"/>
        <v>1.2214629438272584</v>
      </c>
      <c r="H179" s="58">
        <f t="shared" si="166"/>
        <v>1.6310192398282406</v>
      </c>
      <c r="I179" s="58">
        <f t="shared" si="166"/>
        <v>2.3598154659919892</v>
      </c>
      <c r="J179" s="58">
        <f t="shared" si="166"/>
        <v>3.1739255143434644</v>
      </c>
      <c r="K179" s="58">
        <f t="shared" si="166"/>
        <v>13.807252524831183</v>
      </c>
      <c r="L179" s="58">
        <f t="shared" si="166"/>
        <v>14.88120298285962</v>
      </c>
      <c r="M179" s="58">
        <f t="shared" si="166"/>
        <v>22.594382831113258</v>
      </c>
      <c r="N179" s="58">
        <f t="shared" si="166"/>
        <v>20.704838728652675</v>
      </c>
      <c r="O179" s="58">
        <f t="shared" si="166"/>
        <v>14.115684996777762</v>
      </c>
      <c r="P179" s="58">
        <f t="shared" si="166"/>
        <v>23.615462798222374</v>
      </c>
      <c r="Q179" s="58">
        <f t="shared" si="166"/>
        <v>26.590041159981393</v>
      </c>
      <c r="R179" s="59">
        <f t="shared" si="166"/>
        <v>35.373115891594942</v>
      </c>
      <c r="S179" s="59">
        <f t="shared" si="166"/>
        <v>2.535676815888678</v>
      </c>
      <c r="T179" s="59">
        <f t="shared" si="166"/>
        <v>129.84800000000001</v>
      </c>
      <c r="U179" s="59">
        <f t="shared" si="166"/>
        <v>43.745000000000005</v>
      </c>
      <c r="V179" s="59">
        <f t="shared" si="166"/>
        <v>157.18599999999998</v>
      </c>
      <c r="W179" s="59">
        <f t="shared" si="166"/>
        <v>-20.72300000000007</v>
      </c>
      <c r="X179" s="59">
        <f t="shared" si="166"/>
        <v>-222.95800000000003</v>
      </c>
      <c r="Y179" s="59">
        <f t="shared" si="166"/>
        <v>62.572999999999979</v>
      </c>
      <c r="Z179" s="59">
        <f t="shared" si="166"/>
        <v>-154.18299999999999</v>
      </c>
      <c r="AA179" s="59">
        <f t="shared" si="166"/>
        <v>23.47100000000006</v>
      </c>
      <c r="AB179" s="59">
        <f t="shared" si="166"/>
        <v>-54.483999999999867</v>
      </c>
      <c r="AC179" s="59">
        <f t="shared" si="166"/>
        <v>30.25</v>
      </c>
      <c r="AD179" s="59">
        <f t="shared" si="166"/>
        <v>-89.425999999999931</v>
      </c>
      <c r="AE179" s="59">
        <f t="shared" si="166"/>
        <v>102.13999999999987</v>
      </c>
      <c r="AF179" s="59">
        <f t="shared" si="166"/>
        <v>139.83099999999979</v>
      </c>
      <c r="AG179" s="59">
        <f t="shared" si="166"/>
        <v>27.408999999999764</v>
      </c>
      <c r="AH179" s="59">
        <f t="shared" si="166"/>
        <v>-27.135000000000048</v>
      </c>
      <c r="AI179" s="59">
        <f t="shared" si="164"/>
        <v>-447.20799999999986</v>
      </c>
      <c r="AJ179" s="59">
        <f t="shared" si="164"/>
        <v>137.9620000000001</v>
      </c>
      <c r="AK179" s="59">
        <f t="shared" si="164"/>
        <v>-254.79499999999973</v>
      </c>
      <c r="AL179" s="59">
        <f t="shared" si="164"/>
        <v>7.0219999999998208</v>
      </c>
      <c r="AM179" s="59">
        <f t="shared" si="164"/>
        <v>552.32099999999991</v>
      </c>
      <c r="AN179" s="59">
        <f t="shared" si="164"/>
        <v>-53.335000000000036</v>
      </c>
      <c r="AO179" s="59">
        <f t="shared" si="164"/>
        <v>-244.8289999999995</v>
      </c>
      <c r="AP179" s="59">
        <f t="shared" si="164"/>
        <v>-382.03899999999965</v>
      </c>
      <c r="AQ179" s="59">
        <f t="shared" si="164"/>
        <v>433.37699999999984</v>
      </c>
      <c r="AR179" s="59">
        <f t="shared" si="164"/>
        <v>157.66999999999985</v>
      </c>
      <c r="AS179" s="59">
        <f t="shared" si="164"/>
        <v>790.37100000000055</v>
      </c>
      <c r="AT179" s="59">
        <f t="shared" si="164"/>
        <v>-1068.6390000000006</v>
      </c>
      <c r="AU179" s="59">
        <f t="shared" si="164"/>
        <v>-753.61400000000003</v>
      </c>
      <c r="AV179" s="59">
        <f t="shared" si="164"/>
        <v>429.48899999999969</v>
      </c>
      <c r="AW179" s="59">
        <f t="shared" si="164"/>
        <v>-562.01200000000017</v>
      </c>
      <c r="AX179" s="59">
        <f t="shared" si="164"/>
        <v>-688.84799999999973</v>
      </c>
      <c r="AY179" s="59">
        <f t="shared" si="164"/>
        <v>73.526000000000295</v>
      </c>
      <c r="AZ179" s="59">
        <f t="shared" si="164"/>
        <v>532.03199999999958</v>
      </c>
      <c r="BA179" s="59">
        <f t="shared" si="164"/>
        <v>-167.2360000000001</v>
      </c>
      <c r="BB179" s="59">
        <f t="shared" si="164"/>
        <v>112.41800000000012</v>
      </c>
      <c r="BC179" s="59">
        <f t="shared" si="164"/>
        <v>246.37100000000009</v>
      </c>
      <c r="BD179" s="59">
        <f t="shared" si="164"/>
        <v>-243.89778500000011</v>
      </c>
      <c r="BE179" s="59">
        <f t="shared" si="164"/>
        <v>183.40957699999967</v>
      </c>
      <c r="BF179" s="59">
        <f t="shared" si="164"/>
        <v>-665.10300000000029</v>
      </c>
      <c r="BG179" s="59">
        <f t="shared" si="164"/>
        <v>168.51399999999978</v>
      </c>
      <c r="BH179" s="59">
        <f t="shared" si="164"/>
        <v>362.51899999999978</v>
      </c>
      <c r="BI179" s="58">
        <f>BI$184*(SUM(AY179:BH179)/SUM(AY$184:BH$184))</f>
        <v>85.974093250862737</v>
      </c>
      <c r="BJ179" s="58">
        <f t="shared" si="158"/>
        <v>70.284159494047586</v>
      </c>
      <c r="BK179" s="58">
        <f t="shared" si="159"/>
        <v>17.181654497932954</v>
      </c>
      <c r="BL179" s="58">
        <f t="shared" si="160"/>
        <v>58.269782214516709</v>
      </c>
      <c r="BM179" s="58">
        <f t="shared" si="160"/>
        <v>54.675309539253824</v>
      </c>
      <c r="BN179" s="58">
        <f t="shared" si="160"/>
        <v>15.49340593044443</v>
      </c>
      <c r="BO179" s="58">
        <f t="shared" si="160"/>
        <v>48.447415887012482</v>
      </c>
      <c r="BP179" s="58">
        <f t="shared" ref="BP179:BU182" si="168">BP$184*(SUM(BF179:BO179)/SUM(BF$184:BO$184))</f>
        <v>31.171809606373323</v>
      </c>
      <c r="BQ179" s="58">
        <f t="shared" si="168"/>
        <v>113.22507914482797</v>
      </c>
      <c r="BR179" s="58">
        <f t="shared" si="168"/>
        <v>109.06675006320586</v>
      </c>
      <c r="BS179" s="58" t="e">
        <f t="shared" si="168"/>
        <v>#DIV/0!</v>
      </c>
      <c r="BT179" s="58" t="e">
        <f t="shared" si="168"/>
        <v>#DIV/0!</v>
      </c>
      <c r="BU179" s="58" t="e">
        <f t="shared" si="168"/>
        <v>#DIV/0!</v>
      </c>
    </row>
    <row r="180" spans="1:73" s="56" customFormat="1" ht="14.25">
      <c r="A180" s="4" t="s">
        <v>109</v>
      </c>
      <c r="C180" s="58">
        <f t="shared" si="166"/>
        <v>0.45842092766659098</v>
      </c>
      <c r="D180" s="58">
        <f t="shared" si="166"/>
        <v>0.36695684327480249</v>
      </c>
      <c r="E180" s="58">
        <f t="shared" si="166"/>
        <v>0.8618769646829918</v>
      </c>
      <c r="F180" s="58">
        <f t="shared" si="166"/>
        <v>2.2197625715093601</v>
      </c>
      <c r="G180" s="58">
        <f t="shared" si="166"/>
        <v>1.1008505548703087</v>
      </c>
      <c r="H180" s="58">
        <f t="shared" si="166"/>
        <v>1.4688799389170215</v>
      </c>
      <c r="I180" s="58">
        <f t="shared" si="166"/>
        <v>3.4691192681215339</v>
      </c>
      <c r="J180" s="58">
        <f t="shared" si="166"/>
        <v>4.2029304165734329</v>
      </c>
      <c r="K180" s="58">
        <f t="shared" si="166"/>
        <v>12.739841223449133</v>
      </c>
      <c r="L180" s="58">
        <f t="shared" si="166"/>
        <v>32.680385538292185</v>
      </c>
      <c r="M180" s="58">
        <f t="shared" si="166"/>
        <v>9.8873458265228642</v>
      </c>
      <c r="N180" s="58">
        <f t="shared" si="166"/>
        <v>1.6611112501579868</v>
      </c>
      <c r="O180" s="58">
        <f t="shared" si="166"/>
        <v>7.8285478653793419</v>
      </c>
      <c r="P180" s="58">
        <f t="shared" si="166"/>
        <v>-2.4562525979658894</v>
      </c>
      <c r="Q180" s="58">
        <f t="shared" si="166"/>
        <v>15.249919432355439</v>
      </c>
      <c r="R180" s="59">
        <f t="shared" si="166"/>
        <v>-36.205379585120589</v>
      </c>
      <c r="S180" s="59">
        <f t="shared" si="166"/>
        <v>-56.311533497227117</v>
      </c>
      <c r="T180" s="59">
        <f t="shared" si="166"/>
        <v>56.868999999999971</v>
      </c>
      <c r="U180" s="59">
        <f t="shared" si="166"/>
        <v>29.45999999999998</v>
      </c>
      <c r="V180" s="59">
        <f t="shared" si="166"/>
        <v>-159.53499999999994</v>
      </c>
      <c r="W180" s="59">
        <f t="shared" si="166"/>
        <v>-178.82900000000006</v>
      </c>
      <c r="X180" s="59">
        <f t="shared" si="166"/>
        <v>-1.2659999999999911</v>
      </c>
      <c r="Y180" s="59">
        <f t="shared" si="166"/>
        <v>-53.618000000000023</v>
      </c>
      <c r="Z180" s="59">
        <f t="shared" si="166"/>
        <v>-51.689999999999941</v>
      </c>
      <c r="AA180" s="59">
        <f t="shared" si="166"/>
        <v>-15.247999999999934</v>
      </c>
      <c r="AB180" s="59">
        <f t="shared" si="166"/>
        <v>-166.12700000000007</v>
      </c>
      <c r="AC180" s="59">
        <f t="shared" si="166"/>
        <v>20.39899999999983</v>
      </c>
      <c r="AD180" s="59">
        <f t="shared" si="166"/>
        <v>-59.163000000000011</v>
      </c>
      <c r="AE180" s="59">
        <f t="shared" si="166"/>
        <v>560.43100000000004</v>
      </c>
      <c r="AF180" s="59">
        <f t="shared" si="166"/>
        <v>121.93599999999986</v>
      </c>
      <c r="AG180" s="59">
        <f t="shared" si="166"/>
        <v>91.163000000000181</v>
      </c>
      <c r="AH180" s="59">
        <f t="shared" si="166"/>
        <v>-60.388000000000034</v>
      </c>
      <c r="AI180" s="59">
        <f t="shared" si="164"/>
        <v>-261.721</v>
      </c>
      <c r="AJ180" s="59">
        <f t="shared" si="164"/>
        <v>753.86400000000015</v>
      </c>
      <c r="AK180" s="59">
        <f t="shared" si="164"/>
        <v>18.125000000000227</v>
      </c>
      <c r="AL180" s="59">
        <f t="shared" si="164"/>
        <v>-147.05000000000013</v>
      </c>
      <c r="AM180" s="59">
        <f t="shared" si="164"/>
        <v>4.8779999999999291</v>
      </c>
      <c r="AN180" s="59">
        <f t="shared" si="164"/>
        <v>-454.42499999999995</v>
      </c>
      <c r="AO180" s="59">
        <f t="shared" si="164"/>
        <v>115.85100000000034</v>
      </c>
      <c r="AP180" s="59">
        <f t="shared" si="164"/>
        <v>204.21400000000017</v>
      </c>
      <c r="AQ180" s="59">
        <f t="shared" si="164"/>
        <v>469.06400000000008</v>
      </c>
      <c r="AR180" s="59">
        <f t="shared" si="164"/>
        <v>500.9530000000002</v>
      </c>
      <c r="AS180" s="59">
        <f t="shared" si="164"/>
        <v>532.06299999999987</v>
      </c>
      <c r="AT180" s="59">
        <f t="shared" si="164"/>
        <v>-951.27800000000002</v>
      </c>
      <c r="AU180" s="59">
        <f t="shared" si="164"/>
        <v>-103.06499999999983</v>
      </c>
      <c r="AV180" s="59">
        <f t="shared" si="164"/>
        <v>430.279</v>
      </c>
      <c r="AW180" s="59">
        <f t="shared" si="164"/>
        <v>71.443999999999846</v>
      </c>
      <c r="AX180" s="59">
        <f t="shared" si="164"/>
        <v>-640.57799999999986</v>
      </c>
      <c r="AY180" s="59">
        <f t="shared" si="164"/>
        <v>153.7269999999998</v>
      </c>
      <c r="AZ180" s="59">
        <f t="shared" si="164"/>
        <v>506.00399999999979</v>
      </c>
      <c r="BA180" s="59">
        <f t="shared" si="164"/>
        <v>34.063999999999623</v>
      </c>
      <c r="BB180" s="59">
        <f t="shared" si="164"/>
        <v>420.43200000000002</v>
      </c>
      <c r="BC180" s="59">
        <f t="shared" si="164"/>
        <v>-623.35200000000043</v>
      </c>
      <c r="BD180" s="59">
        <f t="shared" si="164"/>
        <v>-479.79297799999995</v>
      </c>
      <c r="BE180" s="59">
        <f t="shared" si="164"/>
        <v>239.68347999999969</v>
      </c>
      <c r="BF180" s="59">
        <f t="shared" si="164"/>
        <v>-1539.107</v>
      </c>
      <c r="BG180" s="59">
        <f t="shared" si="164"/>
        <v>245.13599999999985</v>
      </c>
      <c r="BH180" s="59">
        <f t="shared" si="164"/>
        <v>142.65699999999987</v>
      </c>
      <c r="BI180" s="58">
        <f>BI$184*(SUM(AY180:BH180)/SUM(AY$184:BH$184))</f>
        <v>-128.49304089520621</v>
      </c>
      <c r="BJ180" s="58">
        <f t="shared" si="158"/>
        <v>-135.17036255702848</v>
      </c>
      <c r="BK180" s="58">
        <f t="shared" si="159"/>
        <v>-204.48766162442379</v>
      </c>
      <c r="BL180" s="58">
        <f t="shared" si="160"/>
        <v>-355.91216317727117</v>
      </c>
      <c r="BM180" s="58">
        <f t="shared" si="160"/>
        <v>-547.45001275427444</v>
      </c>
      <c r="BN180" s="58">
        <f t="shared" si="160"/>
        <v>-466.1744137304288</v>
      </c>
      <c r="BO180" s="58">
        <f t="shared" si="160"/>
        <v>-379.24413860150185</v>
      </c>
      <c r="BP180" s="58">
        <f t="shared" si="168"/>
        <v>-485.5097827296745</v>
      </c>
      <c r="BQ180" s="58">
        <f t="shared" si="168"/>
        <v>-287.19722876284965</v>
      </c>
      <c r="BR180" s="58">
        <f t="shared" si="168"/>
        <v>-362.221120924746</v>
      </c>
      <c r="BS180" s="58" t="e">
        <f t="shared" si="168"/>
        <v>#DIV/0!</v>
      </c>
      <c r="BT180" s="58" t="e">
        <f t="shared" si="168"/>
        <v>#DIV/0!</v>
      </c>
      <c r="BU180" s="58" t="e">
        <f t="shared" si="168"/>
        <v>#DIV/0!</v>
      </c>
    </row>
    <row r="181" spans="1:73" s="56" customFormat="1" ht="14.25">
      <c r="A181" s="4" t="s">
        <v>110</v>
      </c>
      <c r="C181" s="58">
        <f t="shared" si="166"/>
        <v>0.44106651636108274</v>
      </c>
      <c r="D181" s="58">
        <f t="shared" si="166"/>
        <v>0.35315891180090087</v>
      </c>
      <c r="E181" s="58">
        <f t="shared" si="166"/>
        <v>1.2332592371312301</v>
      </c>
      <c r="F181" s="58">
        <f t="shared" si="166"/>
        <v>3.348130647211832</v>
      </c>
      <c r="G181" s="58">
        <f t="shared" si="166"/>
        <v>1.0594489921674859</v>
      </c>
      <c r="H181" s="58">
        <f t="shared" si="166"/>
        <v>1.4140975569992564</v>
      </c>
      <c r="I181" s="58">
        <f t="shared" si="166"/>
        <v>4.1472460185924378</v>
      </c>
      <c r="J181" s="58">
        <f t="shared" si="166"/>
        <v>4.8534214269201268</v>
      </c>
      <c r="K181" s="58">
        <f t="shared" si="166"/>
        <v>13.202615300832726</v>
      </c>
      <c r="L181" s="58">
        <f t="shared" si="166"/>
        <v>43.681521602827871</v>
      </c>
      <c r="M181" s="58">
        <f t="shared" si="166"/>
        <v>10.703398398990451</v>
      </c>
      <c r="N181" s="58">
        <f t="shared" si="166"/>
        <v>20.352554550991336</v>
      </c>
      <c r="O181" s="58">
        <f t="shared" si="166"/>
        <v>15.701802708550797</v>
      </c>
      <c r="P181" s="58">
        <f t="shared" si="166"/>
        <v>11.530472047233992</v>
      </c>
      <c r="Q181" s="58">
        <f t="shared" si="166"/>
        <v>7.8233902209772985</v>
      </c>
      <c r="R181" s="59">
        <f t="shared" si="166"/>
        <v>-4.6967406301784607</v>
      </c>
      <c r="S181" s="59">
        <f t="shared" si="166"/>
        <v>-27.791339351709169</v>
      </c>
      <c r="T181" s="59">
        <f t="shared" si="166"/>
        <v>20.572000000000003</v>
      </c>
      <c r="U181" s="59">
        <f t="shared" si="166"/>
        <v>-36.10499999999999</v>
      </c>
      <c r="V181" s="59">
        <f t="shared" si="166"/>
        <v>-75.874000000000038</v>
      </c>
      <c r="W181" s="59">
        <f t="shared" si="166"/>
        <v>106.62100000000007</v>
      </c>
      <c r="X181" s="59">
        <f t="shared" si="166"/>
        <v>-17.079999999999956</v>
      </c>
      <c r="Y181" s="59">
        <f t="shared" si="166"/>
        <v>-242.12199999999999</v>
      </c>
      <c r="Z181" s="59">
        <f t="shared" si="166"/>
        <v>17.132999999999925</v>
      </c>
      <c r="AA181" s="59">
        <f t="shared" si="166"/>
        <v>-148.24099999999993</v>
      </c>
      <c r="AB181" s="59">
        <f t="shared" si="166"/>
        <v>-155.84899999999999</v>
      </c>
      <c r="AC181" s="59">
        <f t="shared" si="166"/>
        <v>65.106999999999971</v>
      </c>
      <c r="AD181" s="59">
        <f t="shared" si="166"/>
        <v>-138.35500000000002</v>
      </c>
      <c r="AE181" s="59">
        <f t="shared" si="166"/>
        <v>634.84799999999996</v>
      </c>
      <c r="AF181" s="59">
        <f t="shared" si="166"/>
        <v>85.564999999999884</v>
      </c>
      <c r="AG181" s="59">
        <f t="shared" si="166"/>
        <v>227.67500000000013</v>
      </c>
      <c r="AH181" s="59">
        <f t="shared" si="166"/>
        <v>-109.73000000000008</v>
      </c>
      <c r="AI181" s="59">
        <f t="shared" si="164"/>
        <v>-51.50499999999991</v>
      </c>
      <c r="AJ181" s="59">
        <f t="shared" si="164"/>
        <v>561.45299999999986</v>
      </c>
      <c r="AK181" s="59">
        <f t="shared" si="164"/>
        <v>-533.29700000000025</v>
      </c>
      <c r="AL181" s="59">
        <f t="shared" si="164"/>
        <v>-291.46899999999999</v>
      </c>
      <c r="AM181" s="59">
        <f t="shared" si="164"/>
        <v>-38.007999999999925</v>
      </c>
      <c r="AN181" s="59">
        <f t="shared" si="164"/>
        <v>306.72100000000012</v>
      </c>
      <c r="AO181" s="59">
        <f t="shared" si="164"/>
        <v>574.31299999999987</v>
      </c>
      <c r="AP181" s="59">
        <f t="shared" si="164"/>
        <v>-170.21400000000017</v>
      </c>
      <c r="AQ181" s="59">
        <f t="shared" si="164"/>
        <v>170.34944999999971</v>
      </c>
      <c r="AR181" s="59">
        <f t="shared" si="164"/>
        <v>305.07399999999978</v>
      </c>
      <c r="AS181" s="59">
        <f t="shared" si="164"/>
        <v>114.13700000000017</v>
      </c>
      <c r="AT181" s="59">
        <f t="shared" si="164"/>
        <v>-595.70099999999957</v>
      </c>
      <c r="AU181" s="59">
        <f t="shared" si="164"/>
        <v>-423.55799999999982</v>
      </c>
      <c r="AV181" s="59">
        <f t="shared" si="164"/>
        <v>132.88499999999954</v>
      </c>
      <c r="AW181" s="59">
        <f t="shared" si="164"/>
        <v>9.7019999999997708</v>
      </c>
      <c r="AX181" s="59">
        <f t="shared" si="164"/>
        <v>-672.44800000000032</v>
      </c>
      <c r="AY181" s="59">
        <f t="shared" si="164"/>
        <v>215.08299999999986</v>
      </c>
      <c r="AZ181" s="59">
        <f t="shared" si="164"/>
        <v>438.77100000000002</v>
      </c>
      <c r="BA181" s="59">
        <f t="shared" si="164"/>
        <v>1284.998</v>
      </c>
      <c r="BB181" s="59">
        <f t="shared" si="164"/>
        <v>987.77699999999993</v>
      </c>
      <c r="BC181" s="59">
        <f t="shared" si="164"/>
        <v>36.555999999999813</v>
      </c>
      <c r="BD181" s="59">
        <f t="shared" si="164"/>
        <v>504.69677000000013</v>
      </c>
      <c r="BE181" s="59">
        <f t="shared" si="164"/>
        <v>96.281859999999881</v>
      </c>
      <c r="BF181" s="59">
        <f t="shared" si="164"/>
        <v>515.69600000000037</v>
      </c>
      <c r="BG181" s="59">
        <f t="shared" si="164"/>
        <v>1015.9419999999999</v>
      </c>
      <c r="BH181" s="59">
        <f t="shared" si="164"/>
        <v>-629.73900000000003</v>
      </c>
      <c r="BI181" s="58">
        <f>BI$184*(SUM(AY181:BH181)/SUM(AY$184:BH$184))</f>
        <v>637.23160877132591</v>
      </c>
      <c r="BJ181" s="58">
        <f t="shared" si="158"/>
        <v>558.63955091098569</v>
      </c>
      <c r="BK181" s="58">
        <f t="shared" si="159"/>
        <v>561.47071523197587</v>
      </c>
      <c r="BL181" s="58">
        <f t="shared" si="160"/>
        <v>739.35920975029546</v>
      </c>
      <c r="BM181" s="58">
        <f t="shared" si="160"/>
        <v>778.34009399216995</v>
      </c>
      <c r="BN181" s="58">
        <f t="shared" si="160"/>
        <v>806.15074099622245</v>
      </c>
      <c r="BO181" s="58">
        <f t="shared" si="160"/>
        <v>700.65457397943271</v>
      </c>
      <c r="BP181" s="58">
        <f t="shared" si="168"/>
        <v>819.27335741366835</v>
      </c>
      <c r="BQ181" s="58">
        <f t="shared" si="168"/>
        <v>742.89572434733861</v>
      </c>
      <c r="BR181" s="58">
        <f t="shared" si="168"/>
        <v>727.02665780987763</v>
      </c>
      <c r="BS181" s="58" t="e">
        <f t="shared" si="168"/>
        <v>#DIV/0!</v>
      </c>
      <c r="BT181" s="58" t="e">
        <f t="shared" si="168"/>
        <v>#DIV/0!</v>
      </c>
      <c r="BU181" s="58" t="e">
        <f t="shared" si="168"/>
        <v>#DIV/0!</v>
      </c>
    </row>
    <row r="182" spans="1:73" s="56" customFormat="1" ht="14.25">
      <c r="A182" s="4" t="s">
        <v>111</v>
      </c>
      <c r="C182" s="58">
        <f t="shared" si="166"/>
        <v>0.36684536626418829</v>
      </c>
      <c r="D182" s="58">
        <f t="shared" si="166"/>
        <v>0.29363469438124734</v>
      </c>
      <c r="E182" s="58">
        <f t="shared" si="166"/>
        <v>0.88002898019938902</v>
      </c>
      <c r="F182" s="58">
        <f t="shared" si="166"/>
        <v>2.3472356277769446</v>
      </c>
      <c r="G182" s="58">
        <f t="shared" si="166"/>
        <v>0.88088970766131203</v>
      </c>
      <c r="H182" s="58">
        <f t="shared" si="166"/>
        <v>1.1752962832166407</v>
      </c>
      <c r="I182" s="58">
        <f t="shared" si="166"/>
        <v>3.1564926453580866</v>
      </c>
      <c r="J182" s="58">
        <f t="shared" si="166"/>
        <v>3.7436882399774407</v>
      </c>
      <c r="K182" s="58">
        <f t="shared" si="166"/>
        <v>11.204717668068284</v>
      </c>
      <c r="L182" s="58">
        <f t="shared" si="166"/>
        <v>32.400942603394171</v>
      </c>
      <c r="M182" s="58">
        <f t="shared" si="166"/>
        <v>25.476226499178843</v>
      </c>
      <c r="N182" s="58">
        <f t="shared" si="166"/>
        <v>11.580491302564738</v>
      </c>
      <c r="O182" s="58">
        <f t="shared" si="166"/>
        <v>15.029133119661388</v>
      </c>
      <c r="P182" s="58">
        <f t="shared" si="166"/>
        <v>37.870094708068841</v>
      </c>
      <c r="Q182" s="58">
        <f t="shared" si="166"/>
        <v>7.639774936288557</v>
      </c>
      <c r="R182" s="59">
        <f t="shared" si="166"/>
        <v>-8.5906675627946143</v>
      </c>
      <c r="S182" s="59">
        <f t="shared" si="166"/>
        <v>11.426676814125429</v>
      </c>
      <c r="T182" s="59">
        <f t="shared" si="166"/>
        <v>56.594000000000008</v>
      </c>
      <c r="U182" s="59">
        <f t="shared" si="166"/>
        <v>6.2920000000000016</v>
      </c>
      <c r="V182" s="59">
        <f t="shared" si="166"/>
        <v>58.153000000000006</v>
      </c>
      <c r="W182" s="59">
        <f t="shared" si="166"/>
        <v>155.44200000000001</v>
      </c>
      <c r="X182" s="59">
        <f t="shared" si="166"/>
        <v>-74.785999999999987</v>
      </c>
      <c r="Y182" s="59">
        <f t="shared" si="166"/>
        <v>-196.34800000000001</v>
      </c>
      <c r="Z182" s="59">
        <f t="shared" si="166"/>
        <v>0.54899999999992133</v>
      </c>
      <c r="AA182" s="59">
        <f t="shared" si="166"/>
        <v>217.79600000000005</v>
      </c>
      <c r="AB182" s="59">
        <f t="shared" si="166"/>
        <v>-203.84599999999995</v>
      </c>
      <c r="AC182" s="59">
        <f t="shared" si="166"/>
        <v>-206.92399999999998</v>
      </c>
      <c r="AD182" s="59">
        <f t="shared" si="166"/>
        <v>-208.88499999999993</v>
      </c>
      <c r="AE182" s="59">
        <f t="shared" si="166"/>
        <v>557.93399999999997</v>
      </c>
      <c r="AF182" s="59">
        <f t="shared" si="166"/>
        <v>7.8700000000001467</v>
      </c>
      <c r="AG182" s="59">
        <f t="shared" si="166"/>
        <v>-35.217999999999989</v>
      </c>
      <c r="AH182" s="59">
        <f t="shared" si="166"/>
        <v>-449.923</v>
      </c>
      <c r="AI182" s="59">
        <f t="shared" si="164"/>
        <v>-294.59199999999987</v>
      </c>
      <c r="AJ182" s="59">
        <f t="shared" si="164"/>
        <v>192.51300000000003</v>
      </c>
      <c r="AK182" s="59">
        <f t="shared" si="164"/>
        <v>-157.71199999999999</v>
      </c>
      <c r="AL182" s="59">
        <f t="shared" si="164"/>
        <v>-353.08699999999993</v>
      </c>
      <c r="AM182" s="59">
        <f t="shared" si="164"/>
        <v>92.517999999999745</v>
      </c>
      <c r="AN182" s="59">
        <f t="shared" si="164"/>
        <v>41.114000000000061</v>
      </c>
      <c r="AO182" s="59">
        <f t="shared" si="164"/>
        <v>-367.24099999999999</v>
      </c>
      <c r="AP182" s="59">
        <f t="shared" si="164"/>
        <v>-121.05699999999996</v>
      </c>
      <c r="AQ182" s="59">
        <f t="shared" si="164"/>
        <v>238.29000000000019</v>
      </c>
      <c r="AR182" s="59">
        <f t="shared" si="164"/>
        <v>-427.88899999999995</v>
      </c>
      <c r="AS182" s="59">
        <f t="shared" si="164"/>
        <v>29.10399999999936</v>
      </c>
      <c r="AT182" s="59">
        <f t="shared" si="164"/>
        <v>-630.7290000000005</v>
      </c>
      <c r="AU182" s="59">
        <f t="shared" si="164"/>
        <v>-597.0630000000001</v>
      </c>
      <c r="AV182" s="59">
        <f t="shared" si="164"/>
        <v>598.65899999999965</v>
      </c>
      <c r="AW182" s="59">
        <f t="shared" si="164"/>
        <v>563.54200000000037</v>
      </c>
      <c r="AX182" s="59">
        <f t="shared" si="164"/>
        <v>-291.77199999999999</v>
      </c>
      <c r="AY182" s="59">
        <f t="shared" si="164"/>
        <v>181.03999999999996</v>
      </c>
      <c r="AZ182" s="59">
        <f t="shared" si="164"/>
        <v>319.0619999999999</v>
      </c>
      <c r="BA182" s="59">
        <f t="shared" si="164"/>
        <v>1093.326</v>
      </c>
      <c r="BB182" s="59">
        <f t="shared" si="164"/>
        <v>-627.46100000000047</v>
      </c>
      <c r="BC182" s="59">
        <f t="shared" si="164"/>
        <v>-772.24567999999988</v>
      </c>
      <c r="BD182" s="59">
        <f t="shared" si="164"/>
        <v>-259.11429500000008</v>
      </c>
      <c r="BE182" s="59">
        <f t="shared" si="164"/>
        <v>-260.7940000000001</v>
      </c>
      <c r="BF182" s="59">
        <f t="shared" si="164"/>
        <v>358.85299999999995</v>
      </c>
      <c r="BG182" s="59">
        <f t="shared" si="164"/>
        <v>-390.87299999999959</v>
      </c>
      <c r="BH182" s="59">
        <f t="shared" si="164"/>
        <v>-269.06499999999994</v>
      </c>
      <c r="BI182" s="58">
        <f>BI$184*(SUM(AY182:BH182)/SUM(AY$184:BH$184))</f>
        <v>-89.501102622561518</v>
      </c>
      <c r="BJ182" s="58">
        <f t="shared" si="158"/>
        <v>-102.60479140241607</v>
      </c>
      <c r="BK182" s="58">
        <f t="shared" si="159"/>
        <v>-147.93081119073864</v>
      </c>
      <c r="BL182" s="58">
        <f t="shared" si="160"/>
        <v>-441.89077998024504</v>
      </c>
      <c r="BM182" s="58">
        <f t="shared" si="160"/>
        <v>-458.03408869359464</v>
      </c>
      <c r="BN182" s="58">
        <f t="shared" si="160"/>
        <v>-347.73305308262013</v>
      </c>
      <c r="BO182" s="58">
        <f t="shared" si="160"/>
        <v>-296.51467989843258</v>
      </c>
      <c r="BP182" s="58">
        <f t="shared" si="168"/>
        <v>-314.99535046610026</v>
      </c>
      <c r="BQ182" s="58">
        <f t="shared" si="168"/>
        <v>-354.75702718510087</v>
      </c>
      <c r="BR182" s="58">
        <f t="shared" si="168"/>
        <v>-359.17331411538953</v>
      </c>
      <c r="BS182" s="58" t="e">
        <f t="shared" si="168"/>
        <v>#DIV/0!</v>
      </c>
      <c r="BT182" s="58" t="e">
        <f t="shared" si="168"/>
        <v>#DIV/0!</v>
      </c>
      <c r="BU182" s="58" t="e">
        <f t="shared" si="168"/>
        <v>#DIV/0!</v>
      </c>
    </row>
    <row r="183" spans="1:73" s="56" customFormat="1" ht="14.25">
      <c r="A183" s="4" t="s">
        <v>112</v>
      </c>
      <c r="C183" s="58">
        <f t="shared" si="166"/>
        <v>0.26465498623425343</v>
      </c>
      <c r="D183" s="58">
        <f t="shared" si="166"/>
        <v>0.2118180835530622</v>
      </c>
      <c r="E183" s="58">
        <f t="shared" si="166"/>
        <v>0.3070180980929651</v>
      </c>
      <c r="F183" s="58">
        <f t="shared" si="166"/>
        <v>0.70970155990611072</v>
      </c>
      <c r="G183" s="58">
        <f t="shared" si="166"/>
        <v>0.63544571124581994</v>
      </c>
      <c r="H183" s="58">
        <f t="shared" si="166"/>
        <v>0.84772231244846608</v>
      </c>
      <c r="I183" s="58">
        <f t="shared" si="166"/>
        <v>1.6211640495023847</v>
      </c>
      <c r="J183" s="58">
        <f t="shared" si="166"/>
        <v>2.0447563809532268</v>
      </c>
      <c r="K183" s="58">
        <f t="shared" si="166"/>
        <v>6.8510691858876829</v>
      </c>
      <c r="L183" s="58">
        <f t="shared" si="166"/>
        <v>13.04479747349184</v>
      </c>
      <c r="M183" s="58">
        <f t="shared" si="166"/>
        <v>10.966461374292187</v>
      </c>
      <c r="N183" s="58">
        <f t="shared" si="166"/>
        <v>6.3590025049379317</v>
      </c>
      <c r="O183" s="58">
        <f t="shared" si="166"/>
        <v>-4.0114089235789363</v>
      </c>
      <c r="P183" s="58">
        <f t="shared" si="166"/>
        <v>-16.505794393904331</v>
      </c>
      <c r="Q183" s="58">
        <f t="shared" si="166"/>
        <v>9.4843023569037257</v>
      </c>
      <c r="R183" s="59">
        <f t="shared" si="166"/>
        <v>-12.956502919806979</v>
      </c>
      <c r="S183" s="59">
        <f t="shared" si="166"/>
        <v>33.116515730183004</v>
      </c>
      <c r="T183" s="59">
        <f t="shared" si="166"/>
        <v>-60.383999999999993</v>
      </c>
      <c r="U183" s="59">
        <f t="shared" si="166"/>
        <v>54.818999999999988</v>
      </c>
      <c r="V183" s="59">
        <f t="shared" si="166"/>
        <v>-60.456999999999994</v>
      </c>
      <c r="W183" s="59">
        <f t="shared" si="166"/>
        <v>-47.424999999999997</v>
      </c>
      <c r="X183" s="59">
        <f t="shared" si="166"/>
        <v>-96.22399999999999</v>
      </c>
      <c r="Y183" s="59">
        <f t="shared" si="166"/>
        <v>48.256999999999991</v>
      </c>
      <c r="Z183" s="59">
        <f t="shared" si="166"/>
        <v>-25.070999999999998</v>
      </c>
      <c r="AA183" s="59">
        <f t="shared" si="166"/>
        <v>-15.843000000000046</v>
      </c>
      <c r="AB183" s="59">
        <f t="shared" si="166"/>
        <v>62.162000000000035</v>
      </c>
      <c r="AC183" s="59">
        <f t="shared" si="166"/>
        <v>-221.61999999999992</v>
      </c>
      <c r="AD183" s="59">
        <f t="shared" si="166"/>
        <v>-55.72400000000011</v>
      </c>
      <c r="AE183" s="59">
        <f t="shared" si="166"/>
        <v>343.97</v>
      </c>
      <c r="AF183" s="59">
        <f t="shared" si="166"/>
        <v>-161.678</v>
      </c>
      <c r="AG183" s="59">
        <f t="shared" si="166"/>
        <v>-195.38200000000006</v>
      </c>
      <c r="AH183" s="59">
        <f t="shared" si="166"/>
        <v>-242.49400000000003</v>
      </c>
      <c r="AI183" s="59">
        <f t="shared" si="164"/>
        <v>-87.524000000000015</v>
      </c>
      <c r="AJ183" s="59">
        <f t="shared" si="164"/>
        <v>440.67900000000009</v>
      </c>
      <c r="AK183" s="59">
        <f t="shared" si="164"/>
        <v>-79.67900000000003</v>
      </c>
      <c r="AL183" s="59">
        <f t="shared" si="164"/>
        <v>-180.98900000000015</v>
      </c>
      <c r="AM183" s="59">
        <f t="shared" si="164"/>
        <v>284.41199999999998</v>
      </c>
      <c r="AN183" s="59">
        <f t="shared" si="164"/>
        <v>182.21900000000028</v>
      </c>
      <c r="AO183" s="59">
        <f t="shared" si="164"/>
        <v>3.2790000000000532</v>
      </c>
      <c r="AP183" s="59">
        <f t="shared" si="164"/>
        <v>190.74700000000007</v>
      </c>
      <c r="AQ183" s="59">
        <f t="shared" si="164"/>
        <v>327.29399999999987</v>
      </c>
      <c r="AR183" s="59">
        <f t="shared" si="164"/>
        <v>-301.70433999999932</v>
      </c>
      <c r="AS183" s="59">
        <f t="shared" si="164"/>
        <v>-524.75199999999995</v>
      </c>
      <c r="AT183" s="59">
        <f t="shared" si="164"/>
        <v>-491.68900000000008</v>
      </c>
      <c r="AU183" s="59">
        <f t="shared" si="164"/>
        <v>-465.34600000000006</v>
      </c>
      <c r="AV183" s="59">
        <f t="shared" si="164"/>
        <v>792.18300000000022</v>
      </c>
      <c r="AW183" s="59">
        <f t="shared" si="164"/>
        <v>-115.39699999999993</v>
      </c>
      <c r="AX183" s="59">
        <f t="shared" si="164"/>
        <v>-949.90300000000013</v>
      </c>
      <c r="AY183" s="59">
        <f t="shared" si="164"/>
        <v>90.652999999999906</v>
      </c>
      <c r="AZ183" s="59">
        <f t="shared" si="164"/>
        <v>246.79000000000008</v>
      </c>
      <c r="BA183" s="59">
        <f t="shared" si="164"/>
        <v>715.36300000000006</v>
      </c>
      <c r="BB183" s="59">
        <f t="shared" si="164"/>
        <v>-105.80000000000064</v>
      </c>
      <c r="BC183" s="59">
        <f t="shared" si="164"/>
        <v>53.558676000000332</v>
      </c>
      <c r="BD183" s="59">
        <f t="shared" si="164"/>
        <v>470.3371699999999</v>
      </c>
      <c r="BE183" s="59">
        <f t="shared" si="164"/>
        <v>292.72100000000023</v>
      </c>
      <c r="BF183" s="59">
        <f t="shared" si="164"/>
        <v>984.83600000000058</v>
      </c>
      <c r="BG183" s="59">
        <f t="shared" si="164"/>
        <v>354.29100000000062</v>
      </c>
      <c r="BH183" s="59">
        <f t="shared" si="164"/>
        <v>-491.83999999999992</v>
      </c>
      <c r="BI183" s="58">
        <f t="shared" ref="BI183:BO183" si="169">BI184-SUM(BI172:BI182)</f>
        <v>6285.462506054424</v>
      </c>
      <c r="BJ183" s="58">
        <f t="shared" si="169"/>
        <v>1286.9510898433095</v>
      </c>
      <c r="BK183" s="58">
        <f t="shared" si="169"/>
        <v>1379.1295368632077</v>
      </c>
      <c r="BL183" s="58">
        <f t="shared" si="169"/>
        <v>2237.2939106482504</v>
      </c>
      <c r="BM183" s="58">
        <f t="shared" si="169"/>
        <v>2952.0607596506607</v>
      </c>
      <c r="BN183" s="58">
        <f t="shared" si="169"/>
        <v>3071.896680280443</v>
      </c>
      <c r="BO183" s="58">
        <f t="shared" si="169"/>
        <v>2802.2292142160522</v>
      </c>
      <c r="BP183" s="58">
        <f t="shared" ref="BP183:BU183" si="170">BP184-SUM(BP172:BP182)</f>
        <v>3230.6895081752314</v>
      </c>
      <c r="BQ183" s="58">
        <f t="shared" si="170"/>
        <v>2994.9233307766422</v>
      </c>
      <c r="BR183" s="58">
        <f t="shared" si="170"/>
        <v>3332.8841886774644</v>
      </c>
      <c r="BS183" s="58" t="e">
        <f t="shared" si="170"/>
        <v>#DIV/0!</v>
      </c>
      <c r="BT183" s="58" t="e">
        <f t="shared" si="170"/>
        <v>#DIV/0!</v>
      </c>
      <c r="BU183" s="58" t="e">
        <f t="shared" si="170"/>
        <v>#DIV/0!</v>
      </c>
    </row>
    <row r="184" spans="1:73" s="56" customFormat="1" thickBot="1">
      <c r="A184" s="4" t="s">
        <v>113</v>
      </c>
      <c r="C184" s="56">
        <f t="shared" ref="C184:AH184" si="171">SUM(C172:C183)</f>
        <v>5.1262607379851639</v>
      </c>
      <c r="D184" s="56">
        <f t="shared" si="171"/>
        <v>4.1052300520716933</v>
      </c>
      <c r="E184" s="56">
        <f t="shared" si="171"/>
        <v>3.1052300520716924</v>
      </c>
      <c r="F184" s="56">
        <f t="shared" si="171"/>
        <v>6.2313375450481772</v>
      </c>
      <c r="G184" s="56">
        <f t="shared" si="171"/>
        <v>15.315307043693386</v>
      </c>
      <c r="H184" s="56">
        <f t="shared" si="171"/>
        <v>16.441108046652516</v>
      </c>
      <c r="I184" s="56">
        <f t="shared" si="171"/>
        <v>25.754806017754781</v>
      </c>
      <c r="J184" s="56">
        <f t="shared" si="171"/>
        <v>35.96329947762014</v>
      </c>
      <c r="K184" s="56">
        <f t="shared" si="171"/>
        <v>142.37687096312027</v>
      </c>
      <c r="L184" s="56">
        <f t="shared" si="171"/>
        <v>178.81399833678711</v>
      </c>
      <c r="M184" s="56">
        <f t="shared" si="171"/>
        <v>289.16144473377284</v>
      </c>
      <c r="N184" s="56">
        <f t="shared" si="171"/>
        <v>151.64607825621314</v>
      </c>
      <c r="O184" s="56">
        <f t="shared" si="171"/>
        <v>147.77362530748391</v>
      </c>
      <c r="P184" s="56">
        <f t="shared" si="171"/>
        <v>156.69623783262855</v>
      </c>
      <c r="Q184" s="56">
        <f t="shared" si="171"/>
        <v>237.48153165666139</v>
      </c>
      <c r="R184" s="56">
        <f t="shared" si="171"/>
        <v>273.51542313600692</v>
      </c>
      <c r="S184" s="56">
        <f t="shared" si="171"/>
        <v>368.95449638132521</v>
      </c>
      <c r="T184" s="56">
        <f t="shared" si="171"/>
        <v>565.35400000000004</v>
      </c>
      <c r="U184" s="56">
        <f t="shared" si="171"/>
        <v>269.447</v>
      </c>
      <c r="V184" s="56">
        <f t="shared" si="171"/>
        <v>242.03100000000018</v>
      </c>
      <c r="W184" s="56">
        <f t="shared" si="171"/>
        <v>460.84599999999983</v>
      </c>
      <c r="X184" s="56">
        <f t="shared" si="171"/>
        <v>215.47900000000016</v>
      </c>
      <c r="Y184" s="56">
        <f t="shared" si="171"/>
        <v>392.29399999999987</v>
      </c>
      <c r="Z184" s="56">
        <f t="shared" si="171"/>
        <v>727.67099999999971</v>
      </c>
      <c r="AA184" s="56">
        <f t="shared" si="171"/>
        <v>-98.054999999999637</v>
      </c>
      <c r="AB184" s="56">
        <f t="shared" si="171"/>
        <v>-79.1280000000001</v>
      </c>
      <c r="AC184" s="56">
        <f t="shared" si="171"/>
        <v>197.34599999999998</v>
      </c>
      <c r="AD184" s="56">
        <f t="shared" si="171"/>
        <v>413.35700000000008</v>
      </c>
      <c r="AE184" s="59">
        <f t="shared" si="171"/>
        <v>3153.6500000000005</v>
      </c>
      <c r="AF184" s="59">
        <f t="shared" si="171"/>
        <v>4478.0269999999991</v>
      </c>
      <c r="AG184" s="59">
        <f t="shared" si="171"/>
        <v>917.89299999999957</v>
      </c>
      <c r="AH184" s="59">
        <f t="shared" si="171"/>
        <v>871.87099999999998</v>
      </c>
      <c r="AI184" s="59">
        <f t="shared" ref="AI184:BC184" si="172">SUM(AI172:AI183)</f>
        <v>411.22500000000048</v>
      </c>
      <c r="AJ184" s="59">
        <f t="shared" si="172"/>
        <v>5374.6350000000002</v>
      </c>
      <c r="AK184" s="59">
        <f t="shared" si="172"/>
        <v>1167.3649999999998</v>
      </c>
      <c r="AL184" s="59">
        <f t="shared" si="172"/>
        <v>116.14100000000047</v>
      </c>
      <c r="AM184" s="59">
        <f t="shared" si="172"/>
        <v>2575.1349999999993</v>
      </c>
      <c r="AN184" s="59">
        <f t="shared" si="172"/>
        <v>2046.0799999999997</v>
      </c>
      <c r="AO184" s="59">
        <f t="shared" si="172"/>
        <v>2325.4450000000011</v>
      </c>
      <c r="AP184" s="59">
        <f t="shared" si="172"/>
        <v>542.13900000000012</v>
      </c>
      <c r="AQ184" s="59">
        <f t="shared" si="172"/>
        <v>4629.0284499999989</v>
      </c>
      <c r="AR184" s="59">
        <f t="shared" si="172"/>
        <v>2834.198260000001</v>
      </c>
      <c r="AS184" s="59">
        <f t="shared" si="172"/>
        <v>3362.0799799999995</v>
      </c>
      <c r="AT184" s="59">
        <f t="shared" si="172"/>
        <v>-3552.5220000000018</v>
      </c>
      <c r="AU184" s="59">
        <f t="shared" si="172"/>
        <v>-1391.3789999999995</v>
      </c>
      <c r="AV184" s="59">
        <f t="shared" si="172"/>
        <v>8118.7620000000006</v>
      </c>
      <c r="AW184" s="59">
        <f t="shared" si="172"/>
        <v>1659.4940000000006</v>
      </c>
      <c r="AX184" s="59">
        <f t="shared" si="172"/>
        <v>-3538.5729999999994</v>
      </c>
      <c r="AY184" s="59">
        <f t="shared" si="172"/>
        <v>4432.8550000000005</v>
      </c>
      <c r="AZ184" s="59">
        <f t="shared" si="172"/>
        <v>5625.9589999999971</v>
      </c>
      <c r="BA184" s="59">
        <f t="shared" si="172"/>
        <v>7423.6799999999985</v>
      </c>
      <c r="BB184" s="59">
        <f t="shared" si="172"/>
        <v>1881.1939999999988</v>
      </c>
      <c r="BC184" s="59">
        <f t="shared" si="172"/>
        <v>1307.2899959999988</v>
      </c>
      <c r="BD184" s="59">
        <f>BD199+BD104+BD120+BD152-BD168-BD200</f>
        <v>-1412.3751900000025</v>
      </c>
      <c r="BE184" s="59">
        <f>BE199+BE104+BE120+BE152-BE168-BE200</f>
        <v>5807.6212400000077</v>
      </c>
      <c r="BF184" s="59">
        <f>BF199+BF104+BF120+BF152-BF168-BF200</f>
        <v>-578.40899999999601</v>
      </c>
      <c r="BG184" s="59">
        <f>BG199+BG104+BG120+BG152-BG168-BG200</f>
        <v>5273.1949999999997</v>
      </c>
      <c r="BH184" s="59">
        <f>BH199+BH104+BH120+BH152-BH168-BH200</f>
        <v>-1283.4019999999982</v>
      </c>
      <c r="BI184" s="58">
        <f t="shared" ref="BI184:BU184" si="173">BI25</f>
        <v>4063.2730645588454</v>
      </c>
      <c r="BJ184" s="58">
        <f t="shared" si="173"/>
        <v>3212.2701569958517</v>
      </c>
      <c r="BK184" s="58">
        <f t="shared" si="173"/>
        <v>2880.6685454068429</v>
      </c>
      <c r="BL184" s="58">
        <f t="shared" si="173"/>
        <v>3649.9558636066067</v>
      </c>
      <c r="BM184" s="58">
        <f t="shared" si="173"/>
        <v>4419.9771458746691</v>
      </c>
      <c r="BN184" s="58">
        <f t="shared" si="173"/>
        <v>4392.3602633224145</v>
      </c>
      <c r="BO184" s="58">
        <f t="shared" si="173"/>
        <v>4391.7031037754932</v>
      </c>
      <c r="BP184" s="58">
        <f t="shared" si="173"/>
        <v>4385.0661436600567</v>
      </c>
      <c r="BQ184" s="58">
        <f t="shared" si="173"/>
        <v>4390.5123955043673</v>
      </c>
      <c r="BR184" s="58">
        <f t="shared" si="173"/>
        <v>4389.7338694375067</v>
      </c>
      <c r="BS184" s="58" t="e">
        <f t="shared" si="173"/>
        <v>#DIV/0!</v>
      </c>
      <c r="BT184" s="58" t="e">
        <f t="shared" si="173"/>
        <v>#DIV/0!</v>
      </c>
      <c r="BU184" s="58" t="e">
        <f t="shared" si="173"/>
        <v>#DIV/0!</v>
      </c>
    </row>
    <row r="185" spans="1:73">
      <c r="A185" s="60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1:73" ht="15.75" thickBot="1">
      <c r="A186" s="53" t="s">
        <v>144</v>
      </c>
    </row>
    <row r="187" spans="1:73" s="4" customFormat="1" ht="15.75" thickBot="1">
      <c r="A187" s="54"/>
      <c r="B187" s="63" t="s">
        <v>1</v>
      </c>
      <c r="C187" s="63" t="s">
        <v>2</v>
      </c>
      <c r="D187" s="63" t="s">
        <v>3</v>
      </c>
      <c r="E187" s="63" t="s">
        <v>4</v>
      </c>
      <c r="F187" s="63" t="s">
        <v>5</v>
      </c>
      <c r="G187" s="63" t="s">
        <v>6</v>
      </c>
      <c r="H187" s="63" t="s">
        <v>7</v>
      </c>
      <c r="I187" s="63" t="s">
        <v>8</v>
      </c>
      <c r="J187" s="63" t="s">
        <v>9</v>
      </c>
      <c r="K187" s="63" t="s">
        <v>10</v>
      </c>
      <c r="L187" s="63" t="s">
        <v>11</v>
      </c>
      <c r="M187" s="55" t="s">
        <v>12</v>
      </c>
      <c r="N187" s="55" t="s">
        <v>13</v>
      </c>
      <c r="O187" s="55" t="s">
        <v>14</v>
      </c>
      <c r="P187" s="55" t="s">
        <v>15</v>
      </c>
      <c r="Q187" s="55" t="s">
        <v>16</v>
      </c>
      <c r="R187" s="55" t="s">
        <v>17</v>
      </c>
      <c r="S187" s="55" t="s">
        <v>18</v>
      </c>
      <c r="T187" s="55" t="s">
        <v>19</v>
      </c>
      <c r="U187" s="55" t="s">
        <v>20</v>
      </c>
      <c r="V187" s="55" t="s">
        <v>21</v>
      </c>
      <c r="W187" s="55" t="s">
        <v>22</v>
      </c>
      <c r="X187" s="55" t="s">
        <v>23</v>
      </c>
      <c r="Y187" s="55" t="s">
        <v>24</v>
      </c>
      <c r="Z187" s="55" t="s">
        <v>25</v>
      </c>
      <c r="AA187" s="55" t="s">
        <v>26</v>
      </c>
      <c r="AB187" s="55" t="s">
        <v>27</v>
      </c>
      <c r="AC187" s="55" t="s">
        <v>28</v>
      </c>
      <c r="AD187" s="55" t="s">
        <v>29</v>
      </c>
      <c r="AE187" s="55" t="s">
        <v>30</v>
      </c>
      <c r="AF187" s="55" t="s">
        <v>31</v>
      </c>
      <c r="AG187" s="55" t="s">
        <v>32</v>
      </c>
      <c r="AH187" s="55" t="s">
        <v>33</v>
      </c>
      <c r="AI187" s="55" t="s">
        <v>34</v>
      </c>
      <c r="AJ187" s="55" t="s">
        <v>35</v>
      </c>
      <c r="AK187" s="55" t="s">
        <v>36</v>
      </c>
      <c r="AL187" s="55" t="s">
        <v>37</v>
      </c>
      <c r="AM187" s="55" t="s">
        <v>38</v>
      </c>
      <c r="AN187" s="55" t="s">
        <v>39</v>
      </c>
      <c r="AO187" s="55" t="s">
        <v>40</v>
      </c>
      <c r="AP187" s="55" t="s">
        <v>41</v>
      </c>
      <c r="AQ187" s="55" t="s">
        <v>42</v>
      </c>
      <c r="AR187" s="55" t="s">
        <v>43</v>
      </c>
      <c r="AS187" s="55" t="s">
        <v>44</v>
      </c>
      <c r="AT187" s="55" t="s">
        <v>45</v>
      </c>
      <c r="AU187" s="55" t="s">
        <v>46</v>
      </c>
      <c r="AV187" s="55" t="s">
        <v>47</v>
      </c>
      <c r="AW187" s="55" t="s">
        <v>48</v>
      </c>
      <c r="AX187" s="55" t="s">
        <v>49</v>
      </c>
      <c r="AY187" s="55" t="s">
        <v>50</v>
      </c>
      <c r="AZ187" s="55" t="s">
        <v>51</v>
      </c>
      <c r="BA187" s="55" t="s">
        <v>52</v>
      </c>
      <c r="BB187" s="55" t="s">
        <v>53</v>
      </c>
      <c r="BC187" s="55" t="s">
        <v>54</v>
      </c>
      <c r="BD187" s="55" t="s">
        <v>55</v>
      </c>
      <c r="BE187" s="55" t="s">
        <v>56</v>
      </c>
      <c r="BF187" s="55" t="s">
        <v>57</v>
      </c>
      <c r="BG187" s="55" t="str">
        <f t="shared" ref="BG187:BU187" si="174">BH2</f>
        <v>22/23</v>
      </c>
      <c r="BH187" s="55" t="str">
        <f t="shared" si="174"/>
        <v>23/24</v>
      </c>
      <c r="BI187" s="55" t="str">
        <f t="shared" si="174"/>
        <v>24/25</v>
      </c>
      <c r="BJ187" s="55" t="str">
        <f t="shared" si="174"/>
        <v>25/26</v>
      </c>
      <c r="BK187" s="55" t="str">
        <f t="shared" si="174"/>
        <v>26/27</v>
      </c>
      <c r="BL187" s="55" t="str">
        <f t="shared" si="174"/>
        <v>27/28</v>
      </c>
      <c r="BM187" s="55" t="str">
        <f t="shared" si="174"/>
        <v>28/29</v>
      </c>
      <c r="BN187" s="55" t="str">
        <f t="shared" si="174"/>
        <v>29/30</v>
      </c>
      <c r="BO187" s="55" t="str">
        <f t="shared" si="174"/>
        <v>30/31</v>
      </c>
      <c r="BP187" s="55" t="str">
        <f t="shared" si="174"/>
        <v>31/32</v>
      </c>
      <c r="BQ187" s="55" t="str">
        <f t="shared" si="174"/>
        <v>32/33</v>
      </c>
      <c r="BR187" s="55" t="str">
        <f t="shared" si="174"/>
        <v>33/34</v>
      </c>
      <c r="BS187" s="55" t="str">
        <f t="shared" si="174"/>
        <v>34/35</v>
      </c>
      <c r="BT187" s="55" t="str">
        <f t="shared" si="174"/>
        <v>34/35</v>
      </c>
      <c r="BU187" s="55">
        <f t="shared" si="174"/>
        <v>0</v>
      </c>
    </row>
    <row r="188" spans="1:73">
      <c r="A188" s="4" t="s">
        <v>100</v>
      </c>
      <c r="B188" s="56"/>
      <c r="C188" s="57">
        <f t="shared" ref="C188:L198" si="175">(SUM($M188:$Q188)/SUM($M$199:$Q$199))*C$199</f>
        <v>0</v>
      </c>
      <c r="D188" s="57">
        <f t="shared" si="175"/>
        <v>0</v>
      </c>
      <c r="E188" s="57">
        <f t="shared" si="175"/>
        <v>1.2016321041057052</v>
      </c>
      <c r="F188" s="57">
        <f t="shared" si="175"/>
        <v>3.6048963123171154</v>
      </c>
      <c r="G188" s="57">
        <f t="shared" si="175"/>
        <v>0</v>
      </c>
      <c r="H188" s="57">
        <f t="shared" si="175"/>
        <v>0</v>
      </c>
      <c r="I188" s="57">
        <f t="shared" si="175"/>
        <v>2.4032642082114104</v>
      </c>
      <c r="J188" s="57">
        <f t="shared" si="175"/>
        <v>2.4032642082114104</v>
      </c>
      <c r="K188" s="57">
        <f t="shared" si="175"/>
        <v>2.4032642082114104</v>
      </c>
      <c r="L188" s="57">
        <f t="shared" si="175"/>
        <v>36.048963123171156</v>
      </c>
      <c r="M188" s="69">
        <v>18.992000000000001</v>
      </c>
      <c r="N188" s="69">
        <v>13.894</v>
      </c>
      <c r="O188" s="69">
        <v>6.3419999999999996</v>
      </c>
      <c r="P188" s="69">
        <v>14.496</v>
      </c>
      <c r="Q188" s="69">
        <v>12.391</v>
      </c>
      <c r="R188" s="69">
        <v>20.417000000000002</v>
      </c>
      <c r="S188" s="69">
        <v>15.609</v>
      </c>
      <c r="T188" s="69">
        <v>21.297999999999998</v>
      </c>
      <c r="U188" s="69">
        <v>57.170999999999999</v>
      </c>
      <c r="V188" s="69">
        <v>101.239</v>
      </c>
      <c r="W188" s="69">
        <v>51.752000000000002</v>
      </c>
      <c r="X188" s="69">
        <v>84.034999999999997</v>
      </c>
      <c r="Y188" s="69">
        <v>105.214</v>
      </c>
      <c r="Z188" s="69">
        <v>93.146000000000001</v>
      </c>
      <c r="AA188" s="69">
        <v>145.70400000000001</v>
      </c>
      <c r="AB188" s="69">
        <v>126.965</v>
      </c>
      <c r="AC188" s="69">
        <v>407.59899999999999</v>
      </c>
      <c r="AD188" s="69">
        <v>164.15700000000001</v>
      </c>
      <c r="AE188" s="70">
        <v>184.852</v>
      </c>
      <c r="AF188" s="70">
        <v>163.322</v>
      </c>
      <c r="AG188" s="70">
        <v>149.756</v>
      </c>
      <c r="AH188" s="70">
        <v>248.57300000000001</v>
      </c>
      <c r="AI188" s="70">
        <v>353.80900000000003</v>
      </c>
      <c r="AJ188" s="70">
        <v>246.79400000000001</v>
      </c>
      <c r="AK188" s="70">
        <v>313.75900000000001</v>
      </c>
      <c r="AL188" s="70">
        <v>429.41399999999999</v>
      </c>
      <c r="AM188" s="70">
        <v>306.14600000000002</v>
      </c>
      <c r="AN188" s="70">
        <v>316.738</v>
      </c>
      <c r="AO188" s="70">
        <v>643.97699999999998</v>
      </c>
      <c r="AP188" s="70">
        <v>538.67100000000005</v>
      </c>
      <c r="AQ188" s="70">
        <v>504.11200000000002</v>
      </c>
      <c r="AR188" s="70">
        <v>591.88800000000003</v>
      </c>
      <c r="AS188" s="70">
        <v>741.18</v>
      </c>
      <c r="AT188" s="70">
        <v>685.68399999999997</v>
      </c>
      <c r="AU188" s="70">
        <v>533.55700000000002</v>
      </c>
      <c r="AV188" s="70">
        <v>562.51800000000003</v>
      </c>
      <c r="AW188" s="70">
        <v>846.20299999999997</v>
      </c>
      <c r="AX188" s="70">
        <v>1043.2760000000001</v>
      </c>
      <c r="AY188" s="70">
        <v>737.58900000000006</v>
      </c>
      <c r="AZ188" s="70">
        <v>597.83299999999997</v>
      </c>
      <c r="BA188" s="70">
        <v>858.67100000000005</v>
      </c>
      <c r="BB188" s="70">
        <v>889.15</v>
      </c>
      <c r="BC188" s="70">
        <v>838.46600000000001</v>
      </c>
      <c r="BD188" s="59">
        <v>932.45399999999995</v>
      </c>
      <c r="BE188" s="59">
        <v>860.06100000000004</v>
      </c>
      <c r="BF188" s="59">
        <v>824.08</v>
      </c>
      <c r="BG188" s="59">
        <v>480.26400000000001</v>
      </c>
      <c r="BH188" s="59">
        <v>556.06500000000005</v>
      </c>
      <c r="BI188" s="59">
        <v>602.87099999999998</v>
      </c>
      <c r="BJ188" s="58">
        <f t="shared" ref="BJ188:BU188" si="176">BI199+BJ92+BJ108+BJ140-BJ156-BJ172</f>
        <v>-4853.5829180377277</v>
      </c>
      <c r="BK188" s="58">
        <f t="shared" si="176"/>
        <v>-4683.2016968336766</v>
      </c>
      <c r="BL188" s="58">
        <f t="shared" si="176"/>
        <v>-4572.9501589221618</v>
      </c>
      <c r="BM188" s="58">
        <f t="shared" si="176"/>
        <v>-4794.927809456045</v>
      </c>
      <c r="BN188" s="58">
        <f t="shared" si="176"/>
        <v>-4786.560814253713</v>
      </c>
      <c r="BO188" s="58">
        <f t="shared" si="176"/>
        <v>-4701.8928841179695</v>
      </c>
      <c r="BP188" s="58">
        <f t="shared" si="176"/>
        <v>-4768.9427572701006</v>
      </c>
      <c r="BQ188" s="58">
        <f t="shared" si="176"/>
        <v>-4749.3456887678512</v>
      </c>
      <c r="BR188" s="58">
        <f t="shared" si="176"/>
        <v>-4755.8421678143804</v>
      </c>
      <c r="BS188" s="58" t="e">
        <f t="shared" si="176"/>
        <v>#DIV/0!</v>
      </c>
      <c r="BT188" s="58" t="e">
        <f t="shared" si="176"/>
        <v>#DIV/0!</v>
      </c>
      <c r="BU188" s="58" t="e">
        <f t="shared" si="176"/>
        <v>#DIV/0!</v>
      </c>
    </row>
    <row r="189" spans="1:73">
      <c r="A189" s="4" t="s">
        <v>102</v>
      </c>
      <c r="B189" s="56"/>
      <c r="C189" s="57">
        <f t="shared" si="175"/>
        <v>0</v>
      </c>
      <c r="D189" s="57">
        <f t="shared" si="175"/>
        <v>0</v>
      </c>
      <c r="E189" s="57">
        <f t="shared" si="175"/>
        <v>1.2572108831173552</v>
      </c>
      <c r="F189" s="57">
        <f t="shared" si="175"/>
        <v>3.7716326493520658</v>
      </c>
      <c r="G189" s="57">
        <f t="shared" si="175"/>
        <v>0</v>
      </c>
      <c r="H189" s="57">
        <f t="shared" si="175"/>
        <v>0</v>
      </c>
      <c r="I189" s="57">
        <f t="shared" si="175"/>
        <v>2.5144217662347104</v>
      </c>
      <c r="J189" s="57">
        <f t="shared" si="175"/>
        <v>2.5144217662347104</v>
      </c>
      <c r="K189" s="57">
        <f t="shared" si="175"/>
        <v>2.5144217662347104</v>
      </c>
      <c r="L189" s="57">
        <f t="shared" si="175"/>
        <v>37.716326493520654</v>
      </c>
      <c r="M189" s="69">
        <v>15.499000000000001</v>
      </c>
      <c r="N189" s="69">
        <v>14.93</v>
      </c>
      <c r="O189" s="69">
        <v>3.6320000000000001</v>
      </c>
      <c r="P189" s="69">
        <v>21.2</v>
      </c>
      <c r="Q189" s="69">
        <v>13.912000000000001</v>
      </c>
      <c r="R189" s="69">
        <v>38.195</v>
      </c>
      <c r="S189" s="69">
        <v>15.52</v>
      </c>
      <c r="T189" s="69">
        <v>52.746000000000002</v>
      </c>
      <c r="U189" s="69">
        <v>46.494999999999997</v>
      </c>
      <c r="V189" s="69">
        <v>152.79499999999999</v>
      </c>
      <c r="W189" s="69">
        <v>82.938000000000002</v>
      </c>
      <c r="X189" s="69">
        <v>155.327</v>
      </c>
      <c r="Y189" s="69">
        <v>231.61799999999999</v>
      </c>
      <c r="Z189" s="69">
        <v>211.749</v>
      </c>
      <c r="AA189" s="69">
        <v>297.43099999999998</v>
      </c>
      <c r="AB189" s="69">
        <v>242.536</v>
      </c>
      <c r="AC189" s="69">
        <v>369.233</v>
      </c>
      <c r="AD189" s="69">
        <v>206.91900000000001</v>
      </c>
      <c r="AE189" s="70">
        <v>323.73399999999998</v>
      </c>
      <c r="AF189" s="70">
        <v>224.70500000000001</v>
      </c>
      <c r="AG189" s="70">
        <v>179.953</v>
      </c>
      <c r="AH189" s="70">
        <v>263.548</v>
      </c>
      <c r="AI189" s="70">
        <v>278.76799999999997</v>
      </c>
      <c r="AJ189" s="70">
        <v>318.62700000000001</v>
      </c>
      <c r="AK189" s="70">
        <v>495.15800000000002</v>
      </c>
      <c r="AL189" s="70">
        <v>441.548</v>
      </c>
      <c r="AM189" s="70">
        <v>331.00099999999998</v>
      </c>
      <c r="AN189" s="70">
        <v>364.38499999999999</v>
      </c>
      <c r="AO189" s="70">
        <v>562.79499999999996</v>
      </c>
      <c r="AP189" s="70">
        <v>539.10599999999999</v>
      </c>
      <c r="AQ189" s="70">
        <v>633.26300000000003</v>
      </c>
      <c r="AR189" s="70">
        <v>638.35799999999995</v>
      </c>
      <c r="AS189" s="70">
        <v>721.35400000000004</v>
      </c>
      <c r="AT189" s="70">
        <v>891.97900000000004</v>
      </c>
      <c r="AU189" s="70">
        <v>954.46900000000005</v>
      </c>
      <c r="AV189" s="70">
        <v>720.7</v>
      </c>
      <c r="AW189" s="70">
        <v>981.26400000000001</v>
      </c>
      <c r="AX189" s="70">
        <v>998.13400000000001</v>
      </c>
      <c r="AY189" s="70">
        <v>814.24400000000003</v>
      </c>
      <c r="AZ189" s="70">
        <v>981.65899999999999</v>
      </c>
      <c r="BA189" s="70">
        <v>1155.308</v>
      </c>
      <c r="BB189" s="70">
        <v>838.01700000000005</v>
      </c>
      <c r="BC189" s="70">
        <v>1236.0930000000001</v>
      </c>
      <c r="BD189" s="59">
        <v>1038.5050000000001</v>
      </c>
      <c r="BE189" s="59">
        <v>635.04499999999996</v>
      </c>
      <c r="BF189" s="59">
        <v>1029.165</v>
      </c>
      <c r="BG189" s="59">
        <v>879.94799999999998</v>
      </c>
      <c r="BH189" s="59">
        <v>742.40200000000004</v>
      </c>
      <c r="BI189" s="59">
        <v>820.19</v>
      </c>
      <c r="BJ189" s="58">
        <f t="shared" ref="BJ189:BU199" si="177">BJ188+BJ93+BJ109+BJ141-BJ157-BJ173</f>
        <v>-4865.3602586853167</v>
      </c>
      <c r="BK189" s="58">
        <f t="shared" si="177"/>
        <v>-4993.2112074053566</v>
      </c>
      <c r="BL189" s="58">
        <f t="shared" si="177"/>
        <v>-5100.7034515271307</v>
      </c>
      <c r="BM189" s="58">
        <f t="shared" si="177"/>
        <v>-5442.4793394358294</v>
      </c>
      <c r="BN189" s="58">
        <f t="shared" si="177"/>
        <v>-5406.4300105112079</v>
      </c>
      <c r="BO189" s="58">
        <f t="shared" si="177"/>
        <v>-5290.1503905685349</v>
      </c>
      <c r="BP189" s="58">
        <f t="shared" si="177"/>
        <v>-5124.1291827107916</v>
      </c>
      <c r="BQ189" s="58">
        <f t="shared" si="177"/>
        <v>-5154.8101456811855</v>
      </c>
      <c r="BR189" s="58">
        <f t="shared" si="177"/>
        <v>-5162.2023860450508</v>
      </c>
      <c r="BS189" s="58" t="e">
        <f t="shared" si="177"/>
        <v>#DIV/0!</v>
      </c>
      <c r="BT189" s="58" t="e">
        <f t="shared" si="177"/>
        <v>#DIV/0!</v>
      </c>
      <c r="BU189" s="58" t="e">
        <f t="shared" si="177"/>
        <v>#DIV/0!</v>
      </c>
    </row>
    <row r="190" spans="1:73">
      <c r="A190" s="4" t="s">
        <v>103</v>
      </c>
      <c r="B190" s="56"/>
      <c r="C190" s="57">
        <f t="shared" si="175"/>
        <v>0</v>
      </c>
      <c r="D190" s="57">
        <f t="shared" si="175"/>
        <v>0</v>
      </c>
      <c r="E190" s="57">
        <f t="shared" si="175"/>
        <v>1.9099434761272969</v>
      </c>
      <c r="F190" s="57">
        <f t="shared" si="175"/>
        <v>5.7298304283818906</v>
      </c>
      <c r="G190" s="57">
        <f t="shared" si="175"/>
        <v>0</v>
      </c>
      <c r="H190" s="57">
        <f t="shared" si="175"/>
        <v>0</v>
      </c>
      <c r="I190" s="57">
        <f t="shared" si="175"/>
        <v>3.8198869522545937</v>
      </c>
      <c r="J190" s="57">
        <f t="shared" si="175"/>
        <v>3.8198869522545937</v>
      </c>
      <c r="K190" s="57">
        <f t="shared" si="175"/>
        <v>3.8198869522545937</v>
      </c>
      <c r="L190" s="57">
        <f t="shared" si="175"/>
        <v>57.298304283818908</v>
      </c>
      <c r="M190" s="69">
        <v>15.98</v>
      </c>
      <c r="N190" s="69">
        <v>19.722999999999999</v>
      </c>
      <c r="O190" s="69">
        <v>17.117000000000001</v>
      </c>
      <c r="P190" s="69">
        <v>31.86</v>
      </c>
      <c r="Q190" s="69">
        <v>20.407</v>
      </c>
      <c r="R190" s="69">
        <v>17.263000000000002</v>
      </c>
      <c r="S190" s="69">
        <v>36.901000000000003</v>
      </c>
      <c r="T190" s="69">
        <v>50.41</v>
      </c>
      <c r="U190" s="69">
        <v>54.119</v>
      </c>
      <c r="V190" s="69">
        <v>163.52099999999999</v>
      </c>
      <c r="W190" s="69">
        <v>95.168000000000006</v>
      </c>
      <c r="X190" s="69">
        <v>166.78700000000001</v>
      </c>
      <c r="Y190" s="69">
        <v>239.37700000000001</v>
      </c>
      <c r="Z190" s="69">
        <v>298.08699999999999</v>
      </c>
      <c r="AA190" s="69">
        <v>417.875</v>
      </c>
      <c r="AB190" s="69">
        <v>309.15199999999999</v>
      </c>
      <c r="AC190" s="69">
        <v>293.33</v>
      </c>
      <c r="AD190" s="69">
        <v>220.596</v>
      </c>
      <c r="AE190" s="70">
        <v>360.61</v>
      </c>
      <c r="AF190" s="70">
        <v>357.75400000000002</v>
      </c>
      <c r="AG190" s="70">
        <v>233.762</v>
      </c>
      <c r="AH190" s="70">
        <v>351.02699999999999</v>
      </c>
      <c r="AI190" s="70">
        <v>337.75200000000001</v>
      </c>
      <c r="AJ190" s="70">
        <v>334.11099999999999</v>
      </c>
      <c r="AK190" s="70">
        <v>524.46199999999999</v>
      </c>
      <c r="AL190" s="70">
        <v>354.185</v>
      </c>
      <c r="AM190" s="70">
        <v>327.50599999999997</v>
      </c>
      <c r="AN190" s="70">
        <v>457.60199999999998</v>
      </c>
      <c r="AO190" s="70">
        <v>514.95699999999999</v>
      </c>
      <c r="AP190" s="70">
        <v>626.678</v>
      </c>
      <c r="AQ190" s="70">
        <v>718.29899999999998</v>
      </c>
      <c r="AR190" s="70">
        <v>708.08299999999997</v>
      </c>
      <c r="AS190" s="70">
        <v>970.57</v>
      </c>
      <c r="AT190" s="70">
        <v>745.36599999999999</v>
      </c>
      <c r="AU190" s="70">
        <v>677.72400000000005</v>
      </c>
      <c r="AV190" s="70">
        <v>742.10900000000004</v>
      </c>
      <c r="AW190" s="70">
        <v>1216.1410000000001</v>
      </c>
      <c r="AX190" s="70">
        <v>963.67100000000005</v>
      </c>
      <c r="AY190" s="70">
        <v>1028.846</v>
      </c>
      <c r="AZ190" s="70">
        <v>815.65</v>
      </c>
      <c r="BA190" s="70">
        <v>1182.7470000000001</v>
      </c>
      <c r="BB190" s="70">
        <v>900.16800000000001</v>
      </c>
      <c r="BC190" s="70">
        <v>1213.9290000000001</v>
      </c>
      <c r="BD190" s="59">
        <v>1056.8889999999999</v>
      </c>
      <c r="BE190" s="59">
        <v>855.28800000000001</v>
      </c>
      <c r="BF190" s="59">
        <v>747.03399999999999</v>
      </c>
      <c r="BG190" s="59">
        <v>1141.963</v>
      </c>
      <c r="BH190" s="59">
        <v>759.70600000000002</v>
      </c>
      <c r="BI190" s="59">
        <v>950.31500000000005</v>
      </c>
      <c r="BJ190" s="58">
        <f t="shared" si="177"/>
        <v>-4910.8628314180487</v>
      </c>
      <c r="BK190" s="58">
        <f t="shared" si="177"/>
        <v>-5163.3752092891928</v>
      </c>
      <c r="BL190" s="58">
        <f t="shared" si="177"/>
        <v>-5347.2396586353252</v>
      </c>
      <c r="BM190" s="58">
        <f t="shared" si="177"/>
        <v>-5460.5924738003505</v>
      </c>
      <c r="BN190" s="58">
        <f t="shared" si="177"/>
        <v>-5485.8506529614233</v>
      </c>
      <c r="BO190" s="58">
        <f t="shared" si="177"/>
        <v>-5574.7167196986575</v>
      </c>
      <c r="BP190" s="58">
        <f t="shared" si="177"/>
        <v>-5158.1015202005483</v>
      </c>
      <c r="BQ190" s="58">
        <f t="shared" si="177"/>
        <v>-5270.0761861909114</v>
      </c>
      <c r="BR190" s="58">
        <f t="shared" si="177"/>
        <v>-5273.0714386006766</v>
      </c>
      <c r="BS190" s="58" t="e">
        <f t="shared" si="177"/>
        <v>#DIV/0!</v>
      </c>
      <c r="BT190" s="58" t="e">
        <f t="shared" si="177"/>
        <v>#DIV/0!</v>
      </c>
      <c r="BU190" s="58" t="e">
        <f t="shared" si="177"/>
        <v>#DIV/0!</v>
      </c>
    </row>
    <row r="191" spans="1:73">
      <c r="A191" s="4" t="s">
        <v>104</v>
      </c>
      <c r="B191" s="56"/>
      <c r="C191" s="57">
        <f t="shared" si="175"/>
        <v>0</v>
      </c>
      <c r="D191" s="57">
        <f t="shared" si="175"/>
        <v>0</v>
      </c>
      <c r="E191" s="57">
        <f t="shared" si="175"/>
        <v>2.2258773922684068</v>
      </c>
      <c r="F191" s="57">
        <f t="shared" si="175"/>
        <v>6.6776321768052203</v>
      </c>
      <c r="G191" s="57">
        <f t="shared" si="175"/>
        <v>0</v>
      </c>
      <c r="H191" s="57">
        <f t="shared" si="175"/>
        <v>0</v>
      </c>
      <c r="I191" s="57">
        <f t="shared" si="175"/>
        <v>4.4517547845368135</v>
      </c>
      <c r="J191" s="57">
        <f t="shared" si="175"/>
        <v>4.4517547845368135</v>
      </c>
      <c r="K191" s="57">
        <f t="shared" si="175"/>
        <v>4.4517547845368135</v>
      </c>
      <c r="L191" s="57">
        <f t="shared" si="175"/>
        <v>66.776321768052199</v>
      </c>
      <c r="M191" s="82">
        <v>19.193000000000001</v>
      </c>
      <c r="N191" s="82">
        <v>17.914999999999999</v>
      </c>
      <c r="O191" s="82">
        <v>33.521000000000001</v>
      </c>
      <c r="P191" s="82">
        <v>24.751999999999999</v>
      </c>
      <c r="Q191" s="82">
        <v>27.088999999999999</v>
      </c>
      <c r="R191" s="82">
        <v>21.507999999999999</v>
      </c>
      <c r="S191" s="82">
        <v>53.116999999999997</v>
      </c>
      <c r="T191" s="82">
        <v>55.585000000000001</v>
      </c>
      <c r="U191" s="82">
        <v>76.320999999999998</v>
      </c>
      <c r="V191" s="82">
        <v>158.72399999999999</v>
      </c>
      <c r="W191" s="82">
        <v>118.724</v>
      </c>
      <c r="X191" s="82">
        <v>145.803</v>
      </c>
      <c r="Y191" s="82">
        <v>289.791</v>
      </c>
      <c r="Z191" s="82">
        <v>226.84200000000001</v>
      </c>
      <c r="AA191" s="82">
        <v>288.47199999999998</v>
      </c>
      <c r="AB191" s="82">
        <v>308.22699999999998</v>
      </c>
      <c r="AC191" s="82">
        <v>349.81799999999998</v>
      </c>
      <c r="AD191" s="82">
        <v>323.584</v>
      </c>
      <c r="AE191" s="83">
        <v>383.77100000000002</v>
      </c>
      <c r="AF191" s="83">
        <v>414.29500000000002</v>
      </c>
      <c r="AG191" s="83">
        <v>303.12700000000001</v>
      </c>
      <c r="AH191" s="83">
        <v>396.83100000000002</v>
      </c>
      <c r="AI191" s="83">
        <v>325.51600000000002</v>
      </c>
      <c r="AJ191" s="70">
        <v>471.64400000000001</v>
      </c>
      <c r="AK191" s="70">
        <v>543.05999999999995</v>
      </c>
      <c r="AL191" s="70">
        <v>338.08300000000003</v>
      </c>
      <c r="AM191" s="70">
        <v>391.851</v>
      </c>
      <c r="AN191" s="70">
        <v>543.37400000000002</v>
      </c>
      <c r="AO191" s="70">
        <v>685.54100000000005</v>
      </c>
      <c r="AP191" s="70">
        <v>770.34</v>
      </c>
      <c r="AQ191" s="70">
        <v>849.84699999999998</v>
      </c>
      <c r="AR191" s="70">
        <v>710.52200000000005</v>
      </c>
      <c r="AS191" s="70">
        <v>704.39400000000001</v>
      </c>
      <c r="AT191" s="70">
        <v>1099.1690000000001</v>
      </c>
      <c r="AU191" s="70">
        <v>747.68</v>
      </c>
      <c r="AV191" s="70">
        <v>638.80200000000002</v>
      </c>
      <c r="AW191" s="70">
        <v>1026.7660000000001</v>
      </c>
      <c r="AX191" s="70">
        <v>673.91099999999994</v>
      </c>
      <c r="AY191" s="70">
        <v>1112.77</v>
      </c>
      <c r="AZ191" s="70">
        <v>1022.776</v>
      </c>
      <c r="BA191" s="70">
        <v>1113.105</v>
      </c>
      <c r="BB191" s="70">
        <v>1213.9390000000001</v>
      </c>
      <c r="BC191" s="70">
        <v>1449.2280000000001</v>
      </c>
      <c r="BD191" s="59">
        <v>1447.645</v>
      </c>
      <c r="BE191" s="59">
        <v>1200.44</v>
      </c>
      <c r="BF191" s="59">
        <v>870.41099999999994</v>
      </c>
      <c r="BG191" s="59">
        <v>1215.356</v>
      </c>
      <c r="BH191" s="59">
        <v>710.82299999999998</v>
      </c>
      <c r="BI191" s="59">
        <v>1089.933</v>
      </c>
      <c r="BJ191" s="58">
        <f t="shared" si="177"/>
        <v>-4343.0761290230275</v>
      </c>
      <c r="BK191" s="58">
        <f t="shared" si="177"/>
        <v>-5264.7397293125678</v>
      </c>
      <c r="BL191" s="58">
        <f t="shared" si="177"/>
        <v>-4839.1653202279276</v>
      </c>
      <c r="BM191" s="58">
        <f t="shared" si="177"/>
        <v>-5163.9674477591807</v>
      </c>
      <c r="BN191" s="58">
        <f t="shared" si="177"/>
        <v>-5141.5976017670237</v>
      </c>
      <c r="BO191" s="58">
        <f t="shared" si="177"/>
        <v>-5262.7966060287381</v>
      </c>
      <c r="BP191" s="58">
        <f t="shared" si="177"/>
        <v>-4676.0982227311861</v>
      </c>
      <c r="BQ191" s="58">
        <f t="shared" si="177"/>
        <v>-4838.4941284313936</v>
      </c>
      <c r="BR191" s="58">
        <f t="shared" si="177"/>
        <v>-4808.1730847068875</v>
      </c>
      <c r="BS191" s="58" t="e">
        <f t="shared" si="177"/>
        <v>#DIV/0!</v>
      </c>
      <c r="BT191" s="58" t="e">
        <f t="shared" si="177"/>
        <v>#DIV/0!</v>
      </c>
      <c r="BU191" s="58" t="e">
        <f t="shared" si="177"/>
        <v>#DIV/0!</v>
      </c>
    </row>
    <row r="192" spans="1:73">
      <c r="A192" s="4" t="s">
        <v>105</v>
      </c>
      <c r="B192" s="56"/>
      <c r="C192" s="57">
        <f t="shared" si="175"/>
        <v>0</v>
      </c>
      <c r="D192" s="57">
        <f t="shared" si="175"/>
        <v>0</v>
      </c>
      <c r="E192" s="57">
        <f t="shared" si="175"/>
        <v>2.9222296941167918</v>
      </c>
      <c r="F192" s="57">
        <f t="shared" si="175"/>
        <v>8.7666890823503749</v>
      </c>
      <c r="G192" s="57">
        <f t="shared" si="175"/>
        <v>0</v>
      </c>
      <c r="H192" s="57">
        <f t="shared" si="175"/>
        <v>0</v>
      </c>
      <c r="I192" s="57">
        <f t="shared" si="175"/>
        <v>5.8444593882335836</v>
      </c>
      <c r="J192" s="57">
        <f t="shared" si="175"/>
        <v>5.8444593882335836</v>
      </c>
      <c r="K192" s="57">
        <f t="shared" si="175"/>
        <v>5.8444593882335836</v>
      </c>
      <c r="L192" s="57">
        <f t="shared" si="175"/>
        <v>87.666890823503749</v>
      </c>
      <c r="M192" s="69">
        <v>17.760999999999999</v>
      </c>
      <c r="N192" s="69">
        <v>32.743000000000002</v>
      </c>
      <c r="O192" s="69">
        <v>32.277999999999999</v>
      </c>
      <c r="P192" s="69">
        <v>38.695999999999998</v>
      </c>
      <c r="Q192" s="69">
        <v>39.305999999999997</v>
      </c>
      <c r="R192" s="69">
        <v>29.103999999999999</v>
      </c>
      <c r="S192" s="69">
        <v>61.84</v>
      </c>
      <c r="T192" s="69">
        <v>91.016999999999996</v>
      </c>
      <c r="U192" s="69">
        <v>84.331000000000003</v>
      </c>
      <c r="V192" s="69">
        <v>215.24100000000001</v>
      </c>
      <c r="W192" s="69">
        <v>148.95599999999999</v>
      </c>
      <c r="X192" s="69">
        <v>160.81800000000001</v>
      </c>
      <c r="Y192" s="69">
        <v>231.45099999999999</v>
      </c>
      <c r="Z192" s="69">
        <v>248.52500000000001</v>
      </c>
      <c r="AA192" s="69">
        <v>265.22199999999998</v>
      </c>
      <c r="AB192" s="69">
        <v>436.4</v>
      </c>
      <c r="AC192" s="69">
        <v>415.90300000000002</v>
      </c>
      <c r="AD192" s="69">
        <v>420.66399999999999</v>
      </c>
      <c r="AE192" s="70">
        <v>592.99099999999999</v>
      </c>
      <c r="AF192" s="70">
        <v>408.17</v>
      </c>
      <c r="AG192" s="70">
        <v>355.52699999999999</v>
      </c>
      <c r="AH192" s="70">
        <v>375.91899999999998</v>
      </c>
      <c r="AI192" s="70">
        <v>299.26900000000001</v>
      </c>
      <c r="AJ192" s="70">
        <v>458.55099999999999</v>
      </c>
      <c r="AK192" s="70">
        <v>412.61599999999999</v>
      </c>
      <c r="AL192" s="70">
        <v>535.86800000000005</v>
      </c>
      <c r="AM192" s="70">
        <v>404.29199999999997</v>
      </c>
      <c r="AN192" s="70">
        <v>793.09</v>
      </c>
      <c r="AO192" s="70">
        <v>548.76</v>
      </c>
      <c r="AP192" s="70">
        <v>741.41499999999996</v>
      </c>
      <c r="AQ192" s="70">
        <v>822.90899999999999</v>
      </c>
      <c r="AR192" s="70">
        <v>630.67600000000004</v>
      </c>
      <c r="AS192" s="70">
        <v>793.37</v>
      </c>
      <c r="AT192" s="70">
        <v>989.49</v>
      </c>
      <c r="AU192" s="70">
        <v>622.59900000000005</v>
      </c>
      <c r="AV192" s="70">
        <v>726.78800000000001</v>
      </c>
      <c r="AW192" s="70">
        <v>762.428</v>
      </c>
      <c r="AX192" s="70">
        <v>611.91099999999994</v>
      </c>
      <c r="AY192" s="70">
        <v>614.19500000000005</v>
      </c>
      <c r="AZ192" s="70">
        <v>962.11699999999996</v>
      </c>
      <c r="BA192" s="70">
        <v>1314.4860000000001</v>
      </c>
      <c r="BB192" s="70">
        <v>1040.1010000000001</v>
      </c>
      <c r="BC192" s="103">
        <v>1286.096</v>
      </c>
      <c r="BD192" s="59">
        <v>1486.13</v>
      </c>
      <c r="BE192" s="59">
        <v>1494.414</v>
      </c>
      <c r="BF192" s="59">
        <v>1143.799</v>
      </c>
      <c r="BG192" s="59">
        <v>1029.143</v>
      </c>
      <c r="BH192" s="59">
        <v>1076.8889999999999</v>
      </c>
      <c r="BI192" s="59">
        <v>802.95600000000002</v>
      </c>
      <c r="BJ192" s="58">
        <f t="shared" si="177"/>
        <v>-4637.8916680778502</v>
      </c>
      <c r="BK192" s="58">
        <f t="shared" si="177"/>
        <v>-5284.7214607652122</v>
      </c>
      <c r="BL192" s="58">
        <f t="shared" si="177"/>
        <v>-5276.8006032700814</v>
      </c>
      <c r="BM192" s="58">
        <f t="shared" si="177"/>
        <v>-5321.9996463643329</v>
      </c>
      <c r="BN192" s="58">
        <f t="shared" si="177"/>
        <v>-5271.2827540065136</v>
      </c>
      <c r="BO192" s="58">
        <f t="shared" si="177"/>
        <v>-5691.6592564802459</v>
      </c>
      <c r="BP192" s="58">
        <f t="shared" si="177"/>
        <v>-4692.9467471356156</v>
      </c>
      <c r="BQ192" s="58">
        <f t="shared" si="177"/>
        <v>-5072.4365285115118</v>
      </c>
      <c r="BR192" s="58">
        <f t="shared" si="177"/>
        <v>-4965.220612391513</v>
      </c>
      <c r="BS192" s="58" t="e">
        <f t="shared" si="177"/>
        <v>#DIV/0!</v>
      </c>
      <c r="BT192" s="58" t="e">
        <f t="shared" si="177"/>
        <v>#DIV/0!</v>
      </c>
      <c r="BU192" s="58" t="e">
        <f t="shared" si="177"/>
        <v>#DIV/0!</v>
      </c>
    </row>
    <row r="193" spans="1:73">
      <c r="A193" s="4" t="s">
        <v>106</v>
      </c>
      <c r="B193" s="56"/>
      <c r="C193" s="57">
        <f t="shared" si="175"/>
        <v>0</v>
      </c>
      <c r="D193" s="57">
        <f t="shared" si="175"/>
        <v>0</v>
      </c>
      <c r="E193" s="57">
        <f t="shared" si="175"/>
        <v>3.212391632285855</v>
      </c>
      <c r="F193" s="57">
        <f t="shared" si="175"/>
        <v>9.6371748968575659</v>
      </c>
      <c r="G193" s="57">
        <f t="shared" si="175"/>
        <v>0</v>
      </c>
      <c r="H193" s="57">
        <f t="shared" si="175"/>
        <v>0</v>
      </c>
      <c r="I193" s="57">
        <f t="shared" si="175"/>
        <v>6.42478326457171</v>
      </c>
      <c r="J193" s="57">
        <f t="shared" si="175"/>
        <v>6.42478326457171</v>
      </c>
      <c r="K193" s="57">
        <f t="shared" si="175"/>
        <v>6.42478326457171</v>
      </c>
      <c r="L193" s="57">
        <f t="shared" si="175"/>
        <v>96.371748968575645</v>
      </c>
      <c r="M193" s="69">
        <v>23.094000000000001</v>
      </c>
      <c r="N193" s="69">
        <v>45.972999999999999</v>
      </c>
      <c r="O193" s="69">
        <v>26.135000000000002</v>
      </c>
      <c r="P193" s="69">
        <v>34.145000000000003</v>
      </c>
      <c r="Q193" s="69">
        <v>47.402000000000001</v>
      </c>
      <c r="R193" s="69">
        <v>29.672000000000001</v>
      </c>
      <c r="S193" s="69">
        <v>90.527000000000001</v>
      </c>
      <c r="T193" s="69">
        <v>141.179</v>
      </c>
      <c r="U193" s="69">
        <v>135.864</v>
      </c>
      <c r="V193" s="69">
        <v>253.48099999999999</v>
      </c>
      <c r="W193" s="69">
        <v>191.357</v>
      </c>
      <c r="X193" s="69">
        <v>128.607</v>
      </c>
      <c r="Y193" s="69">
        <v>332.46</v>
      </c>
      <c r="Z193" s="69">
        <v>251.297</v>
      </c>
      <c r="AA193" s="69">
        <v>271.02199999999999</v>
      </c>
      <c r="AB193" s="69">
        <v>444.23700000000002</v>
      </c>
      <c r="AC193" s="69">
        <v>470.83300000000003</v>
      </c>
      <c r="AD193" s="69">
        <v>429.28699999999998</v>
      </c>
      <c r="AE193" s="70">
        <v>526.53800000000001</v>
      </c>
      <c r="AF193" s="70">
        <v>565.21400000000006</v>
      </c>
      <c r="AG193" s="70">
        <v>523.82100000000003</v>
      </c>
      <c r="AH193" s="70">
        <v>323.88299999999998</v>
      </c>
      <c r="AI193" s="70">
        <v>251.05500000000001</v>
      </c>
      <c r="AJ193" s="70">
        <v>414.91300000000001</v>
      </c>
      <c r="AK193" s="70">
        <v>720.85500000000002</v>
      </c>
      <c r="AL193" s="70">
        <v>501.20100000000002</v>
      </c>
      <c r="AM193" s="70">
        <v>507.13099999999997</v>
      </c>
      <c r="AN193" s="70">
        <v>801.94899999999996</v>
      </c>
      <c r="AO193" s="70">
        <v>624.99400000000003</v>
      </c>
      <c r="AP193" s="70">
        <v>616.02300000000002</v>
      </c>
      <c r="AQ193" s="70">
        <v>923.29</v>
      </c>
      <c r="AR193" s="70">
        <v>1030.521</v>
      </c>
      <c r="AS193" s="70">
        <v>1133.604</v>
      </c>
      <c r="AT193" s="70">
        <v>1051.4960000000001</v>
      </c>
      <c r="AU193" s="70">
        <v>790.04399999999998</v>
      </c>
      <c r="AV193" s="70">
        <v>769.05100000000004</v>
      </c>
      <c r="AW193" s="70">
        <v>990.87400000000002</v>
      </c>
      <c r="AX193" s="70">
        <v>833.96799999999996</v>
      </c>
      <c r="AY193" s="70">
        <v>714.43899999999996</v>
      </c>
      <c r="AZ193" s="70">
        <v>832.75</v>
      </c>
      <c r="BA193" s="70">
        <v>1011.431</v>
      </c>
      <c r="BB193" s="70">
        <v>1317.579</v>
      </c>
      <c r="BC193" s="103">
        <v>1194.827</v>
      </c>
      <c r="BD193" s="59">
        <v>1060.8979999999999</v>
      </c>
      <c r="BE193" s="59">
        <v>1137.2650000000001</v>
      </c>
      <c r="BF193" s="59">
        <v>955.1</v>
      </c>
      <c r="BG193" s="59">
        <v>887.20299999999997</v>
      </c>
      <c r="BH193" s="59">
        <v>1319.742</v>
      </c>
      <c r="BI193" s="59">
        <v>764.803</v>
      </c>
      <c r="BJ193" s="58">
        <f t="shared" si="177"/>
        <v>-4109.8638259207992</v>
      </c>
      <c r="BK193" s="58">
        <f t="shared" si="177"/>
        <v>-4811.3692928883429</v>
      </c>
      <c r="BL193" s="58">
        <f t="shared" si="177"/>
        <v>-4760.7347667786817</v>
      </c>
      <c r="BM193" s="58">
        <f t="shared" si="177"/>
        <v>-4835.8014268217867</v>
      </c>
      <c r="BN193" s="58">
        <f t="shared" si="177"/>
        <v>-4803.2983823603481</v>
      </c>
      <c r="BO193" s="58">
        <f t="shared" si="177"/>
        <v>-5233.2441221137142</v>
      </c>
      <c r="BP193" s="58">
        <f t="shared" si="177"/>
        <v>-4123.1804044699938</v>
      </c>
      <c r="BQ193" s="58">
        <f t="shared" si="177"/>
        <v>-4508.9967052887523</v>
      </c>
      <c r="BR193" s="58">
        <f t="shared" si="177"/>
        <v>-4301.8851522444793</v>
      </c>
      <c r="BS193" s="58" t="e">
        <f t="shared" si="177"/>
        <v>#DIV/0!</v>
      </c>
      <c r="BT193" s="58" t="e">
        <f t="shared" si="177"/>
        <v>#DIV/0!</v>
      </c>
      <c r="BU193" s="58" t="e">
        <f t="shared" si="177"/>
        <v>#DIV/0!</v>
      </c>
    </row>
    <row r="194" spans="1:73">
      <c r="A194" s="4" t="s">
        <v>107</v>
      </c>
      <c r="B194" s="56"/>
      <c r="C194" s="57">
        <f t="shared" si="175"/>
        <v>0</v>
      </c>
      <c r="D194" s="57">
        <f t="shared" si="175"/>
        <v>0</v>
      </c>
      <c r="E194" s="57">
        <f t="shared" si="175"/>
        <v>2.8597444612057217</v>
      </c>
      <c r="F194" s="57">
        <f t="shared" si="175"/>
        <v>8.579233383617165</v>
      </c>
      <c r="G194" s="57">
        <f t="shared" si="175"/>
        <v>0</v>
      </c>
      <c r="H194" s="57">
        <f t="shared" si="175"/>
        <v>0</v>
      </c>
      <c r="I194" s="57">
        <f t="shared" si="175"/>
        <v>5.7194889224114434</v>
      </c>
      <c r="J194" s="57">
        <f t="shared" si="175"/>
        <v>5.7194889224114434</v>
      </c>
      <c r="K194" s="57">
        <f t="shared" si="175"/>
        <v>5.7194889224114434</v>
      </c>
      <c r="L194" s="57">
        <f t="shared" si="175"/>
        <v>85.79233383617165</v>
      </c>
      <c r="M194" s="69">
        <v>28.481000000000002</v>
      </c>
      <c r="N194" s="69">
        <v>56.787999999999997</v>
      </c>
      <c r="O194" s="69">
        <v>13.445</v>
      </c>
      <c r="P194" s="69">
        <v>30.023</v>
      </c>
      <c r="Q194" s="69">
        <v>28.609000000000002</v>
      </c>
      <c r="R194" s="69">
        <v>16.148</v>
      </c>
      <c r="S194" s="69">
        <v>53.31</v>
      </c>
      <c r="T194" s="69">
        <v>120.947</v>
      </c>
      <c r="U194" s="69">
        <v>147.28299999999999</v>
      </c>
      <c r="V194" s="69">
        <v>218.57</v>
      </c>
      <c r="W194" s="69">
        <v>176.83099999999999</v>
      </c>
      <c r="X194" s="69">
        <v>184.2</v>
      </c>
      <c r="Y194" s="69">
        <v>254.50299999999999</v>
      </c>
      <c r="Z194" s="69">
        <v>353.69299999999998</v>
      </c>
      <c r="AA194" s="69">
        <v>422.55900000000003</v>
      </c>
      <c r="AB194" s="69">
        <v>416.48700000000002</v>
      </c>
      <c r="AC194" s="69">
        <v>534.04300000000001</v>
      </c>
      <c r="AD194" s="69">
        <v>400.67500000000001</v>
      </c>
      <c r="AE194" s="70">
        <v>492.404</v>
      </c>
      <c r="AF194" s="70">
        <v>667.82399999999996</v>
      </c>
      <c r="AG194" s="70">
        <v>413.82</v>
      </c>
      <c r="AH194" s="70">
        <v>338.61700000000002</v>
      </c>
      <c r="AI194" s="70">
        <v>272.43299999999999</v>
      </c>
      <c r="AJ194" s="70">
        <v>308.14600000000002</v>
      </c>
      <c r="AK194" s="70">
        <v>685.07</v>
      </c>
      <c r="AL194" s="70">
        <v>530.13099999999997</v>
      </c>
      <c r="AM194" s="70">
        <v>487.56400000000002</v>
      </c>
      <c r="AN194" s="70">
        <v>687.279</v>
      </c>
      <c r="AO194" s="70">
        <v>667.98599999999999</v>
      </c>
      <c r="AP194" s="70">
        <v>805.48800000000006</v>
      </c>
      <c r="AQ194" s="70">
        <v>704</v>
      </c>
      <c r="AR194" s="70">
        <v>989.55100000000004</v>
      </c>
      <c r="AS194" s="70">
        <v>899.923</v>
      </c>
      <c r="AT194" s="70">
        <v>603.56799999999998</v>
      </c>
      <c r="AU194" s="70">
        <v>711.00900000000001</v>
      </c>
      <c r="AV194" s="70">
        <v>827.49699999999996</v>
      </c>
      <c r="AW194" s="70">
        <v>903.58399999999995</v>
      </c>
      <c r="AX194" s="70">
        <v>890.18100000000004</v>
      </c>
      <c r="AY194" s="70">
        <v>880.07799999999997</v>
      </c>
      <c r="AZ194" s="70">
        <v>856.85400000000004</v>
      </c>
      <c r="BA194" s="70">
        <v>857.21699999999998</v>
      </c>
      <c r="BB194" s="70">
        <v>1303.8499999999999</v>
      </c>
      <c r="BC194" s="103">
        <v>1284.722</v>
      </c>
      <c r="BD194" s="103">
        <v>1122.8209999999999</v>
      </c>
      <c r="BE194" s="59">
        <v>1083.6659999999999</v>
      </c>
      <c r="BF194" s="59">
        <v>1026.519</v>
      </c>
      <c r="BG194" s="59">
        <v>978.51499999999999</v>
      </c>
      <c r="BH194" s="59">
        <v>987.97799999999995</v>
      </c>
      <c r="BI194" s="59">
        <v>821.71799999999996</v>
      </c>
      <c r="BJ194" s="58">
        <f t="shared" si="177"/>
        <v>-3559.4747534021849</v>
      </c>
      <c r="BK194" s="58">
        <f t="shared" si="177"/>
        <v>-4425.6800302103675</v>
      </c>
      <c r="BL194" s="58">
        <f t="shared" si="177"/>
        <v>-4156.8561807138558</v>
      </c>
      <c r="BM194" s="58">
        <f t="shared" si="177"/>
        <v>-4191.1301213350998</v>
      </c>
      <c r="BN194" s="58">
        <f t="shared" si="177"/>
        <v>-4098.2628899984411</v>
      </c>
      <c r="BO194" s="58">
        <f t="shared" si="177"/>
        <v>-4520.9469071306421</v>
      </c>
      <c r="BP194" s="58">
        <f t="shared" si="177"/>
        <v>-3284.1743528846218</v>
      </c>
      <c r="BQ194" s="58">
        <f t="shared" si="177"/>
        <v>-3729.6941945231429</v>
      </c>
      <c r="BR194" s="58">
        <f t="shared" si="177"/>
        <v>-3473.609726162681</v>
      </c>
      <c r="BS194" s="58" t="e">
        <f t="shared" si="177"/>
        <v>#DIV/0!</v>
      </c>
      <c r="BT194" s="58" t="e">
        <f t="shared" si="177"/>
        <v>#DIV/0!</v>
      </c>
      <c r="BU194" s="58" t="e">
        <f t="shared" si="177"/>
        <v>#DIV/0!</v>
      </c>
    </row>
    <row r="195" spans="1:73">
      <c r="A195" s="4" t="s">
        <v>108</v>
      </c>
      <c r="B195" s="56"/>
      <c r="C195" s="57">
        <f t="shared" si="175"/>
        <v>0</v>
      </c>
      <c r="D195" s="57">
        <f t="shared" si="175"/>
        <v>0</v>
      </c>
      <c r="E195" s="57">
        <f t="shared" si="175"/>
        <v>3.056614747096563</v>
      </c>
      <c r="F195" s="57">
        <f t="shared" si="175"/>
        <v>9.1698442412896881</v>
      </c>
      <c r="G195" s="57">
        <f t="shared" si="175"/>
        <v>0</v>
      </c>
      <c r="H195" s="57">
        <f t="shared" si="175"/>
        <v>0</v>
      </c>
      <c r="I195" s="57">
        <f t="shared" si="175"/>
        <v>6.113229494193126</v>
      </c>
      <c r="J195" s="57">
        <f t="shared" si="175"/>
        <v>6.113229494193126</v>
      </c>
      <c r="K195" s="57">
        <f t="shared" si="175"/>
        <v>6.113229494193126</v>
      </c>
      <c r="L195" s="57">
        <f t="shared" si="175"/>
        <v>91.698442412896895</v>
      </c>
      <c r="M195" s="69">
        <v>34.503</v>
      </c>
      <c r="N195" s="69">
        <v>46.009</v>
      </c>
      <c r="O195" s="69">
        <v>22.803999999999998</v>
      </c>
      <c r="P195" s="69">
        <v>38.347999999999999</v>
      </c>
      <c r="Q195" s="69">
        <v>26.513999999999999</v>
      </c>
      <c r="R195" s="69">
        <v>39.274999999999999</v>
      </c>
      <c r="S195" s="69">
        <v>75.504999999999995</v>
      </c>
      <c r="T195" s="69">
        <v>126.074</v>
      </c>
      <c r="U195" s="69">
        <v>160.846</v>
      </c>
      <c r="V195" s="69">
        <v>161.63900000000001</v>
      </c>
      <c r="W195" s="69">
        <v>229.99799999999999</v>
      </c>
      <c r="X195" s="69">
        <v>208.65100000000001</v>
      </c>
      <c r="Y195" s="69">
        <v>218.97399999999999</v>
      </c>
      <c r="Z195" s="69">
        <v>455.63099999999997</v>
      </c>
      <c r="AA195" s="69">
        <v>291.661</v>
      </c>
      <c r="AB195" s="69">
        <v>409.83499999999998</v>
      </c>
      <c r="AC195" s="69">
        <v>558.25199999999995</v>
      </c>
      <c r="AD195" s="69">
        <v>513.41899999999998</v>
      </c>
      <c r="AE195" s="70">
        <v>537.95899999999995</v>
      </c>
      <c r="AF195" s="70">
        <v>644.55100000000004</v>
      </c>
      <c r="AG195" s="70">
        <v>520.86900000000003</v>
      </c>
      <c r="AH195" s="70">
        <v>288.80900000000003</v>
      </c>
      <c r="AI195" s="70">
        <v>323.70299999999997</v>
      </c>
      <c r="AJ195" s="70">
        <v>614.92899999999997</v>
      </c>
      <c r="AK195" s="70">
        <v>562.69600000000003</v>
      </c>
      <c r="AL195" s="70">
        <v>495.77499999999998</v>
      </c>
      <c r="AM195" s="70">
        <v>284.49799999999999</v>
      </c>
      <c r="AN195" s="70">
        <v>605.09400000000005</v>
      </c>
      <c r="AO195" s="70">
        <v>787.67399999999998</v>
      </c>
      <c r="AP195" s="70">
        <v>913.63900000000001</v>
      </c>
      <c r="AQ195" s="70">
        <v>463.08100000000002</v>
      </c>
      <c r="AR195" s="70">
        <v>945.72299999999996</v>
      </c>
      <c r="AS195" s="70">
        <v>772.94399999999996</v>
      </c>
      <c r="AT195" s="70">
        <v>638.91099999999994</v>
      </c>
      <c r="AU195" s="70">
        <v>790.51099999999997</v>
      </c>
      <c r="AV195" s="70">
        <v>948.04399999999998</v>
      </c>
      <c r="AW195" s="70">
        <v>1048.049</v>
      </c>
      <c r="AX195" s="70">
        <v>732.43200000000002</v>
      </c>
      <c r="AY195" s="70">
        <v>954.69100000000003</v>
      </c>
      <c r="AZ195" s="70">
        <v>858.06100000000004</v>
      </c>
      <c r="BA195" s="70">
        <v>1101.954</v>
      </c>
      <c r="BB195" s="70">
        <v>1227.0889999999999</v>
      </c>
      <c r="BC195" s="103">
        <v>1183.2449999999999</v>
      </c>
      <c r="BD195" s="59">
        <v>1344.194</v>
      </c>
      <c r="BE195" s="59">
        <v>762.63300000000004</v>
      </c>
      <c r="BF195" s="59">
        <v>954.97</v>
      </c>
      <c r="BG195" s="59">
        <v>765.88199999999995</v>
      </c>
      <c r="BH195" s="59">
        <v>686.654</v>
      </c>
      <c r="BI195" s="59">
        <v>843.08600000000001</v>
      </c>
      <c r="BJ195" s="58">
        <f t="shared" si="177"/>
        <v>-3616.5636044405251</v>
      </c>
      <c r="BK195" s="58">
        <f t="shared" si="177"/>
        <v>-4961.8402139099408</v>
      </c>
      <c r="BL195" s="58">
        <f t="shared" si="177"/>
        <v>-4411.317213383225</v>
      </c>
      <c r="BM195" s="58">
        <f t="shared" si="177"/>
        <v>-4491.2501374767126</v>
      </c>
      <c r="BN195" s="58">
        <f t="shared" si="177"/>
        <v>-4397.000254964436</v>
      </c>
      <c r="BO195" s="58">
        <f t="shared" si="177"/>
        <v>-4860.0689153364201</v>
      </c>
      <c r="BP195" s="58">
        <f t="shared" si="177"/>
        <v>-3535.9145489966122</v>
      </c>
      <c r="BQ195" s="58">
        <f t="shared" si="177"/>
        <v>-4082.9209602637357</v>
      </c>
      <c r="BR195" s="58">
        <f t="shared" si="177"/>
        <v>-3811.6434276002692</v>
      </c>
      <c r="BS195" s="58" t="e">
        <f t="shared" si="177"/>
        <v>#DIV/0!</v>
      </c>
      <c r="BT195" s="58" t="e">
        <f t="shared" si="177"/>
        <v>#DIV/0!</v>
      </c>
      <c r="BU195" s="58" t="e">
        <f t="shared" si="177"/>
        <v>#DIV/0!</v>
      </c>
    </row>
    <row r="196" spans="1:73">
      <c r="A196" s="4" t="s">
        <v>109</v>
      </c>
      <c r="B196" s="56"/>
      <c r="C196" s="57">
        <f t="shared" si="175"/>
        <v>0</v>
      </c>
      <c r="D196" s="57">
        <f t="shared" si="175"/>
        <v>0</v>
      </c>
      <c r="E196" s="57">
        <f t="shared" si="175"/>
        <v>2.5616946256883737</v>
      </c>
      <c r="F196" s="57">
        <f t="shared" si="175"/>
        <v>7.6850838770651215</v>
      </c>
      <c r="G196" s="57">
        <f t="shared" si="175"/>
        <v>0</v>
      </c>
      <c r="H196" s="57">
        <f t="shared" si="175"/>
        <v>0</v>
      </c>
      <c r="I196" s="57">
        <f t="shared" si="175"/>
        <v>5.1233892513767474</v>
      </c>
      <c r="J196" s="57">
        <f t="shared" si="175"/>
        <v>5.1233892513767474</v>
      </c>
      <c r="K196" s="57">
        <f t="shared" si="175"/>
        <v>5.1233892513767474</v>
      </c>
      <c r="L196" s="57">
        <f t="shared" si="175"/>
        <v>76.850838770651208</v>
      </c>
      <c r="M196" s="69">
        <v>29.062999999999999</v>
      </c>
      <c r="N196" s="69">
        <v>42.067</v>
      </c>
      <c r="O196" s="69">
        <v>24.033999999999999</v>
      </c>
      <c r="P196" s="69">
        <v>31.943999999999999</v>
      </c>
      <c r="Q196" s="69">
        <v>13.839</v>
      </c>
      <c r="R196" s="69">
        <v>36.247999999999998</v>
      </c>
      <c r="S196" s="69">
        <v>31.14</v>
      </c>
      <c r="T196" s="69">
        <v>110.601</v>
      </c>
      <c r="U196" s="69">
        <v>156.16200000000001</v>
      </c>
      <c r="V196" s="69">
        <v>188.33799999999999</v>
      </c>
      <c r="W196" s="69">
        <v>269.52300000000002</v>
      </c>
      <c r="X196" s="69">
        <v>151.48400000000001</v>
      </c>
      <c r="Y196" s="69">
        <v>141.73699999999999</v>
      </c>
      <c r="Z196" s="69">
        <v>416.50799999999998</v>
      </c>
      <c r="AA196" s="69">
        <v>333.66199999999998</v>
      </c>
      <c r="AB196" s="69">
        <v>410.15899999999999</v>
      </c>
      <c r="AC196" s="69">
        <v>445.78199999999998</v>
      </c>
      <c r="AD196" s="69">
        <v>363.52499999999998</v>
      </c>
      <c r="AE196" s="70">
        <v>406.42399999999998</v>
      </c>
      <c r="AF196" s="70">
        <v>492.19900000000001</v>
      </c>
      <c r="AG196" s="70">
        <v>485.49700000000001</v>
      </c>
      <c r="AH196" s="70">
        <v>335.27300000000002</v>
      </c>
      <c r="AI196" s="70">
        <v>239.41200000000001</v>
      </c>
      <c r="AJ196" s="70">
        <v>550.85299999999995</v>
      </c>
      <c r="AK196" s="70">
        <v>484.24400000000003</v>
      </c>
      <c r="AL196" s="70">
        <v>332.25799999999998</v>
      </c>
      <c r="AM196" s="70">
        <v>379</v>
      </c>
      <c r="AN196" s="70">
        <v>749.56600000000003</v>
      </c>
      <c r="AO196" s="70">
        <v>604.92100000000005</v>
      </c>
      <c r="AP196" s="70">
        <v>469.67399999999998</v>
      </c>
      <c r="AQ196" s="70">
        <v>673.22</v>
      </c>
      <c r="AR196" s="70">
        <v>661.36300000000006</v>
      </c>
      <c r="AS196" s="70">
        <v>1012.328</v>
      </c>
      <c r="AT196" s="70">
        <v>545.78</v>
      </c>
      <c r="AU196" s="70">
        <v>653.92100000000005</v>
      </c>
      <c r="AV196" s="70">
        <v>964.49199999999996</v>
      </c>
      <c r="AW196" s="70">
        <v>964.803</v>
      </c>
      <c r="AX196" s="70">
        <v>760.59900000000005</v>
      </c>
      <c r="AY196" s="70">
        <v>495.97399999999999</v>
      </c>
      <c r="AZ196" s="70">
        <v>805.04499999999996</v>
      </c>
      <c r="BA196" s="70">
        <v>855.298</v>
      </c>
      <c r="BB196" s="70">
        <v>1508.6479999999999</v>
      </c>
      <c r="BC196" s="103">
        <v>916.39</v>
      </c>
      <c r="BD196" s="59">
        <v>1269.3969999999999</v>
      </c>
      <c r="BE196" s="59">
        <v>551.39300000000003</v>
      </c>
      <c r="BF196" s="59">
        <v>706.298</v>
      </c>
      <c r="BG196" s="59">
        <v>691.65</v>
      </c>
      <c r="BH196" s="59">
        <v>454.31900000000002</v>
      </c>
      <c r="BI196" s="59">
        <v>785.83500000000004</v>
      </c>
      <c r="BJ196" s="58">
        <f t="shared" si="177"/>
        <v>-3011.9233865736187</v>
      </c>
      <c r="BK196" s="58">
        <f t="shared" si="177"/>
        <v>-5125.4521772790504</v>
      </c>
      <c r="BL196" s="58">
        <f t="shared" si="177"/>
        <v>-3796.8294108810205</v>
      </c>
      <c r="BM196" s="58">
        <f t="shared" si="177"/>
        <v>-3936.9779491140143</v>
      </c>
      <c r="BN196" s="58">
        <f t="shared" si="177"/>
        <v>-3961.9445519936326</v>
      </c>
      <c r="BO196" s="58">
        <f t="shared" si="177"/>
        <v>-4457.9043665889276</v>
      </c>
      <c r="BP196" s="58">
        <f t="shared" si="177"/>
        <v>-2997.066799792115</v>
      </c>
      <c r="BQ196" s="58">
        <f t="shared" si="177"/>
        <v>-3739.4391692383892</v>
      </c>
      <c r="BR196" s="58">
        <f t="shared" si="177"/>
        <v>-3387.4236327791041</v>
      </c>
      <c r="BS196" s="58" t="e">
        <f t="shared" si="177"/>
        <v>#DIV/0!</v>
      </c>
      <c r="BT196" s="58" t="e">
        <f t="shared" si="177"/>
        <v>#DIV/0!</v>
      </c>
      <c r="BU196" s="58" t="e">
        <f t="shared" si="177"/>
        <v>#DIV/0!</v>
      </c>
    </row>
    <row r="197" spans="1:73">
      <c r="A197" s="4" t="s">
        <v>110</v>
      </c>
      <c r="B197" s="56"/>
      <c r="C197" s="57">
        <f t="shared" si="175"/>
        <v>0</v>
      </c>
      <c r="D197" s="57">
        <f t="shared" si="175"/>
        <v>0</v>
      </c>
      <c r="E197" s="57">
        <f t="shared" si="175"/>
        <v>1.6815943003580447</v>
      </c>
      <c r="F197" s="57">
        <f t="shared" si="175"/>
        <v>5.0447829010741341</v>
      </c>
      <c r="G197" s="57">
        <f t="shared" si="175"/>
        <v>0</v>
      </c>
      <c r="H197" s="57">
        <f t="shared" si="175"/>
        <v>0</v>
      </c>
      <c r="I197" s="57">
        <f t="shared" si="175"/>
        <v>3.3631886007160894</v>
      </c>
      <c r="J197" s="57">
        <f t="shared" si="175"/>
        <v>3.3631886007160894</v>
      </c>
      <c r="K197" s="57">
        <f t="shared" si="175"/>
        <v>3.3631886007160894</v>
      </c>
      <c r="L197" s="57">
        <f t="shared" si="175"/>
        <v>50.447829010741344</v>
      </c>
      <c r="M197" s="69">
        <v>18.952000000000002</v>
      </c>
      <c r="N197" s="69">
        <v>25.72</v>
      </c>
      <c r="O197" s="69">
        <v>10.657</v>
      </c>
      <c r="P197" s="69">
        <v>23.405999999999999</v>
      </c>
      <c r="Q197" s="69">
        <v>13.788</v>
      </c>
      <c r="R197" s="69">
        <v>20.088000000000001</v>
      </c>
      <c r="S197" s="69">
        <v>61.951999999999998</v>
      </c>
      <c r="T197" s="69">
        <v>84.891999999999996</v>
      </c>
      <c r="U197" s="69">
        <v>171.49100000000001</v>
      </c>
      <c r="V197" s="69">
        <v>123.361</v>
      </c>
      <c r="W197" s="69">
        <v>173.36199999999999</v>
      </c>
      <c r="X197" s="69">
        <v>133.67500000000001</v>
      </c>
      <c r="Y197" s="69">
        <v>204.89099999999999</v>
      </c>
      <c r="Z197" s="69">
        <v>429.32600000000002</v>
      </c>
      <c r="AA197" s="69">
        <v>303.96600000000001</v>
      </c>
      <c r="AB197" s="69">
        <v>376.029</v>
      </c>
      <c r="AC197" s="69">
        <v>259.04700000000003</v>
      </c>
      <c r="AD197" s="69">
        <v>360.798</v>
      </c>
      <c r="AE197" s="70">
        <v>296.20600000000002</v>
      </c>
      <c r="AF197" s="70">
        <v>449.88600000000002</v>
      </c>
      <c r="AG197" s="70">
        <v>275.56400000000002</v>
      </c>
      <c r="AH197" s="70">
        <v>175.892</v>
      </c>
      <c r="AI197" s="70">
        <v>198.37100000000001</v>
      </c>
      <c r="AJ197" s="70">
        <v>468.69799999999998</v>
      </c>
      <c r="AK197" s="70">
        <v>483.661</v>
      </c>
      <c r="AL197" s="70">
        <v>290.78500000000003</v>
      </c>
      <c r="AM197" s="70">
        <v>394.77499999999998</v>
      </c>
      <c r="AN197" s="70">
        <v>391.74599999999998</v>
      </c>
      <c r="AO197" s="70">
        <v>498.17399999999998</v>
      </c>
      <c r="AP197" s="70">
        <v>466.90300000000002</v>
      </c>
      <c r="AQ197" s="70">
        <v>686.50900000000001</v>
      </c>
      <c r="AR197" s="70">
        <v>506.70499999999998</v>
      </c>
      <c r="AS197" s="70">
        <v>902.59799999999996</v>
      </c>
      <c r="AT197" s="70">
        <v>558.02</v>
      </c>
      <c r="AU197" s="70">
        <v>500.43400000000003</v>
      </c>
      <c r="AV197" s="70">
        <v>1088.087</v>
      </c>
      <c r="AW197" s="70">
        <v>1307.855</v>
      </c>
      <c r="AX197" s="70">
        <v>723.61300000000006</v>
      </c>
      <c r="AY197" s="70">
        <v>467.375</v>
      </c>
      <c r="AZ197" s="70">
        <v>476.49700000000001</v>
      </c>
      <c r="BA197" s="70">
        <v>838.75599999999997</v>
      </c>
      <c r="BB197" s="70">
        <v>880.79300000000001</v>
      </c>
      <c r="BC197" s="103">
        <v>850.68200000000002</v>
      </c>
      <c r="BD197" s="59">
        <v>917.03399999999999</v>
      </c>
      <c r="BE197" s="59">
        <v>348.53699999999998</v>
      </c>
      <c r="BF197" s="59">
        <v>579.20299999999997</v>
      </c>
      <c r="BG197" s="59">
        <v>884.72500000000002</v>
      </c>
      <c r="BH197" s="59">
        <v>388.97300000000001</v>
      </c>
      <c r="BI197" s="59">
        <v>454.31900000000002</v>
      </c>
      <c r="BJ197" s="58">
        <f t="shared" si="177"/>
        <v>-3129.6711676300802</v>
      </c>
      <c r="BK197" s="58">
        <f t="shared" si="177"/>
        <v>-5868.206781198146</v>
      </c>
      <c r="BL197" s="58">
        <f t="shared" si="177"/>
        <v>-4263.8768707247555</v>
      </c>
      <c r="BM197" s="58">
        <f t="shared" si="177"/>
        <v>-4552.09824789288</v>
      </c>
      <c r="BN197" s="58">
        <f t="shared" si="177"/>
        <v>-4827.4228139827565</v>
      </c>
      <c r="BO197" s="58">
        <f t="shared" si="177"/>
        <v>-5094.8786770949582</v>
      </c>
      <c r="BP197" s="58">
        <f t="shared" si="177"/>
        <v>-3683.6829747765696</v>
      </c>
      <c r="BQ197" s="58">
        <f t="shared" si="177"/>
        <v>-4377.693289923227</v>
      </c>
      <c r="BR197" s="58">
        <f t="shared" si="177"/>
        <v>-3999.9549906002017</v>
      </c>
      <c r="BS197" s="58" t="e">
        <f t="shared" si="177"/>
        <v>#DIV/0!</v>
      </c>
      <c r="BT197" s="58" t="e">
        <f t="shared" si="177"/>
        <v>#DIV/0!</v>
      </c>
      <c r="BU197" s="58" t="e">
        <f t="shared" si="177"/>
        <v>#DIV/0!</v>
      </c>
    </row>
    <row r="198" spans="1:73">
      <c r="A198" s="4" t="s">
        <v>111</v>
      </c>
      <c r="B198" s="56"/>
      <c r="C198" s="57">
        <f t="shared" si="175"/>
        <v>0</v>
      </c>
      <c r="D198" s="57">
        <f t="shared" si="175"/>
        <v>0</v>
      </c>
      <c r="E198" s="57">
        <f t="shared" si="175"/>
        <v>1.095200014539903</v>
      </c>
      <c r="F198" s="57">
        <f t="shared" si="175"/>
        <v>3.2856000436197093</v>
      </c>
      <c r="G198" s="57">
        <f t="shared" si="175"/>
        <v>0</v>
      </c>
      <c r="H198" s="57">
        <f t="shared" si="175"/>
        <v>0</v>
      </c>
      <c r="I198" s="57">
        <f t="shared" si="175"/>
        <v>2.190400029079806</v>
      </c>
      <c r="J198" s="57">
        <f t="shared" si="175"/>
        <v>2.190400029079806</v>
      </c>
      <c r="K198" s="57">
        <f t="shared" si="175"/>
        <v>2.190400029079806</v>
      </c>
      <c r="L198" s="57">
        <f t="shared" si="175"/>
        <v>32.856000436197093</v>
      </c>
      <c r="M198" s="69">
        <v>13.202</v>
      </c>
      <c r="N198" s="69">
        <v>19.399999999999999</v>
      </c>
      <c r="O198" s="69">
        <v>5.8029999999999999</v>
      </c>
      <c r="P198" s="69">
        <v>0.246</v>
      </c>
      <c r="Q198" s="69">
        <v>21.608000000000001</v>
      </c>
      <c r="R198" s="69">
        <v>17.059000000000001</v>
      </c>
      <c r="S198" s="69">
        <v>39.475999999999999</v>
      </c>
      <c r="T198" s="69">
        <v>57.335999999999999</v>
      </c>
      <c r="U198" s="69">
        <v>140.06800000000001</v>
      </c>
      <c r="V198" s="69">
        <v>125.658</v>
      </c>
      <c r="W198" s="69">
        <v>64.703000000000003</v>
      </c>
      <c r="X198" s="69">
        <v>56.158000000000001</v>
      </c>
      <c r="Y198" s="69">
        <v>138.85599999999999</v>
      </c>
      <c r="Z198" s="69">
        <v>318.10300000000001</v>
      </c>
      <c r="AA198" s="69">
        <v>122.075</v>
      </c>
      <c r="AB198" s="69">
        <v>431.03100000000001</v>
      </c>
      <c r="AC198" s="69">
        <v>248.428</v>
      </c>
      <c r="AD198" s="69">
        <v>268.72899999999998</v>
      </c>
      <c r="AE198" s="70">
        <v>213.74199999999999</v>
      </c>
      <c r="AF198" s="70">
        <v>204.32599999999999</v>
      </c>
      <c r="AG198" s="70">
        <v>238.006</v>
      </c>
      <c r="AH198" s="70">
        <v>76.906999999999996</v>
      </c>
      <c r="AI198" s="70">
        <v>133.46799999999999</v>
      </c>
      <c r="AJ198" s="70">
        <v>459.55700000000002</v>
      </c>
      <c r="AK198" s="70">
        <v>330.072</v>
      </c>
      <c r="AL198" s="70">
        <v>149.62299999999999</v>
      </c>
      <c r="AM198" s="70">
        <v>268.27100000000002</v>
      </c>
      <c r="AN198" s="70">
        <v>255.82599999999999</v>
      </c>
      <c r="AO198" s="70">
        <v>375.654</v>
      </c>
      <c r="AP198" s="70">
        <v>481.40100000000001</v>
      </c>
      <c r="AQ198" s="70">
        <v>331.69200000000001</v>
      </c>
      <c r="AR198" s="70">
        <v>389.31099999999998</v>
      </c>
      <c r="AS198" s="70">
        <v>523.68299999999999</v>
      </c>
      <c r="AT198" s="70">
        <v>385.03500000000003</v>
      </c>
      <c r="AU198" s="70">
        <v>379.03800000000001</v>
      </c>
      <c r="AV198" s="70">
        <v>617.83699999999999</v>
      </c>
      <c r="AW198" s="70">
        <v>703.39300000000003</v>
      </c>
      <c r="AX198" s="70">
        <v>485.685</v>
      </c>
      <c r="AY198" s="70">
        <v>258.64499999999998</v>
      </c>
      <c r="AZ198" s="70">
        <v>378.98099999999999</v>
      </c>
      <c r="BA198" s="70">
        <v>648.23500000000001</v>
      </c>
      <c r="BB198" s="70">
        <v>592.10400000000004</v>
      </c>
      <c r="BC198" s="103">
        <v>691.02499999999998</v>
      </c>
      <c r="BD198" s="59">
        <v>763.19100000000003</v>
      </c>
      <c r="BE198" s="59">
        <v>518.28700000000003</v>
      </c>
      <c r="BF198" s="59">
        <v>581.65899999999999</v>
      </c>
      <c r="BG198" s="59">
        <v>718.10500000000002</v>
      </c>
      <c r="BH198" s="59">
        <v>328.47500000000002</v>
      </c>
      <c r="BI198" s="58">
        <f>BI197+BI102+BI118+BI150-BI166-BI182</f>
        <v>878.75371837197463</v>
      </c>
      <c r="BJ198" s="58">
        <f t="shared" si="177"/>
        <v>-3126.4996881363854</v>
      </c>
      <c r="BK198" s="58">
        <f t="shared" si="177"/>
        <v>-5794.6013752206118</v>
      </c>
      <c r="BL198" s="58">
        <f t="shared" si="177"/>
        <v>-3905.3229634373479</v>
      </c>
      <c r="BM198" s="58">
        <f t="shared" si="177"/>
        <v>-4166.4592148087586</v>
      </c>
      <c r="BN198" s="58">
        <f t="shared" si="177"/>
        <v>-4398.3719771110846</v>
      </c>
      <c r="BO198" s="58">
        <f t="shared" si="177"/>
        <v>-4876.752822392481</v>
      </c>
      <c r="BP198" s="58">
        <f t="shared" si="177"/>
        <v>-3375.7397853910165</v>
      </c>
      <c r="BQ198" s="58">
        <f t="shared" si="177"/>
        <v>-4038.0971905016968</v>
      </c>
      <c r="BR198" s="58">
        <f t="shared" si="177"/>
        <v>-3650.2905636977407</v>
      </c>
      <c r="BS198" s="58" t="e">
        <f t="shared" si="177"/>
        <v>#DIV/0!</v>
      </c>
      <c r="BT198" s="58" t="e">
        <f t="shared" si="177"/>
        <v>#DIV/0!</v>
      </c>
      <c r="BU198" s="58" t="e">
        <f t="shared" si="177"/>
        <v>#DIV/0!</v>
      </c>
    </row>
    <row r="199" spans="1:73" ht="15.75" thickBot="1">
      <c r="A199" s="4" t="s">
        <v>112</v>
      </c>
      <c r="B199" s="56"/>
      <c r="C199" s="56">
        <v>0</v>
      </c>
      <c r="D199" s="56">
        <v>0</v>
      </c>
      <c r="E199" s="56">
        <v>1</v>
      </c>
      <c r="F199" s="56">
        <v>3</v>
      </c>
      <c r="G199" s="56">
        <v>0</v>
      </c>
      <c r="H199" s="56">
        <v>0</v>
      </c>
      <c r="I199" s="56">
        <v>2</v>
      </c>
      <c r="J199" s="56">
        <v>2</v>
      </c>
      <c r="K199" s="56">
        <v>2</v>
      </c>
      <c r="L199" s="56">
        <v>30</v>
      </c>
      <c r="M199" s="104">
        <v>12.61</v>
      </c>
      <c r="N199" s="104">
        <v>14.731</v>
      </c>
      <c r="O199" s="104">
        <v>4.399</v>
      </c>
      <c r="P199" s="104">
        <v>14.188000000000001</v>
      </c>
      <c r="Q199" s="104">
        <v>9.093</v>
      </c>
      <c r="R199" s="105">
        <v>16</v>
      </c>
      <c r="S199" s="104">
        <v>21.646999999999998</v>
      </c>
      <c r="T199" s="104">
        <v>58.125999999999998</v>
      </c>
      <c r="U199" s="104">
        <v>97.679000000000002</v>
      </c>
      <c r="V199" s="104">
        <v>124.041</v>
      </c>
      <c r="W199" s="104">
        <v>34.051000000000002</v>
      </c>
      <c r="X199" s="104">
        <v>53.499000000000002</v>
      </c>
      <c r="Y199" s="104">
        <v>44.281999999999996</v>
      </c>
      <c r="Z199" s="104">
        <v>153.33000000000001</v>
      </c>
      <c r="AA199" s="104">
        <v>163.05600000000001</v>
      </c>
      <c r="AB199" s="104">
        <v>477.98099999999999</v>
      </c>
      <c r="AC199" s="104">
        <v>136.239</v>
      </c>
      <c r="AD199" s="104">
        <v>54.255000000000003</v>
      </c>
      <c r="AE199" s="106">
        <v>99.745999999999995</v>
      </c>
      <c r="AF199" s="106">
        <v>91.569000000000003</v>
      </c>
      <c r="AG199" s="106">
        <v>121.459</v>
      </c>
      <c r="AH199" s="106">
        <v>103.61</v>
      </c>
      <c r="AI199" s="106">
        <v>126.378</v>
      </c>
      <c r="AJ199" s="106">
        <v>183.04900000000001</v>
      </c>
      <c r="AK199" s="70">
        <v>334.19900000000001</v>
      </c>
      <c r="AL199" s="70">
        <v>263.37599999999998</v>
      </c>
      <c r="AM199" s="70">
        <v>365.65199999999999</v>
      </c>
      <c r="AN199" s="70">
        <v>354.43200000000002</v>
      </c>
      <c r="AO199" s="70">
        <v>387.14100000000002</v>
      </c>
      <c r="AP199" s="70">
        <v>480.89499999999998</v>
      </c>
      <c r="AQ199" s="70">
        <v>389.24</v>
      </c>
      <c r="AR199" s="70">
        <v>736.06899999999996</v>
      </c>
      <c r="AS199" s="70">
        <v>338.10599999999999</v>
      </c>
      <c r="AT199" s="70">
        <v>397.27</v>
      </c>
      <c r="AU199" s="70">
        <v>380.78199999999998</v>
      </c>
      <c r="AV199" s="70">
        <v>782.35500000000002</v>
      </c>
      <c r="AW199" s="70">
        <v>817.86699999999996</v>
      </c>
      <c r="AX199" s="70">
        <v>467.20600000000002</v>
      </c>
      <c r="AY199" s="70">
        <v>693.90800000000002</v>
      </c>
      <c r="AZ199" s="106">
        <v>527.54100000000005</v>
      </c>
      <c r="BA199" s="106">
        <v>707.70399999999995</v>
      </c>
      <c r="BB199" s="70">
        <v>812.72299999999996</v>
      </c>
      <c r="BC199" s="59">
        <v>751.048</v>
      </c>
      <c r="BD199" s="59">
        <v>622.274</v>
      </c>
      <c r="BE199" s="59">
        <v>516.70000000000005</v>
      </c>
      <c r="BF199" s="59">
        <v>519.10199999999998</v>
      </c>
      <c r="BG199" s="59">
        <v>550.68399999999997</v>
      </c>
      <c r="BH199" s="59">
        <v>498.82799999999997</v>
      </c>
      <c r="BI199" s="58">
        <f>BI198+BI103+BI119+BI151-BI167-BI183</f>
        <v>-4446.7192458508525</v>
      </c>
      <c r="BJ199" s="58">
        <f t="shared" si="177"/>
        <v>-3896.719245850853</v>
      </c>
      <c r="BK199" s="58">
        <f t="shared" si="177"/>
        <v>-3896.7192458508557</v>
      </c>
      <c r="BL199" s="58">
        <f t="shared" si="177"/>
        <v>-3896.7192458508516</v>
      </c>
      <c r="BM199" s="58">
        <f t="shared" si="177"/>
        <v>-3946.7192458508457</v>
      </c>
      <c r="BN199" s="58">
        <f t="shared" si="177"/>
        <v>-3946.7192458508439</v>
      </c>
      <c r="BO199" s="58">
        <f t="shared" si="177"/>
        <v>-3946.719245850838</v>
      </c>
      <c r="BP199" s="58">
        <f t="shared" si="177"/>
        <v>-3946.7192458508334</v>
      </c>
      <c r="BQ199" s="58">
        <f t="shared" si="177"/>
        <v>-3946.7192458508362</v>
      </c>
      <c r="BR199" s="58">
        <f t="shared" si="177"/>
        <v>-3946.7192458508262</v>
      </c>
      <c r="BS199" s="58" t="e">
        <f t="shared" si="177"/>
        <v>#DIV/0!</v>
      </c>
      <c r="BT199" s="58" t="e">
        <f t="shared" si="177"/>
        <v>#DIV/0!</v>
      </c>
      <c r="BU199" s="58" t="e">
        <f t="shared" si="177"/>
        <v>#DIV/0!</v>
      </c>
    </row>
    <row r="200" spans="1:73">
      <c r="A200" s="60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1:73" ht="15.75" thickBot="1">
      <c r="A201" s="53" t="s">
        <v>145</v>
      </c>
    </row>
    <row r="202" spans="1:73" s="4" customFormat="1" ht="15.75" thickBot="1">
      <c r="A202" s="54"/>
      <c r="B202" s="63" t="s">
        <v>1</v>
      </c>
      <c r="C202" s="63" t="s">
        <v>2</v>
      </c>
      <c r="D202" s="63" t="s">
        <v>3</v>
      </c>
      <c r="E202" s="63" t="s">
        <v>4</v>
      </c>
      <c r="F202" s="63" t="s">
        <v>5</v>
      </c>
      <c r="G202" s="63" t="s">
        <v>6</v>
      </c>
      <c r="H202" s="63" t="s">
        <v>7</v>
      </c>
      <c r="I202" s="63" t="s">
        <v>8</v>
      </c>
      <c r="J202" s="63" t="s">
        <v>9</v>
      </c>
      <c r="K202" s="63" t="s">
        <v>10</v>
      </c>
      <c r="L202" s="63" t="s">
        <v>11</v>
      </c>
      <c r="M202" s="55" t="s">
        <v>12</v>
      </c>
      <c r="N202" s="55" t="s">
        <v>13</v>
      </c>
      <c r="O202" s="55" t="s">
        <v>14</v>
      </c>
      <c r="P202" s="55" t="s">
        <v>15</v>
      </c>
      <c r="Q202" s="55" t="s">
        <v>16</v>
      </c>
      <c r="R202" s="55" t="s">
        <v>17</v>
      </c>
      <c r="S202" s="55" t="s">
        <v>18</v>
      </c>
      <c r="T202" s="55" t="s">
        <v>19</v>
      </c>
      <c r="U202" s="55" t="s">
        <v>20</v>
      </c>
      <c r="V202" s="55" t="s">
        <v>21</v>
      </c>
      <c r="W202" s="55" t="s">
        <v>22</v>
      </c>
      <c r="X202" s="55" t="s">
        <v>23</v>
      </c>
      <c r="Y202" s="55" t="s">
        <v>24</v>
      </c>
      <c r="Z202" s="55" t="s">
        <v>25</v>
      </c>
      <c r="AA202" s="55" t="s">
        <v>26</v>
      </c>
      <c r="AB202" s="55" t="s">
        <v>27</v>
      </c>
      <c r="AC202" s="55" t="s">
        <v>28</v>
      </c>
      <c r="AD202" s="55" t="s">
        <v>29</v>
      </c>
      <c r="AE202" s="55" t="s">
        <v>30</v>
      </c>
      <c r="AF202" s="55" t="s">
        <v>31</v>
      </c>
      <c r="AG202" s="55" t="s">
        <v>32</v>
      </c>
      <c r="AH202" s="55" t="s">
        <v>33</v>
      </c>
      <c r="AI202" s="55" t="s">
        <v>34</v>
      </c>
      <c r="AJ202" s="55" t="s">
        <v>35</v>
      </c>
      <c r="AK202" s="55" t="s">
        <v>36</v>
      </c>
      <c r="AL202" s="55" t="s">
        <v>37</v>
      </c>
      <c r="AM202" s="55" t="s">
        <v>38</v>
      </c>
      <c r="AN202" s="55" t="s">
        <v>39</v>
      </c>
      <c r="AO202" s="55" t="s">
        <v>40</v>
      </c>
      <c r="AP202" s="55" t="s">
        <v>41</v>
      </c>
      <c r="AQ202" s="55" t="s">
        <v>42</v>
      </c>
      <c r="AR202" s="55" t="s">
        <v>43</v>
      </c>
      <c r="AS202" s="55" t="s">
        <v>44</v>
      </c>
      <c r="AT202" s="55" t="s">
        <v>45</v>
      </c>
      <c r="AU202" s="55" t="s">
        <v>46</v>
      </c>
      <c r="AV202" s="55" t="s">
        <v>47</v>
      </c>
      <c r="AW202" s="55" t="s">
        <v>48</v>
      </c>
      <c r="AX202" s="55" t="s">
        <v>49</v>
      </c>
      <c r="AY202" s="55" t="s">
        <v>50</v>
      </c>
      <c r="AZ202" s="55" t="s">
        <v>51</v>
      </c>
      <c r="BA202" s="55" t="s">
        <v>52</v>
      </c>
      <c r="BB202" s="55" t="s">
        <v>53</v>
      </c>
      <c r="BC202" s="55" t="s">
        <v>54</v>
      </c>
      <c r="BD202" s="55" t="s">
        <v>55</v>
      </c>
      <c r="BE202" s="55" t="s">
        <v>56</v>
      </c>
      <c r="BF202" s="55" t="s">
        <v>57</v>
      </c>
      <c r="BG202" s="55" t="str">
        <f t="shared" ref="BG202:BU202" si="178">BH2</f>
        <v>22/23</v>
      </c>
      <c r="BH202" s="55" t="str">
        <f t="shared" si="178"/>
        <v>23/24</v>
      </c>
      <c r="BI202" s="55" t="str">
        <f t="shared" si="178"/>
        <v>24/25</v>
      </c>
      <c r="BJ202" s="55" t="str">
        <f t="shared" si="178"/>
        <v>25/26</v>
      </c>
      <c r="BK202" s="55" t="str">
        <f t="shared" si="178"/>
        <v>26/27</v>
      </c>
      <c r="BL202" s="55" t="str">
        <f t="shared" si="178"/>
        <v>27/28</v>
      </c>
      <c r="BM202" s="55" t="str">
        <f t="shared" si="178"/>
        <v>28/29</v>
      </c>
      <c r="BN202" s="55" t="str">
        <f t="shared" si="178"/>
        <v>29/30</v>
      </c>
      <c r="BO202" s="55" t="str">
        <f t="shared" si="178"/>
        <v>30/31</v>
      </c>
      <c r="BP202" s="55" t="str">
        <f t="shared" si="178"/>
        <v>31/32</v>
      </c>
      <c r="BQ202" s="55" t="str">
        <f t="shared" si="178"/>
        <v>32/33</v>
      </c>
      <c r="BR202" s="55" t="str">
        <f t="shared" si="178"/>
        <v>33/34</v>
      </c>
      <c r="BS202" s="55" t="str">
        <f t="shared" si="178"/>
        <v>34/35</v>
      </c>
      <c r="BT202" s="55" t="str">
        <f t="shared" si="178"/>
        <v>34/35</v>
      </c>
      <c r="BU202" s="55">
        <f t="shared" si="178"/>
        <v>0</v>
      </c>
    </row>
    <row r="203" spans="1:73">
      <c r="A203" s="4" t="s">
        <v>100</v>
      </c>
    </row>
    <row r="204" spans="1:73">
      <c r="A204" s="4" t="s">
        <v>102</v>
      </c>
    </row>
    <row r="205" spans="1:73">
      <c r="A205" s="4" t="s">
        <v>103</v>
      </c>
    </row>
    <row r="206" spans="1:73">
      <c r="A206" s="4" t="s">
        <v>104</v>
      </c>
    </row>
    <row r="207" spans="1:73">
      <c r="A207" s="4" t="s">
        <v>105</v>
      </c>
    </row>
    <row r="208" spans="1:73">
      <c r="A208" s="4" t="s">
        <v>106</v>
      </c>
    </row>
    <row r="209" spans="1:98">
      <c r="A209" s="4" t="s">
        <v>107</v>
      </c>
    </row>
    <row r="210" spans="1:98">
      <c r="A210" s="4" t="s">
        <v>108</v>
      </c>
    </row>
    <row r="211" spans="1:98">
      <c r="A211" s="4" t="s">
        <v>109</v>
      </c>
    </row>
    <row r="212" spans="1:98">
      <c r="A212" s="4" t="s">
        <v>110</v>
      </c>
    </row>
    <row r="213" spans="1:98">
      <c r="A213" s="4" t="s">
        <v>111</v>
      </c>
    </row>
    <row r="214" spans="1:98">
      <c r="A214" s="4" t="s">
        <v>112</v>
      </c>
    </row>
    <row r="215" spans="1:98" ht="15.75" thickBot="1">
      <c r="A215" s="4" t="s">
        <v>138</v>
      </c>
    </row>
    <row r="216" spans="1:98">
      <c r="A216" s="60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1:98" ht="15.75" thickBot="1">
      <c r="A217" s="53" t="s">
        <v>146</v>
      </c>
    </row>
    <row r="218" spans="1:98" s="4" customFormat="1" ht="15.75" thickBot="1">
      <c r="A218" s="54"/>
      <c r="B218" s="63" t="s">
        <v>1</v>
      </c>
      <c r="C218" s="63" t="s">
        <v>2</v>
      </c>
      <c r="D218" s="63" t="s">
        <v>3</v>
      </c>
      <c r="E218" s="63" t="s">
        <v>4</v>
      </c>
      <c r="F218" s="63" t="s">
        <v>5</v>
      </c>
      <c r="G218" s="63" t="s">
        <v>6</v>
      </c>
      <c r="H218" s="63" t="s">
        <v>7</v>
      </c>
      <c r="I218" s="63" t="s">
        <v>8</v>
      </c>
      <c r="J218" s="63" t="s">
        <v>9</v>
      </c>
      <c r="K218" s="63" t="s">
        <v>10</v>
      </c>
      <c r="L218" s="63" t="s">
        <v>11</v>
      </c>
      <c r="M218" s="55" t="s">
        <v>12</v>
      </c>
      <c r="N218" s="55" t="s">
        <v>13</v>
      </c>
      <c r="O218" s="55" t="s">
        <v>14</v>
      </c>
      <c r="P218" s="55" t="s">
        <v>15</v>
      </c>
      <c r="Q218" s="55" t="s">
        <v>16</v>
      </c>
      <c r="R218" s="55" t="s">
        <v>17</v>
      </c>
      <c r="S218" s="55" t="s">
        <v>18</v>
      </c>
      <c r="T218" s="55" t="s">
        <v>19</v>
      </c>
      <c r="U218" s="55" t="s">
        <v>20</v>
      </c>
      <c r="V218" s="55" t="s">
        <v>21</v>
      </c>
      <c r="W218" s="55" t="s">
        <v>22</v>
      </c>
      <c r="X218" s="55" t="s">
        <v>23</v>
      </c>
      <c r="Y218" s="55" t="s">
        <v>24</v>
      </c>
      <c r="Z218" s="55" t="s">
        <v>25</v>
      </c>
      <c r="AA218" s="55" t="s">
        <v>26</v>
      </c>
      <c r="AB218" s="55" t="s">
        <v>27</v>
      </c>
      <c r="AC218" s="55" t="s">
        <v>28</v>
      </c>
      <c r="AD218" s="55" t="s">
        <v>29</v>
      </c>
      <c r="AE218" s="55" t="s">
        <v>30</v>
      </c>
      <c r="AF218" s="55" t="s">
        <v>31</v>
      </c>
      <c r="AG218" s="55" t="s">
        <v>32</v>
      </c>
      <c r="AH218" s="55" t="s">
        <v>33</v>
      </c>
      <c r="AI218" s="55" t="s">
        <v>34</v>
      </c>
      <c r="AJ218" s="55" t="s">
        <v>35</v>
      </c>
      <c r="AK218" s="55" t="s">
        <v>36</v>
      </c>
      <c r="AL218" s="55" t="s">
        <v>37</v>
      </c>
      <c r="AM218" s="55" t="s">
        <v>38</v>
      </c>
      <c r="AN218" s="55" t="s">
        <v>39</v>
      </c>
      <c r="AO218" s="55" t="s">
        <v>40</v>
      </c>
      <c r="AP218" s="55" t="s">
        <v>41</v>
      </c>
      <c r="AQ218" s="55" t="s">
        <v>42</v>
      </c>
      <c r="AR218" s="55" t="s">
        <v>43</v>
      </c>
      <c r="AS218" s="55" t="s">
        <v>44</v>
      </c>
      <c r="AT218" s="55" t="s">
        <v>45</v>
      </c>
      <c r="AU218" s="55" t="s">
        <v>46</v>
      </c>
      <c r="AV218" s="55" t="s">
        <v>47</v>
      </c>
      <c r="AW218" s="55" t="s">
        <v>48</v>
      </c>
      <c r="AX218" s="55" t="s">
        <v>49</v>
      </c>
      <c r="AY218" s="55" t="s">
        <v>50</v>
      </c>
      <c r="AZ218" s="55" t="s">
        <v>51</v>
      </c>
      <c r="BA218" s="55" t="s">
        <v>52</v>
      </c>
      <c r="BB218" s="55" t="s">
        <v>53</v>
      </c>
      <c r="BC218" s="55" t="s">
        <v>54</v>
      </c>
      <c r="BD218" s="55" t="s">
        <v>55</v>
      </c>
      <c r="BE218" s="55" t="s">
        <v>56</v>
      </c>
      <c r="BF218" s="55" t="s">
        <v>57</v>
      </c>
      <c r="BG218" s="55" t="str">
        <f t="shared" ref="BG218:BU218" si="179">BH2</f>
        <v>22/23</v>
      </c>
      <c r="BH218" s="55" t="str">
        <f t="shared" si="179"/>
        <v>23/24</v>
      </c>
      <c r="BI218" s="55" t="str">
        <f t="shared" si="179"/>
        <v>24/25</v>
      </c>
      <c r="BJ218" s="55" t="str">
        <f t="shared" si="179"/>
        <v>25/26</v>
      </c>
      <c r="BK218" s="55" t="str">
        <f t="shared" si="179"/>
        <v>26/27</v>
      </c>
      <c r="BL218" s="55" t="str">
        <f t="shared" si="179"/>
        <v>27/28</v>
      </c>
      <c r="BM218" s="55" t="str">
        <f t="shared" si="179"/>
        <v>28/29</v>
      </c>
      <c r="BN218" s="55" t="str">
        <f t="shared" si="179"/>
        <v>29/30</v>
      </c>
      <c r="BO218" s="55" t="str">
        <f t="shared" si="179"/>
        <v>30/31</v>
      </c>
      <c r="BP218" s="55" t="str">
        <f t="shared" si="179"/>
        <v>31/32</v>
      </c>
      <c r="BQ218" s="55" t="str">
        <f t="shared" si="179"/>
        <v>32/33</v>
      </c>
      <c r="BR218" s="55" t="str">
        <f t="shared" si="179"/>
        <v>33/34</v>
      </c>
      <c r="BS218" s="55" t="str">
        <f t="shared" si="179"/>
        <v>34/35</v>
      </c>
      <c r="BT218" s="55" t="str">
        <f t="shared" si="179"/>
        <v>34/35</v>
      </c>
      <c r="BU218" s="55">
        <f t="shared" si="179"/>
        <v>0</v>
      </c>
      <c r="BV218" s="4">
        <v>2002</v>
      </c>
      <c r="BW218" s="4">
        <v>2003</v>
      </c>
      <c r="BX218" s="4">
        <v>2004</v>
      </c>
      <c r="BY218" s="4">
        <v>2005</v>
      </c>
      <c r="BZ218" s="4">
        <v>2006</v>
      </c>
      <c r="CA218" s="4">
        <v>2007</v>
      </c>
      <c r="CB218" s="4">
        <v>2008</v>
      </c>
      <c r="CC218" s="4">
        <v>2009</v>
      </c>
      <c r="CD218" s="4">
        <v>2010</v>
      </c>
      <c r="CE218" s="4">
        <v>2011</v>
      </c>
      <c r="CF218" s="4">
        <v>2012</v>
      </c>
      <c r="CG218" s="4">
        <v>2013</v>
      </c>
      <c r="CH218" s="4">
        <v>2014</v>
      </c>
      <c r="CI218" s="4">
        <v>2015</v>
      </c>
      <c r="CJ218" s="4">
        <v>2016</v>
      </c>
      <c r="CK218" s="4">
        <v>2017</v>
      </c>
      <c r="CL218" s="4">
        <v>2018</v>
      </c>
      <c r="CM218" s="4">
        <v>2019</v>
      </c>
      <c r="CN218" s="4">
        <v>2020</v>
      </c>
      <c r="CO218" s="4">
        <v>2021</v>
      </c>
      <c r="CP218" s="4">
        <v>2022</v>
      </c>
      <c r="CQ218" s="4">
        <v>2023</v>
      </c>
      <c r="CR218" s="4">
        <v>2024</v>
      </c>
      <c r="CS218" s="4">
        <v>2025</v>
      </c>
      <c r="CT218" s="4">
        <v>2026</v>
      </c>
    </row>
    <row r="219" spans="1:98" s="56" customFormat="1" ht="14.25">
      <c r="A219" s="4" t="s">
        <v>100</v>
      </c>
      <c r="C219" s="57">
        <f t="shared" ref="C219:L230" si="180">(SUM($M219:$Q219)/SUM($M$231:$Q$231))*C$231</f>
        <v>4.6888310020863938E-2</v>
      </c>
      <c r="D219" s="57">
        <f t="shared" si="180"/>
        <v>4.6888310020863938E-2</v>
      </c>
      <c r="E219" s="57">
        <f t="shared" si="180"/>
        <v>4.6888310020863938E-2</v>
      </c>
      <c r="F219" s="57">
        <f t="shared" si="180"/>
        <v>9.3776620041727876E-2</v>
      </c>
      <c r="G219" s="57">
        <f t="shared" si="180"/>
        <v>0.14066493006259181</v>
      </c>
      <c r="H219" s="57">
        <f t="shared" si="180"/>
        <v>0.18755324008345575</v>
      </c>
      <c r="I219" s="57">
        <f t="shared" si="180"/>
        <v>0.28132986012518363</v>
      </c>
      <c r="J219" s="57">
        <f t="shared" si="180"/>
        <v>0.3751064801669115</v>
      </c>
      <c r="K219" s="57">
        <f t="shared" si="180"/>
        <v>1.3597609906050543</v>
      </c>
      <c r="L219" s="57">
        <f t="shared" si="180"/>
        <v>2.2037505709806049</v>
      </c>
      <c r="M219" s="69">
        <v>4.4909999999999997</v>
      </c>
      <c r="N219" s="69">
        <v>5.8609999999999998</v>
      </c>
      <c r="O219" s="69">
        <v>5.165</v>
      </c>
      <c r="P219" s="69">
        <v>5.556</v>
      </c>
      <c r="Q219" s="69">
        <v>1.7150000000000001</v>
      </c>
      <c r="R219" s="69">
        <v>6.2320000000000002</v>
      </c>
      <c r="S219" s="69">
        <v>5.5350000000000001</v>
      </c>
      <c r="T219" s="69">
        <v>5.335</v>
      </c>
      <c r="U219" s="69">
        <v>11.802</v>
      </c>
      <c r="V219" s="69">
        <v>26.661999999999999</v>
      </c>
      <c r="W219" s="69">
        <v>22.734000000000002</v>
      </c>
      <c r="X219" s="69">
        <v>29.34</v>
      </c>
      <c r="Y219" s="69">
        <v>36.225000000000001</v>
      </c>
      <c r="Z219" s="69">
        <v>40.286000000000001</v>
      </c>
      <c r="AA219" s="69">
        <v>23.41</v>
      </c>
      <c r="AB219" s="69">
        <v>75.930999999999997</v>
      </c>
      <c r="AC219" s="69">
        <v>83.233999999999995</v>
      </c>
      <c r="AD219" s="69">
        <v>53.124000000000002</v>
      </c>
      <c r="AE219" s="70">
        <v>76.087000000000003</v>
      </c>
      <c r="AF219" s="70">
        <v>70.765000000000001</v>
      </c>
      <c r="AG219" s="70">
        <v>76.010000000000005</v>
      </c>
      <c r="AH219" s="70">
        <v>102.074</v>
      </c>
      <c r="AI219" s="70">
        <v>144.93600000000001</v>
      </c>
      <c r="AJ219" s="70">
        <v>209.07</v>
      </c>
      <c r="AK219" s="70">
        <v>251.41200000000001</v>
      </c>
      <c r="AL219" s="70">
        <v>295.60500000000002</v>
      </c>
      <c r="AM219" s="70">
        <v>322.03899999999999</v>
      </c>
      <c r="AN219" s="70">
        <v>303.911</v>
      </c>
      <c r="AO219" s="77">
        <v>372.80099999999999</v>
      </c>
      <c r="AP219" s="77">
        <v>416.01799999999997</v>
      </c>
      <c r="AQ219" s="77">
        <v>429.97500000000002</v>
      </c>
      <c r="AR219" s="77">
        <v>559.08299999999997</v>
      </c>
      <c r="AS219" s="77">
        <v>579.19100000000003</v>
      </c>
      <c r="AT219" s="77">
        <v>532.89800000000002</v>
      </c>
      <c r="AU219" s="77">
        <v>605.76599999999996</v>
      </c>
      <c r="AV219" s="77">
        <v>706.16899999999998</v>
      </c>
      <c r="AW219" s="77">
        <v>722.13800000000003</v>
      </c>
      <c r="AX219" s="77">
        <v>681.28700000000003</v>
      </c>
      <c r="AY219" s="77">
        <v>696.64400000000001</v>
      </c>
      <c r="AZ219" s="77">
        <v>734.57600000000002</v>
      </c>
      <c r="BA219" s="77">
        <v>833.74</v>
      </c>
      <c r="BB219" s="77">
        <v>731.85199999999998</v>
      </c>
      <c r="BC219" s="59">
        <v>779.12300000000005</v>
      </c>
      <c r="BD219" s="59">
        <v>657.00199999999995</v>
      </c>
      <c r="BE219" s="59">
        <v>752.02700000000004</v>
      </c>
      <c r="BF219" s="59">
        <v>736.601</v>
      </c>
      <c r="BG219" s="59">
        <v>844.71699999999998</v>
      </c>
      <c r="BH219" s="59">
        <v>781.25400000000002</v>
      </c>
      <c r="BI219" s="59">
        <v>549.34199999999998</v>
      </c>
      <c r="BJ219" s="58">
        <f t="shared" ref="BJ219:BU230" si="181">BJ235*BJ76</f>
        <v>785.65197870700774</v>
      </c>
      <c r="BK219" s="58">
        <f t="shared" si="181"/>
        <v>695.93111550100184</v>
      </c>
      <c r="BL219" s="58">
        <f t="shared" si="181"/>
        <v>798.58879260862523</v>
      </c>
      <c r="BM219" s="58">
        <f t="shared" si="181"/>
        <v>777.63488240716845</v>
      </c>
      <c r="BN219" s="58">
        <f t="shared" si="181"/>
        <v>788.86535180633268</v>
      </c>
      <c r="BO219" s="58">
        <f t="shared" si="181"/>
        <v>813.75974809904289</v>
      </c>
      <c r="BP219" s="58">
        <f t="shared" si="181"/>
        <v>801.30106541707664</v>
      </c>
      <c r="BQ219" s="58">
        <f t="shared" si="181"/>
        <v>816.54530021959442</v>
      </c>
      <c r="BR219" s="58">
        <f t="shared" si="181"/>
        <v>823.27569115276526</v>
      </c>
      <c r="BS219" s="58">
        <f t="shared" si="181"/>
        <v>824.09625344363405</v>
      </c>
      <c r="BT219" s="58">
        <f t="shared" si="181"/>
        <v>835.26173955729189</v>
      </c>
      <c r="BU219" s="58">
        <f t="shared" si="181"/>
        <v>840.19510531134449</v>
      </c>
      <c r="BV219" s="59">
        <f t="shared" ref="BV219:CK221" si="182">AM228</f>
        <v>259.57400000000001</v>
      </c>
      <c r="BW219" s="59">
        <f t="shared" si="182"/>
        <v>288.495</v>
      </c>
      <c r="BX219" s="59">
        <f t="shared" si="182"/>
        <v>374.31700000000001</v>
      </c>
      <c r="BY219" s="59">
        <f t="shared" si="182"/>
        <v>379.267</v>
      </c>
      <c r="BZ219" s="59">
        <f t="shared" si="182"/>
        <v>450.63668000000001</v>
      </c>
      <c r="CA219" s="59">
        <f t="shared" si="182"/>
        <v>448.91720000000004</v>
      </c>
      <c r="CB219" s="59">
        <f t="shared" si="182"/>
        <v>572.15800000000002</v>
      </c>
      <c r="CC219" s="59">
        <f t="shared" si="182"/>
        <v>439.69200000000001</v>
      </c>
      <c r="CD219" s="59">
        <f t="shared" si="182"/>
        <v>311.97500000000002</v>
      </c>
      <c r="CE219" s="59">
        <f t="shared" si="182"/>
        <v>445.93200000000002</v>
      </c>
      <c r="CF219" s="59">
        <f t="shared" si="182"/>
        <v>495.02199999999999</v>
      </c>
      <c r="CG219" s="59">
        <f t="shared" si="182"/>
        <v>325.77199999999999</v>
      </c>
      <c r="CH219" s="59">
        <f t="shared" si="182"/>
        <v>374.065</v>
      </c>
      <c r="CI219" s="59">
        <f t="shared" si="182"/>
        <v>333.315</v>
      </c>
      <c r="CJ219" s="59">
        <f t="shared" si="182"/>
        <v>765.45299999999997</v>
      </c>
      <c r="CK219" s="59">
        <f t="shared" si="182"/>
        <v>578.93700000000001</v>
      </c>
      <c r="CL219" s="59">
        <f t="shared" ref="CF219:CT221" si="183">BC228</f>
        <v>529.82600000000002</v>
      </c>
      <c r="CM219" s="59">
        <f t="shared" si="183"/>
        <v>495.16300000000001</v>
      </c>
      <c r="CN219" s="59">
        <f t="shared" si="183"/>
        <v>449.85899999999998</v>
      </c>
      <c r="CO219" s="59">
        <f t="shared" si="183"/>
        <v>642.79300000000001</v>
      </c>
      <c r="CP219" s="59">
        <f t="shared" si="183"/>
        <v>494.53</v>
      </c>
      <c r="CQ219" s="59">
        <f t="shared" si="183"/>
        <v>367.51799999999997</v>
      </c>
      <c r="CR219" s="59">
        <f t="shared" si="183"/>
        <v>417.84199999999998</v>
      </c>
      <c r="CS219" s="59">
        <f t="shared" si="183"/>
        <v>588.49286718871463</v>
      </c>
      <c r="CT219" s="59">
        <f t="shared" si="183"/>
        <v>489.45119651132387</v>
      </c>
    </row>
    <row r="220" spans="1:98" s="56" customFormat="1" ht="14.25">
      <c r="A220" s="4" t="s">
        <v>102</v>
      </c>
      <c r="C220" s="57">
        <f t="shared" si="180"/>
        <v>6.8867462541614702E-2</v>
      </c>
      <c r="D220" s="57">
        <f t="shared" si="180"/>
        <v>6.8867462541614702E-2</v>
      </c>
      <c r="E220" s="57">
        <f t="shared" si="180"/>
        <v>6.8867462541614702E-2</v>
      </c>
      <c r="F220" s="57">
        <f t="shared" si="180"/>
        <v>0.1377349250832294</v>
      </c>
      <c r="G220" s="57">
        <f t="shared" si="180"/>
        <v>0.20660238762484412</v>
      </c>
      <c r="H220" s="57">
        <f t="shared" si="180"/>
        <v>0.27546985016645881</v>
      </c>
      <c r="I220" s="57">
        <f t="shared" si="180"/>
        <v>0.41320477524968824</v>
      </c>
      <c r="J220" s="57">
        <f t="shared" si="180"/>
        <v>0.55093970033291761</v>
      </c>
      <c r="K220" s="57">
        <f t="shared" si="180"/>
        <v>1.9971564137068263</v>
      </c>
      <c r="L220" s="57">
        <f t="shared" si="180"/>
        <v>3.2367707394558911</v>
      </c>
      <c r="M220" s="69">
        <v>4.641</v>
      </c>
      <c r="N220" s="69">
        <v>6.6440000000000001</v>
      </c>
      <c r="O220" s="69">
        <v>5.9450000000000003</v>
      </c>
      <c r="P220" s="69">
        <v>6.3460000000000001</v>
      </c>
      <c r="Q220" s="69">
        <v>9.8940000000000001</v>
      </c>
      <c r="R220" s="69">
        <v>11.491</v>
      </c>
      <c r="S220" s="69">
        <v>15.404999999999999</v>
      </c>
      <c r="T220" s="69">
        <v>19.5</v>
      </c>
      <c r="U220" s="69">
        <v>23.274999999999999</v>
      </c>
      <c r="V220" s="69">
        <v>36.664999999999999</v>
      </c>
      <c r="W220" s="69">
        <v>40.005000000000003</v>
      </c>
      <c r="X220" s="69">
        <v>82.426000000000002</v>
      </c>
      <c r="Y220" s="69">
        <v>98.126000000000005</v>
      </c>
      <c r="Z220" s="69">
        <v>109.229</v>
      </c>
      <c r="AA220" s="69">
        <v>84.914000000000001</v>
      </c>
      <c r="AB220" s="69">
        <v>108.08</v>
      </c>
      <c r="AC220" s="69">
        <v>118.029</v>
      </c>
      <c r="AD220" s="69">
        <v>115.634</v>
      </c>
      <c r="AE220" s="70">
        <v>151.5</v>
      </c>
      <c r="AF220" s="70">
        <v>143.51599999999999</v>
      </c>
      <c r="AG220" s="70">
        <v>148.66200000000001</v>
      </c>
      <c r="AH220" s="70">
        <v>162.495</v>
      </c>
      <c r="AI220" s="70">
        <v>198.06100000000001</v>
      </c>
      <c r="AJ220" s="70">
        <v>258.78500000000003</v>
      </c>
      <c r="AK220" s="70">
        <v>323.791</v>
      </c>
      <c r="AL220" s="70">
        <v>326.54500000000002</v>
      </c>
      <c r="AM220" s="70">
        <v>346.18200000000002</v>
      </c>
      <c r="AN220" s="70">
        <v>378.70100000000002</v>
      </c>
      <c r="AO220" s="77">
        <v>415.19</v>
      </c>
      <c r="AP220" s="77">
        <v>467.36900000000003</v>
      </c>
      <c r="AQ220" s="77">
        <v>492.24400000000003</v>
      </c>
      <c r="AR220" s="77">
        <v>621.58100000000002</v>
      </c>
      <c r="AS220" s="77">
        <v>655.71299999999997</v>
      </c>
      <c r="AT220" s="77">
        <v>622.53300000000002</v>
      </c>
      <c r="AU220" s="77">
        <v>676.15</v>
      </c>
      <c r="AV220" s="77">
        <v>768.33500000000004</v>
      </c>
      <c r="AW220" s="77">
        <v>757.43200000000002</v>
      </c>
      <c r="AX220" s="77">
        <v>712.20500000000004</v>
      </c>
      <c r="AY220" s="77">
        <v>732.61699999999996</v>
      </c>
      <c r="AZ220" s="77">
        <v>856.10199999999998</v>
      </c>
      <c r="BA220" s="77">
        <v>693.08</v>
      </c>
      <c r="BB220" s="77">
        <v>842.73</v>
      </c>
      <c r="BC220" s="59">
        <v>869.02499999999998</v>
      </c>
      <c r="BD220" s="59">
        <v>720.21900000000005</v>
      </c>
      <c r="BE220" s="59">
        <v>765.29399999999998</v>
      </c>
      <c r="BF220" s="59">
        <v>797.32600000000002</v>
      </c>
      <c r="BG220" s="59">
        <v>848.04899999999998</v>
      </c>
      <c r="BH220" s="59">
        <v>791.53</v>
      </c>
      <c r="BI220" s="59">
        <v>684.85900000000004</v>
      </c>
      <c r="BJ220" s="58">
        <f t="shared" si="181"/>
        <v>799.84637657793189</v>
      </c>
      <c r="BK220" s="58">
        <f t="shared" si="181"/>
        <v>781.58457064824643</v>
      </c>
      <c r="BL220" s="58">
        <f t="shared" si="181"/>
        <v>816.4838698619734</v>
      </c>
      <c r="BM220" s="58">
        <f t="shared" si="181"/>
        <v>831.79828027409133</v>
      </c>
      <c r="BN220" s="58">
        <f t="shared" si="181"/>
        <v>842.37740499864526</v>
      </c>
      <c r="BO220" s="58">
        <f t="shared" si="181"/>
        <v>851.72575637514319</v>
      </c>
      <c r="BP220" s="58">
        <f t="shared" si="181"/>
        <v>855.76769598865974</v>
      </c>
      <c r="BQ220" s="58">
        <f t="shared" si="181"/>
        <v>861.59219907387126</v>
      </c>
      <c r="BR220" s="58">
        <f t="shared" si="181"/>
        <v>868.26816619402553</v>
      </c>
      <c r="BS220" s="58">
        <f t="shared" si="181"/>
        <v>874.55695245414927</v>
      </c>
      <c r="BT220" s="58">
        <f t="shared" si="181"/>
        <v>880.96188381255831</v>
      </c>
      <c r="BU220" s="58">
        <f t="shared" si="181"/>
        <v>886.47602041885204</v>
      </c>
      <c r="BV220" s="59">
        <f t="shared" si="182"/>
        <v>163.34399999999999</v>
      </c>
      <c r="BW220" s="59">
        <f t="shared" si="182"/>
        <v>256.03100000000001</v>
      </c>
      <c r="BX220" s="59">
        <f t="shared" si="182"/>
        <v>264.24700000000001</v>
      </c>
      <c r="BY220" s="59">
        <f t="shared" si="182"/>
        <v>342.11799999999999</v>
      </c>
      <c r="BZ220" s="59">
        <f t="shared" si="182"/>
        <v>372.09100000000001</v>
      </c>
      <c r="CA220" s="59">
        <f t="shared" si="182"/>
        <v>358.154</v>
      </c>
      <c r="CB220" s="59">
        <f t="shared" si="182"/>
        <v>422.52499999999998</v>
      </c>
      <c r="CC220" s="59">
        <f t="shared" si="182"/>
        <v>391.17</v>
      </c>
      <c r="CD220" s="59">
        <f t="shared" si="182"/>
        <v>269.04899999999998</v>
      </c>
      <c r="CE220" s="59">
        <f t="shared" si="182"/>
        <v>392.78100000000001</v>
      </c>
      <c r="CF220" s="59">
        <f t="shared" si="183"/>
        <v>436.32</v>
      </c>
      <c r="CG220" s="59">
        <f t="shared" si="183"/>
        <v>232.59399999999999</v>
      </c>
      <c r="CH220" s="59">
        <f t="shared" si="183"/>
        <v>292.476</v>
      </c>
      <c r="CI220" s="59">
        <f t="shared" si="183"/>
        <v>398.91500000000002</v>
      </c>
      <c r="CJ220" s="59">
        <f t="shared" si="183"/>
        <v>625.69500000000005</v>
      </c>
      <c r="CK220" s="59">
        <f t="shared" si="183"/>
        <v>504.77100000000002</v>
      </c>
      <c r="CL220" s="59">
        <f t="shared" si="183"/>
        <v>465.78800000000001</v>
      </c>
      <c r="CM220" s="59">
        <f t="shared" si="183"/>
        <v>468.11099999999999</v>
      </c>
      <c r="CN220" s="59">
        <f t="shared" si="183"/>
        <v>511.642</v>
      </c>
      <c r="CO220" s="59">
        <f t="shared" si="183"/>
        <v>571.69600000000003</v>
      </c>
      <c r="CP220" s="59">
        <f t="shared" si="183"/>
        <v>519.08500000000004</v>
      </c>
      <c r="CQ220" s="59">
        <f t="shared" si="183"/>
        <v>301.86099999999999</v>
      </c>
      <c r="CR220" s="59">
        <f t="shared" si="183"/>
        <v>466.09399999999999</v>
      </c>
      <c r="CS220" s="59">
        <f t="shared" si="183"/>
        <v>535.79042820324116</v>
      </c>
      <c r="CT220" s="59">
        <f t="shared" si="183"/>
        <v>555.44659746969864</v>
      </c>
    </row>
    <row r="221" spans="1:98" s="56" customFormat="1" ht="14.25">
      <c r="A221" s="4" t="s">
        <v>103</v>
      </c>
      <c r="C221" s="57">
        <f t="shared" si="180"/>
        <v>9.5961778249651228E-2</v>
      </c>
      <c r="D221" s="57">
        <f t="shared" si="180"/>
        <v>9.5961778249651228E-2</v>
      </c>
      <c r="E221" s="57">
        <f t="shared" si="180"/>
        <v>9.5961778249651228E-2</v>
      </c>
      <c r="F221" s="57">
        <f t="shared" si="180"/>
        <v>0.19192355649930246</v>
      </c>
      <c r="G221" s="57">
        <f t="shared" si="180"/>
        <v>0.28788533474895367</v>
      </c>
      <c r="H221" s="57">
        <f t="shared" si="180"/>
        <v>0.38384711299860491</v>
      </c>
      <c r="I221" s="57">
        <f t="shared" si="180"/>
        <v>0.57577066949790734</v>
      </c>
      <c r="J221" s="57">
        <f t="shared" si="180"/>
        <v>0.76769422599720982</v>
      </c>
      <c r="K221" s="57">
        <f t="shared" si="180"/>
        <v>2.7828915692398857</v>
      </c>
      <c r="L221" s="57">
        <f t="shared" si="180"/>
        <v>4.5102035777336074</v>
      </c>
      <c r="M221" s="69">
        <v>9.0990000000000002</v>
      </c>
      <c r="N221" s="69">
        <v>7.0570000000000004</v>
      </c>
      <c r="O221" s="69">
        <v>7.8769999999999998</v>
      </c>
      <c r="P221" s="69">
        <v>7.3479999999999999</v>
      </c>
      <c r="Q221" s="69">
        <v>15.257</v>
      </c>
      <c r="R221" s="69">
        <v>13.65</v>
      </c>
      <c r="S221" s="69">
        <v>17.895</v>
      </c>
      <c r="T221" s="69">
        <v>28.283999999999999</v>
      </c>
      <c r="U221" s="69">
        <v>30.535</v>
      </c>
      <c r="V221" s="69">
        <v>44.255000000000003</v>
      </c>
      <c r="W221" s="69">
        <v>63.622999999999998</v>
      </c>
      <c r="X221" s="69">
        <v>89.287000000000006</v>
      </c>
      <c r="Y221" s="69">
        <v>117.18600000000001</v>
      </c>
      <c r="Z221" s="69">
        <v>128.13999999999999</v>
      </c>
      <c r="AA221" s="69">
        <v>106.29300000000001</v>
      </c>
      <c r="AB221" s="69">
        <v>124.39100000000001</v>
      </c>
      <c r="AC221" s="69">
        <v>123.586</v>
      </c>
      <c r="AD221" s="69">
        <v>121.262</v>
      </c>
      <c r="AE221" s="70">
        <v>172.18100000000001</v>
      </c>
      <c r="AF221" s="70">
        <v>161.28</v>
      </c>
      <c r="AG221" s="70">
        <v>147.90899999999999</v>
      </c>
      <c r="AH221" s="70">
        <v>180.61099999999999</v>
      </c>
      <c r="AI221" s="70">
        <v>211.03</v>
      </c>
      <c r="AJ221" s="70">
        <v>275.18400000000003</v>
      </c>
      <c r="AK221" s="70">
        <v>325.83</v>
      </c>
      <c r="AL221" s="70">
        <v>287.44200000000001</v>
      </c>
      <c r="AM221" s="70">
        <v>327.904</v>
      </c>
      <c r="AN221" s="70">
        <v>374.42700000000002</v>
      </c>
      <c r="AO221" s="77">
        <v>411.88200000000001</v>
      </c>
      <c r="AP221" s="77">
        <v>446.464</v>
      </c>
      <c r="AQ221" s="77">
        <v>493.58699999999999</v>
      </c>
      <c r="AR221" s="77">
        <v>564.36099999999999</v>
      </c>
      <c r="AS221" s="77">
        <v>619.95399999999995</v>
      </c>
      <c r="AT221" s="77">
        <v>364.01900000000001</v>
      </c>
      <c r="AU221" s="77">
        <v>568.77499999999998</v>
      </c>
      <c r="AV221" s="77">
        <v>685.95500000000004</v>
      </c>
      <c r="AW221" s="77">
        <v>621.98199999999997</v>
      </c>
      <c r="AX221" s="77">
        <v>613.14800000000002</v>
      </c>
      <c r="AY221" s="77">
        <v>732.13199999999995</v>
      </c>
      <c r="AZ221" s="77">
        <v>776.81</v>
      </c>
      <c r="BA221" s="77">
        <v>872.63699999999994</v>
      </c>
      <c r="BB221" s="77">
        <v>790.27</v>
      </c>
      <c r="BC221" s="59">
        <v>740.54200000000003</v>
      </c>
      <c r="BD221" s="59">
        <v>645.63099999999997</v>
      </c>
      <c r="BE221" s="59">
        <v>834.43700000000001</v>
      </c>
      <c r="BF221" s="59">
        <v>724.85900000000004</v>
      </c>
      <c r="BG221" s="59">
        <v>818.54899999999998</v>
      </c>
      <c r="BH221" s="59">
        <v>751.60199999999998</v>
      </c>
      <c r="BI221" s="59">
        <v>578.53499999999997</v>
      </c>
      <c r="BJ221" s="58">
        <f t="shared" si="181"/>
        <v>803.67502083906334</v>
      </c>
      <c r="BK221" s="58">
        <f t="shared" si="181"/>
        <v>815.25318935278256</v>
      </c>
      <c r="BL221" s="58">
        <f t="shared" si="181"/>
        <v>810.35820953423638</v>
      </c>
      <c r="BM221" s="58">
        <f t="shared" si="181"/>
        <v>849.17162809888316</v>
      </c>
      <c r="BN221" s="58">
        <f t="shared" si="181"/>
        <v>852.87930245433495</v>
      </c>
      <c r="BO221" s="58">
        <f t="shared" si="181"/>
        <v>857.61729572536581</v>
      </c>
      <c r="BP221" s="58">
        <f t="shared" si="181"/>
        <v>871.8511229235836</v>
      </c>
      <c r="BQ221" s="58">
        <f t="shared" si="181"/>
        <v>869.10188373504946</v>
      </c>
      <c r="BR221" s="58">
        <f t="shared" si="181"/>
        <v>876.45799503963269</v>
      </c>
      <c r="BS221" s="58">
        <f t="shared" si="181"/>
        <v>889.29769408786399</v>
      </c>
      <c r="BT221" s="58">
        <f t="shared" si="181"/>
        <v>891.08243918580808</v>
      </c>
      <c r="BU221" s="58">
        <f t="shared" si="181"/>
        <v>901.02547421824636</v>
      </c>
      <c r="BV221" s="59">
        <f t="shared" si="182"/>
        <v>212.05600000000001</v>
      </c>
      <c r="BW221" s="59">
        <f t="shared" si="182"/>
        <v>281.94</v>
      </c>
      <c r="BX221" s="59">
        <f t="shared" si="182"/>
        <v>301.09100000000001</v>
      </c>
      <c r="BY221" s="59">
        <f t="shared" si="182"/>
        <v>372.55900000000003</v>
      </c>
      <c r="BZ221" s="59">
        <f t="shared" si="182"/>
        <v>433.87799999999999</v>
      </c>
      <c r="CA221" s="59">
        <f t="shared" si="182"/>
        <v>457.22093999999998</v>
      </c>
      <c r="CB221" s="59">
        <f t="shared" si="182"/>
        <v>225.85400000000001</v>
      </c>
      <c r="CC221" s="59">
        <f t="shared" si="182"/>
        <v>403.02800000000002</v>
      </c>
      <c r="CD221" s="59">
        <f t="shared" si="182"/>
        <v>329.02600000000001</v>
      </c>
      <c r="CE221" s="59">
        <f t="shared" si="182"/>
        <v>531.05600000000004</v>
      </c>
      <c r="CF221" s="59">
        <f t="shared" si="183"/>
        <v>472.41500000000002</v>
      </c>
      <c r="CG221" s="59">
        <f t="shared" si="183"/>
        <v>332.33100000000002</v>
      </c>
      <c r="CH221" s="59">
        <f t="shared" si="183"/>
        <v>407.13</v>
      </c>
      <c r="CI221" s="59">
        <f t="shared" si="183"/>
        <v>436.286</v>
      </c>
      <c r="CJ221" s="59">
        <f t="shared" si="183"/>
        <v>636.78300000000002</v>
      </c>
      <c r="CK221" s="59">
        <f t="shared" si="183"/>
        <v>654.48800000000006</v>
      </c>
      <c r="CL221" s="59">
        <f t="shared" si="183"/>
        <v>605.83900000000006</v>
      </c>
      <c r="CM221" s="59">
        <f t="shared" si="183"/>
        <v>589.57799999999997</v>
      </c>
      <c r="CN221" s="59">
        <f t="shared" si="183"/>
        <v>552.57500000000005</v>
      </c>
      <c r="CO221" s="59">
        <f t="shared" si="183"/>
        <v>681.774</v>
      </c>
      <c r="CP221" s="59">
        <f t="shared" si="183"/>
        <v>576.49099999999999</v>
      </c>
      <c r="CQ221" s="59">
        <f t="shared" si="183"/>
        <v>414.08600000000001</v>
      </c>
      <c r="CR221" s="59">
        <f t="shared" si="183"/>
        <v>0</v>
      </c>
      <c r="CS221" s="59">
        <f t="shared" si="183"/>
        <v>663.7367552991667</v>
      </c>
      <c r="CT221" s="59">
        <f t="shared" si="183"/>
        <v>943.02054137590471</v>
      </c>
    </row>
    <row r="222" spans="1:98" s="56" customFormat="1" ht="14.25">
      <c r="A222" s="4" t="s">
        <v>104</v>
      </c>
      <c r="C222" s="57">
        <f t="shared" si="180"/>
        <v>8.7961877013864015E-2</v>
      </c>
      <c r="D222" s="57">
        <f t="shared" si="180"/>
        <v>8.7961877013864015E-2</v>
      </c>
      <c r="E222" s="57">
        <f t="shared" si="180"/>
        <v>8.7961877013864015E-2</v>
      </c>
      <c r="F222" s="57">
        <f t="shared" si="180"/>
        <v>0.17592375402772803</v>
      </c>
      <c r="G222" s="57">
        <f t="shared" si="180"/>
        <v>0.26388563104159202</v>
      </c>
      <c r="H222" s="57">
        <f t="shared" si="180"/>
        <v>0.35184750805545606</v>
      </c>
      <c r="I222" s="57">
        <f t="shared" si="180"/>
        <v>0.52777126208318403</v>
      </c>
      <c r="J222" s="57">
        <f t="shared" si="180"/>
        <v>0.70369501611091212</v>
      </c>
      <c r="K222" s="57">
        <f t="shared" si="180"/>
        <v>2.5508944334020565</v>
      </c>
      <c r="L222" s="57">
        <f t="shared" si="180"/>
        <v>4.134208219651609</v>
      </c>
      <c r="M222" s="82">
        <v>8.2929999999999993</v>
      </c>
      <c r="N222" s="82">
        <v>7.335</v>
      </c>
      <c r="O222" s="82">
        <v>8.0530000000000008</v>
      </c>
      <c r="P222" s="82">
        <v>7.133</v>
      </c>
      <c r="Q222" s="82">
        <v>11.936</v>
      </c>
      <c r="R222" s="82">
        <v>14.092000000000001</v>
      </c>
      <c r="S222" s="82">
        <v>20.280999999999999</v>
      </c>
      <c r="T222" s="82">
        <v>35.429000000000002</v>
      </c>
      <c r="U222" s="82">
        <v>36.548000000000002</v>
      </c>
      <c r="V222" s="82">
        <v>55.634</v>
      </c>
      <c r="W222" s="82">
        <v>71.126999999999995</v>
      </c>
      <c r="X222" s="82">
        <v>95.462000000000003</v>
      </c>
      <c r="Y222" s="82">
        <v>113.70699999999999</v>
      </c>
      <c r="Z222" s="82">
        <v>128.827</v>
      </c>
      <c r="AA222" s="82">
        <v>102.455</v>
      </c>
      <c r="AB222" s="82">
        <v>113.678</v>
      </c>
      <c r="AC222" s="82">
        <v>134.03100000000001</v>
      </c>
      <c r="AD222" s="69">
        <v>148.446</v>
      </c>
      <c r="AE222" s="70">
        <v>172.399</v>
      </c>
      <c r="AF222" s="70">
        <v>163.13499999999999</v>
      </c>
      <c r="AG222" s="70">
        <v>154.858</v>
      </c>
      <c r="AH222" s="70">
        <v>187.58099999999999</v>
      </c>
      <c r="AI222" s="83">
        <v>230.00399999999999</v>
      </c>
      <c r="AJ222" s="70">
        <v>301.43700000000001</v>
      </c>
      <c r="AK222" s="70">
        <v>310.72800000000001</v>
      </c>
      <c r="AL222" s="70">
        <v>312.26299999999998</v>
      </c>
      <c r="AM222" s="70">
        <v>353.63600000000002</v>
      </c>
      <c r="AN222" s="70">
        <v>399.89699999999999</v>
      </c>
      <c r="AO222" s="77">
        <v>449.06900000000002</v>
      </c>
      <c r="AP222" s="77">
        <v>423.51799999999997</v>
      </c>
      <c r="AQ222" s="77">
        <v>538.851</v>
      </c>
      <c r="AR222" s="77">
        <v>564.47299999999996</v>
      </c>
      <c r="AS222" s="77">
        <v>536.923</v>
      </c>
      <c r="AT222" s="77">
        <v>655.83799999999997</v>
      </c>
      <c r="AU222" s="77">
        <v>520.64700000000005</v>
      </c>
      <c r="AV222" s="77">
        <v>671.95500000000004</v>
      </c>
      <c r="AW222" s="77">
        <v>614.702</v>
      </c>
      <c r="AX222" s="77">
        <v>559.95299999999997</v>
      </c>
      <c r="AY222" s="77">
        <v>683.47500000000002</v>
      </c>
      <c r="AZ222" s="77">
        <v>731.726</v>
      </c>
      <c r="BA222" s="77">
        <v>917.55600000000004</v>
      </c>
      <c r="BB222" s="77">
        <v>774.79399999999998</v>
      </c>
      <c r="BC222" s="59">
        <v>826.74199999999996</v>
      </c>
      <c r="BD222" s="59">
        <v>681.71400000000006</v>
      </c>
      <c r="BE222" s="59">
        <v>868.99199999999996</v>
      </c>
      <c r="BF222" s="59">
        <v>696.90700000000004</v>
      </c>
      <c r="BG222" s="59">
        <v>753.20799999999997</v>
      </c>
      <c r="BH222" s="59">
        <v>663.87800000000004</v>
      </c>
      <c r="BI222" s="59">
        <v>493.04199999999997</v>
      </c>
      <c r="BJ222" s="58">
        <f t="shared" si="181"/>
        <v>890.18245769999419</v>
      </c>
      <c r="BK222" s="58">
        <f t="shared" si="181"/>
        <v>760.93977782760498</v>
      </c>
      <c r="BL222" s="58">
        <f t="shared" si="181"/>
        <v>897.22343418762819</v>
      </c>
      <c r="BM222" s="58">
        <f t="shared" si="181"/>
        <v>865.13565421587464</v>
      </c>
      <c r="BN222" s="58">
        <f t="shared" si="181"/>
        <v>874.05757725590104</v>
      </c>
      <c r="BO222" s="58">
        <f t="shared" si="181"/>
        <v>912.58454159833434</v>
      </c>
      <c r="BP222" s="58">
        <f t="shared" si="181"/>
        <v>889.28921788736841</v>
      </c>
      <c r="BQ222" s="58">
        <f t="shared" si="181"/>
        <v>908.3555010837606</v>
      </c>
      <c r="BR222" s="58">
        <f t="shared" si="181"/>
        <v>916.73988538131891</v>
      </c>
      <c r="BS222" s="58">
        <f t="shared" si="181"/>
        <v>919.61661918112907</v>
      </c>
      <c r="BT222" s="58">
        <f t="shared" si="181"/>
        <v>931.25351563791935</v>
      </c>
      <c r="BU222" s="58">
        <f t="shared" si="181"/>
        <v>936.09538985951394</v>
      </c>
      <c r="BV222" s="59">
        <f t="shared" ref="BV222:CK230" si="184">AN219</f>
        <v>303.911</v>
      </c>
      <c r="BW222" s="59">
        <f t="shared" si="184"/>
        <v>372.80099999999999</v>
      </c>
      <c r="BX222" s="59">
        <f t="shared" si="184"/>
        <v>416.01799999999997</v>
      </c>
      <c r="BY222" s="59">
        <f t="shared" si="184"/>
        <v>429.97500000000002</v>
      </c>
      <c r="BZ222" s="59">
        <f t="shared" si="184"/>
        <v>559.08299999999997</v>
      </c>
      <c r="CA222" s="59">
        <f t="shared" si="184"/>
        <v>579.19100000000003</v>
      </c>
      <c r="CB222" s="59">
        <f t="shared" si="184"/>
        <v>532.89800000000002</v>
      </c>
      <c r="CC222" s="59">
        <f t="shared" si="184"/>
        <v>605.76599999999996</v>
      </c>
      <c r="CD222" s="59">
        <f t="shared" si="184"/>
        <v>706.16899999999998</v>
      </c>
      <c r="CE222" s="59">
        <f t="shared" si="184"/>
        <v>722.13800000000003</v>
      </c>
      <c r="CF222" s="59">
        <f t="shared" si="184"/>
        <v>681.28700000000003</v>
      </c>
      <c r="CG222" s="59">
        <f t="shared" si="184"/>
        <v>696.64400000000001</v>
      </c>
      <c r="CH222" s="59">
        <f t="shared" si="184"/>
        <v>734.57600000000002</v>
      </c>
      <c r="CI222" s="59">
        <f t="shared" si="184"/>
        <v>833.74</v>
      </c>
      <c r="CJ222" s="59">
        <f t="shared" si="184"/>
        <v>731.85199999999998</v>
      </c>
      <c r="CK222" s="59">
        <f t="shared" si="184"/>
        <v>779.12300000000005</v>
      </c>
      <c r="CL222" s="59">
        <f t="shared" ref="CL222:CT230" si="185">BD219</f>
        <v>657.00199999999995</v>
      </c>
      <c r="CM222" s="59">
        <f t="shared" si="185"/>
        <v>752.02700000000004</v>
      </c>
      <c r="CN222" s="59">
        <f t="shared" si="185"/>
        <v>736.601</v>
      </c>
      <c r="CO222" s="59">
        <f t="shared" si="185"/>
        <v>844.71699999999998</v>
      </c>
      <c r="CP222" s="59">
        <f t="shared" si="185"/>
        <v>781.25400000000002</v>
      </c>
      <c r="CQ222" s="59">
        <f t="shared" si="185"/>
        <v>549.34199999999998</v>
      </c>
      <c r="CR222" s="59">
        <f t="shared" si="185"/>
        <v>785.65197870700774</v>
      </c>
      <c r="CS222" s="59">
        <f t="shared" si="185"/>
        <v>695.93111550100184</v>
      </c>
      <c r="CT222" s="59">
        <f t="shared" si="185"/>
        <v>798.58879260862523</v>
      </c>
    </row>
    <row r="223" spans="1:98" s="56" customFormat="1" ht="14.25">
      <c r="A223" s="4" t="s">
        <v>105</v>
      </c>
      <c r="C223" s="57">
        <f t="shared" si="180"/>
        <v>0.10246169800372834</v>
      </c>
      <c r="D223" s="57">
        <f t="shared" si="180"/>
        <v>0.10246169800372834</v>
      </c>
      <c r="E223" s="57">
        <f t="shared" si="180"/>
        <v>0.10246169800372834</v>
      </c>
      <c r="F223" s="57">
        <f t="shared" si="180"/>
        <v>0.20492339600745668</v>
      </c>
      <c r="G223" s="57">
        <f t="shared" si="180"/>
        <v>0.30738509401118502</v>
      </c>
      <c r="H223" s="57">
        <f t="shared" si="180"/>
        <v>0.40984679201491336</v>
      </c>
      <c r="I223" s="57">
        <f t="shared" si="180"/>
        <v>0.61477018802237005</v>
      </c>
      <c r="J223" s="57">
        <f t="shared" si="180"/>
        <v>0.81969358402982673</v>
      </c>
      <c r="K223" s="57">
        <f t="shared" si="180"/>
        <v>2.9713892421081218</v>
      </c>
      <c r="L223" s="57">
        <f t="shared" si="180"/>
        <v>4.8156998061752319</v>
      </c>
      <c r="M223" s="69">
        <v>11.586</v>
      </c>
      <c r="N223" s="69">
        <v>7.4290000000000003</v>
      </c>
      <c r="O223" s="69">
        <v>7.484</v>
      </c>
      <c r="P223" s="69">
        <v>12.308999999999999</v>
      </c>
      <c r="Q223" s="69">
        <v>10.989000000000001</v>
      </c>
      <c r="R223" s="69">
        <v>12.686999999999999</v>
      </c>
      <c r="S223" s="69">
        <v>23.797999999999998</v>
      </c>
      <c r="T223" s="69">
        <v>31.038</v>
      </c>
      <c r="U223" s="69">
        <v>38.384</v>
      </c>
      <c r="V223" s="69">
        <v>61.936</v>
      </c>
      <c r="W223" s="69">
        <v>65.97</v>
      </c>
      <c r="X223" s="69">
        <v>90.805000000000007</v>
      </c>
      <c r="Y223" s="69">
        <v>114.123</v>
      </c>
      <c r="Z223" s="69">
        <v>142.19800000000001</v>
      </c>
      <c r="AA223" s="69">
        <v>82.594999999999999</v>
      </c>
      <c r="AB223" s="69">
        <v>115.378</v>
      </c>
      <c r="AC223" s="69">
        <v>135.03</v>
      </c>
      <c r="AD223" s="69">
        <v>158.33699999999999</v>
      </c>
      <c r="AE223" s="70">
        <v>175.52600000000001</v>
      </c>
      <c r="AF223" s="70">
        <v>156.255</v>
      </c>
      <c r="AG223" s="70">
        <v>168.209</v>
      </c>
      <c r="AH223" s="70">
        <v>205.86</v>
      </c>
      <c r="AI223" s="70">
        <v>232.53</v>
      </c>
      <c r="AJ223" s="70">
        <v>301.27100000000002</v>
      </c>
      <c r="AK223" s="70">
        <v>330.73200000000003</v>
      </c>
      <c r="AL223" s="70">
        <v>327.255</v>
      </c>
      <c r="AM223" s="70">
        <v>360.57600000000002</v>
      </c>
      <c r="AN223" s="70">
        <v>408.48899999999998</v>
      </c>
      <c r="AO223" s="77">
        <v>421.59899999999999</v>
      </c>
      <c r="AP223" s="77">
        <v>403.404</v>
      </c>
      <c r="AQ223" s="77">
        <v>487.83600000000001</v>
      </c>
      <c r="AR223" s="77">
        <v>518.32902000000001</v>
      </c>
      <c r="AS223" s="77">
        <v>578.02</v>
      </c>
      <c r="AT223" s="77">
        <v>574.85400000000004</v>
      </c>
      <c r="AU223" s="77">
        <v>422.51900000000001</v>
      </c>
      <c r="AV223" s="77">
        <v>728.05700000000002</v>
      </c>
      <c r="AW223" s="77">
        <v>568.29600000000005</v>
      </c>
      <c r="AX223" s="77">
        <v>532.61099999999999</v>
      </c>
      <c r="AY223" s="77">
        <v>684.59100000000001</v>
      </c>
      <c r="AZ223" s="77">
        <v>650.20500000000004</v>
      </c>
      <c r="BA223" s="77">
        <v>816.39</v>
      </c>
      <c r="BB223" s="77">
        <v>714.35</v>
      </c>
      <c r="BC223" s="59">
        <v>723.78599999999994</v>
      </c>
      <c r="BD223" s="59">
        <v>598.39700000000005</v>
      </c>
      <c r="BE223" s="59">
        <v>807.74199999999996</v>
      </c>
      <c r="BF223" s="59">
        <v>683.46</v>
      </c>
      <c r="BG223" s="59">
        <v>701.37599999999998</v>
      </c>
      <c r="BH223" s="59">
        <v>602.36500000000001</v>
      </c>
      <c r="BI223" s="59">
        <v>405.589</v>
      </c>
      <c r="BJ223" s="58">
        <f t="shared" si="181"/>
        <v>652.54984236376993</v>
      </c>
      <c r="BK223" s="58">
        <f t="shared" si="181"/>
        <v>786.33935387538622</v>
      </c>
      <c r="BL223" s="58">
        <f t="shared" si="181"/>
        <v>664.28399691679203</v>
      </c>
      <c r="BM223" s="58">
        <f t="shared" si="181"/>
        <v>758.12413935645804</v>
      </c>
      <c r="BN223" s="58">
        <f t="shared" si="181"/>
        <v>765.09937759406864</v>
      </c>
      <c r="BO223" s="58">
        <f t="shared" si="181"/>
        <v>738.2814785722004</v>
      </c>
      <c r="BP223" s="58">
        <f t="shared" si="181"/>
        <v>777.49613654682889</v>
      </c>
      <c r="BQ223" s="58">
        <f t="shared" si="181"/>
        <v>766.20054569263584</v>
      </c>
      <c r="BR223" s="58">
        <f t="shared" si="181"/>
        <v>772.44424233982352</v>
      </c>
      <c r="BS223" s="58">
        <f t="shared" si="181"/>
        <v>789.43966491255117</v>
      </c>
      <c r="BT223" s="58">
        <f t="shared" si="181"/>
        <v>784.27351251714526</v>
      </c>
      <c r="BU223" s="58">
        <f t="shared" si="181"/>
        <v>794.13113258623684</v>
      </c>
      <c r="BV223" s="59">
        <f t="shared" si="184"/>
        <v>378.70100000000002</v>
      </c>
      <c r="BW223" s="59">
        <f t="shared" si="184"/>
        <v>415.19</v>
      </c>
      <c r="BX223" s="59">
        <f t="shared" si="184"/>
        <v>467.36900000000003</v>
      </c>
      <c r="BY223" s="59">
        <f t="shared" si="184"/>
        <v>492.24400000000003</v>
      </c>
      <c r="BZ223" s="59">
        <f t="shared" si="184"/>
        <v>621.58100000000002</v>
      </c>
      <c r="CA223" s="59">
        <f t="shared" si="184"/>
        <v>655.71299999999997</v>
      </c>
      <c r="CB223" s="59">
        <f t="shared" si="184"/>
        <v>622.53300000000002</v>
      </c>
      <c r="CC223" s="59">
        <f t="shared" si="184"/>
        <v>676.15</v>
      </c>
      <c r="CD223" s="59">
        <f t="shared" si="184"/>
        <v>768.33500000000004</v>
      </c>
      <c r="CE223" s="59">
        <f t="shared" si="184"/>
        <v>757.43200000000002</v>
      </c>
      <c r="CF223" s="59">
        <f t="shared" si="184"/>
        <v>712.20500000000004</v>
      </c>
      <c r="CG223" s="59">
        <f t="shared" si="184"/>
        <v>732.61699999999996</v>
      </c>
      <c r="CH223" s="59">
        <f t="shared" si="184"/>
        <v>856.10199999999998</v>
      </c>
      <c r="CI223" s="59">
        <f t="shared" si="184"/>
        <v>693.08</v>
      </c>
      <c r="CJ223" s="59">
        <f t="shared" si="184"/>
        <v>842.73</v>
      </c>
      <c r="CK223" s="59">
        <f t="shared" si="184"/>
        <v>869.02499999999998</v>
      </c>
      <c r="CL223" s="59">
        <f t="shared" si="185"/>
        <v>720.21900000000005</v>
      </c>
      <c r="CM223" s="59">
        <f t="shared" si="185"/>
        <v>765.29399999999998</v>
      </c>
      <c r="CN223" s="59">
        <f t="shared" si="185"/>
        <v>797.32600000000002</v>
      </c>
      <c r="CO223" s="59">
        <f t="shared" si="185"/>
        <v>848.04899999999998</v>
      </c>
      <c r="CP223" s="59">
        <f t="shared" si="185"/>
        <v>791.53</v>
      </c>
      <c r="CQ223" s="59">
        <f t="shared" si="185"/>
        <v>684.85900000000004</v>
      </c>
      <c r="CR223" s="59">
        <f t="shared" si="185"/>
        <v>799.84637657793189</v>
      </c>
      <c r="CS223" s="59">
        <f t="shared" si="185"/>
        <v>781.58457064824643</v>
      </c>
      <c r="CT223" s="59">
        <f t="shared" si="185"/>
        <v>816.4838698619734</v>
      </c>
    </row>
    <row r="224" spans="1:98" s="56" customFormat="1" ht="14.25">
      <c r="A224" s="4" t="s">
        <v>106</v>
      </c>
      <c r="C224" s="57">
        <f t="shared" si="180"/>
        <v>9.3422714945906024E-2</v>
      </c>
      <c r="D224" s="57">
        <f t="shared" si="180"/>
        <v>9.3422714945906024E-2</v>
      </c>
      <c r="E224" s="57">
        <f t="shared" si="180"/>
        <v>9.3422714945906024E-2</v>
      </c>
      <c r="F224" s="57">
        <f t="shared" si="180"/>
        <v>0.18684542989181205</v>
      </c>
      <c r="G224" s="57">
        <f t="shared" si="180"/>
        <v>0.28026814483771806</v>
      </c>
      <c r="H224" s="57">
        <f t="shared" si="180"/>
        <v>0.3736908597836241</v>
      </c>
      <c r="I224" s="57">
        <f t="shared" si="180"/>
        <v>0.56053628967543612</v>
      </c>
      <c r="J224" s="57">
        <f t="shared" si="180"/>
        <v>0.74738171956724819</v>
      </c>
      <c r="K224" s="57">
        <f t="shared" si="180"/>
        <v>2.7092587334312745</v>
      </c>
      <c r="L224" s="57">
        <f t="shared" si="180"/>
        <v>4.3908676024575835</v>
      </c>
      <c r="M224" s="69">
        <v>9.0869999999999997</v>
      </c>
      <c r="N224" s="69">
        <v>8.0670000000000002</v>
      </c>
      <c r="O224" s="69">
        <v>8.1020000000000003</v>
      </c>
      <c r="P224" s="69">
        <v>10.804</v>
      </c>
      <c r="Q224" s="69">
        <v>9.3439999999999994</v>
      </c>
      <c r="R224" s="69">
        <v>15.179</v>
      </c>
      <c r="S224" s="69">
        <v>27.625</v>
      </c>
      <c r="T224" s="69">
        <v>26.670999999999999</v>
      </c>
      <c r="U224" s="69">
        <v>43.89</v>
      </c>
      <c r="V224" s="69">
        <v>56.372</v>
      </c>
      <c r="W224" s="69">
        <v>64.150999999999996</v>
      </c>
      <c r="X224" s="69">
        <v>95.802000000000007</v>
      </c>
      <c r="Y224" s="69">
        <v>105.199</v>
      </c>
      <c r="Z224" s="69">
        <v>116.82299999999999</v>
      </c>
      <c r="AA224" s="69">
        <v>93.978999999999999</v>
      </c>
      <c r="AB224" s="69">
        <v>106.08499999999999</v>
      </c>
      <c r="AC224" s="69">
        <v>103.44799999999999</v>
      </c>
      <c r="AD224" s="69">
        <v>165.11199999999999</v>
      </c>
      <c r="AE224" s="70">
        <v>138.18</v>
      </c>
      <c r="AF224" s="70">
        <v>171.33</v>
      </c>
      <c r="AG224" s="70">
        <v>172.41499999999999</v>
      </c>
      <c r="AH224" s="70">
        <v>193.05799999999999</v>
      </c>
      <c r="AI224" s="70">
        <v>223.19200000000001</v>
      </c>
      <c r="AJ224" s="70">
        <v>316.73099999999999</v>
      </c>
      <c r="AK224" s="70">
        <v>308.49599999999998</v>
      </c>
      <c r="AL224" s="70">
        <v>304.96199999999999</v>
      </c>
      <c r="AM224" s="70">
        <v>316.476</v>
      </c>
      <c r="AN224" s="70">
        <v>407.351</v>
      </c>
      <c r="AO224" s="77">
        <v>429.92099999999999</v>
      </c>
      <c r="AP224" s="77">
        <v>402.173</v>
      </c>
      <c r="AQ224" s="77">
        <v>520.78</v>
      </c>
      <c r="AR224" s="77">
        <v>575.62599999999998</v>
      </c>
      <c r="AS224" s="77">
        <v>689.428</v>
      </c>
      <c r="AT224" s="77">
        <v>617.32399999999996</v>
      </c>
      <c r="AU224" s="77">
        <v>450.44499999999999</v>
      </c>
      <c r="AV224" s="77">
        <v>711.68700000000001</v>
      </c>
      <c r="AW224" s="77">
        <v>708.66</v>
      </c>
      <c r="AX224" s="77">
        <v>585</v>
      </c>
      <c r="AY224" s="77">
        <v>678.55700000000002</v>
      </c>
      <c r="AZ224" s="77">
        <v>628.09799999999996</v>
      </c>
      <c r="BA224" s="77">
        <v>740.29399999999998</v>
      </c>
      <c r="BB224" s="77">
        <v>699.54100000000005</v>
      </c>
      <c r="BC224" s="59">
        <v>628.89700000000005</v>
      </c>
      <c r="BD224" s="59">
        <v>579.74099999999999</v>
      </c>
      <c r="BE224" s="59">
        <v>612.31799999999998</v>
      </c>
      <c r="BF224" s="59">
        <v>635.52599999999995</v>
      </c>
      <c r="BG224" s="59">
        <v>712.77599999999995</v>
      </c>
      <c r="BH224" s="59">
        <v>551.44299999999998</v>
      </c>
      <c r="BI224" s="59">
        <v>370.54899999999998</v>
      </c>
      <c r="BJ224" s="58">
        <f t="shared" si="181"/>
        <v>827.63040535512937</v>
      </c>
      <c r="BK224" s="58">
        <f t="shared" si="181"/>
        <v>825.29293218810824</v>
      </c>
      <c r="BL224" s="58">
        <f t="shared" si="181"/>
        <v>838.2853198298186</v>
      </c>
      <c r="BM224" s="58">
        <f t="shared" si="181"/>
        <v>866.48546690720366</v>
      </c>
      <c r="BN224" s="58">
        <f t="shared" si="181"/>
        <v>873.69199262067775</v>
      </c>
      <c r="BO224" s="58">
        <f t="shared" si="181"/>
        <v>883.96646510570326</v>
      </c>
      <c r="BP224" s="58">
        <f t="shared" si="181"/>
        <v>892.4600985345561</v>
      </c>
      <c r="BQ224" s="58">
        <f t="shared" si="181"/>
        <v>891.87487699365033</v>
      </c>
      <c r="BR224" s="58">
        <f t="shared" si="181"/>
        <v>904.64065045959569</v>
      </c>
      <c r="BS224" s="58">
        <f t="shared" si="181"/>
        <v>912.59908689736176</v>
      </c>
      <c r="BT224" s="58">
        <f t="shared" si="181"/>
        <v>918.69549257407016</v>
      </c>
      <c r="BU224" s="58">
        <f t="shared" si="181"/>
        <v>923.86375618110696</v>
      </c>
      <c r="BV224" s="59">
        <f t="shared" si="184"/>
        <v>374.42700000000002</v>
      </c>
      <c r="BW224" s="59">
        <f t="shared" si="184"/>
        <v>411.88200000000001</v>
      </c>
      <c r="BX224" s="59">
        <f t="shared" si="184"/>
        <v>446.464</v>
      </c>
      <c r="BY224" s="59">
        <f t="shared" si="184"/>
        <v>493.58699999999999</v>
      </c>
      <c r="BZ224" s="59">
        <f t="shared" si="184"/>
        <v>564.36099999999999</v>
      </c>
      <c r="CA224" s="59">
        <f t="shared" si="184"/>
        <v>619.95399999999995</v>
      </c>
      <c r="CB224" s="59">
        <f t="shared" si="184"/>
        <v>364.01900000000001</v>
      </c>
      <c r="CC224" s="59">
        <f t="shared" si="184"/>
        <v>568.77499999999998</v>
      </c>
      <c r="CD224" s="59">
        <f t="shared" si="184"/>
        <v>685.95500000000004</v>
      </c>
      <c r="CE224" s="59">
        <f t="shared" si="184"/>
        <v>621.98199999999997</v>
      </c>
      <c r="CF224" s="59">
        <f t="shared" si="184"/>
        <v>613.14800000000002</v>
      </c>
      <c r="CG224" s="59">
        <f t="shared" si="184"/>
        <v>732.13199999999995</v>
      </c>
      <c r="CH224" s="59">
        <f t="shared" si="184"/>
        <v>776.81</v>
      </c>
      <c r="CI224" s="59">
        <f t="shared" si="184"/>
        <v>872.63699999999994</v>
      </c>
      <c r="CJ224" s="59">
        <f t="shared" si="184"/>
        <v>790.27</v>
      </c>
      <c r="CK224" s="59">
        <f t="shared" si="184"/>
        <v>740.54200000000003</v>
      </c>
      <c r="CL224" s="59">
        <f t="shared" si="185"/>
        <v>645.63099999999997</v>
      </c>
      <c r="CM224" s="59">
        <f t="shared" si="185"/>
        <v>834.43700000000001</v>
      </c>
      <c r="CN224" s="59">
        <f t="shared" si="185"/>
        <v>724.85900000000004</v>
      </c>
      <c r="CO224" s="59">
        <f t="shared" si="185"/>
        <v>818.54899999999998</v>
      </c>
      <c r="CP224" s="59">
        <f t="shared" si="185"/>
        <v>751.60199999999998</v>
      </c>
      <c r="CQ224" s="59">
        <f t="shared" si="185"/>
        <v>578.53499999999997</v>
      </c>
      <c r="CR224" s="59">
        <f t="shared" si="185"/>
        <v>803.67502083906334</v>
      </c>
      <c r="CS224" s="59">
        <f t="shared" si="185"/>
        <v>815.25318935278256</v>
      </c>
      <c r="CT224" s="59">
        <f t="shared" si="185"/>
        <v>810.35820953423638</v>
      </c>
    </row>
    <row r="225" spans="1:98" s="56" customFormat="1" ht="14.25">
      <c r="A225" s="4" t="s">
        <v>107</v>
      </c>
      <c r="C225" s="57">
        <f t="shared" si="180"/>
        <v>0.11061591832199599</v>
      </c>
      <c r="D225" s="57">
        <f t="shared" si="180"/>
        <v>0.11061591832199599</v>
      </c>
      <c r="E225" s="57">
        <f t="shared" si="180"/>
        <v>0.11061591832199599</v>
      </c>
      <c r="F225" s="57">
        <f t="shared" si="180"/>
        <v>0.22123183664399199</v>
      </c>
      <c r="G225" s="57">
        <f t="shared" si="180"/>
        <v>0.33184775496598795</v>
      </c>
      <c r="H225" s="57">
        <f t="shared" si="180"/>
        <v>0.44246367328798397</v>
      </c>
      <c r="I225" s="57">
        <f t="shared" si="180"/>
        <v>0.6636955099319759</v>
      </c>
      <c r="J225" s="57">
        <f t="shared" si="180"/>
        <v>0.88492734657596794</v>
      </c>
      <c r="K225" s="57">
        <f t="shared" si="180"/>
        <v>3.2078616313378836</v>
      </c>
      <c r="L225" s="57">
        <f t="shared" si="180"/>
        <v>5.1989481611338118</v>
      </c>
      <c r="M225" s="69">
        <v>12.455</v>
      </c>
      <c r="N225" s="69">
        <v>8.3350000000000009</v>
      </c>
      <c r="O225" s="69">
        <v>10.141</v>
      </c>
      <c r="P225" s="69">
        <v>12.285</v>
      </c>
      <c r="Q225" s="69">
        <v>10.544</v>
      </c>
      <c r="R225" s="69">
        <v>13.364000000000001</v>
      </c>
      <c r="S225" s="69">
        <v>24.646000000000001</v>
      </c>
      <c r="T225" s="69">
        <v>33.185000000000002</v>
      </c>
      <c r="U225" s="69">
        <v>37.497999999999998</v>
      </c>
      <c r="V225" s="69">
        <v>62.191000000000003</v>
      </c>
      <c r="W225" s="69">
        <v>68.254999999999995</v>
      </c>
      <c r="X225" s="69">
        <v>71.346000000000004</v>
      </c>
      <c r="Y225" s="69">
        <v>72.736999999999995</v>
      </c>
      <c r="Z225" s="69">
        <v>126.777</v>
      </c>
      <c r="AA225" s="69">
        <v>95.816999999999993</v>
      </c>
      <c r="AB225" s="69">
        <v>118.51</v>
      </c>
      <c r="AC225" s="69">
        <v>123.58799999999999</v>
      </c>
      <c r="AD225" s="69">
        <v>167.08699999999999</v>
      </c>
      <c r="AE225" s="70">
        <v>153.09399999999999</v>
      </c>
      <c r="AF225" s="70">
        <v>159.94200000000001</v>
      </c>
      <c r="AG225" s="70">
        <v>169.416</v>
      </c>
      <c r="AH225" s="70">
        <v>194.34</v>
      </c>
      <c r="AI225" s="70">
        <v>197.41</v>
      </c>
      <c r="AJ225" s="70">
        <v>293.87599999999998</v>
      </c>
      <c r="AK225" s="70">
        <v>303.303</v>
      </c>
      <c r="AL225" s="70">
        <v>274.935</v>
      </c>
      <c r="AM225" s="70">
        <v>339.03100000000001</v>
      </c>
      <c r="AN225" s="70">
        <v>404.25200000000001</v>
      </c>
      <c r="AO225" s="77">
        <v>453.642</v>
      </c>
      <c r="AP225" s="77">
        <v>397.09699999999998</v>
      </c>
      <c r="AQ225" s="77">
        <v>457.45299999999997</v>
      </c>
      <c r="AR225" s="77">
        <v>495.81559999999996</v>
      </c>
      <c r="AS225" s="77">
        <v>685.24</v>
      </c>
      <c r="AT225" s="77">
        <v>530.34500000000003</v>
      </c>
      <c r="AU225" s="77">
        <v>463.714</v>
      </c>
      <c r="AV225" s="77">
        <v>695.14499999999998</v>
      </c>
      <c r="AW225" s="77">
        <v>633.274</v>
      </c>
      <c r="AX225" s="77">
        <v>467.40100000000001</v>
      </c>
      <c r="AY225" s="77">
        <v>559.21299999999997</v>
      </c>
      <c r="AZ225" s="77">
        <v>584.92600000000004</v>
      </c>
      <c r="BA225" s="77">
        <v>752.03499999999997</v>
      </c>
      <c r="BB225" s="77">
        <v>727.42700000000002</v>
      </c>
      <c r="BC225" s="59">
        <v>684.94</v>
      </c>
      <c r="BD225" s="59">
        <v>656.98900000000003</v>
      </c>
      <c r="BE225" s="59">
        <v>767.45600000000002</v>
      </c>
      <c r="BF225" s="59">
        <v>620.08900000000006</v>
      </c>
      <c r="BG225" s="59">
        <v>657.87400000000002</v>
      </c>
      <c r="BH225" s="59">
        <v>564.72400000000005</v>
      </c>
      <c r="BI225" s="59">
        <v>361.06400000000002</v>
      </c>
      <c r="BJ225" s="58">
        <f t="shared" si="181"/>
        <v>841.10277016536588</v>
      </c>
      <c r="BK225" s="58">
        <f t="shared" si="181"/>
        <v>825.71527678064888</v>
      </c>
      <c r="BL225" s="58">
        <f t="shared" si="181"/>
        <v>851.24243467167867</v>
      </c>
      <c r="BM225" s="58">
        <f t="shared" si="181"/>
        <v>875.06699137886073</v>
      </c>
      <c r="BN225" s="58">
        <f t="shared" si="181"/>
        <v>883.08383664492396</v>
      </c>
      <c r="BO225" s="58">
        <f t="shared" si="181"/>
        <v>895.70284769797854</v>
      </c>
      <c r="BP225" s="58">
        <f t="shared" si="181"/>
        <v>898.72715456761637</v>
      </c>
      <c r="BQ225" s="58">
        <f t="shared" si="181"/>
        <v>902.35364657048535</v>
      </c>
      <c r="BR225" s="58">
        <f t="shared" si="181"/>
        <v>910.41789190725444</v>
      </c>
      <c r="BS225" s="58">
        <f t="shared" si="181"/>
        <v>918.30461297017314</v>
      </c>
      <c r="BT225" s="58">
        <f t="shared" si="181"/>
        <v>924.72788294536008</v>
      </c>
      <c r="BU225" s="58">
        <f t="shared" si="181"/>
        <v>929.63289768178538</v>
      </c>
      <c r="BV225" s="59">
        <f t="shared" si="184"/>
        <v>399.89699999999999</v>
      </c>
      <c r="BW225" s="59">
        <f t="shared" si="184"/>
        <v>449.06900000000002</v>
      </c>
      <c r="BX225" s="59">
        <f t="shared" si="184"/>
        <v>423.51799999999997</v>
      </c>
      <c r="BY225" s="59">
        <f t="shared" si="184"/>
        <v>538.851</v>
      </c>
      <c r="BZ225" s="59">
        <f t="shared" si="184"/>
        <v>564.47299999999996</v>
      </c>
      <c r="CA225" s="59">
        <f t="shared" si="184"/>
        <v>536.923</v>
      </c>
      <c r="CB225" s="59">
        <f t="shared" si="184"/>
        <v>655.83799999999997</v>
      </c>
      <c r="CC225" s="59">
        <f t="shared" si="184"/>
        <v>520.64700000000005</v>
      </c>
      <c r="CD225" s="59">
        <f t="shared" si="184"/>
        <v>671.95500000000004</v>
      </c>
      <c r="CE225" s="59">
        <f t="shared" si="184"/>
        <v>614.702</v>
      </c>
      <c r="CF225" s="59">
        <f t="shared" si="184"/>
        <v>559.95299999999997</v>
      </c>
      <c r="CG225" s="59">
        <f t="shared" si="184"/>
        <v>683.47500000000002</v>
      </c>
      <c r="CH225" s="59">
        <f t="shared" si="184"/>
        <v>731.726</v>
      </c>
      <c r="CI225" s="59">
        <f t="shared" si="184"/>
        <v>917.55600000000004</v>
      </c>
      <c r="CJ225" s="59">
        <f t="shared" si="184"/>
        <v>774.79399999999998</v>
      </c>
      <c r="CK225" s="59">
        <f t="shared" si="184"/>
        <v>826.74199999999996</v>
      </c>
      <c r="CL225" s="59">
        <f t="shared" si="185"/>
        <v>681.71400000000006</v>
      </c>
      <c r="CM225" s="59">
        <f t="shared" si="185"/>
        <v>868.99199999999996</v>
      </c>
      <c r="CN225" s="59">
        <f t="shared" si="185"/>
        <v>696.90700000000004</v>
      </c>
      <c r="CO225" s="59">
        <f t="shared" si="185"/>
        <v>753.20799999999997</v>
      </c>
      <c r="CP225" s="59">
        <f t="shared" si="185"/>
        <v>663.87800000000004</v>
      </c>
      <c r="CQ225" s="59">
        <f t="shared" si="185"/>
        <v>493.04199999999997</v>
      </c>
      <c r="CR225" s="59">
        <f t="shared" si="185"/>
        <v>890.18245769999419</v>
      </c>
      <c r="CS225" s="59">
        <f t="shared" si="185"/>
        <v>760.93977782760498</v>
      </c>
      <c r="CT225" s="59">
        <f t="shared" si="185"/>
        <v>897.22343418762819</v>
      </c>
    </row>
    <row r="226" spans="1:98" s="56" customFormat="1" ht="14.25">
      <c r="A226" s="4" t="s">
        <v>108</v>
      </c>
      <c r="C226" s="57">
        <f t="shared" si="180"/>
        <v>9.7358880343041021E-2</v>
      </c>
      <c r="D226" s="57">
        <f t="shared" si="180"/>
        <v>9.7358880343041021E-2</v>
      </c>
      <c r="E226" s="57">
        <f t="shared" si="180"/>
        <v>9.7358880343041021E-2</v>
      </c>
      <c r="F226" s="57">
        <f t="shared" si="180"/>
        <v>0.19471776068608204</v>
      </c>
      <c r="G226" s="57">
        <f t="shared" si="180"/>
        <v>0.29207664102912306</v>
      </c>
      <c r="H226" s="57">
        <f t="shared" si="180"/>
        <v>0.38943552137216408</v>
      </c>
      <c r="I226" s="57">
        <f t="shared" si="180"/>
        <v>0.58415328205824613</v>
      </c>
      <c r="J226" s="57">
        <f t="shared" si="180"/>
        <v>0.77887104274432817</v>
      </c>
      <c r="K226" s="57">
        <f t="shared" si="180"/>
        <v>2.8234075299481898</v>
      </c>
      <c r="L226" s="57">
        <f t="shared" si="180"/>
        <v>4.575867376122928</v>
      </c>
      <c r="M226" s="69">
        <v>9.1059999999999999</v>
      </c>
      <c r="N226" s="69">
        <v>6.0490000000000004</v>
      </c>
      <c r="O226" s="69">
        <v>10.287000000000001</v>
      </c>
      <c r="P226" s="69">
        <v>12.598000000000001</v>
      </c>
      <c r="Q226" s="69">
        <v>9.2769999999999992</v>
      </c>
      <c r="R226" s="69">
        <v>15.446999999999999</v>
      </c>
      <c r="S226" s="69">
        <v>16.140999999999998</v>
      </c>
      <c r="T226" s="69">
        <v>44.874000000000002</v>
      </c>
      <c r="U226" s="69">
        <v>37.238999999999997</v>
      </c>
      <c r="V226" s="69">
        <v>65.661000000000001</v>
      </c>
      <c r="W226" s="69">
        <v>53.947000000000003</v>
      </c>
      <c r="X226" s="69">
        <v>59.883000000000003</v>
      </c>
      <c r="Y226" s="69">
        <v>75.921999999999997</v>
      </c>
      <c r="Z226" s="69">
        <v>122.069</v>
      </c>
      <c r="AA226" s="69">
        <v>73.498999999999995</v>
      </c>
      <c r="AB226" s="69">
        <v>103.194</v>
      </c>
      <c r="AC226" s="69">
        <v>129.88499999999999</v>
      </c>
      <c r="AD226" s="69">
        <v>155.71199999999999</v>
      </c>
      <c r="AE226" s="70">
        <v>149.33500000000001</v>
      </c>
      <c r="AF226" s="70">
        <v>153.44499999999999</v>
      </c>
      <c r="AG226" s="70">
        <v>173.33199999999999</v>
      </c>
      <c r="AH226" s="70">
        <v>184.89400000000001</v>
      </c>
      <c r="AI226" s="70">
        <v>104.729</v>
      </c>
      <c r="AJ226" s="70">
        <v>290.31700000000001</v>
      </c>
      <c r="AK226" s="70">
        <v>268.298</v>
      </c>
      <c r="AL226" s="70">
        <v>275.09699999999998</v>
      </c>
      <c r="AM226" s="70">
        <v>330.84899999999999</v>
      </c>
      <c r="AN226" s="70">
        <v>338.42599999999999</v>
      </c>
      <c r="AO226" s="77">
        <v>409.88</v>
      </c>
      <c r="AP226" s="77">
        <v>362.40899999999999</v>
      </c>
      <c r="AQ226" s="77">
        <v>392.29</v>
      </c>
      <c r="AR226" s="77">
        <v>507.54399999999998</v>
      </c>
      <c r="AS226" s="77">
        <v>662.86800000000005</v>
      </c>
      <c r="AT226" s="77">
        <v>474.68099999999998</v>
      </c>
      <c r="AU226" s="77">
        <v>451.44200000000001</v>
      </c>
      <c r="AV226" s="77">
        <v>607.61800000000005</v>
      </c>
      <c r="AW226" s="77">
        <v>573.03599999999994</v>
      </c>
      <c r="AX226" s="77">
        <v>422.476</v>
      </c>
      <c r="AY226" s="77">
        <v>441.74200000000002</v>
      </c>
      <c r="AZ226" s="77">
        <v>596.17999999999995</v>
      </c>
      <c r="BA226" s="77">
        <v>588.71699999999998</v>
      </c>
      <c r="BB226" s="77">
        <v>707.84500000000003</v>
      </c>
      <c r="BC226" s="59">
        <v>646.89</v>
      </c>
      <c r="BD226" s="59">
        <v>628.625</v>
      </c>
      <c r="BE226" s="59">
        <v>578.12599999999998</v>
      </c>
      <c r="BF226" s="59">
        <v>589.19299999999998</v>
      </c>
      <c r="BG226" s="59">
        <v>574.577</v>
      </c>
      <c r="BH226" s="59">
        <v>644.66700000000003</v>
      </c>
      <c r="BI226" s="59">
        <v>369.56700000000001</v>
      </c>
      <c r="BJ226" s="58">
        <f t="shared" si="181"/>
        <v>698.63278164017379</v>
      </c>
      <c r="BK226" s="58">
        <f t="shared" si="181"/>
        <v>621.65170835367508</v>
      </c>
      <c r="BL226" s="58">
        <f t="shared" si="181"/>
        <v>703.62434882333969</v>
      </c>
      <c r="BM226" s="58">
        <f t="shared" si="181"/>
        <v>688.07070458282897</v>
      </c>
      <c r="BN226" s="58">
        <f t="shared" si="181"/>
        <v>699.67027352959565</v>
      </c>
      <c r="BO226" s="58">
        <f t="shared" si="181"/>
        <v>725.00219195251623</v>
      </c>
      <c r="BP226" s="58">
        <f t="shared" si="181"/>
        <v>711.29225935544662</v>
      </c>
      <c r="BQ226" s="58">
        <f t="shared" si="181"/>
        <v>724.66100336366435</v>
      </c>
      <c r="BR226" s="58">
        <f t="shared" si="181"/>
        <v>731.73568526252859</v>
      </c>
      <c r="BS226" s="58">
        <f t="shared" si="181"/>
        <v>732.51925437630734</v>
      </c>
      <c r="BT226" s="58">
        <f t="shared" si="181"/>
        <v>742.76659728289803</v>
      </c>
      <c r="BU226" s="58">
        <f t="shared" si="181"/>
        <v>746.74970942209302</v>
      </c>
      <c r="BV226" s="59">
        <f t="shared" si="184"/>
        <v>408.48899999999998</v>
      </c>
      <c r="BW226" s="59">
        <f t="shared" si="184"/>
        <v>421.59899999999999</v>
      </c>
      <c r="BX226" s="59">
        <f t="shared" si="184"/>
        <v>403.404</v>
      </c>
      <c r="BY226" s="59">
        <f t="shared" si="184"/>
        <v>487.83600000000001</v>
      </c>
      <c r="BZ226" s="59">
        <f t="shared" si="184"/>
        <v>518.32902000000001</v>
      </c>
      <c r="CA226" s="59">
        <f t="shared" si="184"/>
        <v>578.02</v>
      </c>
      <c r="CB226" s="59">
        <f t="shared" si="184"/>
        <v>574.85400000000004</v>
      </c>
      <c r="CC226" s="59">
        <f t="shared" si="184"/>
        <v>422.51900000000001</v>
      </c>
      <c r="CD226" s="59">
        <f t="shared" si="184"/>
        <v>728.05700000000002</v>
      </c>
      <c r="CE226" s="59">
        <f t="shared" si="184"/>
        <v>568.29600000000005</v>
      </c>
      <c r="CF226" s="59">
        <f t="shared" si="184"/>
        <v>532.61099999999999</v>
      </c>
      <c r="CG226" s="59">
        <f t="shared" si="184"/>
        <v>684.59100000000001</v>
      </c>
      <c r="CH226" s="59">
        <f t="shared" si="184"/>
        <v>650.20500000000004</v>
      </c>
      <c r="CI226" s="59">
        <f t="shared" si="184"/>
        <v>816.39</v>
      </c>
      <c r="CJ226" s="59">
        <f t="shared" si="184"/>
        <v>714.35</v>
      </c>
      <c r="CK226" s="59">
        <f t="shared" si="184"/>
        <v>723.78599999999994</v>
      </c>
      <c r="CL226" s="59">
        <f t="shared" si="185"/>
        <v>598.39700000000005</v>
      </c>
      <c r="CM226" s="59">
        <f t="shared" si="185"/>
        <v>807.74199999999996</v>
      </c>
      <c r="CN226" s="59">
        <f t="shared" si="185"/>
        <v>683.46</v>
      </c>
      <c r="CO226" s="59">
        <f t="shared" si="185"/>
        <v>701.37599999999998</v>
      </c>
      <c r="CP226" s="59">
        <f t="shared" si="185"/>
        <v>602.36500000000001</v>
      </c>
      <c r="CQ226" s="59">
        <f t="shared" si="185"/>
        <v>405.589</v>
      </c>
      <c r="CR226" s="59">
        <f t="shared" si="185"/>
        <v>652.54984236376993</v>
      </c>
      <c r="CS226" s="59">
        <f t="shared" si="185"/>
        <v>786.33935387538622</v>
      </c>
      <c r="CT226" s="59">
        <f t="shared" si="185"/>
        <v>664.28399691679203</v>
      </c>
    </row>
    <row r="227" spans="1:98" s="56" customFormat="1" ht="14.25">
      <c r="A227" s="4" t="s">
        <v>109</v>
      </c>
      <c r="C227" s="57">
        <f t="shared" si="180"/>
        <v>8.7838421747879647E-2</v>
      </c>
      <c r="D227" s="57">
        <f t="shared" si="180"/>
        <v>8.7838421747879647E-2</v>
      </c>
      <c r="E227" s="57">
        <f t="shared" si="180"/>
        <v>8.7838421747879647E-2</v>
      </c>
      <c r="F227" s="57">
        <f t="shared" si="180"/>
        <v>0.17567684349575929</v>
      </c>
      <c r="G227" s="57">
        <f t="shared" si="180"/>
        <v>0.26351526524363894</v>
      </c>
      <c r="H227" s="57">
        <f t="shared" si="180"/>
        <v>0.35135368699151859</v>
      </c>
      <c r="I227" s="57">
        <f t="shared" si="180"/>
        <v>0.52703053048727788</v>
      </c>
      <c r="J227" s="57">
        <f t="shared" si="180"/>
        <v>0.70270737398303718</v>
      </c>
      <c r="K227" s="57">
        <f t="shared" si="180"/>
        <v>2.5473142306885097</v>
      </c>
      <c r="L227" s="57">
        <f t="shared" si="180"/>
        <v>4.1284058221503432</v>
      </c>
      <c r="M227" s="69">
        <v>6.2930000000000001</v>
      </c>
      <c r="N227" s="69">
        <v>6.6550000000000002</v>
      </c>
      <c r="O227" s="69">
        <v>11.851000000000001</v>
      </c>
      <c r="P227" s="69">
        <v>9.3510000000000009</v>
      </c>
      <c r="Q227" s="69">
        <v>8.5399999999999991</v>
      </c>
      <c r="R227" s="69">
        <v>10.082000000000001</v>
      </c>
      <c r="S227" s="69">
        <v>8.4550000000000001</v>
      </c>
      <c r="T227" s="69">
        <v>29.693000000000001</v>
      </c>
      <c r="U227" s="69">
        <v>40.319000000000003</v>
      </c>
      <c r="V227" s="69">
        <v>54.072000000000003</v>
      </c>
      <c r="W227" s="69">
        <v>36.639000000000003</v>
      </c>
      <c r="X227" s="69">
        <v>43.395000000000003</v>
      </c>
      <c r="Y227" s="69">
        <v>50.613</v>
      </c>
      <c r="Z227" s="69">
        <v>87.378</v>
      </c>
      <c r="AA227" s="69">
        <v>65.513999999999996</v>
      </c>
      <c r="AB227" s="69">
        <v>76.775000000000006</v>
      </c>
      <c r="AC227" s="69">
        <v>97.572999999999993</v>
      </c>
      <c r="AD227" s="69">
        <v>101.31100000000001</v>
      </c>
      <c r="AE227" s="70">
        <v>97.382000000000005</v>
      </c>
      <c r="AF227" s="70">
        <v>88.418999999999997</v>
      </c>
      <c r="AG227" s="70">
        <v>155.94</v>
      </c>
      <c r="AH227" s="70">
        <v>129.857</v>
      </c>
      <c r="AI227" s="70">
        <v>109.669</v>
      </c>
      <c r="AJ227" s="70">
        <v>242.048</v>
      </c>
      <c r="AK227" s="70">
        <v>206.666</v>
      </c>
      <c r="AL227" s="70">
        <v>220.31</v>
      </c>
      <c r="AM227" s="70">
        <v>298.71499999999997</v>
      </c>
      <c r="AN227" s="70">
        <v>323.03300000000002</v>
      </c>
      <c r="AO227" s="77">
        <v>364.21199999999999</v>
      </c>
      <c r="AP227" s="77">
        <v>311.61099999999999</v>
      </c>
      <c r="AQ227" s="77">
        <v>488.76400000000001</v>
      </c>
      <c r="AR227" s="77">
        <v>497.86200000000002</v>
      </c>
      <c r="AS227" s="77">
        <v>690.57799999999997</v>
      </c>
      <c r="AT227" s="77">
        <v>431.05700000000002</v>
      </c>
      <c r="AU227" s="77">
        <v>378.678</v>
      </c>
      <c r="AV227" s="77">
        <v>515.10299999999995</v>
      </c>
      <c r="AW227" s="77">
        <v>544.39300000000003</v>
      </c>
      <c r="AX227" s="77">
        <v>375.52199999999999</v>
      </c>
      <c r="AY227" s="77">
        <v>333.27300000000002</v>
      </c>
      <c r="AZ227" s="77">
        <v>464.09699999999998</v>
      </c>
      <c r="BA227" s="77">
        <v>512.94200000000001</v>
      </c>
      <c r="BB227" s="77">
        <v>654.827</v>
      </c>
      <c r="BC227" s="59">
        <v>427.46</v>
      </c>
      <c r="BD227" s="59">
        <v>475.84100000000001</v>
      </c>
      <c r="BE227" s="59">
        <v>541.91200000000003</v>
      </c>
      <c r="BF227" s="59">
        <v>155.54900000000001</v>
      </c>
      <c r="BG227" s="59">
        <v>581.78200000000004</v>
      </c>
      <c r="BH227" s="59">
        <v>505.69799999999998</v>
      </c>
      <c r="BI227" s="59">
        <v>373.34100000000001</v>
      </c>
      <c r="BJ227" s="58">
        <f t="shared" si="181"/>
        <v>735.43151123521375</v>
      </c>
      <c r="BK227" s="58">
        <f t="shared" si="181"/>
        <v>579.19317079119617</v>
      </c>
      <c r="BL227" s="58">
        <f t="shared" si="181"/>
        <v>745.39642849649624</v>
      </c>
      <c r="BM227" s="58">
        <f t="shared" si="181"/>
        <v>693.9735882477512</v>
      </c>
      <c r="BN227" s="58">
        <f t="shared" si="181"/>
        <v>699.33207930158437</v>
      </c>
      <c r="BO227" s="58">
        <f t="shared" si="181"/>
        <v>746.24306325863108</v>
      </c>
      <c r="BP227" s="58">
        <f t="shared" si="181"/>
        <v>708.36378290926609</v>
      </c>
      <c r="BQ227" s="58">
        <f t="shared" si="181"/>
        <v>734.12999188850563</v>
      </c>
      <c r="BR227" s="58">
        <f t="shared" si="181"/>
        <v>740.93311176196448</v>
      </c>
      <c r="BS227" s="58">
        <f t="shared" si="181"/>
        <v>735.21562474625546</v>
      </c>
      <c r="BT227" s="58">
        <f t="shared" si="181"/>
        <v>750.61403099536426</v>
      </c>
      <c r="BU227" s="58">
        <f t="shared" si="181"/>
        <v>750.35546440516123</v>
      </c>
      <c r="BV227" s="59">
        <f t="shared" si="184"/>
        <v>407.351</v>
      </c>
      <c r="BW227" s="59">
        <f t="shared" si="184"/>
        <v>429.92099999999999</v>
      </c>
      <c r="BX227" s="59">
        <f t="shared" si="184"/>
        <v>402.173</v>
      </c>
      <c r="BY227" s="59">
        <f t="shared" si="184"/>
        <v>520.78</v>
      </c>
      <c r="BZ227" s="59">
        <f t="shared" si="184"/>
        <v>575.62599999999998</v>
      </c>
      <c r="CA227" s="59">
        <f t="shared" si="184"/>
        <v>689.428</v>
      </c>
      <c r="CB227" s="59">
        <f t="shared" si="184"/>
        <v>617.32399999999996</v>
      </c>
      <c r="CC227" s="59">
        <f t="shared" si="184"/>
        <v>450.44499999999999</v>
      </c>
      <c r="CD227" s="59">
        <f t="shared" si="184"/>
        <v>711.68700000000001</v>
      </c>
      <c r="CE227" s="59">
        <f t="shared" si="184"/>
        <v>708.66</v>
      </c>
      <c r="CF227" s="59">
        <f t="shared" si="184"/>
        <v>585</v>
      </c>
      <c r="CG227" s="59">
        <f t="shared" si="184"/>
        <v>678.55700000000002</v>
      </c>
      <c r="CH227" s="59">
        <f t="shared" si="184"/>
        <v>628.09799999999996</v>
      </c>
      <c r="CI227" s="59">
        <f t="shared" si="184"/>
        <v>740.29399999999998</v>
      </c>
      <c r="CJ227" s="59">
        <f t="shared" si="184"/>
        <v>699.54100000000005</v>
      </c>
      <c r="CK227" s="59">
        <f t="shared" si="184"/>
        <v>628.89700000000005</v>
      </c>
      <c r="CL227" s="59">
        <f t="shared" si="185"/>
        <v>579.74099999999999</v>
      </c>
      <c r="CM227" s="59">
        <f t="shared" si="185"/>
        <v>612.31799999999998</v>
      </c>
      <c r="CN227" s="59">
        <f t="shared" si="185"/>
        <v>635.52599999999995</v>
      </c>
      <c r="CO227" s="59">
        <f t="shared" si="185"/>
        <v>712.77599999999995</v>
      </c>
      <c r="CP227" s="59">
        <f t="shared" si="185"/>
        <v>551.44299999999998</v>
      </c>
      <c r="CQ227" s="59">
        <f t="shared" si="185"/>
        <v>370.54899999999998</v>
      </c>
      <c r="CR227" s="59">
        <f t="shared" si="185"/>
        <v>827.63040535512937</v>
      </c>
      <c r="CS227" s="59">
        <f t="shared" si="185"/>
        <v>825.29293218810824</v>
      </c>
      <c r="CT227" s="59">
        <f t="shared" si="185"/>
        <v>838.2853198298186</v>
      </c>
    </row>
    <row r="228" spans="1:98" s="56" customFormat="1" ht="14.25">
      <c r="A228" s="4" t="s">
        <v>110</v>
      </c>
      <c r="C228" s="57">
        <f t="shared" si="180"/>
        <v>8.5122405896223496E-2</v>
      </c>
      <c r="D228" s="57">
        <f t="shared" si="180"/>
        <v>8.5122405896223496E-2</v>
      </c>
      <c r="E228" s="57">
        <f t="shared" si="180"/>
        <v>8.5122405896223496E-2</v>
      </c>
      <c r="F228" s="57">
        <f t="shared" si="180"/>
        <v>0.17024481179244699</v>
      </c>
      <c r="G228" s="57">
        <f t="shared" si="180"/>
        <v>0.25536721768867049</v>
      </c>
      <c r="H228" s="57">
        <f t="shared" si="180"/>
        <v>0.34048962358489399</v>
      </c>
      <c r="I228" s="57">
        <f t="shared" si="180"/>
        <v>0.51073443537734098</v>
      </c>
      <c r="J228" s="57">
        <f t="shared" si="180"/>
        <v>0.68097924716978797</v>
      </c>
      <c r="K228" s="57">
        <f t="shared" si="180"/>
        <v>2.4685497709904816</v>
      </c>
      <c r="L228" s="57">
        <f t="shared" si="180"/>
        <v>4.0007530771225044</v>
      </c>
      <c r="M228" s="69">
        <v>4.7930000000000001</v>
      </c>
      <c r="N228" s="69">
        <v>7.3090000000000002</v>
      </c>
      <c r="O228" s="69">
        <v>9.3149999999999995</v>
      </c>
      <c r="P228" s="69">
        <v>11.000999999999999</v>
      </c>
      <c r="Q228" s="69">
        <v>8.952</v>
      </c>
      <c r="R228" s="69">
        <v>3.7410000000000001</v>
      </c>
      <c r="S228" s="69">
        <v>8.6270000000000007</v>
      </c>
      <c r="T228" s="69">
        <v>32.764000000000003</v>
      </c>
      <c r="U228" s="69">
        <v>36.406999999999996</v>
      </c>
      <c r="V228" s="69">
        <v>48.881</v>
      </c>
      <c r="W228" s="69">
        <v>31.151</v>
      </c>
      <c r="X228" s="69">
        <v>34.378999999999998</v>
      </c>
      <c r="Y228" s="69">
        <v>40.86</v>
      </c>
      <c r="Z228" s="69">
        <v>86.944000000000003</v>
      </c>
      <c r="AA228" s="69">
        <v>60.055</v>
      </c>
      <c r="AB228" s="69">
        <v>47.281999999999996</v>
      </c>
      <c r="AC228" s="69">
        <v>82.165000000000006</v>
      </c>
      <c r="AD228" s="69">
        <v>87.757000000000005</v>
      </c>
      <c r="AE228" s="70">
        <v>116.53100000000001</v>
      </c>
      <c r="AF228" s="70">
        <v>110.708</v>
      </c>
      <c r="AG228" s="70">
        <v>132.63800000000001</v>
      </c>
      <c r="AH228" s="70">
        <v>91.082999999999998</v>
      </c>
      <c r="AI228" s="70">
        <v>94.768000000000001</v>
      </c>
      <c r="AJ228" s="70">
        <v>206.02199999999999</v>
      </c>
      <c r="AK228" s="70">
        <v>203.53399999999999</v>
      </c>
      <c r="AL228" s="70">
        <v>166.423</v>
      </c>
      <c r="AM228" s="70">
        <v>259.57400000000001</v>
      </c>
      <c r="AN228" s="77">
        <v>288.495</v>
      </c>
      <c r="AO228" s="77">
        <v>374.31700000000001</v>
      </c>
      <c r="AP228" s="77">
        <v>379.267</v>
      </c>
      <c r="AQ228" s="77">
        <v>450.63668000000001</v>
      </c>
      <c r="AR228" s="77">
        <v>448.91720000000004</v>
      </c>
      <c r="AS228" s="77">
        <v>572.15800000000002</v>
      </c>
      <c r="AT228" s="77">
        <v>439.69200000000001</v>
      </c>
      <c r="AU228" s="77">
        <v>311.97500000000002</v>
      </c>
      <c r="AV228" s="77">
        <v>445.93200000000002</v>
      </c>
      <c r="AW228" s="77">
        <v>495.02199999999999</v>
      </c>
      <c r="AX228" s="77">
        <v>325.77199999999999</v>
      </c>
      <c r="AY228" s="77">
        <v>374.065</v>
      </c>
      <c r="AZ228" s="77">
        <v>333.315</v>
      </c>
      <c r="BA228" s="77">
        <v>765.45299999999997</v>
      </c>
      <c r="BB228" s="70">
        <v>578.93700000000001</v>
      </c>
      <c r="BC228" s="59">
        <v>529.82600000000002</v>
      </c>
      <c r="BD228" s="59">
        <v>495.16300000000001</v>
      </c>
      <c r="BE228" s="59">
        <v>449.85899999999998</v>
      </c>
      <c r="BF228" s="59">
        <v>642.79300000000001</v>
      </c>
      <c r="BG228" s="59">
        <v>494.53</v>
      </c>
      <c r="BH228" s="59">
        <v>367.51799999999997</v>
      </c>
      <c r="BI228" s="59">
        <v>417.84199999999998</v>
      </c>
      <c r="BJ228" s="58">
        <f t="shared" si="181"/>
        <v>588.49286718871463</v>
      </c>
      <c r="BK228" s="58">
        <f t="shared" si="181"/>
        <v>489.45119651132387</v>
      </c>
      <c r="BL228" s="58">
        <f t="shared" si="181"/>
        <v>594.37453283532648</v>
      </c>
      <c r="BM228" s="58">
        <f t="shared" si="181"/>
        <v>566.44611360605018</v>
      </c>
      <c r="BN228" s="58">
        <f t="shared" si="181"/>
        <v>572.11129644308232</v>
      </c>
      <c r="BO228" s="58">
        <f t="shared" si="181"/>
        <v>599.5074894825517</v>
      </c>
      <c r="BP228" s="58">
        <f t="shared" si="181"/>
        <v>580.77254718614506</v>
      </c>
      <c r="BQ228" s="58">
        <f t="shared" si="181"/>
        <v>594.65866465473368</v>
      </c>
      <c r="BR228" s="58">
        <f t="shared" si="181"/>
        <v>599.66774341736846</v>
      </c>
      <c r="BS228" s="58">
        <f t="shared" si="181"/>
        <v>599.17944941092924</v>
      </c>
      <c r="BT228" s="58">
        <f t="shared" si="181"/>
        <v>608.60895144486972</v>
      </c>
      <c r="BU228" s="58">
        <f t="shared" si="181"/>
        <v>612.13777515927245</v>
      </c>
      <c r="BV228" s="59">
        <f t="shared" si="184"/>
        <v>404.25200000000001</v>
      </c>
      <c r="BW228" s="59">
        <f t="shared" si="184"/>
        <v>453.642</v>
      </c>
      <c r="BX228" s="59">
        <f t="shared" si="184"/>
        <v>397.09699999999998</v>
      </c>
      <c r="BY228" s="59">
        <f t="shared" si="184"/>
        <v>457.45299999999997</v>
      </c>
      <c r="BZ228" s="59">
        <f t="shared" si="184"/>
        <v>495.81559999999996</v>
      </c>
      <c r="CA228" s="59">
        <f t="shared" si="184"/>
        <v>685.24</v>
      </c>
      <c r="CB228" s="59">
        <f t="shared" si="184"/>
        <v>530.34500000000003</v>
      </c>
      <c r="CC228" s="59">
        <f t="shared" si="184"/>
        <v>463.714</v>
      </c>
      <c r="CD228" s="59">
        <f t="shared" si="184"/>
        <v>695.14499999999998</v>
      </c>
      <c r="CE228" s="59">
        <f t="shared" si="184"/>
        <v>633.274</v>
      </c>
      <c r="CF228" s="59">
        <f t="shared" si="184"/>
        <v>467.40100000000001</v>
      </c>
      <c r="CG228" s="59">
        <f t="shared" si="184"/>
        <v>559.21299999999997</v>
      </c>
      <c r="CH228" s="59">
        <f t="shared" si="184"/>
        <v>584.92600000000004</v>
      </c>
      <c r="CI228" s="59">
        <f t="shared" si="184"/>
        <v>752.03499999999997</v>
      </c>
      <c r="CJ228" s="59">
        <f t="shared" si="184"/>
        <v>727.42700000000002</v>
      </c>
      <c r="CK228" s="59">
        <f t="shared" si="184"/>
        <v>684.94</v>
      </c>
      <c r="CL228" s="59">
        <f t="shared" si="185"/>
        <v>656.98900000000003</v>
      </c>
      <c r="CM228" s="59">
        <f t="shared" si="185"/>
        <v>767.45600000000002</v>
      </c>
      <c r="CN228" s="59">
        <f t="shared" si="185"/>
        <v>620.08900000000006</v>
      </c>
      <c r="CO228" s="59">
        <f t="shared" si="185"/>
        <v>657.87400000000002</v>
      </c>
      <c r="CP228" s="59">
        <f t="shared" si="185"/>
        <v>564.72400000000005</v>
      </c>
      <c r="CQ228" s="59">
        <f t="shared" si="185"/>
        <v>361.06400000000002</v>
      </c>
      <c r="CR228" s="59">
        <f t="shared" si="185"/>
        <v>841.10277016536588</v>
      </c>
      <c r="CS228" s="59">
        <f t="shared" si="185"/>
        <v>825.71527678064888</v>
      </c>
      <c r="CT228" s="59">
        <f t="shared" si="185"/>
        <v>851.24243467167867</v>
      </c>
    </row>
    <row r="229" spans="1:98" s="56" customFormat="1" ht="14.25">
      <c r="A229" s="4" t="s">
        <v>111</v>
      </c>
      <c r="C229" s="57">
        <f t="shared" si="180"/>
        <v>7.1711048834788058E-2</v>
      </c>
      <c r="D229" s="57">
        <f t="shared" si="180"/>
        <v>7.1711048834788058E-2</v>
      </c>
      <c r="E229" s="57">
        <f t="shared" si="180"/>
        <v>7.1711048834788058E-2</v>
      </c>
      <c r="F229" s="57">
        <f t="shared" si="180"/>
        <v>0.14342209766957612</v>
      </c>
      <c r="G229" s="57">
        <f t="shared" si="180"/>
        <v>0.21513314650436416</v>
      </c>
      <c r="H229" s="57">
        <f t="shared" si="180"/>
        <v>0.28684419533915223</v>
      </c>
      <c r="I229" s="57">
        <f t="shared" si="180"/>
        <v>0.43026629300872832</v>
      </c>
      <c r="J229" s="57">
        <f t="shared" si="180"/>
        <v>0.57368839067830446</v>
      </c>
      <c r="K229" s="57">
        <f t="shared" si="180"/>
        <v>2.0796204162088539</v>
      </c>
      <c r="L229" s="57">
        <f t="shared" si="180"/>
        <v>3.3704192952350387</v>
      </c>
      <c r="M229" s="69">
        <v>6.9690000000000003</v>
      </c>
      <c r="N229" s="69">
        <v>4.7050000000000001</v>
      </c>
      <c r="O229" s="69">
        <v>6.9269999999999996</v>
      </c>
      <c r="P229" s="69">
        <v>8.9410000000000007</v>
      </c>
      <c r="Q229" s="69">
        <v>7.31</v>
      </c>
      <c r="R229" s="69">
        <v>4.0940000000000003</v>
      </c>
      <c r="S229" s="69">
        <v>6.9119999999999999</v>
      </c>
      <c r="T229" s="69">
        <v>21.706</v>
      </c>
      <c r="U229" s="69">
        <v>27.887</v>
      </c>
      <c r="V229" s="69">
        <v>40.579000000000001</v>
      </c>
      <c r="W229" s="69">
        <v>33.110999999999997</v>
      </c>
      <c r="X229" s="69">
        <v>25.068000000000001</v>
      </c>
      <c r="Y229" s="69">
        <v>20.065000000000001</v>
      </c>
      <c r="Z229" s="69">
        <v>75.491</v>
      </c>
      <c r="AA229" s="69">
        <v>73.706000000000003</v>
      </c>
      <c r="AB229" s="69">
        <v>63.216000000000001</v>
      </c>
      <c r="AC229" s="69">
        <v>78.885999999999996</v>
      </c>
      <c r="AD229" s="69">
        <v>63.384999999999998</v>
      </c>
      <c r="AE229" s="70">
        <v>105.072</v>
      </c>
      <c r="AF229" s="70">
        <v>80.825000000000003</v>
      </c>
      <c r="AG229" s="70">
        <v>107.06100000000001</v>
      </c>
      <c r="AH229" s="70">
        <v>63.927</v>
      </c>
      <c r="AI229" s="70">
        <v>45.204999999999998</v>
      </c>
      <c r="AJ229" s="70">
        <v>146.72499999999999</v>
      </c>
      <c r="AK229" s="70">
        <v>154.077</v>
      </c>
      <c r="AL229" s="70">
        <v>65.814999999999998</v>
      </c>
      <c r="AM229" s="70">
        <v>163.34399999999999</v>
      </c>
      <c r="AN229" s="77">
        <v>256.03100000000001</v>
      </c>
      <c r="AO229" s="77">
        <v>264.24700000000001</v>
      </c>
      <c r="AP229" s="77">
        <v>342.11799999999999</v>
      </c>
      <c r="AQ229" s="77">
        <v>372.09100000000001</v>
      </c>
      <c r="AR229" s="77">
        <v>358.154</v>
      </c>
      <c r="AS229" s="77">
        <v>422.52499999999998</v>
      </c>
      <c r="AT229" s="77">
        <v>391.17</v>
      </c>
      <c r="AU229" s="77">
        <v>269.04899999999998</v>
      </c>
      <c r="AV229" s="77">
        <v>392.78100000000001</v>
      </c>
      <c r="AW229" s="77">
        <v>436.32</v>
      </c>
      <c r="AX229" s="77">
        <v>232.59399999999999</v>
      </c>
      <c r="AY229" s="77">
        <v>292.476</v>
      </c>
      <c r="AZ229" s="77">
        <v>398.91500000000002</v>
      </c>
      <c r="BA229" s="77">
        <v>625.69500000000005</v>
      </c>
      <c r="BB229" s="70">
        <v>504.77100000000002</v>
      </c>
      <c r="BC229" s="59">
        <v>465.78800000000001</v>
      </c>
      <c r="BD229" s="59">
        <v>468.11099999999999</v>
      </c>
      <c r="BE229" s="59">
        <v>511.642</v>
      </c>
      <c r="BF229" s="59">
        <v>571.69600000000003</v>
      </c>
      <c r="BG229" s="59">
        <v>519.08500000000004</v>
      </c>
      <c r="BH229" s="59">
        <v>301.86099999999999</v>
      </c>
      <c r="BI229" s="59">
        <v>466.09399999999999</v>
      </c>
      <c r="BJ229" s="58">
        <f t="shared" si="181"/>
        <v>535.79042820324116</v>
      </c>
      <c r="BK229" s="58">
        <f t="shared" si="181"/>
        <v>555.44659746969864</v>
      </c>
      <c r="BL229" s="58">
        <f t="shared" si="181"/>
        <v>545.56606369912924</v>
      </c>
      <c r="BM229" s="58">
        <f t="shared" si="181"/>
        <v>572.73029273739587</v>
      </c>
      <c r="BN229" s="58">
        <f t="shared" si="181"/>
        <v>578.58859941037485</v>
      </c>
      <c r="BO229" s="58">
        <f t="shared" si="181"/>
        <v>579.55551310724343</v>
      </c>
      <c r="BP229" s="58">
        <f t="shared" si="181"/>
        <v>587.17162268697848</v>
      </c>
      <c r="BQ229" s="58">
        <f t="shared" si="181"/>
        <v>590.92623238041733</v>
      </c>
      <c r="BR229" s="58">
        <f t="shared" si="181"/>
        <v>595.49854203127279</v>
      </c>
      <c r="BS229" s="58">
        <f t="shared" si="181"/>
        <v>600.31231868113366</v>
      </c>
      <c r="BT229" s="58">
        <f t="shared" si="181"/>
        <v>604.42486300448104</v>
      </c>
      <c r="BU229" s="58">
        <f t="shared" si="181"/>
        <v>607.99879903288956</v>
      </c>
      <c r="BV229" s="59">
        <f t="shared" si="184"/>
        <v>338.42599999999999</v>
      </c>
      <c r="BW229" s="59">
        <f t="shared" si="184"/>
        <v>409.88</v>
      </c>
      <c r="BX229" s="59">
        <f t="shared" si="184"/>
        <v>362.40899999999999</v>
      </c>
      <c r="BY229" s="59">
        <f t="shared" si="184"/>
        <v>392.29</v>
      </c>
      <c r="BZ229" s="59">
        <f t="shared" si="184"/>
        <v>507.54399999999998</v>
      </c>
      <c r="CA229" s="59">
        <f t="shared" si="184"/>
        <v>662.86800000000005</v>
      </c>
      <c r="CB229" s="59">
        <f t="shared" si="184"/>
        <v>474.68099999999998</v>
      </c>
      <c r="CC229" s="59">
        <f t="shared" si="184"/>
        <v>451.44200000000001</v>
      </c>
      <c r="CD229" s="59">
        <f t="shared" si="184"/>
        <v>607.61800000000005</v>
      </c>
      <c r="CE229" s="59">
        <f t="shared" si="184"/>
        <v>573.03599999999994</v>
      </c>
      <c r="CF229" s="59">
        <f t="shared" si="184"/>
        <v>422.476</v>
      </c>
      <c r="CG229" s="59">
        <f t="shared" si="184"/>
        <v>441.74200000000002</v>
      </c>
      <c r="CH229" s="59">
        <f t="shared" si="184"/>
        <v>596.17999999999995</v>
      </c>
      <c r="CI229" s="59">
        <f t="shared" si="184"/>
        <v>588.71699999999998</v>
      </c>
      <c r="CJ229" s="59">
        <f t="shared" si="184"/>
        <v>707.84500000000003</v>
      </c>
      <c r="CK229" s="59">
        <f t="shared" si="184"/>
        <v>646.89</v>
      </c>
      <c r="CL229" s="59">
        <f t="shared" si="185"/>
        <v>628.625</v>
      </c>
      <c r="CM229" s="59">
        <f t="shared" si="185"/>
        <v>578.12599999999998</v>
      </c>
      <c r="CN229" s="59">
        <f t="shared" si="185"/>
        <v>589.19299999999998</v>
      </c>
      <c r="CO229" s="59">
        <f t="shared" si="185"/>
        <v>574.577</v>
      </c>
      <c r="CP229" s="59">
        <f t="shared" si="185"/>
        <v>644.66700000000003</v>
      </c>
      <c r="CQ229" s="59">
        <f t="shared" si="185"/>
        <v>369.56700000000001</v>
      </c>
      <c r="CR229" s="59">
        <f t="shared" si="185"/>
        <v>698.63278164017379</v>
      </c>
      <c r="CS229" s="59">
        <f t="shared" si="185"/>
        <v>621.65170835367508</v>
      </c>
      <c r="CT229" s="59">
        <f t="shared" si="185"/>
        <v>703.62434882333969</v>
      </c>
    </row>
    <row r="230" spans="1:98" s="56" customFormat="1" ht="14.25">
      <c r="A230" s="4" t="s">
        <v>112</v>
      </c>
      <c r="C230" s="57">
        <f t="shared" si="180"/>
        <v>5.1789484080443447E-2</v>
      </c>
      <c r="D230" s="57">
        <f t="shared" si="180"/>
        <v>5.1789484080443447E-2</v>
      </c>
      <c r="E230" s="57">
        <f t="shared" si="180"/>
        <v>5.1789484080443447E-2</v>
      </c>
      <c r="F230" s="57">
        <f t="shared" si="180"/>
        <v>0.10357896816088689</v>
      </c>
      <c r="G230" s="57">
        <f t="shared" si="180"/>
        <v>0.15536845224133033</v>
      </c>
      <c r="H230" s="57">
        <f t="shared" si="180"/>
        <v>0.20715793632177379</v>
      </c>
      <c r="I230" s="57">
        <f t="shared" si="180"/>
        <v>0.31073690448266067</v>
      </c>
      <c r="J230" s="57">
        <f t="shared" si="180"/>
        <v>0.41431587264354758</v>
      </c>
      <c r="K230" s="57">
        <f t="shared" si="180"/>
        <v>1.50189503833286</v>
      </c>
      <c r="L230" s="57">
        <f t="shared" si="180"/>
        <v>2.4341057517808422</v>
      </c>
      <c r="M230" s="69">
        <v>5.375</v>
      </c>
      <c r="N230" s="69">
        <v>5.2690000000000001</v>
      </c>
      <c r="O230" s="69">
        <v>5.2969999999999997</v>
      </c>
      <c r="P230" s="69">
        <v>6.82</v>
      </c>
      <c r="Q230" s="69">
        <v>2.4089999999999998</v>
      </c>
      <c r="R230" s="69">
        <v>1.2270000000000001</v>
      </c>
      <c r="S230" s="69">
        <v>7.5209999999999999</v>
      </c>
      <c r="T230" s="69">
        <v>12.932</v>
      </c>
      <c r="U230" s="69">
        <v>29.445</v>
      </c>
      <c r="V230" s="69">
        <v>39.625</v>
      </c>
      <c r="W230" s="69">
        <v>29.114999999999998</v>
      </c>
      <c r="X230" s="69">
        <v>13.847</v>
      </c>
      <c r="Y230" s="69">
        <v>8.07</v>
      </c>
      <c r="Z230" s="69">
        <v>35.514000000000003</v>
      </c>
      <c r="AA230" s="69">
        <v>68.051000000000002</v>
      </c>
      <c r="AB230" s="69">
        <v>72.820999999999998</v>
      </c>
      <c r="AC230" s="69">
        <v>54.524999999999999</v>
      </c>
      <c r="AD230" s="69">
        <v>29.657</v>
      </c>
      <c r="AE230" s="70">
        <v>51.216000000000001</v>
      </c>
      <c r="AF230" s="70">
        <v>41.201999999999998</v>
      </c>
      <c r="AG230" s="70">
        <v>57.87</v>
      </c>
      <c r="AH230" s="70">
        <v>61.951000000000001</v>
      </c>
      <c r="AI230" s="70">
        <v>67.072999999999993</v>
      </c>
      <c r="AJ230" s="70">
        <v>111.43899999999999</v>
      </c>
      <c r="AK230" s="70">
        <v>130.81100000000001</v>
      </c>
      <c r="AL230" s="70">
        <v>160.44999999999999</v>
      </c>
      <c r="AM230" s="70">
        <v>212.05600000000001</v>
      </c>
      <c r="AN230" s="77">
        <v>281.94</v>
      </c>
      <c r="AO230" s="77">
        <v>301.09100000000001</v>
      </c>
      <c r="AP230" s="77">
        <v>372.55900000000003</v>
      </c>
      <c r="AQ230" s="77">
        <v>433.87799999999999</v>
      </c>
      <c r="AR230" s="77">
        <v>457.22093999999998</v>
      </c>
      <c r="AS230" s="77">
        <v>225.85400000000001</v>
      </c>
      <c r="AT230" s="77">
        <v>403.02800000000002</v>
      </c>
      <c r="AU230" s="77">
        <v>329.02600000000001</v>
      </c>
      <c r="AV230" s="77">
        <v>531.05600000000004</v>
      </c>
      <c r="AW230" s="77">
        <v>472.41500000000002</v>
      </c>
      <c r="AX230" s="77">
        <v>332.33100000000002</v>
      </c>
      <c r="AY230" s="77">
        <v>407.13</v>
      </c>
      <c r="AZ230" s="77">
        <v>436.286</v>
      </c>
      <c r="BA230" s="77">
        <v>636.78300000000002</v>
      </c>
      <c r="BB230" s="70">
        <v>654.48800000000006</v>
      </c>
      <c r="BC230" s="59">
        <v>605.83900000000006</v>
      </c>
      <c r="BD230" s="59">
        <v>589.57799999999997</v>
      </c>
      <c r="BE230" s="59">
        <v>552.57500000000005</v>
      </c>
      <c r="BF230" s="59">
        <v>681.774</v>
      </c>
      <c r="BG230" s="59">
        <v>576.49099999999999</v>
      </c>
      <c r="BH230" s="59">
        <v>414.08600000000001</v>
      </c>
      <c r="BI230" s="58">
        <f>BI246*'[2]Brazil Soy Complex'!CI67</f>
        <v>0</v>
      </c>
      <c r="BJ230" s="58">
        <f t="shared" si="181"/>
        <v>663.7367552991667</v>
      </c>
      <c r="BK230" s="58">
        <f t="shared" si="181"/>
        <v>943.02054137590471</v>
      </c>
      <c r="BL230" s="58">
        <f t="shared" si="181"/>
        <v>672.28964794359365</v>
      </c>
      <c r="BM230" s="58">
        <f t="shared" si="181"/>
        <v>844.00942838236517</v>
      </c>
      <c r="BN230" s="58">
        <f t="shared" si="181"/>
        <v>846.48705838076751</v>
      </c>
      <c r="BO230" s="58">
        <f t="shared" si="181"/>
        <v>779.52332567008023</v>
      </c>
      <c r="BP230" s="58">
        <f t="shared" si="181"/>
        <v>846.18980879814944</v>
      </c>
      <c r="BQ230" s="58">
        <f t="shared" si="181"/>
        <v>811.47086364524625</v>
      </c>
      <c r="BR230" s="58">
        <f t="shared" si="181"/>
        <v>812.66793122219724</v>
      </c>
      <c r="BS230" s="58">
        <f t="shared" si="181"/>
        <v>834.63399058185814</v>
      </c>
      <c r="BT230" s="58">
        <f t="shared" si="181"/>
        <v>822.44037394545376</v>
      </c>
      <c r="BU230" s="58">
        <f t="shared" si="181"/>
        <v>822.66445805616513</v>
      </c>
      <c r="BV230" s="59">
        <f t="shared" si="184"/>
        <v>323.03300000000002</v>
      </c>
      <c r="BW230" s="59">
        <f t="shared" si="184"/>
        <v>364.21199999999999</v>
      </c>
      <c r="BX230" s="59">
        <f t="shared" si="184"/>
        <v>311.61099999999999</v>
      </c>
      <c r="BY230" s="59">
        <f t="shared" si="184"/>
        <v>488.76400000000001</v>
      </c>
      <c r="BZ230" s="59">
        <f t="shared" si="184"/>
        <v>497.86200000000002</v>
      </c>
      <c r="CA230" s="59">
        <f t="shared" si="184"/>
        <v>690.57799999999997</v>
      </c>
      <c r="CB230" s="59">
        <f t="shared" si="184"/>
        <v>431.05700000000002</v>
      </c>
      <c r="CC230" s="59">
        <f t="shared" si="184"/>
        <v>378.678</v>
      </c>
      <c r="CD230" s="59">
        <f t="shared" si="184"/>
        <v>515.10299999999995</v>
      </c>
      <c r="CE230" s="59">
        <f t="shared" si="184"/>
        <v>544.39300000000003</v>
      </c>
      <c r="CF230" s="59">
        <f t="shared" si="184"/>
        <v>375.52199999999999</v>
      </c>
      <c r="CG230" s="59">
        <f t="shared" si="184"/>
        <v>333.27300000000002</v>
      </c>
      <c r="CH230" s="59">
        <f t="shared" si="184"/>
        <v>464.09699999999998</v>
      </c>
      <c r="CI230" s="59">
        <f t="shared" si="184"/>
        <v>512.94200000000001</v>
      </c>
      <c r="CJ230" s="59">
        <f t="shared" si="184"/>
        <v>654.827</v>
      </c>
      <c r="CK230" s="59">
        <f t="shared" si="184"/>
        <v>427.46</v>
      </c>
      <c r="CL230" s="59">
        <f t="shared" si="185"/>
        <v>475.84100000000001</v>
      </c>
      <c r="CM230" s="59">
        <f t="shared" si="185"/>
        <v>541.91200000000003</v>
      </c>
      <c r="CN230" s="59">
        <f t="shared" si="185"/>
        <v>155.54900000000001</v>
      </c>
      <c r="CO230" s="59">
        <f t="shared" si="185"/>
        <v>581.78200000000004</v>
      </c>
      <c r="CP230" s="59">
        <f t="shared" si="185"/>
        <v>505.69799999999998</v>
      </c>
      <c r="CQ230" s="59">
        <f t="shared" si="185"/>
        <v>373.34100000000001</v>
      </c>
      <c r="CR230" s="59">
        <f t="shared" si="185"/>
        <v>735.43151123521375</v>
      </c>
      <c r="CS230" s="59">
        <f t="shared" si="185"/>
        <v>579.19317079119617</v>
      </c>
      <c r="CT230" s="59">
        <f t="shared" si="185"/>
        <v>745.39642849649624</v>
      </c>
    </row>
    <row r="231" spans="1:98" s="56" customFormat="1" thickBot="1">
      <c r="A231" s="4" t="s">
        <v>113</v>
      </c>
      <c r="C231" s="56">
        <v>1</v>
      </c>
      <c r="D231" s="56">
        <v>1</v>
      </c>
      <c r="E231" s="56">
        <v>1</v>
      </c>
      <c r="F231" s="56">
        <v>2</v>
      </c>
      <c r="G231" s="56">
        <v>3</v>
      </c>
      <c r="H231" s="56">
        <v>4</v>
      </c>
      <c r="I231" s="56">
        <v>6</v>
      </c>
      <c r="J231" s="56">
        <v>8</v>
      </c>
      <c r="K231" s="56">
        <v>29</v>
      </c>
      <c r="L231" s="56">
        <v>47</v>
      </c>
      <c r="M231" s="104">
        <f t="shared" ref="M231:AR231" si="186">SUM(M219:M230)</f>
        <v>92.188000000000002</v>
      </c>
      <c r="N231" s="104">
        <f t="shared" si="186"/>
        <v>80.715000000000003</v>
      </c>
      <c r="O231" s="104">
        <f t="shared" si="186"/>
        <v>96.443999999999988</v>
      </c>
      <c r="P231" s="104">
        <f t="shared" si="186"/>
        <v>110.49200000000002</v>
      </c>
      <c r="Q231" s="104">
        <f t="shared" si="186"/>
        <v>106.16700000000002</v>
      </c>
      <c r="R231" s="104">
        <f t="shared" si="186"/>
        <v>121.28599999999999</v>
      </c>
      <c r="S231" s="104">
        <f t="shared" si="186"/>
        <v>182.84100000000001</v>
      </c>
      <c r="T231" s="104">
        <f t="shared" si="186"/>
        <v>321.41100000000006</v>
      </c>
      <c r="U231" s="104">
        <f t="shared" si="186"/>
        <v>393.22899999999993</v>
      </c>
      <c r="V231" s="104">
        <f t="shared" si="186"/>
        <v>592.53300000000002</v>
      </c>
      <c r="W231" s="104">
        <f t="shared" si="186"/>
        <v>579.82799999999997</v>
      </c>
      <c r="X231" s="104">
        <f t="shared" si="186"/>
        <v>731.04000000000008</v>
      </c>
      <c r="Y231" s="104">
        <f t="shared" si="186"/>
        <v>852.83300000000008</v>
      </c>
      <c r="Z231" s="104">
        <f t="shared" si="186"/>
        <v>1199.6759999999999</v>
      </c>
      <c r="AA231" s="104">
        <f t="shared" si="186"/>
        <v>930.28800000000001</v>
      </c>
      <c r="AB231" s="104">
        <f t="shared" si="186"/>
        <v>1125.3409999999999</v>
      </c>
      <c r="AC231" s="104">
        <f t="shared" si="186"/>
        <v>1263.98</v>
      </c>
      <c r="AD231" s="104">
        <f t="shared" si="186"/>
        <v>1366.8239999999998</v>
      </c>
      <c r="AE231" s="106">
        <f t="shared" si="186"/>
        <v>1558.5030000000002</v>
      </c>
      <c r="AF231" s="106">
        <f t="shared" si="186"/>
        <v>1500.8220000000001</v>
      </c>
      <c r="AG231" s="106">
        <f t="shared" si="186"/>
        <v>1664.32</v>
      </c>
      <c r="AH231" s="106">
        <f t="shared" si="186"/>
        <v>1757.731</v>
      </c>
      <c r="AI231" s="106">
        <f t="shared" si="186"/>
        <v>1858.6070000000004</v>
      </c>
      <c r="AJ231" s="106">
        <f t="shared" si="186"/>
        <v>2952.9049999999997</v>
      </c>
      <c r="AK231" s="106">
        <f t="shared" si="186"/>
        <v>3117.6780000000003</v>
      </c>
      <c r="AL231" s="106">
        <f t="shared" si="186"/>
        <v>3017.1020000000003</v>
      </c>
      <c r="AM231" s="106">
        <f t="shared" si="186"/>
        <v>3630.3820000000005</v>
      </c>
      <c r="AN231" s="106">
        <f t="shared" si="186"/>
        <v>4164.9529999999995</v>
      </c>
      <c r="AO231" s="106">
        <f t="shared" si="186"/>
        <v>4667.8510000000006</v>
      </c>
      <c r="AP231" s="106">
        <f t="shared" si="186"/>
        <v>4724.0069999999996</v>
      </c>
      <c r="AQ231" s="106">
        <f t="shared" si="186"/>
        <v>5558.3856799999994</v>
      </c>
      <c r="AR231" s="106">
        <f t="shared" si="186"/>
        <v>6168.9667600000002</v>
      </c>
      <c r="AS231" s="106">
        <f t="shared" ref="AS231:CT231" si="187">SUM(AS219:AS230)</f>
        <v>6918.4520000000011</v>
      </c>
      <c r="AT231" s="106">
        <f t="shared" si="187"/>
        <v>6037.4389999999994</v>
      </c>
      <c r="AU231" s="106">
        <f t="shared" si="187"/>
        <v>5448.1860000000006</v>
      </c>
      <c r="AV231" s="106">
        <f t="shared" si="187"/>
        <v>7459.7929999999997</v>
      </c>
      <c r="AW231" s="106">
        <f t="shared" si="187"/>
        <v>7147.67</v>
      </c>
      <c r="AX231" s="106">
        <f t="shared" si="187"/>
        <v>5840.3</v>
      </c>
      <c r="AY231" s="106">
        <f t="shared" si="187"/>
        <v>6615.9149999999991</v>
      </c>
      <c r="AZ231" s="106">
        <f t="shared" si="187"/>
        <v>7191.2359999999999</v>
      </c>
      <c r="BA231" s="106">
        <f t="shared" si="187"/>
        <v>8755.3219999999983</v>
      </c>
      <c r="BB231" s="106">
        <f t="shared" si="187"/>
        <v>8381.8319999999985</v>
      </c>
      <c r="BC231" s="106">
        <f t="shared" si="187"/>
        <v>7928.8580000000002</v>
      </c>
      <c r="BD231" s="106">
        <f t="shared" si="187"/>
        <v>7197.0110000000004</v>
      </c>
      <c r="BE231" s="106">
        <f t="shared" si="187"/>
        <v>8042.380000000001</v>
      </c>
      <c r="BF231" s="106">
        <f t="shared" si="187"/>
        <v>7535.7730000000001</v>
      </c>
      <c r="BG231" s="106">
        <f t="shared" si="187"/>
        <v>8083.0140000000001</v>
      </c>
      <c r="BH231" s="106">
        <f t="shared" si="187"/>
        <v>6940.6260000000011</v>
      </c>
      <c r="BI231" s="107">
        <f t="shared" si="187"/>
        <v>5069.8239999999996</v>
      </c>
      <c r="BJ231" s="107">
        <f t="shared" si="187"/>
        <v>8822.7231952747716</v>
      </c>
      <c r="BK231" s="107">
        <f t="shared" si="187"/>
        <v>8679.8194306755777</v>
      </c>
      <c r="BL231" s="107">
        <f t="shared" si="187"/>
        <v>8937.717079408636</v>
      </c>
      <c r="BM231" s="107">
        <f t="shared" si="187"/>
        <v>9188.6471701949304</v>
      </c>
      <c r="BN231" s="107">
        <f t="shared" si="187"/>
        <v>9276.2441504402886</v>
      </c>
      <c r="BO231" s="107">
        <f t="shared" si="187"/>
        <v>9383.4697166447913</v>
      </c>
      <c r="BP231" s="107">
        <f t="shared" si="187"/>
        <v>9420.6825128016753</v>
      </c>
      <c r="BQ231" s="107">
        <f t="shared" si="187"/>
        <v>9471.8707093016146</v>
      </c>
      <c r="BR231" s="107">
        <f t="shared" si="187"/>
        <v>9552.7475361697489</v>
      </c>
      <c r="BS231" s="107">
        <f t="shared" si="187"/>
        <v>9629.7715217433451</v>
      </c>
      <c r="BT231" s="107">
        <f t="shared" si="187"/>
        <v>9695.111282903219</v>
      </c>
      <c r="BU231" s="107">
        <f t="shared" si="187"/>
        <v>9751.3259823326662</v>
      </c>
      <c r="BV231" s="56">
        <f t="shared" si="187"/>
        <v>3973.4609999999998</v>
      </c>
      <c r="BW231" s="56">
        <f t="shared" si="187"/>
        <v>4554.6620000000003</v>
      </c>
      <c r="BX231" s="56">
        <f t="shared" si="187"/>
        <v>4569.7179999999989</v>
      </c>
      <c r="BY231" s="56">
        <f t="shared" si="187"/>
        <v>5395.7240000000002</v>
      </c>
      <c r="BZ231" s="56">
        <f t="shared" si="187"/>
        <v>6161.2802999999994</v>
      </c>
      <c r="CA231" s="56">
        <f t="shared" si="187"/>
        <v>6962.2071399999986</v>
      </c>
      <c r="CB231" s="56">
        <f t="shared" si="187"/>
        <v>6024.0859999999993</v>
      </c>
      <c r="CC231" s="56">
        <f t="shared" si="187"/>
        <v>5772.0259999999998</v>
      </c>
      <c r="CD231" s="56">
        <f t="shared" si="187"/>
        <v>7000.0739999999996</v>
      </c>
      <c r="CE231" s="56">
        <f t="shared" si="187"/>
        <v>7113.6820000000007</v>
      </c>
      <c r="CF231" s="56">
        <f t="shared" si="187"/>
        <v>6353.36</v>
      </c>
      <c r="CG231" s="56">
        <f t="shared" si="187"/>
        <v>6432.9409999999998</v>
      </c>
      <c r="CH231" s="56">
        <f t="shared" si="187"/>
        <v>7096.3909999999996</v>
      </c>
      <c r="CI231" s="56">
        <f t="shared" si="187"/>
        <v>7895.9070000000002</v>
      </c>
      <c r="CJ231" s="56">
        <f t="shared" si="187"/>
        <v>8671.5669999999991</v>
      </c>
      <c r="CK231" s="56">
        <f t="shared" si="187"/>
        <v>8065.6010000000006</v>
      </c>
      <c r="CL231" s="56">
        <f t="shared" si="187"/>
        <v>7245.612000000001</v>
      </c>
      <c r="CM231" s="56">
        <f t="shared" si="187"/>
        <v>8081.1560000000009</v>
      </c>
      <c r="CN231" s="56">
        <f t="shared" si="187"/>
        <v>7153.5860000000002</v>
      </c>
      <c r="CO231" s="56">
        <f t="shared" si="187"/>
        <v>8389.1709999999985</v>
      </c>
      <c r="CP231" s="56">
        <f t="shared" si="187"/>
        <v>7447.2670000000007</v>
      </c>
      <c r="CQ231" s="56">
        <f t="shared" si="187"/>
        <v>5269.3530000000001</v>
      </c>
      <c r="CR231" s="56">
        <f t="shared" si="187"/>
        <v>7918.6391445836489</v>
      </c>
      <c r="CS231" s="56">
        <f t="shared" si="187"/>
        <v>8479.9211460097722</v>
      </c>
      <c r="CT231" s="56">
        <f t="shared" si="187"/>
        <v>9113.4051702875167</v>
      </c>
    </row>
    <row r="232" spans="1:98">
      <c r="A232" s="60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2"/>
      <c r="AW232" s="62"/>
      <c r="AX232" s="62"/>
      <c r="AY232" s="62"/>
      <c r="AZ232" s="62"/>
      <c r="BA232" s="62"/>
      <c r="BB232" s="62"/>
      <c r="BC232" s="62"/>
      <c r="BD232" s="62"/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</row>
    <row r="233" spans="1:98" ht="15.75" thickBot="1">
      <c r="A233" s="53" t="s">
        <v>147</v>
      </c>
    </row>
    <row r="234" spans="1:98" s="4" customFormat="1" ht="15.75" thickBot="1">
      <c r="A234" s="54"/>
      <c r="B234" s="63" t="s">
        <v>1</v>
      </c>
      <c r="C234" s="63" t="s">
        <v>2</v>
      </c>
      <c r="D234" s="63" t="s">
        <v>3</v>
      </c>
      <c r="E234" s="63" t="s">
        <v>4</v>
      </c>
      <c r="F234" s="63" t="s">
        <v>5</v>
      </c>
      <c r="G234" s="63" t="s">
        <v>6</v>
      </c>
      <c r="H234" s="63" t="s">
        <v>7</v>
      </c>
      <c r="I234" s="63" t="s">
        <v>8</v>
      </c>
      <c r="J234" s="63" t="s">
        <v>9</v>
      </c>
      <c r="K234" s="63" t="s">
        <v>10</v>
      </c>
      <c r="L234" s="63" t="s">
        <v>11</v>
      </c>
      <c r="M234" s="55" t="s">
        <v>12</v>
      </c>
      <c r="N234" s="55" t="s">
        <v>13</v>
      </c>
      <c r="O234" s="55" t="s">
        <v>14</v>
      </c>
      <c r="P234" s="55" t="s">
        <v>15</v>
      </c>
      <c r="Q234" s="55" t="s">
        <v>16</v>
      </c>
      <c r="R234" s="55" t="s">
        <v>17</v>
      </c>
      <c r="S234" s="55" t="s">
        <v>18</v>
      </c>
      <c r="T234" s="55" t="s">
        <v>19</v>
      </c>
      <c r="U234" s="55" t="s">
        <v>20</v>
      </c>
      <c r="V234" s="55" t="s">
        <v>21</v>
      </c>
      <c r="W234" s="55" t="s">
        <v>22</v>
      </c>
      <c r="X234" s="55" t="s">
        <v>23</v>
      </c>
      <c r="Y234" s="55" t="s">
        <v>24</v>
      </c>
      <c r="Z234" s="55" t="s">
        <v>25</v>
      </c>
      <c r="AA234" s="55" t="s">
        <v>26</v>
      </c>
      <c r="AB234" s="55" t="s">
        <v>27</v>
      </c>
      <c r="AC234" s="55" t="s">
        <v>28</v>
      </c>
      <c r="AD234" s="55" t="s">
        <v>29</v>
      </c>
      <c r="AE234" s="55" t="s">
        <v>30</v>
      </c>
      <c r="AF234" s="55" t="s">
        <v>31</v>
      </c>
      <c r="AG234" s="55" t="s">
        <v>32</v>
      </c>
      <c r="AH234" s="55" t="s">
        <v>33</v>
      </c>
      <c r="AI234" s="55" t="s">
        <v>34</v>
      </c>
      <c r="AJ234" s="55" t="s">
        <v>35</v>
      </c>
      <c r="AK234" s="55" t="s">
        <v>36</v>
      </c>
      <c r="AL234" s="55" t="s">
        <v>37</v>
      </c>
      <c r="AM234" s="55" t="s">
        <v>38</v>
      </c>
      <c r="AN234" s="55" t="s">
        <v>39</v>
      </c>
      <c r="AO234" s="55" t="s">
        <v>40</v>
      </c>
      <c r="AP234" s="55" t="s">
        <v>41</v>
      </c>
      <c r="AQ234" s="55" t="s">
        <v>42</v>
      </c>
      <c r="AR234" s="55" t="s">
        <v>43</v>
      </c>
      <c r="AS234" s="55" t="s">
        <v>44</v>
      </c>
      <c r="AT234" s="55" t="s">
        <v>45</v>
      </c>
      <c r="AU234" s="55" t="s">
        <v>46</v>
      </c>
      <c r="AV234" s="55" t="s">
        <v>47</v>
      </c>
      <c r="AW234" s="55" t="s">
        <v>48</v>
      </c>
      <c r="AX234" s="55" t="s">
        <v>49</v>
      </c>
      <c r="AY234" s="55" t="s">
        <v>50</v>
      </c>
      <c r="AZ234" s="55" t="s">
        <v>51</v>
      </c>
      <c r="BA234" s="55" t="s">
        <v>52</v>
      </c>
      <c r="BB234" s="55" t="s">
        <v>53</v>
      </c>
      <c r="BC234" s="55" t="s">
        <v>54</v>
      </c>
      <c r="BD234" s="55" t="s">
        <v>55</v>
      </c>
      <c r="BE234" s="55" t="s">
        <v>56</v>
      </c>
      <c r="BF234" s="55" t="s">
        <v>57</v>
      </c>
      <c r="BG234" s="55" t="str">
        <f t="shared" ref="BG234:BU234" si="188">BH2</f>
        <v>22/23</v>
      </c>
      <c r="BH234" s="55" t="str">
        <f t="shared" si="188"/>
        <v>23/24</v>
      </c>
      <c r="BI234" s="55" t="str">
        <f t="shared" si="188"/>
        <v>24/25</v>
      </c>
      <c r="BJ234" s="55" t="str">
        <f t="shared" si="188"/>
        <v>25/26</v>
      </c>
      <c r="BK234" s="55" t="str">
        <f t="shared" si="188"/>
        <v>26/27</v>
      </c>
      <c r="BL234" s="55" t="str">
        <f t="shared" si="188"/>
        <v>27/28</v>
      </c>
      <c r="BM234" s="55" t="str">
        <f t="shared" si="188"/>
        <v>28/29</v>
      </c>
      <c r="BN234" s="55" t="str">
        <f t="shared" si="188"/>
        <v>29/30</v>
      </c>
      <c r="BO234" s="55" t="str">
        <f t="shared" si="188"/>
        <v>30/31</v>
      </c>
      <c r="BP234" s="55" t="str">
        <f t="shared" si="188"/>
        <v>31/32</v>
      </c>
      <c r="BQ234" s="55" t="str">
        <f t="shared" si="188"/>
        <v>32/33</v>
      </c>
      <c r="BR234" s="55" t="str">
        <f t="shared" si="188"/>
        <v>33/34</v>
      </c>
      <c r="BS234" s="55" t="str">
        <f t="shared" si="188"/>
        <v>34/35</v>
      </c>
      <c r="BT234" s="55" t="str">
        <f t="shared" si="188"/>
        <v>34/35</v>
      </c>
      <c r="BU234" s="55">
        <f t="shared" si="188"/>
        <v>0</v>
      </c>
    </row>
    <row r="235" spans="1:98">
      <c r="A235" s="4" t="s">
        <v>100</v>
      </c>
      <c r="B235" s="88"/>
      <c r="C235" s="89">
        <f t="shared" ref="C235:BI239" si="189">C219/C76</f>
        <v>0.17993826619724423</v>
      </c>
      <c r="D235" s="89">
        <f t="shared" si="189"/>
        <v>0.21592591943669304</v>
      </c>
      <c r="E235" s="89">
        <f t="shared" si="189"/>
        <v>0.21592591943669304</v>
      </c>
      <c r="F235" s="89">
        <f t="shared" si="189"/>
        <v>0.1962962903969937</v>
      </c>
      <c r="G235" s="89">
        <f t="shared" si="189"/>
        <v>0.21592591943669304</v>
      </c>
      <c r="H235" s="89">
        <f t="shared" si="189"/>
        <v>0.20564373279685053</v>
      </c>
      <c r="I235" s="89">
        <f t="shared" si="189"/>
        <v>0.17993826619724423</v>
      </c>
      <c r="J235" s="89">
        <f t="shared" si="189"/>
        <v>0.18776166907538527</v>
      </c>
      <c r="K235" s="89">
        <f t="shared" si="189"/>
        <v>0.16056029906831021</v>
      </c>
      <c r="L235" s="89">
        <f t="shared" si="189"/>
        <v>0.18057861589901375</v>
      </c>
      <c r="M235" s="90">
        <f t="shared" si="189"/>
        <v>0.177474807350326</v>
      </c>
      <c r="N235" s="90">
        <f t="shared" si="189"/>
        <v>0.24460581778723761</v>
      </c>
      <c r="O235" s="90">
        <f t="shared" si="189"/>
        <v>0.16511092641135477</v>
      </c>
      <c r="P235" s="90">
        <f t="shared" si="189"/>
        <v>0.15117133295241206</v>
      </c>
      <c r="Q235" s="90">
        <f t="shared" si="189"/>
        <v>0.16681256687092694</v>
      </c>
      <c r="R235" s="90">
        <f t="shared" si="189"/>
        <v>0.17394216813665289</v>
      </c>
      <c r="S235" s="90">
        <f t="shared" si="189"/>
        <v>0.16244533795087018</v>
      </c>
      <c r="T235" s="90">
        <f t="shared" si="189"/>
        <v>0.15935362466023478</v>
      </c>
      <c r="U235" s="90">
        <f t="shared" si="189"/>
        <v>0.17872340425531916</v>
      </c>
      <c r="V235" s="90">
        <f t="shared" si="189"/>
        <v>0.16582598906600823</v>
      </c>
      <c r="W235" s="90">
        <f t="shared" si="189"/>
        <v>0.170551475277013</v>
      </c>
      <c r="X235" s="90">
        <f t="shared" si="189"/>
        <v>0.16432095792285764</v>
      </c>
      <c r="Y235" s="90">
        <f t="shared" si="189"/>
        <v>0.16491771186633586</v>
      </c>
      <c r="Z235" s="90">
        <f t="shared" si="189"/>
        <v>0.17721686036792977</v>
      </c>
      <c r="AA235" s="90">
        <f t="shared" si="189"/>
        <v>0.1717723887441758</v>
      </c>
      <c r="AB235" s="90">
        <f t="shared" si="189"/>
        <v>0.17597435855838736</v>
      </c>
      <c r="AC235" s="90">
        <f t="shared" si="189"/>
        <v>0.17395066166205495</v>
      </c>
      <c r="AD235" s="90">
        <f t="shared" si="189"/>
        <v>0.17842113217686276</v>
      </c>
      <c r="AE235" s="90">
        <f t="shared" si="189"/>
        <v>0.18143383448785663</v>
      </c>
      <c r="AF235" s="90">
        <f t="shared" si="189"/>
        <v>0.18048336334375623</v>
      </c>
      <c r="AG235" s="90">
        <f t="shared" si="189"/>
        <v>0.17833178486631568</v>
      </c>
      <c r="AH235" s="90">
        <f t="shared" si="189"/>
        <v>0.17954084935130724</v>
      </c>
      <c r="AI235" s="90">
        <f t="shared" si="189"/>
        <v>0.18059413046647502</v>
      </c>
      <c r="AJ235" s="90">
        <f t="shared" si="189"/>
        <v>0.18007503772557826</v>
      </c>
      <c r="AK235" s="90">
        <f t="shared" si="189"/>
        <v>0.18552624879255039</v>
      </c>
      <c r="AL235" s="90">
        <f t="shared" si="189"/>
        <v>0.18651405078194505</v>
      </c>
      <c r="AM235" s="90">
        <f t="shared" si="189"/>
        <v>0.18891463500481026</v>
      </c>
      <c r="AN235" s="90">
        <f t="shared" si="189"/>
        <v>0.19083150294933574</v>
      </c>
      <c r="AO235" s="90">
        <f t="shared" si="189"/>
        <v>0.18937049211305509</v>
      </c>
      <c r="AP235" s="90">
        <f t="shared" si="189"/>
        <v>0.18948124011927689</v>
      </c>
      <c r="AQ235" s="90">
        <f t="shared" si="189"/>
        <v>0.1912705283021218</v>
      </c>
      <c r="AR235" s="90">
        <f t="shared" si="189"/>
        <v>0.18880406162271066</v>
      </c>
      <c r="AS235" s="90">
        <f t="shared" si="189"/>
        <v>0.19436076562955648</v>
      </c>
      <c r="AT235" s="90">
        <f t="shared" si="189"/>
        <v>0.19037429105048137</v>
      </c>
      <c r="AU235" s="90">
        <f t="shared" si="189"/>
        <v>0.19162369548279828</v>
      </c>
      <c r="AV235" s="90">
        <f t="shared" si="189"/>
        <v>0.19020731406432315</v>
      </c>
      <c r="AW235" s="90">
        <f t="shared" si="189"/>
        <v>0.19267402316662477</v>
      </c>
      <c r="AX235" s="90">
        <f t="shared" si="189"/>
        <v>0.19347274731147834</v>
      </c>
      <c r="AY235" s="90">
        <f t="shared" si="189"/>
        <v>0.19417955261805292</v>
      </c>
      <c r="AZ235" s="90">
        <f t="shared" si="189"/>
        <v>0.18822757677904062</v>
      </c>
      <c r="BA235" s="90">
        <f t="shared" si="189"/>
        <v>0.19596519569372042</v>
      </c>
      <c r="BB235" s="90">
        <f t="shared" si="189"/>
        <v>0.19630612352190757</v>
      </c>
      <c r="BC235" s="90">
        <f t="shared" si="189"/>
        <v>0.19472418262494748</v>
      </c>
      <c r="BD235" s="90">
        <f t="shared" si="189"/>
        <v>0.19858080143582246</v>
      </c>
      <c r="BE235" s="90">
        <f t="shared" si="189"/>
        <v>0.19658112732092023</v>
      </c>
      <c r="BF235" s="90">
        <f t="shared" si="189"/>
        <v>0.20082664343776796</v>
      </c>
      <c r="BG235" s="90">
        <f t="shared" si="189"/>
        <v>0.2005338599130507</v>
      </c>
      <c r="BH235" s="90">
        <f t="shared" si="189"/>
        <v>0.19890178770102024</v>
      </c>
      <c r="BI235" s="90">
        <f t="shared" si="189"/>
        <v>0.19081059996366781</v>
      </c>
      <c r="BJ235" s="91">
        <f t="shared" ref="BJ235:BJ246" si="190">(SUM(BD235:BH235)-MIN(BD235:BH235)-MAX(BD235:BH235))/3+0.001+0.003+0.002</f>
        <v>0.20533881634996445</v>
      </c>
      <c r="BK235" s="91">
        <f t="shared" ref="BK235:BK246" si="191">(SUM(BE235:BI235)-MIN(BE235:BI235)-MAX(BE235:BI235))/3+0.001+0.003+0.002</f>
        <v>0.20467225831166372</v>
      </c>
      <c r="BL235" s="91">
        <f t="shared" ref="BL235:BU246" si="192">(SUM(BF235:BJ235)-MIN(BF235:BJ235)-MAX(BF235:BJ235))/3+0.001+0.003+0.002</f>
        <v>0.20608743035061297</v>
      </c>
      <c r="BM235" s="91">
        <f t="shared" si="192"/>
        <v>0.20736930197524492</v>
      </c>
      <c r="BN235" s="91">
        <f t="shared" si="192"/>
        <v>0.20897095412088282</v>
      </c>
      <c r="BO235" s="91">
        <f t="shared" si="192"/>
        <v>0.21136616833741373</v>
      </c>
      <c r="BP235" s="91">
        <f t="shared" si="192"/>
        <v>0.21226518289194082</v>
      </c>
      <c r="BQ235" s="91">
        <f t="shared" si="192"/>
        <v>0.21347589548224691</v>
      </c>
      <c r="BR235" s="91">
        <f t="shared" si="192"/>
        <v>0.21523547481118047</v>
      </c>
      <c r="BS235" s="91">
        <f t="shared" si="192"/>
        <v>0.2168674351167458</v>
      </c>
      <c r="BT235" s="91">
        <f t="shared" si="192"/>
        <v>0.2183690822372005</v>
      </c>
      <c r="BU235" s="91">
        <f t="shared" si="192"/>
        <v>0.21965885106178942</v>
      </c>
    </row>
    <row r="236" spans="1:98">
      <c r="A236" s="4" t="s">
        <v>102</v>
      </c>
      <c r="B236" s="88"/>
      <c r="C236" s="89">
        <f t="shared" si="189"/>
        <v>0.16704590620793003</v>
      </c>
      <c r="D236" s="89">
        <f t="shared" si="189"/>
        <v>0.20045508744951604</v>
      </c>
      <c r="E236" s="89">
        <f t="shared" si="189"/>
        <v>0.20045508744951604</v>
      </c>
      <c r="F236" s="89">
        <f t="shared" si="189"/>
        <v>0.18223189768137821</v>
      </c>
      <c r="G236" s="89">
        <f t="shared" si="189"/>
        <v>0.20045508744951607</v>
      </c>
      <c r="H236" s="89">
        <f t="shared" si="189"/>
        <v>0.19090960709477717</v>
      </c>
      <c r="I236" s="89">
        <f t="shared" si="189"/>
        <v>0.16704590620793003</v>
      </c>
      <c r="J236" s="89">
        <f t="shared" si="189"/>
        <v>0.17430877169523135</v>
      </c>
      <c r="K236" s="89">
        <f t="shared" si="189"/>
        <v>0.14905634707784524</v>
      </c>
      <c r="L236" s="89">
        <f t="shared" si="189"/>
        <v>0.16764037562504008</v>
      </c>
      <c r="M236" s="90">
        <f t="shared" si="189"/>
        <v>0.17277194549921823</v>
      </c>
      <c r="N236" s="90">
        <f t="shared" si="189"/>
        <v>0.16797714459080224</v>
      </c>
      <c r="O236" s="90">
        <f t="shared" si="189"/>
        <v>0.16746950618327278</v>
      </c>
      <c r="P236" s="90">
        <f t="shared" si="189"/>
        <v>0.14937388193202147</v>
      </c>
      <c r="Q236" s="90">
        <f t="shared" si="189"/>
        <v>0.17221632347565752</v>
      </c>
      <c r="R236" s="90">
        <f t="shared" si="189"/>
        <v>0.17819647980150422</v>
      </c>
      <c r="S236" s="90">
        <f t="shared" si="189"/>
        <v>0.18208789390321739</v>
      </c>
      <c r="T236" s="90">
        <f t="shared" si="189"/>
        <v>0.16629428118230971</v>
      </c>
      <c r="U236" s="90">
        <f t="shared" si="189"/>
        <v>0.17492766149336739</v>
      </c>
      <c r="V236" s="90">
        <f t="shared" si="189"/>
        <v>0.16429400404181621</v>
      </c>
      <c r="W236" s="90">
        <f t="shared" si="189"/>
        <v>0.16568784997183658</v>
      </c>
      <c r="X236" s="90">
        <f t="shared" si="189"/>
        <v>0.16575303349005194</v>
      </c>
      <c r="Y236" s="90">
        <f t="shared" si="189"/>
        <v>0.17230111167105353</v>
      </c>
      <c r="Z236" s="90">
        <f t="shared" si="189"/>
        <v>0.17140763314695873</v>
      </c>
      <c r="AA236" s="90">
        <f t="shared" si="189"/>
        <v>0.15982818949599367</v>
      </c>
      <c r="AB236" s="90">
        <f t="shared" si="189"/>
        <v>0.1705953474570118</v>
      </c>
      <c r="AC236" s="90">
        <f t="shared" si="189"/>
        <v>0.17397604142560444</v>
      </c>
      <c r="AD236" s="90">
        <f t="shared" si="189"/>
        <v>0.17171105191098598</v>
      </c>
      <c r="AE236" s="90">
        <f t="shared" si="189"/>
        <v>0.17734253095300248</v>
      </c>
      <c r="AF236" s="90">
        <f t="shared" si="189"/>
        <v>0.18008879207145526</v>
      </c>
      <c r="AG236" s="90">
        <f t="shared" si="189"/>
        <v>0.17610454778604759</v>
      </c>
      <c r="AH236" s="90">
        <f t="shared" si="189"/>
        <v>0.17791196097860063</v>
      </c>
      <c r="AI236" s="90">
        <f t="shared" si="189"/>
        <v>0.17680039848177018</v>
      </c>
      <c r="AJ236" s="90">
        <f t="shared" si="189"/>
        <v>0.1771326799304844</v>
      </c>
      <c r="AK236" s="90">
        <f t="shared" si="189"/>
        <v>0.18227318657625935</v>
      </c>
      <c r="AL236" s="90">
        <f t="shared" si="189"/>
        <v>0.18223231446116894</v>
      </c>
      <c r="AM236" s="90">
        <f t="shared" si="189"/>
        <v>0.18493359246038574</v>
      </c>
      <c r="AN236" s="90">
        <f t="shared" si="189"/>
        <v>0.18570201255924845</v>
      </c>
      <c r="AO236" s="90">
        <f t="shared" si="189"/>
        <v>0.18226531568173565</v>
      </c>
      <c r="AP236" s="90">
        <f t="shared" si="189"/>
        <v>0.18566067446885171</v>
      </c>
      <c r="AQ236" s="90">
        <f t="shared" si="189"/>
        <v>0.17904319749405578</v>
      </c>
      <c r="AR236" s="90">
        <f t="shared" si="189"/>
        <v>0.18589482864016288</v>
      </c>
      <c r="AS236" s="90">
        <f t="shared" si="189"/>
        <v>0.19055807387008594</v>
      </c>
      <c r="AT236" s="90">
        <f t="shared" si="189"/>
        <v>0.18862658642457489</v>
      </c>
      <c r="AU236" s="90">
        <f t="shared" si="189"/>
        <v>0.18958872859047937</v>
      </c>
      <c r="AV236" s="90">
        <f t="shared" si="189"/>
        <v>0.18621860870037305</v>
      </c>
      <c r="AW236" s="90">
        <f t="shared" si="189"/>
        <v>0.18815704064879887</v>
      </c>
      <c r="AX236" s="90">
        <f t="shared" si="189"/>
        <v>0.18772366490322231</v>
      </c>
      <c r="AY236" s="90">
        <f t="shared" si="189"/>
        <v>0.18626738334468557</v>
      </c>
      <c r="AZ236" s="90">
        <f t="shared" si="189"/>
        <v>0.18376757202197305</v>
      </c>
      <c r="BA236" s="90">
        <f t="shared" si="189"/>
        <v>0.19313456609372051</v>
      </c>
      <c r="BB236" s="90">
        <f t="shared" si="189"/>
        <v>0.19364645327328295</v>
      </c>
      <c r="BC236" s="90">
        <f t="shared" si="189"/>
        <v>0.19197395238034226</v>
      </c>
      <c r="BD236" s="90">
        <f t="shared" si="189"/>
        <v>0.19591894359984627</v>
      </c>
      <c r="BE236" s="90">
        <f t="shared" si="189"/>
        <v>0.19238614487119604</v>
      </c>
      <c r="BF236" s="90">
        <f t="shared" si="189"/>
        <v>0.1973573345821745</v>
      </c>
      <c r="BG236" s="90">
        <f t="shared" si="189"/>
        <v>0.19718919326144868</v>
      </c>
      <c r="BH236" s="90">
        <f t="shared" si="189"/>
        <v>0.19105652789947164</v>
      </c>
      <c r="BI236" s="90">
        <f t="shared" si="189"/>
        <v>0.19601287826467989</v>
      </c>
      <c r="BJ236" s="91">
        <f t="shared" si="190"/>
        <v>0.20116476057749699</v>
      </c>
      <c r="BK236" s="91">
        <f t="shared" si="191"/>
        <v>0.20119607213244153</v>
      </c>
      <c r="BL236" s="91">
        <f t="shared" si="192"/>
        <v>0.20285313536943439</v>
      </c>
      <c r="BM236" s="91">
        <f t="shared" si="192"/>
        <v>0.20412227736787517</v>
      </c>
      <c r="BN236" s="91">
        <f t="shared" si="192"/>
        <v>0.20545790365820615</v>
      </c>
      <c r="BO236" s="91">
        <f t="shared" si="192"/>
        <v>0.20773798935979101</v>
      </c>
      <c r="BP236" s="91">
        <f t="shared" si="192"/>
        <v>0.20872382828991701</v>
      </c>
      <c r="BQ236" s="91">
        <f t="shared" si="192"/>
        <v>0.2101444387985052</v>
      </c>
      <c r="BR236" s="91">
        <f t="shared" si="192"/>
        <v>0.21177272346195744</v>
      </c>
      <c r="BS236" s="91">
        <f t="shared" si="192"/>
        <v>0.2133065737693047</v>
      </c>
      <c r="BT236" s="91">
        <f t="shared" si="192"/>
        <v>0.21486875214940446</v>
      </c>
      <c r="BU236" s="91">
        <f t="shared" si="192"/>
        <v>0.21621366351679319</v>
      </c>
    </row>
    <row r="237" spans="1:98">
      <c r="A237" s="4" t="s">
        <v>103</v>
      </c>
      <c r="B237" s="88"/>
      <c r="C237" s="89">
        <f t="shared" si="189"/>
        <v>0.16682990324623981</v>
      </c>
      <c r="D237" s="89">
        <f t="shared" si="189"/>
        <v>0.20019588389548779</v>
      </c>
      <c r="E237" s="89">
        <f t="shared" si="189"/>
        <v>0.20019588389548779</v>
      </c>
      <c r="F237" s="89">
        <f t="shared" si="189"/>
        <v>0.18199625808680708</v>
      </c>
      <c r="G237" s="89">
        <f t="shared" si="189"/>
        <v>0.20019588389548776</v>
      </c>
      <c r="H237" s="89">
        <f t="shared" si="189"/>
        <v>0.19066274656713122</v>
      </c>
      <c r="I237" s="89">
        <f t="shared" si="189"/>
        <v>0.16682990324623981</v>
      </c>
      <c r="J237" s="89">
        <f t="shared" si="189"/>
        <v>0.17408337730042414</v>
      </c>
      <c r="K237" s="89">
        <f t="shared" si="189"/>
        <v>0.14886360597356785</v>
      </c>
      <c r="L237" s="89">
        <f t="shared" si="189"/>
        <v>0.16742360396953604</v>
      </c>
      <c r="M237" s="90">
        <f t="shared" si="189"/>
        <v>0.17920942233076634</v>
      </c>
      <c r="N237" s="90">
        <f t="shared" si="189"/>
        <v>0.15879837983798381</v>
      </c>
      <c r="O237" s="90">
        <f t="shared" si="189"/>
        <v>0.17132106659706814</v>
      </c>
      <c r="P237" s="90">
        <f t="shared" si="189"/>
        <v>0.15015837335240625</v>
      </c>
      <c r="Q237" s="90">
        <f t="shared" si="189"/>
        <v>0.1667431693989071</v>
      </c>
      <c r="R237" s="90">
        <f t="shared" si="189"/>
        <v>0.17442083338657535</v>
      </c>
      <c r="S237" s="90">
        <f t="shared" si="189"/>
        <v>0.17522986986281247</v>
      </c>
      <c r="T237" s="90">
        <f t="shared" si="189"/>
        <v>0.16902822515582699</v>
      </c>
      <c r="U237" s="90">
        <f t="shared" si="189"/>
        <v>0.16100372256846679</v>
      </c>
      <c r="V237" s="90">
        <f t="shared" si="189"/>
        <v>0.1685692846232664</v>
      </c>
      <c r="W237" s="90">
        <f t="shared" si="189"/>
        <v>0.16582005645226447</v>
      </c>
      <c r="X237" s="90">
        <f t="shared" si="189"/>
        <v>0.17079497219634526</v>
      </c>
      <c r="Y237" s="90">
        <f t="shared" si="189"/>
        <v>0.17097635954846344</v>
      </c>
      <c r="Z237" s="90">
        <f t="shared" si="189"/>
        <v>0.17267982540660073</v>
      </c>
      <c r="AA237" s="90">
        <f t="shared" si="189"/>
        <v>0.17131542810725087</v>
      </c>
      <c r="AB237" s="90">
        <f t="shared" si="189"/>
        <v>0.17181575708687682</v>
      </c>
      <c r="AC237" s="90">
        <f t="shared" si="189"/>
        <v>0.17342701698402074</v>
      </c>
      <c r="AD237" s="90">
        <f t="shared" si="189"/>
        <v>0.16654168692437213</v>
      </c>
      <c r="AE237" s="90">
        <f t="shared" si="189"/>
        <v>0.17584652072450227</v>
      </c>
      <c r="AF237" s="90">
        <f t="shared" si="189"/>
        <v>0.1689234481834026</v>
      </c>
      <c r="AG237" s="90">
        <f t="shared" si="189"/>
        <v>0.1732771163943683</v>
      </c>
      <c r="AH237" s="90">
        <f t="shared" si="189"/>
        <v>0.17363220094732418</v>
      </c>
      <c r="AI237" s="90">
        <f t="shared" si="189"/>
        <v>0.17711882899971462</v>
      </c>
      <c r="AJ237" s="90">
        <f t="shared" si="189"/>
        <v>0.17520322718660231</v>
      </c>
      <c r="AK237" s="90">
        <f t="shared" si="189"/>
        <v>0.17853375801971799</v>
      </c>
      <c r="AL237" s="90">
        <f t="shared" si="189"/>
        <v>0.18086314611846002</v>
      </c>
      <c r="AM237" s="90">
        <f t="shared" si="189"/>
        <v>0.18297397437614393</v>
      </c>
      <c r="AN237" s="90">
        <f t="shared" si="189"/>
        <v>0.1822929573487635</v>
      </c>
      <c r="AO237" s="90">
        <f t="shared" si="189"/>
        <v>0.18552290558052426</v>
      </c>
      <c r="AP237" s="90">
        <f t="shared" si="189"/>
        <v>0.18576071923695908</v>
      </c>
      <c r="AQ237" s="90">
        <f t="shared" si="189"/>
        <v>0.18490199486636205</v>
      </c>
      <c r="AR237" s="90">
        <f t="shared" si="189"/>
        <v>0.18519073929812976</v>
      </c>
      <c r="AS237" s="90">
        <f t="shared" si="189"/>
        <v>0.19063289590087337</v>
      </c>
      <c r="AT237" s="90">
        <f t="shared" si="189"/>
        <v>0.19167055867471991</v>
      </c>
      <c r="AU237" s="90">
        <f t="shared" si="189"/>
        <v>0.18805998080963246</v>
      </c>
      <c r="AV237" s="90">
        <f t="shared" si="189"/>
        <v>0.18764169792409804</v>
      </c>
      <c r="AW237" s="90">
        <f t="shared" si="189"/>
        <v>0.1889102237405671</v>
      </c>
      <c r="AX237" s="90">
        <f t="shared" si="189"/>
        <v>0.19025691516248455</v>
      </c>
      <c r="AY237" s="90">
        <f t="shared" si="189"/>
        <v>0.18652550352805938</v>
      </c>
      <c r="AZ237" s="90">
        <f t="shared" si="189"/>
        <v>0.18554302163717154</v>
      </c>
      <c r="BA237" s="90">
        <f t="shared" si="189"/>
        <v>0.19257864361176236</v>
      </c>
      <c r="BB237" s="90">
        <f t="shared" si="189"/>
        <v>0.19532449120524456</v>
      </c>
      <c r="BC237" s="90">
        <f t="shared" si="189"/>
        <v>0.18903293377024141</v>
      </c>
      <c r="BD237" s="90">
        <f t="shared" si="189"/>
        <v>0.19729430092536851</v>
      </c>
      <c r="BE237" s="90">
        <f t="shared" si="189"/>
        <v>0.19397170844443865</v>
      </c>
      <c r="BF237" s="90">
        <f t="shared" si="189"/>
        <v>0.19822167408205513</v>
      </c>
      <c r="BG237" s="90">
        <f t="shared" si="189"/>
        <v>0.19983169734231207</v>
      </c>
      <c r="BH237" s="90">
        <f t="shared" si="189"/>
        <v>0.19116449029847879</v>
      </c>
      <c r="BI237" s="90">
        <f t="shared" si="189"/>
        <v>0.19171528572631008</v>
      </c>
      <c r="BJ237" s="91">
        <f t="shared" si="190"/>
        <v>0.20249589448395411</v>
      </c>
      <c r="BK237" s="91">
        <f t="shared" si="191"/>
        <v>0.2006362227509346</v>
      </c>
      <c r="BL237" s="91">
        <f t="shared" si="192"/>
        <v>0.20258955238355911</v>
      </c>
      <c r="BM237" s="91">
        <f t="shared" si="192"/>
        <v>0.20339440193985225</v>
      </c>
      <c r="BN237" s="91">
        <f t="shared" si="192"/>
        <v>0.20428246765373292</v>
      </c>
      <c r="BO237" s="91">
        <f t="shared" si="192"/>
        <v>0.20790722320614929</v>
      </c>
      <c r="BP237" s="91">
        <f t="shared" si="192"/>
        <v>0.20882661626912183</v>
      </c>
      <c r="BQ237" s="91">
        <f t="shared" si="192"/>
        <v>0.20942214065904807</v>
      </c>
      <c r="BR237" s="91">
        <f t="shared" si="192"/>
        <v>0.2111946975999115</v>
      </c>
      <c r="BS237" s="91">
        <f t="shared" si="192"/>
        <v>0.21300543570966801</v>
      </c>
      <c r="BT237" s="91">
        <f t="shared" si="192"/>
        <v>0.21471866004477302</v>
      </c>
      <c r="BU237" s="91">
        <f t="shared" si="192"/>
        <v>0.21581448484269375</v>
      </c>
    </row>
    <row r="238" spans="1:98">
      <c r="A238" s="4" t="s">
        <v>104</v>
      </c>
      <c r="B238" s="88"/>
      <c r="C238" s="89">
        <f t="shared" si="189"/>
        <v>0.17017953356498908</v>
      </c>
      <c r="D238" s="89">
        <f t="shared" si="189"/>
        <v>0.20421544027798691</v>
      </c>
      <c r="E238" s="89">
        <f t="shared" si="189"/>
        <v>0.20421544027798691</v>
      </c>
      <c r="F238" s="89">
        <f t="shared" si="189"/>
        <v>0.18565040025271537</v>
      </c>
      <c r="G238" s="89">
        <f t="shared" si="189"/>
        <v>0.20421544027798688</v>
      </c>
      <c r="H238" s="89">
        <f t="shared" si="189"/>
        <v>0.19449089550284465</v>
      </c>
      <c r="I238" s="89">
        <f t="shared" si="189"/>
        <v>0.17017953356498908</v>
      </c>
      <c r="J238" s="89">
        <f t="shared" si="189"/>
        <v>0.1775786437199886</v>
      </c>
      <c r="K238" s="89">
        <f t="shared" si="189"/>
        <v>0.15185250687337487</v>
      </c>
      <c r="L238" s="89">
        <f t="shared" si="189"/>
        <v>0.17078515468087874</v>
      </c>
      <c r="M238" s="90">
        <f t="shared" si="189"/>
        <v>0.17406909869442927</v>
      </c>
      <c r="N238" s="90">
        <f t="shared" si="189"/>
        <v>0.16540013980652579</v>
      </c>
      <c r="O238" s="90">
        <f t="shared" si="189"/>
        <v>0.16904571980351824</v>
      </c>
      <c r="P238" s="90">
        <f t="shared" si="189"/>
        <v>0.17154469589475962</v>
      </c>
      <c r="Q238" s="90">
        <f t="shared" si="189"/>
        <v>0.16610306294270727</v>
      </c>
      <c r="R238" s="90">
        <f t="shared" si="189"/>
        <v>0.17101319126730821</v>
      </c>
      <c r="S238" s="90">
        <f t="shared" si="189"/>
        <v>0.14808297494834144</v>
      </c>
      <c r="T238" s="90">
        <f t="shared" si="189"/>
        <v>0.16349557215835939</v>
      </c>
      <c r="U238" s="90">
        <f t="shared" si="189"/>
        <v>0.15566250692107841</v>
      </c>
      <c r="V238" s="90">
        <f t="shared" si="189"/>
        <v>0.16282438883051736</v>
      </c>
      <c r="W238" s="90">
        <f t="shared" si="189"/>
        <v>0.16746206458144489</v>
      </c>
      <c r="X238" s="90">
        <f t="shared" si="189"/>
        <v>0.17067083352701609</v>
      </c>
      <c r="Y238" s="90">
        <f t="shared" si="189"/>
        <v>0.17110787408921138</v>
      </c>
      <c r="Z238" s="90">
        <f t="shared" si="189"/>
        <v>0.17347073429530166</v>
      </c>
      <c r="AA238" s="90">
        <f t="shared" si="189"/>
        <v>0.1713122429187707</v>
      </c>
      <c r="AB238" s="90">
        <f t="shared" si="189"/>
        <v>0.17258954150921341</v>
      </c>
      <c r="AC238" s="90">
        <f t="shared" si="189"/>
        <v>0.17336175463603098</v>
      </c>
      <c r="AD238" s="90">
        <f t="shared" si="189"/>
        <v>0.16100486227178615</v>
      </c>
      <c r="AE238" s="90">
        <f t="shared" si="189"/>
        <v>0.1755882086334086</v>
      </c>
      <c r="AF238" s="90">
        <f t="shared" si="189"/>
        <v>0.16984559964184945</v>
      </c>
      <c r="AG238" s="90">
        <f t="shared" si="189"/>
        <v>0.1760908597816063</v>
      </c>
      <c r="AH238" s="90">
        <f t="shared" si="189"/>
        <v>0.17398720563642078</v>
      </c>
      <c r="AI238" s="90">
        <f t="shared" si="189"/>
        <v>0.17832753391265513</v>
      </c>
      <c r="AJ238" s="90">
        <f t="shared" si="189"/>
        <v>0.17593345932373738</v>
      </c>
      <c r="AK238" s="90">
        <f t="shared" si="189"/>
        <v>0.18181594768947207</v>
      </c>
      <c r="AL238" s="90">
        <f t="shared" si="189"/>
        <v>0.18161520002140322</v>
      </c>
      <c r="AM238" s="90">
        <f t="shared" si="189"/>
        <v>0.18384482497789253</v>
      </c>
      <c r="AN238" s="90">
        <f t="shared" si="189"/>
        <v>0.18328034403248195</v>
      </c>
      <c r="AO238" s="90">
        <f t="shared" si="189"/>
        <v>0.18669319048717772</v>
      </c>
      <c r="AP238" s="90">
        <f t="shared" si="189"/>
        <v>0.18657344998634348</v>
      </c>
      <c r="AQ238" s="90">
        <f t="shared" si="189"/>
        <v>0.18835517319485573</v>
      </c>
      <c r="AR238" s="90">
        <f t="shared" si="189"/>
        <v>0.18521995470507438</v>
      </c>
      <c r="AS238" s="90">
        <f t="shared" si="189"/>
        <v>0.19186696173867115</v>
      </c>
      <c r="AT238" s="90">
        <f t="shared" si="189"/>
        <v>0.18988128619601341</v>
      </c>
      <c r="AU238" s="90">
        <f t="shared" si="189"/>
        <v>0.18941344976030774</v>
      </c>
      <c r="AV238" s="90">
        <f t="shared" si="189"/>
        <v>0.18861259410209341</v>
      </c>
      <c r="AW238" s="90">
        <f t="shared" si="189"/>
        <v>0.1900889955002831</v>
      </c>
      <c r="AX238" s="90">
        <f t="shared" si="189"/>
        <v>0.18858328722197207</v>
      </c>
      <c r="AY238" s="90">
        <f t="shared" si="189"/>
        <v>0.187697522137309</v>
      </c>
      <c r="AZ238" s="90">
        <f t="shared" si="189"/>
        <v>0.18709654984436022</v>
      </c>
      <c r="BA238" s="90">
        <f t="shared" si="189"/>
        <v>0.19243236441424438</v>
      </c>
      <c r="BB238" s="90">
        <f t="shared" si="189"/>
        <v>0.19488157733561015</v>
      </c>
      <c r="BC238" s="90">
        <f t="shared" si="189"/>
        <v>0.19193598713279336</v>
      </c>
      <c r="BD238" s="90">
        <f t="shared" si="189"/>
        <v>0.19785570268096664</v>
      </c>
      <c r="BE238" s="90">
        <f t="shared" si="189"/>
        <v>0.194987408723624</v>
      </c>
      <c r="BF238" s="90">
        <f t="shared" si="189"/>
        <v>0.1982820282434534</v>
      </c>
      <c r="BG238" s="90">
        <f t="shared" si="189"/>
        <v>0.19536224501308927</v>
      </c>
      <c r="BH238" s="90">
        <f t="shared" si="189"/>
        <v>0.19078236869950452</v>
      </c>
      <c r="BI238" s="90">
        <f t="shared" si="189"/>
        <v>0.19322545765646498</v>
      </c>
      <c r="BJ238" s="91">
        <f t="shared" si="190"/>
        <v>0.20206845213922664</v>
      </c>
      <c r="BK238" s="91">
        <f t="shared" si="191"/>
        <v>0.2005250371310594</v>
      </c>
      <c r="BL238" s="91">
        <f t="shared" si="192"/>
        <v>0.20162324363766926</v>
      </c>
      <c r="BM238" s="91">
        <f t="shared" si="192"/>
        <v>0.20237091326687126</v>
      </c>
      <c r="BN238" s="91">
        <f t="shared" si="192"/>
        <v>0.2044579128083979</v>
      </c>
      <c r="BO238" s="91">
        <f t="shared" si="192"/>
        <v>0.20740557763598508</v>
      </c>
      <c r="BP238" s="91">
        <f t="shared" si="192"/>
        <v>0.20802086968125577</v>
      </c>
      <c r="BQ238" s="91">
        <f t="shared" si="192"/>
        <v>0.20881735657097944</v>
      </c>
      <c r="BR238" s="91">
        <f t="shared" si="192"/>
        <v>0.21074480123708481</v>
      </c>
      <c r="BS238" s="91">
        <f t="shared" si="192"/>
        <v>0.21262812004187956</v>
      </c>
      <c r="BT238" s="91">
        <f t="shared" si="192"/>
        <v>0.21408126796274007</v>
      </c>
      <c r="BU238" s="91">
        <f t="shared" si="192"/>
        <v>0.21519434249643998</v>
      </c>
    </row>
    <row r="239" spans="1:98">
      <c r="A239" s="4" t="s">
        <v>105</v>
      </c>
      <c r="B239" s="88"/>
      <c r="C239" s="89">
        <f t="shared" si="189"/>
        <v>0.17014034193290767</v>
      </c>
      <c r="D239" s="89">
        <f t="shared" si="189"/>
        <v>0.20416841031948921</v>
      </c>
      <c r="E239" s="89">
        <f t="shared" si="189"/>
        <v>0.20416841031948921</v>
      </c>
      <c r="F239" s="89">
        <f t="shared" si="189"/>
        <v>0.18560764574499017</v>
      </c>
      <c r="G239" s="89">
        <f t="shared" si="189"/>
        <v>0.20416841031948918</v>
      </c>
      <c r="H239" s="89">
        <f t="shared" si="189"/>
        <v>0.19444610506618018</v>
      </c>
      <c r="I239" s="89">
        <f t="shared" si="189"/>
        <v>0.17014034193290764</v>
      </c>
      <c r="J239" s="89">
        <f t="shared" si="189"/>
        <v>0.17753774810390366</v>
      </c>
      <c r="K239" s="89">
        <f t="shared" si="189"/>
        <v>0.15181753587859451</v>
      </c>
      <c r="L239" s="89">
        <f t="shared" si="189"/>
        <v>0.17074582357679699</v>
      </c>
      <c r="M239" s="90">
        <f t="shared" si="189"/>
        <v>0.17832022532436551</v>
      </c>
      <c r="N239" s="90">
        <f t="shared" si="189"/>
        <v>0.16307043922997563</v>
      </c>
      <c r="O239" s="90">
        <f t="shared" si="189"/>
        <v>0.1703076643000182</v>
      </c>
      <c r="P239" s="90">
        <f t="shared" si="189"/>
        <v>0.16272490514654361</v>
      </c>
      <c r="Q239" s="90">
        <f t="shared" si="189"/>
        <v>0.169756233200482</v>
      </c>
      <c r="R239" s="90">
        <f t="shared" si="189"/>
        <v>0.16866300634131423</v>
      </c>
      <c r="S239" s="90">
        <f t="shared" si="189"/>
        <v>0.17374734428958377</v>
      </c>
      <c r="T239" s="90">
        <f t="shared" si="189"/>
        <v>0.13460254130708182</v>
      </c>
      <c r="U239" s="90">
        <f t="shared" si="189"/>
        <v>0.16034622486235389</v>
      </c>
      <c r="V239" s="90">
        <f t="shared" ref="V239:BI247" si="193">V223/V80</f>
        <v>0.16389347559168466</v>
      </c>
      <c r="W239" s="90">
        <f t="shared" si="193"/>
        <v>0.1671023435362777</v>
      </c>
      <c r="X239" s="90">
        <f t="shared" si="193"/>
        <v>0.16478600775250071</v>
      </c>
      <c r="Y239" s="90">
        <f t="shared" si="193"/>
        <v>0.1686755357435821</v>
      </c>
      <c r="Z239" s="90">
        <f t="shared" si="193"/>
        <v>0.17098956492043221</v>
      </c>
      <c r="AA239" s="90">
        <f t="shared" si="193"/>
        <v>0.17277987431908895</v>
      </c>
      <c r="AB239" s="90">
        <f t="shared" si="193"/>
        <v>0.17165053974601588</v>
      </c>
      <c r="AC239" s="90">
        <f t="shared" si="193"/>
        <v>0.17379205959614552</v>
      </c>
      <c r="AD239" s="90">
        <f t="shared" si="193"/>
        <v>0.17079661291192491</v>
      </c>
      <c r="AE239" s="90">
        <f t="shared" si="193"/>
        <v>0.17775360821819039</v>
      </c>
      <c r="AF239" s="90">
        <f t="shared" si="193"/>
        <v>0.17001258868932922</v>
      </c>
      <c r="AG239" s="90">
        <f t="shared" si="193"/>
        <v>0.17420297599814416</v>
      </c>
      <c r="AH239" s="90">
        <f t="shared" si="193"/>
        <v>0.17712973423656361</v>
      </c>
      <c r="AI239" s="90">
        <f t="shared" si="193"/>
        <v>0.17820616674726422</v>
      </c>
      <c r="AJ239" s="90">
        <f t="shared" si="193"/>
        <v>0.17513383361439994</v>
      </c>
      <c r="AK239" s="90">
        <f t="shared" si="193"/>
        <v>0.1808130387100372</v>
      </c>
      <c r="AL239" s="90">
        <f t="shared" si="193"/>
        <v>0.18208388694891603</v>
      </c>
      <c r="AM239" s="90">
        <f t="shared" si="193"/>
        <v>0.18504077223485219</v>
      </c>
      <c r="AN239" s="90">
        <f t="shared" si="193"/>
        <v>0.18328190682926326</v>
      </c>
      <c r="AO239" s="90">
        <f t="shared" si="193"/>
        <v>0.18746014906140759</v>
      </c>
      <c r="AP239" s="90">
        <f t="shared" si="193"/>
        <v>0.18802549551964018</v>
      </c>
      <c r="AQ239" s="90">
        <f t="shared" si="193"/>
        <v>0.18825641425394912</v>
      </c>
      <c r="AR239" s="90">
        <f t="shared" si="193"/>
        <v>0.18756686241331444</v>
      </c>
      <c r="AS239" s="90">
        <f t="shared" si="193"/>
        <v>0.19176761488821628</v>
      </c>
      <c r="AT239" s="90">
        <f t="shared" si="193"/>
        <v>0.18952588690969949</v>
      </c>
      <c r="AU239" s="90">
        <f t="shared" si="193"/>
        <v>0.19106316784314081</v>
      </c>
      <c r="AV239" s="90">
        <f t="shared" si="193"/>
        <v>0.19070690930998579</v>
      </c>
      <c r="AW239" s="90">
        <f t="shared" si="193"/>
        <v>0.18833644688844992</v>
      </c>
      <c r="AX239" s="90">
        <f t="shared" si="193"/>
        <v>0.18829611444886521</v>
      </c>
      <c r="AY239" s="90">
        <f t="shared" si="193"/>
        <v>0.18610829818497168</v>
      </c>
      <c r="AZ239" s="90">
        <f t="shared" si="193"/>
        <v>0.1860436303580125</v>
      </c>
      <c r="BA239" s="90">
        <f t="shared" si="193"/>
        <v>0.19115599986419421</v>
      </c>
      <c r="BB239" s="90">
        <f t="shared" si="193"/>
        <v>0.19009373096501408</v>
      </c>
      <c r="BC239" s="90">
        <f t="shared" si="193"/>
        <v>0.19259851772377037</v>
      </c>
      <c r="BD239" s="90">
        <f t="shared" si="193"/>
        <v>0.19680719507558567</v>
      </c>
      <c r="BE239" s="90">
        <f t="shared" si="193"/>
        <v>0.19443708252181677</v>
      </c>
      <c r="BF239" s="90">
        <f t="shared" si="193"/>
        <v>0.19918636278986809</v>
      </c>
      <c r="BG239" s="90">
        <f t="shared" si="193"/>
        <v>0.19619567649823211</v>
      </c>
      <c r="BH239" s="90">
        <f t="shared" si="193"/>
        <v>0.19141049514137365</v>
      </c>
      <c r="BI239" s="90">
        <f t="shared" si="193"/>
        <v>0.19512238536850313</v>
      </c>
      <c r="BJ239" s="91">
        <f t="shared" si="190"/>
        <v>0.20181331803187819</v>
      </c>
      <c r="BK239" s="91">
        <f t="shared" si="191"/>
        <v>0.20125171479618398</v>
      </c>
      <c r="BL239" s="91">
        <f t="shared" si="192"/>
        <v>0.20283480821886779</v>
      </c>
      <c r="BM239" s="91">
        <f t="shared" si="192"/>
        <v>0.20352325888763975</v>
      </c>
      <c r="BN239" s="91">
        <f t="shared" si="192"/>
        <v>0.20539580606552177</v>
      </c>
      <c r="BO239" s="91">
        <f t="shared" si="192"/>
        <v>0.20796661368230998</v>
      </c>
      <c r="BP239" s="91">
        <f t="shared" si="192"/>
        <v>0.20872379504612856</v>
      </c>
      <c r="BQ239" s="91">
        <f t="shared" si="192"/>
        <v>0.20991795772400981</v>
      </c>
      <c r="BR239" s="91">
        <f t="shared" si="192"/>
        <v>0.21162855954515714</v>
      </c>
      <c r="BS239" s="91">
        <f t="shared" si="192"/>
        <v>0.21336207159798681</v>
      </c>
      <c r="BT239" s="91">
        <f t="shared" si="192"/>
        <v>0.2148694554841494</v>
      </c>
      <c r="BU239" s="91">
        <f t="shared" si="192"/>
        <v>0.21609010410509846</v>
      </c>
    </row>
    <row r="240" spans="1:98">
      <c r="A240" s="4" t="s">
        <v>106</v>
      </c>
      <c r="B240" s="88"/>
      <c r="C240" s="89">
        <f t="shared" ref="C240:AH247" si="194">C224/C81</f>
        <v>0.16641862911233193</v>
      </c>
      <c r="D240" s="89">
        <f t="shared" si="194"/>
        <v>0.19970235493479835</v>
      </c>
      <c r="E240" s="89">
        <f t="shared" si="194"/>
        <v>0.19970235493479835</v>
      </c>
      <c r="F240" s="89">
        <f t="shared" si="194"/>
        <v>0.18154759539527121</v>
      </c>
      <c r="G240" s="89">
        <f t="shared" si="194"/>
        <v>0.19970235493479835</v>
      </c>
      <c r="H240" s="89">
        <f t="shared" si="194"/>
        <v>0.19019271898552223</v>
      </c>
      <c r="I240" s="89">
        <f t="shared" si="194"/>
        <v>0.16641862911233196</v>
      </c>
      <c r="J240" s="89">
        <f t="shared" si="194"/>
        <v>0.17365422168243336</v>
      </c>
      <c r="K240" s="89">
        <f t="shared" si="194"/>
        <v>0.14849662290023466</v>
      </c>
      <c r="L240" s="89">
        <f t="shared" si="194"/>
        <v>0.16701086622661074</v>
      </c>
      <c r="M240" s="90">
        <f t="shared" si="194"/>
        <v>0.17231766981454089</v>
      </c>
      <c r="N240" s="90">
        <f t="shared" si="194"/>
        <v>0.1664878028645726</v>
      </c>
      <c r="O240" s="90">
        <f t="shared" si="194"/>
        <v>0.15998262346227515</v>
      </c>
      <c r="P240" s="90">
        <f t="shared" si="194"/>
        <v>0.16169537692503408</v>
      </c>
      <c r="Q240" s="90">
        <f t="shared" si="194"/>
        <v>0.16625151234787558</v>
      </c>
      <c r="R240" s="90">
        <f t="shared" si="194"/>
        <v>0.16547476289109342</v>
      </c>
      <c r="S240" s="90">
        <f t="shared" si="194"/>
        <v>0.17257858963466441</v>
      </c>
      <c r="T240" s="90">
        <f t="shared" si="194"/>
        <v>0.16965313690692008</v>
      </c>
      <c r="U240" s="90">
        <f t="shared" si="194"/>
        <v>0.16510613966121077</v>
      </c>
      <c r="V240" s="90">
        <f t="shared" si="194"/>
        <v>0.16219311142504483</v>
      </c>
      <c r="W240" s="90">
        <f t="shared" si="194"/>
        <v>0.16721143119285184</v>
      </c>
      <c r="X240" s="90">
        <f t="shared" si="194"/>
        <v>0.16640236223891616</v>
      </c>
      <c r="Y240" s="90">
        <f t="shared" si="194"/>
        <v>0.17131601917715417</v>
      </c>
      <c r="Z240" s="90">
        <f t="shared" si="194"/>
        <v>0.17243170878948136</v>
      </c>
      <c r="AA240" s="90">
        <f t="shared" si="194"/>
        <v>0.17334661391325198</v>
      </c>
      <c r="AB240" s="90">
        <f t="shared" si="194"/>
        <v>0.17220556557479499</v>
      </c>
      <c r="AC240" s="90">
        <f t="shared" si="194"/>
        <v>0.14095422884487513</v>
      </c>
      <c r="AD240" s="90">
        <f t="shared" si="194"/>
        <v>0.17168085278942913</v>
      </c>
      <c r="AE240" s="90">
        <f t="shared" si="194"/>
        <v>0.17874652351076906</v>
      </c>
      <c r="AF240" s="90">
        <f t="shared" si="194"/>
        <v>0.16929222943429934</v>
      </c>
      <c r="AG240" s="90">
        <f t="shared" si="194"/>
        <v>0.17425478198823174</v>
      </c>
      <c r="AH240" s="90">
        <f t="shared" si="194"/>
        <v>0.17567640118987279</v>
      </c>
      <c r="AI240" s="90">
        <f t="shared" si="193"/>
        <v>0.17802309118825901</v>
      </c>
      <c r="AJ240" s="90">
        <f t="shared" si="193"/>
        <v>0.17604587527700752</v>
      </c>
      <c r="AK240" s="90">
        <f t="shared" si="193"/>
        <v>0.18202082911710196</v>
      </c>
      <c r="AL240" s="90">
        <f t="shared" si="193"/>
        <v>0.18240881413515486</v>
      </c>
      <c r="AM240" s="90">
        <f t="shared" si="193"/>
        <v>0.18618743348368694</v>
      </c>
      <c r="AN240" s="90">
        <f t="shared" si="193"/>
        <v>0.18544023453682162</v>
      </c>
      <c r="AO240" s="90">
        <f t="shared" si="193"/>
        <v>0.18689162119583927</v>
      </c>
      <c r="AP240" s="90">
        <f t="shared" si="193"/>
        <v>0.18961149664055837</v>
      </c>
      <c r="AQ240" s="90">
        <f t="shared" si="193"/>
        <v>0.18769160019000539</v>
      </c>
      <c r="AR240" s="90">
        <f t="shared" si="193"/>
        <v>0.18825561707999161</v>
      </c>
      <c r="AS240" s="90">
        <f t="shared" si="193"/>
        <v>0.19261897524385119</v>
      </c>
      <c r="AT240" s="90">
        <f t="shared" si="193"/>
        <v>0.19187731270310215</v>
      </c>
      <c r="AU240" s="90">
        <f t="shared" si="193"/>
        <v>0.19162237827089992</v>
      </c>
      <c r="AV240" s="90">
        <f t="shared" si="193"/>
        <v>0.18926149438201947</v>
      </c>
      <c r="AW240" s="90">
        <f t="shared" si="193"/>
        <v>0.18969385212145479</v>
      </c>
      <c r="AX240" s="90">
        <f t="shared" si="193"/>
        <v>0.18980632940839801</v>
      </c>
      <c r="AY240" s="90">
        <f t="shared" si="193"/>
        <v>0.18942090087545024</v>
      </c>
      <c r="AZ240" s="90">
        <f t="shared" si="193"/>
        <v>0.18705863432764697</v>
      </c>
      <c r="BA240" s="90">
        <f t="shared" si="193"/>
        <v>0.1932614564403734</v>
      </c>
      <c r="BB240" s="90">
        <f t="shared" si="193"/>
        <v>0.19754638891116666</v>
      </c>
      <c r="BC240" s="90">
        <f t="shared" si="193"/>
        <v>0.1938537375974167</v>
      </c>
      <c r="BD240" s="90">
        <f t="shared" si="193"/>
        <v>0.19869202241287662</v>
      </c>
      <c r="BE240" s="90">
        <f t="shared" si="193"/>
        <v>0.19418416032803887</v>
      </c>
      <c r="BF240" s="90">
        <f t="shared" si="193"/>
        <v>0.20236620256489862</v>
      </c>
      <c r="BG240" s="90">
        <f t="shared" si="193"/>
        <v>0.19254942619527565</v>
      </c>
      <c r="BH240" s="90">
        <f t="shared" si="193"/>
        <v>0.19190879022670895</v>
      </c>
      <c r="BI240" s="90">
        <f t="shared" si="193"/>
        <v>0.19429809198811188</v>
      </c>
      <c r="BJ240" s="91">
        <f t="shared" si="190"/>
        <v>0.20114186964539704</v>
      </c>
      <c r="BK240" s="91">
        <f t="shared" si="191"/>
        <v>0.19967722617047548</v>
      </c>
      <c r="BL240" s="91">
        <f t="shared" si="192"/>
        <v>0.20199646260959483</v>
      </c>
      <c r="BM240" s="91">
        <f t="shared" si="192"/>
        <v>0.20150824811795434</v>
      </c>
      <c r="BN240" s="91">
        <f t="shared" si="192"/>
        <v>0.20437239593466147</v>
      </c>
      <c r="BO240" s="91">
        <f t="shared" si="192"/>
        <v>0.20677578131127561</v>
      </c>
      <c r="BP240" s="91">
        <f t="shared" si="192"/>
        <v>0.20754886012431537</v>
      </c>
      <c r="BQ240" s="91">
        <f t="shared" si="192"/>
        <v>0.20862570222073692</v>
      </c>
      <c r="BR240" s="91">
        <f t="shared" si="192"/>
        <v>0.21038154661851063</v>
      </c>
      <c r="BS240" s="91">
        <f t="shared" si="192"/>
        <v>0.21223234579008413</v>
      </c>
      <c r="BT240" s="91">
        <f t="shared" si="192"/>
        <v>0.21365011455210933</v>
      </c>
      <c r="BU240" s="91">
        <f t="shared" si="192"/>
        <v>0.21485203632118766</v>
      </c>
    </row>
    <row r="241" spans="1:73">
      <c r="A241" s="4" t="s">
        <v>107</v>
      </c>
      <c r="B241" s="88"/>
      <c r="C241" s="89">
        <f t="shared" si="194"/>
        <v>0.1648708335164219</v>
      </c>
      <c r="D241" s="89">
        <f t="shared" si="194"/>
        <v>0.1978450002197063</v>
      </c>
      <c r="E241" s="89">
        <f t="shared" si="194"/>
        <v>0.1978450002197063</v>
      </c>
      <c r="F241" s="89">
        <f t="shared" si="194"/>
        <v>0.17985909110882389</v>
      </c>
      <c r="G241" s="89">
        <f t="shared" si="194"/>
        <v>0.19784500021970627</v>
      </c>
      <c r="H241" s="89">
        <f t="shared" si="194"/>
        <v>0.18842380973305362</v>
      </c>
      <c r="I241" s="89">
        <f t="shared" si="194"/>
        <v>0.16487083351642187</v>
      </c>
      <c r="J241" s="89">
        <f t="shared" si="194"/>
        <v>0.17203913062583154</v>
      </c>
      <c r="K241" s="89">
        <f t="shared" si="194"/>
        <v>0.14711551298388414</v>
      </c>
      <c r="L241" s="89">
        <f t="shared" si="194"/>
        <v>0.16545756246132021</v>
      </c>
      <c r="M241" s="90">
        <f t="shared" si="194"/>
        <v>0.17587584901930328</v>
      </c>
      <c r="N241" s="90">
        <f t="shared" si="194"/>
        <v>0.15490549556749122</v>
      </c>
      <c r="O241" s="90">
        <f t="shared" si="194"/>
        <v>0.16073862735774289</v>
      </c>
      <c r="P241" s="90">
        <f t="shared" si="194"/>
        <v>0.16071218325244305</v>
      </c>
      <c r="Q241" s="90">
        <f t="shared" si="194"/>
        <v>0.16389212714696513</v>
      </c>
      <c r="R241" s="90">
        <f t="shared" si="194"/>
        <v>0.16135419685115426</v>
      </c>
      <c r="S241" s="90">
        <f t="shared" si="194"/>
        <v>0.16659118714640098</v>
      </c>
      <c r="T241" s="90">
        <f t="shared" si="194"/>
        <v>0.16960803855727113</v>
      </c>
      <c r="U241" s="90">
        <f t="shared" si="194"/>
        <v>0.15933069042732645</v>
      </c>
      <c r="V241" s="90">
        <f t="shared" si="194"/>
        <v>0.16294570921772122</v>
      </c>
      <c r="W241" s="90">
        <f t="shared" si="194"/>
        <v>0.16752406524737748</v>
      </c>
      <c r="X241" s="90">
        <f t="shared" si="194"/>
        <v>0.16739085551259433</v>
      </c>
      <c r="Y241" s="90">
        <f t="shared" si="194"/>
        <v>0.17013826350764999</v>
      </c>
      <c r="Z241" s="90">
        <f t="shared" si="194"/>
        <v>0.17337547249284765</v>
      </c>
      <c r="AA241" s="90">
        <f t="shared" si="194"/>
        <v>0.17408264006351618</v>
      </c>
      <c r="AB241" s="90">
        <f t="shared" si="194"/>
        <v>0.17160489894265551</v>
      </c>
      <c r="AC241" s="90">
        <f t="shared" si="194"/>
        <v>0.1751637358852651</v>
      </c>
      <c r="AD241" s="90">
        <f t="shared" si="194"/>
        <v>0.17280261944061787</v>
      </c>
      <c r="AE241" s="90">
        <f t="shared" si="194"/>
        <v>0.17893864536617238</v>
      </c>
      <c r="AF241" s="90">
        <f t="shared" si="194"/>
        <v>0.17057059491003404</v>
      </c>
      <c r="AG241" s="90">
        <f t="shared" si="194"/>
        <v>0.17906945526381712</v>
      </c>
      <c r="AH241" s="90">
        <f t="shared" si="194"/>
        <v>0.17743067887274824</v>
      </c>
      <c r="AI241" s="90">
        <f t="shared" si="193"/>
        <v>0.1799475316350696</v>
      </c>
      <c r="AJ241" s="90">
        <f t="shared" si="193"/>
        <v>0.17532118493152726</v>
      </c>
      <c r="AK241" s="90">
        <f t="shared" si="193"/>
        <v>0.18314801328942171</v>
      </c>
      <c r="AL241" s="90">
        <f t="shared" si="193"/>
        <v>0.1824687688941305</v>
      </c>
      <c r="AM241" s="90">
        <f t="shared" si="193"/>
        <v>0.1852071781704952</v>
      </c>
      <c r="AN241" s="90">
        <f t="shared" si="193"/>
        <v>0.18499076766784653</v>
      </c>
      <c r="AO241" s="90">
        <f t="shared" si="193"/>
        <v>0.18728395291086875</v>
      </c>
      <c r="AP241" s="90">
        <f t="shared" si="193"/>
        <v>0.18709686234636594</v>
      </c>
      <c r="AQ241" s="90">
        <f t="shared" si="193"/>
        <v>0.18887477286249205</v>
      </c>
      <c r="AR241" s="90">
        <f t="shared" si="193"/>
        <v>0.18808815055379555</v>
      </c>
      <c r="AS241" s="90">
        <f t="shared" si="193"/>
        <v>0.19139445569443475</v>
      </c>
      <c r="AT241" s="90">
        <f t="shared" si="193"/>
        <v>0.1916554036961817</v>
      </c>
      <c r="AU241" s="90">
        <f t="shared" si="193"/>
        <v>0.19166479636901862</v>
      </c>
      <c r="AV241" s="90">
        <f t="shared" si="193"/>
        <v>0.19194872641663127</v>
      </c>
      <c r="AW241" s="90">
        <f t="shared" si="193"/>
        <v>0.19081305729538128</v>
      </c>
      <c r="AX241" s="90">
        <f t="shared" si="193"/>
        <v>0.19269166678347424</v>
      </c>
      <c r="AY241" s="90">
        <f t="shared" si="193"/>
        <v>0.18873126399758081</v>
      </c>
      <c r="AZ241" s="90">
        <f t="shared" si="193"/>
        <v>0.1864541903788304</v>
      </c>
      <c r="BA241" s="90">
        <f t="shared" si="193"/>
        <v>0.19320743063803525</v>
      </c>
      <c r="BB241" s="90">
        <f t="shared" si="193"/>
        <v>0.19629625332016826</v>
      </c>
      <c r="BC241" s="90">
        <f t="shared" si="193"/>
        <v>0.19130841841950325</v>
      </c>
      <c r="BD241" s="90">
        <f t="shared" si="193"/>
        <v>0.19836702257587363</v>
      </c>
      <c r="BE241" s="90">
        <f t="shared" si="193"/>
        <v>0.19506402533563102</v>
      </c>
      <c r="BF241" s="90">
        <f t="shared" si="193"/>
        <v>0.19891242597590236</v>
      </c>
      <c r="BG241" s="90">
        <f t="shared" si="193"/>
        <v>0.19708362229987914</v>
      </c>
      <c r="BH241" s="90">
        <f t="shared" si="193"/>
        <v>0.19366465374183511</v>
      </c>
      <c r="BI241" s="90">
        <f t="shared" si="193"/>
        <v>0.19403426220398898</v>
      </c>
      <c r="BJ241" s="91">
        <f t="shared" si="190"/>
        <v>0.20283822340379457</v>
      </c>
      <c r="BK241" s="91">
        <f t="shared" si="191"/>
        <v>0.20139396994649972</v>
      </c>
      <c r="BL241" s="91">
        <f t="shared" si="192"/>
        <v>0.2026767701599235</v>
      </c>
      <c r="BM241" s="91">
        <f t="shared" si="192"/>
        <v>0.20350395148345599</v>
      </c>
      <c r="BN241" s="91">
        <f t="shared" si="192"/>
        <v>0.20536833410347069</v>
      </c>
      <c r="BO241" s="91">
        <f t="shared" si="192"/>
        <v>0.2083029878367392</v>
      </c>
      <c r="BP241" s="91">
        <f t="shared" si="192"/>
        <v>0.20900631501572473</v>
      </c>
      <c r="BQ241" s="91">
        <f t="shared" si="192"/>
        <v>0.20984968524895009</v>
      </c>
      <c r="BR241" s="91">
        <f t="shared" si="192"/>
        <v>0.21172509114122195</v>
      </c>
      <c r="BS241" s="91">
        <f t="shared" si="192"/>
        <v>0.21355921231864491</v>
      </c>
      <c r="BT241" s="91">
        <f t="shared" si="192"/>
        <v>0.21505299603380468</v>
      </c>
      <c r="BU241" s="91">
        <f t="shared" si="192"/>
        <v>0.21619369713529893</v>
      </c>
    </row>
    <row r="242" spans="1:73">
      <c r="A242" s="4" t="s">
        <v>108</v>
      </c>
      <c r="B242" s="88"/>
      <c r="C242" s="89">
        <f t="shared" si="194"/>
        <v>0.16326837145118175</v>
      </c>
      <c r="D242" s="89">
        <f t="shared" si="194"/>
        <v>0.19592204574141808</v>
      </c>
      <c r="E242" s="89">
        <f t="shared" si="194"/>
        <v>0.19592204574141808</v>
      </c>
      <c r="F242" s="89">
        <f t="shared" si="194"/>
        <v>0.17811095067401644</v>
      </c>
      <c r="G242" s="89">
        <f t="shared" si="194"/>
        <v>0.19592204574141811</v>
      </c>
      <c r="H242" s="89">
        <f t="shared" si="194"/>
        <v>0.18659242451563626</v>
      </c>
      <c r="I242" s="89">
        <f t="shared" si="194"/>
        <v>0.16326837145118175</v>
      </c>
      <c r="J242" s="89">
        <f t="shared" si="194"/>
        <v>0.17036699629688531</v>
      </c>
      <c r="K242" s="89">
        <f t="shared" si="194"/>
        <v>0.14568562375643909</v>
      </c>
      <c r="L242" s="89">
        <f t="shared" si="194"/>
        <v>0.16384939768410411</v>
      </c>
      <c r="M242" s="90">
        <f t="shared" si="194"/>
        <v>0.17156207019989828</v>
      </c>
      <c r="N242" s="90">
        <f t="shared" si="194"/>
        <v>0.15457147237696123</v>
      </c>
      <c r="O242" s="90">
        <f t="shared" si="194"/>
        <v>0.15934261683111575</v>
      </c>
      <c r="P242" s="90">
        <f t="shared" si="194"/>
        <v>0.16185728601896343</v>
      </c>
      <c r="Q242" s="90">
        <f t="shared" si="194"/>
        <v>0.16174701420974633</v>
      </c>
      <c r="R242" s="90">
        <f t="shared" si="194"/>
        <v>0.16797155346773665</v>
      </c>
      <c r="S242" s="90">
        <f t="shared" si="194"/>
        <v>0.16493128288969497</v>
      </c>
      <c r="T242" s="90">
        <f t="shared" si="194"/>
        <v>0.15681546558195122</v>
      </c>
      <c r="U242" s="90">
        <f t="shared" si="194"/>
        <v>0.15980140151823991</v>
      </c>
      <c r="V242" s="90">
        <f t="shared" si="194"/>
        <v>0.1651940484756389</v>
      </c>
      <c r="W242" s="90">
        <f t="shared" si="194"/>
        <v>0.17012989879940585</v>
      </c>
      <c r="X242" s="90">
        <f t="shared" si="194"/>
        <v>0.17026582087727432</v>
      </c>
      <c r="Y242" s="90">
        <f t="shared" si="194"/>
        <v>0.17196609693449966</v>
      </c>
      <c r="Z242" s="90">
        <f t="shared" si="194"/>
        <v>0.17337401058688018</v>
      </c>
      <c r="AA242" s="90">
        <f t="shared" si="194"/>
        <v>0.17281561616071364</v>
      </c>
      <c r="AB242" s="90">
        <f t="shared" si="194"/>
        <v>0.17016105228964021</v>
      </c>
      <c r="AC242" s="90">
        <f t="shared" si="194"/>
        <v>0.17344016024036052</v>
      </c>
      <c r="AD242" s="90">
        <f t="shared" si="194"/>
        <v>0.16966009579554317</v>
      </c>
      <c r="AE242" s="90">
        <f t="shared" si="194"/>
        <v>0.17955155095940778</v>
      </c>
      <c r="AF242" s="90">
        <f t="shared" si="194"/>
        <v>0.17104521002071113</v>
      </c>
      <c r="AG242" s="90">
        <f t="shared" si="194"/>
        <v>0.18024399678885916</v>
      </c>
      <c r="AH242" s="90">
        <f t="shared" si="194"/>
        <v>0.17778354703628385</v>
      </c>
      <c r="AI242" s="90">
        <f t="shared" si="193"/>
        <v>0.18034864638205761</v>
      </c>
      <c r="AJ242" s="90">
        <f t="shared" si="193"/>
        <v>0.17480656795862212</v>
      </c>
      <c r="AK242" s="90">
        <f t="shared" si="193"/>
        <v>0.1821984721834575</v>
      </c>
      <c r="AL242" s="90">
        <f t="shared" si="193"/>
        <v>0.18238648455664883</v>
      </c>
      <c r="AM242" s="90">
        <f t="shared" si="193"/>
        <v>0.18740897877800025</v>
      </c>
      <c r="AN242" s="90">
        <f t="shared" si="193"/>
        <v>0.18610510941358846</v>
      </c>
      <c r="AO242" s="90">
        <f t="shared" si="193"/>
        <v>0.18917168849162486</v>
      </c>
      <c r="AP242" s="90">
        <f t="shared" si="193"/>
        <v>0.1881144126631491</v>
      </c>
      <c r="AQ242" s="90">
        <f t="shared" si="193"/>
        <v>0.1887937490013841</v>
      </c>
      <c r="AR242" s="90">
        <f t="shared" si="193"/>
        <v>0.1891731520410293</v>
      </c>
      <c r="AS242" s="90">
        <f t="shared" si="193"/>
        <v>0.19348115941352154</v>
      </c>
      <c r="AT242" s="90">
        <f t="shared" si="193"/>
        <v>0.18242143305130601</v>
      </c>
      <c r="AU242" s="90">
        <f t="shared" si="193"/>
        <v>0.19213461961608147</v>
      </c>
      <c r="AV242" s="90">
        <f t="shared" si="193"/>
        <v>0.19313108145433949</v>
      </c>
      <c r="AW242" s="90">
        <f t="shared" si="193"/>
        <v>0.1905175434688505</v>
      </c>
      <c r="AX242" s="90">
        <f t="shared" si="193"/>
        <v>0.18881566745102243</v>
      </c>
      <c r="AY242" s="90">
        <f t="shared" si="193"/>
        <v>0.19049085217685288</v>
      </c>
      <c r="AZ242" s="90">
        <f t="shared" si="193"/>
        <v>0.18675165269166963</v>
      </c>
      <c r="BA242" s="90">
        <f t="shared" si="193"/>
        <v>0.19584020406445674</v>
      </c>
      <c r="BB242" s="90">
        <f t="shared" si="193"/>
        <v>0.19417309274371522</v>
      </c>
      <c r="BC242" s="90">
        <f t="shared" si="193"/>
        <v>0.1929654375034677</v>
      </c>
      <c r="BD242" s="90">
        <f t="shared" si="193"/>
        <v>0.19827170469982397</v>
      </c>
      <c r="BE242" s="90">
        <f t="shared" si="193"/>
        <v>0.19703422467912232</v>
      </c>
      <c r="BF242" s="90">
        <f t="shared" si="193"/>
        <v>0.19799023411312794</v>
      </c>
      <c r="BG242" s="90">
        <f t="shared" si="193"/>
        <v>0.1967441073705635</v>
      </c>
      <c r="BH242" s="90">
        <f t="shared" si="193"/>
        <v>0.19406516130780185</v>
      </c>
      <c r="BI242" s="90">
        <f t="shared" si="193"/>
        <v>0.19471113951487518</v>
      </c>
      <c r="BJ242" s="91">
        <f t="shared" si="190"/>
        <v>0.20325618872093787</v>
      </c>
      <c r="BK242" s="91">
        <f t="shared" si="191"/>
        <v>0.202163157188187</v>
      </c>
      <c r="BL242" s="91">
        <f t="shared" si="192"/>
        <v>0.20248182699952222</v>
      </c>
      <c r="BM242" s="91">
        <f t="shared" si="192"/>
        <v>0.20387280135787525</v>
      </c>
      <c r="BN242" s="91">
        <f t="shared" si="192"/>
        <v>0.20578537456752813</v>
      </c>
      <c r="BO242" s="91">
        <f t="shared" si="192"/>
        <v>0.20863372430288238</v>
      </c>
      <c r="BP242" s="91">
        <f t="shared" si="192"/>
        <v>0.20920360569277843</v>
      </c>
      <c r="BQ242" s="91">
        <f t="shared" si="192"/>
        <v>0.21004666764164184</v>
      </c>
      <c r="BR242" s="91">
        <f t="shared" si="192"/>
        <v>0.21209730007609526</v>
      </c>
      <c r="BS242" s="91">
        <f t="shared" si="192"/>
        <v>0.2138742348543963</v>
      </c>
      <c r="BT242" s="91">
        <f t="shared" si="192"/>
        <v>0.21529466587910087</v>
      </c>
      <c r="BU242" s="91">
        <f t="shared" si="192"/>
        <v>0.21644919113683855</v>
      </c>
    </row>
    <row r="243" spans="1:73">
      <c r="A243" s="4" t="s">
        <v>109</v>
      </c>
      <c r="B243" s="88"/>
      <c r="C243" s="89">
        <f t="shared" si="194"/>
        <v>0.16194294939242335</v>
      </c>
      <c r="D243" s="89">
        <f t="shared" si="194"/>
        <v>0.19433153927090799</v>
      </c>
      <c r="E243" s="89">
        <f t="shared" si="194"/>
        <v>0.19433153927090799</v>
      </c>
      <c r="F243" s="89">
        <f t="shared" si="194"/>
        <v>0.17666503570082545</v>
      </c>
      <c r="G243" s="89">
        <f t="shared" si="194"/>
        <v>0.19433153927090799</v>
      </c>
      <c r="H243" s="89">
        <f t="shared" si="194"/>
        <v>0.18507765644848381</v>
      </c>
      <c r="I243" s="89">
        <f t="shared" si="194"/>
        <v>0.16194294939242332</v>
      </c>
      <c r="J243" s="89">
        <f t="shared" si="194"/>
        <v>0.16898394719209389</v>
      </c>
      <c r="K243" s="89">
        <f t="shared" si="194"/>
        <v>0.14450293945785467</v>
      </c>
      <c r="L243" s="89">
        <f t="shared" si="194"/>
        <v>0.16251925882086612</v>
      </c>
      <c r="M243" s="90">
        <f t="shared" si="194"/>
        <v>0.17498053609164721</v>
      </c>
      <c r="N243" s="90">
        <f t="shared" si="194"/>
        <v>0.15040227806906528</v>
      </c>
      <c r="O243" s="90">
        <f t="shared" si="194"/>
        <v>0.16131271608635289</v>
      </c>
      <c r="P243" s="90">
        <f t="shared" si="194"/>
        <v>0.15809762118112503</v>
      </c>
      <c r="Q243" s="90">
        <f t="shared" si="194"/>
        <v>0.16192643155100492</v>
      </c>
      <c r="R243" s="90">
        <f t="shared" si="194"/>
        <v>0.1581887218752942</v>
      </c>
      <c r="S243" s="90">
        <f t="shared" si="194"/>
        <v>0.14827350367395611</v>
      </c>
      <c r="T243" s="90">
        <f t="shared" si="194"/>
        <v>0.1547364690923114</v>
      </c>
      <c r="U243" s="90">
        <f t="shared" si="194"/>
        <v>0.16220837373221278</v>
      </c>
      <c r="V243" s="90">
        <f t="shared" si="194"/>
        <v>0.14980053191489362</v>
      </c>
      <c r="W243" s="90">
        <f t="shared" si="194"/>
        <v>0.16470001213706797</v>
      </c>
      <c r="X243" s="90">
        <f t="shared" si="194"/>
        <v>0.17106871131785392</v>
      </c>
      <c r="Y243" s="90">
        <f t="shared" si="194"/>
        <v>0.17263102603807823</v>
      </c>
      <c r="Z243" s="90">
        <f t="shared" si="194"/>
        <v>0.16645140643037568</v>
      </c>
      <c r="AA243" s="90">
        <f t="shared" si="194"/>
        <v>0.17378917378917377</v>
      </c>
      <c r="AB243" s="90">
        <f t="shared" si="194"/>
        <v>0.17423322629327465</v>
      </c>
      <c r="AC243" s="90">
        <f t="shared" si="194"/>
        <v>0.17433992470576462</v>
      </c>
      <c r="AD243" s="90">
        <f t="shared" si="194"/>
        <v>0.17079589325151309</v>
      </c>
      <c r="AE243" s="90">
        <f t="shared" si="194"/>
        <v>0.17956656346749228</v>
      </c>
      <c r="AF243" s="90">
        <f t="shared" si="194"/>
        <v>0.16992445367767031</v>
      </c>
      <c r="AG243" s="90">
        <f t="shared" si="194"/>
        <v>0.18222143281154324</v>
      </c>
      <c r="AH243" s="90">
        <f t="shared" si="194"/>
        <v>0.17713239677154904</v>
      </c>
      <c r="AI243" s="90">
        <f t="shared" si="193"/>
        <v>0.17826995131545798</v>
      </c>
      <c r="AJ243" s="90">
        <f t="shared" si="193"/>
        <v>0.1757631473082347</v>
      </c>
      <c r="AK243" s="90">
        <f t="shared" si="193"/>
        <v>0.18182697992623667</v>
      </c>
      <c r="AL243" s="90">
        <f t="shared" si="193"/>
        <v>0.18244001407780056</v>
      </c>
      <c r="AM243" s="90">
        <f t="shared" si="193"/>
        <v>0.18664088273517943</v>
      </c>
      <c r="AN243" s="90">
        <f t="shared" si="193"/>
        <v>0.18703141980558824</v>
      </c>
      <c r="AO243" s="90">
        <f t="shared" si="193"/>
        <v>0.19059021888895109</v>
      </c>
      <c r="AP243" s="90">
        <f t="shared" si="193"/>
        <v>0.18780945125534373</v>
      </c>
      <c r="AQ243" s="90">
        <f t="shared" si="193"/>
        <v>0.18902170197033286</v>
      </c>
      <c r="AR243" s="90">
        <f t="shared" si="193"/>
        <v>0.1906997748889096</v>
      </c>
      <c r="AS243" s="90">
        <f t="shared" si="193"/>
        <v>0.19186436929594425</v>
      </c>
      <c r="AT243" s="90">
        <f t="shared" si="193"/>
        <v>0.18435901372843957</v>
      </c>
      <c r="AU243" s="90">
        <f t="shared" si="193"/>
        <v>0.1911472530135078</v>
      </c>
      <c r="AV243" s="90">
        <f t="shared" si="193"/>
        <v>0.19217715563796584</v>
      </c>
      <c r="AW243" s="90">
        <f t="shared" si="193"/>
        <v>0.19120004860842577</v>
      </c>
      <c r="AX243" s="90">
        <f t="shared" si="193"/>
        <v>0.19178865770615816</v>
      </c>
      <c r="AY243" s="90">
        <f t="shared" si="193"/>
        <v>0.18843163329692178</v>
      </c>
      <c r="AZ243" s="90">
        <f t="shared" si="193"/>
        <v>0.18677874805513003</v>
      </c>
      <c r="BA243" s="90">
        <f t="shared" si="193"/>
        <v>0.19570738094838389</v>
      </c>
      <c r="BB243" s="90">
        <f t="shared" si="193"/>
        <v>0.19349221615983428</v>
      </c>
      <c r="BC243" s="90">
        <f t="shared" si="193"/>
        <v>0.19618047906478095</v>
      </c>
      <c r="BD243" s="90">
        <f t="shared" si="193"/>
        <v>0.19512820228925776</v>
      </c>
      <c r="BE243" s="90">
        <f t="shared" si="193"/>
        <v>0.19741713144943004</v>
      </c>
      <c r="BF243" s="90">
        <f t="shared" si="193"/>
        <v>0.18366455351692429</v>
      </c>
      <c r="BG243" s="90">
        <f t="shared" si="193"/>
        <v>0.19673041384662465</v>
      </c>
      <c r="BH243" s="90">
        <f t="shared" si="193"/>
        <v>0.19299807688124254</v>
      </c>
      <c r="BI243" s="90">
        <f t="shared" si="193"/>
        <v>0.19664699183685938</v>
      </c>
      <c r="BJ243" s="91">
        <f t="shared" si="190"/>
        <v>0.20095223100570825</v>
      </c>
      <c r="BK243" s="91">
        <f t="shared" si="191"/>
        <v>0.20145849418824213</v>
      </c>
      <c r="BL243" s="91">
        <f t="shared" si="192"/>
        <v>0.20145849418824222</v>
      </c>
      <c r="BM243" s="91">
        <f t="shared" si="192"/>
        <v>0.20410987889639742</v>
      </c>
      <c r="BN243" s="91">
        <f t="shared" si="192"/>
        <v>0.20568590567693659</v>
      </c>
      <c r="BO243" s="91">
        <f t="shared" si="192"/>
        <v>0.20728973979406418</v>
      </c>
      <c r="BP243" s="91">
        <f t="shared" si="192"/>
        <v>0.20834228909096061</v>
      </c>
      <c r="BQ243" s="91">
        <f t="shared" si="192"/>
        <v>0.20975142625385876</v>
      </c>
      <c r="BR243" s="91">
        <f t="shared" si="192"/>
        <v>0.21169517478913272</v>
      </c>
      <c r="BS243" s="91">
        <f t="shared" si="192"/>
        <v>0.21310597818732044</v>
      </c>
      <c r="BT243" s="91">
        <f t="shared" si="192"/>
        <v>0.21446115171296121</v>
      </c>
      <c r="BU243" s="91">
        <f t="shared" si="192"/>
        <v>0.21592963004465071</v>
      </c>
    </row>
    <row r="244" spans="1:73">
      <c r="A244" s="4" t="s">
        <v>110</v>
      </c>
      <c r="B244" s="88"/>
      <c r="C244" s="89">
        <f t="shared" si="194"/>
        <v>0.16512907396140286</v>
      </c>
      <c r="D244" s="89">
        <f t="shared" si="194"/>
        <v>0.19815488875368342</v>
      </c>
      <c r="E244" s="89">
        <f t="shared" si="194"/>
        <v>0.19815488875368342</v>
      </c>
      <c r="F244" s="89">
        <f t="shared" si="194"/>
        <v>0.18014080795789403</v>
      </c>
      <c r="G244" s="89">
        <f t="shared" si="194"/>
        <v>0.19815488875368342</v>
      </c>
      <c r="H244" s="89">
        <f t="shared" si="194"/>
        <v>0.18871894167017469</v>
      </c>
      <c r="I244" s="89">
        <f t="shared" si="194"/>
        <v>0.16512907396140286</v>
      </c>
      <c r="J244" s="89">
        <f t="shared" si="194"/>
        <v>0.17230859891624645</v>
      </c>
      <c r="K244" s="89">
        <f t="shared" si="194"/>
        <v>0.14734594291940564</v>
      </c>
      <c r="L244" s="89">
        <f t="shared" si="194"/>
        <v>0.16571672191144343</v>
      </c>
      <c r="M244" s="90">
        <f t="shared" si="194"/>
        <v>0.17825132953996059</v>
      </c>
      <c r="N244" s="90">
        <f t="shared" si="194"/>
        <v>0.1526237758149053</v>
      </c>
      <c r="O244" s="90">
        <f t="shared" si="194"/>
        <v>0.16157288558939845</v>
      </c>
      <c r="P244" s="90">
        <f t="shared" si="194"/>
        <v>0.16563031662626657</v>
      </c>
      <c r="Q244" s="90">
        <f t="shared" si="194"/>
        <v>0.16720521489008011</v>
      </c>
      <c r="R244" s="90">
        <f t="shared" si="194"/>
        <v>0.17185777287761853</v>
      </c>
      <c r="S244" s="90">
        <f t="shared" si="194"/>
        <v>0.15300168484526028</v>
      </c>
      <c r="T244" s="90">
        <f t="shared" si="194"/>
        <v>0.16401599911894715</v>
      </c>
      <c r="U244" s="90">
        <f t="shared" si="194"/>
        <v>0.17971754229214279</v>
      </c>
      <c r="V244" s="90">
        <f t="shared" si="194"/>
        <v>0.17038237652061766</v>
      </c>
      <c r="W244" s="90">
        <f t="shared" si="194"/>
        <v>0.17359539917301026</v>
      </c>
      <c r="X244" s="90">
        <f t="shared" si="194"/>
        <v>0.1711641291684507</v>
      </c>
      <c r="Y244" s="90">
        <f t="shared" si="194"/>
        <v>0.18210341477328437</v>
      </c>
      <c r="Z244" s="90">
        <f t="shared" si="194"/>
        <v>0.16933888031910749</v>
      </c>
      <c r="AA244" s="90">
        <f t="shared" si="194"/>
        <v>0.17423609418700461</v>
      </c>
      <c r="AB244" s="90">
        <f t="shared" si="194"/>
        <v>0.17434944374997696</v>
      </c>
      <c r="AC244" s="90">
        <f t="shared" si="194"/>
        <v>0.17458846927782656</v>
      </c>
      <c r="AD244" s="90">
        <f t="shared" si="194"/>
        <v>0.17100294238001518</v>
      </c>
      <c r="AE244" s="90">
        <f t="shared" si="194"/>
        <v>0.17847504923988322</v>
      </c>
      <c r="AF244" s="90">
        <f t="shared" si="194"/>
        <v>0.16620801374007066</v>
      </c>
      <c r="AG244" s="90">
        <f t="shared" si="194"/>
        <v>0.18435361290717134</v>
      </c>
      <c r="AH244" s="90">
        <f t="shared" si="194"/>
        <v>0.17811565011635411</v>
      </c>
      <c r="AI244" s="90">
        <f t="shared" si="193"/>
        <v>0.17451352660296365</v>
      </c>
      <c r="AJ244" s="90">
        <f t="shared" si="193"/>
        <v>0.17746060321548393</v>
      </c>
      <c r="AK244" s="90">
        <f t="shared" si="193"/>
        <v>0.18372810976710596</v>
      </c>
      <c r="AL244" s="90">
        <f t="shared" si="193"/>
        <v>0.18394607057512782</v>
      </c>
      <c r="AM244" s="90">
        <f t="shared" si="193"/>
        <v>0.18852661425740966</v>
      </c>
      <c r="AN244" s="90">
        <f t="shared" si="193"/>
        <v>0.18978560762050117</v>
      </c>
      <c r="AO244" s="90">
        <f t="shared" si="193"/>
        <v>0.18990394127907154</v>
      </c>
      <c r="AP244" s="90">
        <f t="shared" si="193"/>
        <v>0.19093145201076922</v>
      </c>
      <c r="AQ244" s="90">
        <f t="shared" si="193"/>
        <v>0.18996660046901828</v>
      </c>
      <c r="AR244" s="90">
        <f t="shared" si="193"/>
        <v>0.19018095518103567</v>
      </c>
      <c r="AS244" s="90">
        <f t="shared" si="193"/>
        <v>0.19447318438716396</v>
      </c>
      <c r="AT244" s="90">
        <f t="shared" si="193"/>
        <v>0.19000914843497807</v>
      </c>
      <c r="AU244" s="90">
        <f t="shared" si="193"/>
        <v>0.19155494291266667</v>
      </c>
      <c r="AV244" s="90">
        <f t="shared" si="193"/>
        <v>0.1931168045468187</v>
      </c>
      <c r="AW244" s="90">
        <f t="shared" si="193"/>
        <v>0.19168651856991947</v>
      </c>
      <c r="AX244" s="90">
        <f t="shared" si="193"/>
        <v>0.190643503460319</v>
      </c>
      <c r="AY244" s="90">
        <f t="shared" si="193"/>
        <v>0.19003920528643939</v>
      </c>
      <c r="AZ244" s="90">
        <f t="shared" si="193"/>
        <v>0.18597863434329007</v>
      </c>
      <c r="BA244" s="90">
        <f t="shared" si="193"/>
        <v>0.19574465147001624</v>
      </c>
      <c r="BB244" s="90">
        <f t="shared" si="193"/>
        <v>0.19501423354603092</v>
      </c>
      <c r="BC244" s="90">
        <f t="shared" si="193"/>
        <v>0.19361730118474232</v>
      </c>
      <c r="BD244" s="90">
        <f t="shared" si="193"/>
        <v>0.19822155716429121</v>
      </c>
      <c r="BE244" s="90">
        <f t="shared" si="193"/>
        <v>0.19375691821325972</v>
      </c>
      <c r="BF244" s="90">
        <f t="shared" si="193"/>
        <v>0.19907627355384749</v>
      </c>
      <c r="BG244" s="90">
        <f t="shared" si="193"/>
        <v>0.19640799707371823</v>
      </c>
      <c r="BH244" s="90">
        <f t="shared" si="193"/>
        <v>0.19496800294108751</v>
      </c>
      <c r="BI244" s="90">
        <f t="shared" si="193"/>
        <v>0.196130634844564</v>
      </c>
      <c r="BJ244" s="91">
        <f t="shared" si="190"/>
        <v>0.20253251905969902</v>
      </c>
      <c r="BK244" s="91">
        <f t="shared" si="191"/>
        <v>0.20183554495312325</v>
      </c>
      <c r="BL244" s="91">
        <f t="shared" si="192"/>
        <v>0.2032049684907099</v>
      </c>
      <c r="BM244" s="91">
        <f t="shared" si="192"/>
        <v>0.20412472562380188</v>
      </c>
      <c r="BN244" s="91">
        <f t="shared" si="192"/>
        <v>0.20616623295246209</v>
      </c>
      <c r="BO244" s="91">
        <f t="shared" si="192"/>
        <v>0.20852434416784407</v>
      </c>
      <c r="BP244" s="91">
        <f t="shared" si="192"/>
        <v>0.20928740439140361</v>
      </c>
      <c r="BQ244" s="91">
        <f t="shared" si="192"/>
        <v>0.21049864235565796</v>
      </c>
      <c r="BR244" s="91">
        <f t="shared" si="192"/>
        <v>0.21227176758136937</v>
      </c>
      <c r="BS244" s="91">
        <f t="shared" si="192"/>
        <v>0.21399266050390328</v>
      </c>
      <c r="BT244" s="91">
        <f t="shared" si="192"/>
        <v>0.21543679697163529</v>
      </c>
      <c r="BU244" s="91">
        <f t="shared" si="192"/>
        <v>0.21668593810947698</v>
      </c>
    </row>
    <row r="245" spans="1:73">
      <c r="A245" s="4" t="s">
        <v>111</v>
      </c>
      <c r="B245" s="88"/>
      <c r="C245" s="89">
        <f t="shared" si="194"/>
        <v>0.16565599534818345</v>
      </c>
      <c r="D245" s="89">
        <f t="shared" si="194"/>
        <v>0.19878719441782017</v>
      </c>
      <c r="E245" s="89">
        <f t="shared" si="194"/>
        <v>0.19878719441782017</v>
      </c>
      <c r="F245" s="89">
        <f t="shared" si="194"/>
        <v>0.18071563128892743</v>
      </c>
      <c r="G245" s="89">
        <f t="shared" si="194"/>
        <v>0.19878719441782014</v>
      </c>
      <c r="H245" s="89">
        <f t="shared" si="194"/>
        <v>0.18932113754078109</v>
      </c>
      <c r="I245" s="89">
        <f t="shared" si="194"/>
        <v>0.16565599534818345</v>
      </c>
      <c r="J245" s="89">
        <f t="shared" si="194"/>
        <v>0.17285842992853925</v>
      </c>
      <c r="K245" s="89">
        <f t="shared" si="194"/>
        <v>0.14781611892607141</v>
      </c>
      <c r="L245" s="89">
        <f t="shared" si="194"/>
        <v>0.16624551846330157</v>
      </c>
      <c r="M245" s="90">
        <f t="shared" si="194"/>
        <v>0.17017483883571011</v>
      </c>
      <c r="N245" s="90">
        <f t="shared" si="194"/>
        <v>0.15112581505155301</v>
      </c>
      <c r="O245" s="90">
        <f t="shared" si="194"/>
        <v>0.16293073033047159</v>
      </c>
      <c r="P245" s="90">
        <f t="shared" si="194"/>
        <v>0.16685951030158255</v>
      </c>
      <c r="Q245" s="90">
        <f t="shared" si="194"/>
        <v>0.16703608070744694</v>
      </c>
      <c r="R245" s="90">
        <f t="shared" si="194"/>
        <v>0.1678419153820925</v>
      </c>
      <c r="S245" s="90">
        <f t="shared" si="194"/>
        <v>0.17595845425385676</v>
      </c>
      <c r="T245" s="90">
        <f t="shared" si="194"/>
        <v>0.16331106295895026</v>
      </c>
      <c r="U245" s="90">
        <f t="shared" si="194"/>
        <v>0.16439317126081729</v>
      </c>
      <c r="V245" s="90">
        <f t="shared" si="194"/>
        <v>0.16805194912762406</v>
      </c>
      <c r="W245" s="90">
        <f t="shared" si="194"/>
        <v>0.17565796803132142</v>
      </c>
      <c r="X245" s="90">
        <f t="shared" si="194"/>
        <v>0.17679043689833918</v>
      </c>
      <c r="Y245" s="90">
        <f t="shared" si="194"/>
        <v>0.18232621535665608</v>
      </c>
      <c r="Z245" s="90">
        <f t="shared" si="194"/>
        <v>0.17161725925252341</v>
      </c>
      <c r="AA245" s="90">
        <f t="shared" si="194"/>
        <v>0.17631411498476215</v>
      </c>
      <c r="AB245" s="90">
        <f t="shared" si="194"/>
        <v>0.15978202351133231</v>
      </c>
      <c r="AC245" s="90">
        <f t="shared" si="194"/>
        <v>0.1767610904218371</v>
      </c>
      <c r="AD245" s="90">
        <f t="shared" si="194"/>
        <v>0.16863318922514134</v>
      </c>
      <c r="AE245" s="90">
        <f t="shared" si="194"/>
        <v>0.181627407290887</v>
      </c>
      <c r="AF245" s="90">
        <f t="shared" si="194"/>
        <v>0.17132034838493612</v>
      </c>
      <c r="AG245" s="90">
        <f t="shared" si="194"/>
        <v>0.18094164492097187</v>
      </c>
      <c r="AH245" s="90">
        <f t="shared" si="194"/>
        <v>0.17894342009869921</v>
      </c>
      <c r="AI245" s="90">
        <f t="shared" si="193"/>
        <v>0.17686044828382178</v>
      </c>
      <c r="AJ245" s="90">
        <f t="shared" si="193"/>
        <v>0.17831231299841768</v>
      </c>
      <c r="AK245" s="90">
        <f t="shared" si="193"/>
        <v>0.18265328985038215</v>
      </c>
      <c r="AL245" s="90">
        <f t="shared" si="193"/>
        <v>0.18179030930454812</v>
      </c>
      <c r="AM245" s="90">
        <f t="shared" si="193"/>
        <v>0.18562936176837921</v>
      </c>
      <c r="AN245" s="90">
        <f t="shared" si="193"/>
        <v>0.18936952022828099</v>
      </c>
      <c r="AO245" s="90">
        <f t="shared" si="193"/>
        <v>0.19264478595590809</v>
      </c>
      <c r="AP245" s="90">
        <f t="shared" si="193"/>
        <v>0.19007231368226427</v>
      </c>
      <c r="AQ245" s="90">
        <f t="shared" si="193"/>
        <v>0.19219381770621632</v>
      </c>
      <c r="AR245" s="90">
        <f t="shared" si="193"/>
        <v>0.19103319454712064</v>
      </c>
      <c r="AS245" s="90">
        <f t="shared" si="193"/>
        <v>0.19406771253405741</v>
      </c>
      <c r="AT245" s="90">
        <f t="shared" si="193"/>
        <v>0.18769847324947672</v>
      </c>
      <c r="AU245" s="90">
        <f t="shared" si="193"/>
        <v>0.19176802148551095</v>
      </c>
      <c r="AV245" s="90">
        <f t="shared" si="193"/>
        <v>0.19162993338000717</v>
      </c>
      <c r="AW245" s="90">
        <f t="shared" si="193"/>
        <v>0.19217615090091381</v>
      </c>
      <c r="AX245" s="90">
        <f t="shared" si="193"/>
        <v>0.19184861549526841</v>
      </c>
      <c r="AY245" s="90">
        <f t="shared" si="193"/>
        <v>0.19070309688121059</v>
      </c>
      <c r="AZ245" s="90">
        <f t="shared" si="193"/>
        <v>0.18899081091017281</v>
      </c>
      <c r="BA245" s="90">
        <f t="shared" si="193"/>
        <v>0.19520595063125001</v>
      </c>
      <c r="BB245" s="90">
        <f t="shared" si="193"/>
        <v>0.19232001633747245</v>
      </c>
      <c r="BC245" s="90">
        <f t="shared" si="193"/>
        <v>0.19599755775197047</v>
      </c>
      <c r="BD245" s="90">
        <f t="shared" si="193"/>
        <v>0.1992260117260117</v>
      </c>
      <c r="BE245" s="90">
        <f t="shared" si="193"/>
        <v>0.19428272423079318</v>
      </c>
      <c r="BF245" s="90">
        <f t="shared" si="193"/>
        <v>0.20019077260102056</v>
      </c>
      <c r="BG245" s="90">
        <f t="shared" si="193"/>
        <v>0.19633923225397221</v>
      </c>
      <c r="BH245" s="90">
        <f t="shared" si="193"/>
        <v>0.19419138975754141</v>
      </c>
      <c r="BI245" s="90">
        <f t="shared" si="193"/>
        <v>0.19731978620945123</v>
      </c>
      <c r="BJ245" s="91">
        <f t="shared" si="190"/>
        <v>0.20261598940359238</v>
      </c>
      <c r="BK245" s="91">
        <f t="shared" si="191"/>
        <v>0.20198058089807222</v>
      </c>
      <c r="BL245" s="91">
        <f t="shared" si="192"/>
        <v>0.20394993035481468</v>
      </c>
      <c r="BM245" s="91">
        <f t="shared" si="192"/>
        <v>0.20454653312049853</v>
      </c>
      <c r="BN245" s="91">
        <f t="shared" si="192"/>
        <v>0.20663878550370529</v>
      </c>
      <c r="BO245" s="91">
        <f t="shared" si="192"/>
        <v>0.20884883355215977</v>
      </c>
      <c r="BP245" s="91">
        <f t="shared" si="192"/>
        <v>0.20970415095963515</v>
      </c>
      <c r="BQ245" s="91">
        <f t="shared" si="192"/>
        <v>0.21104508299300617</v>
      </c>
      <c r="BR245" s="91">
        <f t="shared" si="192"/>
        <v>0.21267805072545456</v>
      </c>
      <c r="BS245" s="91">
        <f t="shared" si="192"/>
        <v>0.21439725667183343</v>
      </c>
      <c r="BT245" s="91">
        <f t="shared" si="192"/>
        <v>0.21586602250160036</v>
      </c>
      <c r="BU245" s="91">
        <f t="shared" si="192"/>
        <v>0.217142428226032</v>
      </c>
    </row>
    <row r="246" spans="1:73">
      <c r="A246" s="4" t="s">
        <v>112</v>
      </c>
      <c r="B246" s="88"/>
      <c r="C246" s="89">
        <f t="shared" si="194"/>
        <v>0.16522038098453176</v>
      </c>
      <c r="D246" s="89">
        <f t="shared" si="194"/>
        <v>0.19826445718143812</v>
      </c>
      <c r="E246" s="89">
        <f t="shared" si="194"/>
        <v>0.19826445718143812</v>
      </c>
      <c r="F246" s="89">
        <f t="shared" si="194"/>
        <v>0.1802404156194892</v>
      </c>
      <c r="G246" s="89">
        <f t="shared" si="194"/>
        <v>0.19826445718143812</v>
      </c>
      <c r="H246" s="89">
        <f t="shared" si="194"/>
        <v>0.1888232925537506</v>
      </c>
      <c r="I246" s="89">
        <f t="shared" si="194"/>
        <v>0.16522038098453176</v>
      </c>
      <c r="J246" s="89">
        <f t="shared" si="194"/>
        <v>0.17240387580994621</v>
      </c>
      <c r="K246" s="89">
        <f t="shared" si="194"/>
        <v>0.14742741687850527</v>
      </c>
      <c r="L246" s="89">
        <f t="shared" si="194"/>
        <v>0.16580835387059775</v>
      </c>
      <c r="M246" s="90">
        <f t="shared" si="194"/>
        <v>0.16247506196723294</v>
      </c>
      <c r="N246" s="90">
        <f t="shared" si="194"/>
        <v>0.1586283718689788</v>
      </c>
      <c r="O246" s="90">
        <f t="shared" si="194"/>
        <v>0.16432958987404603</v>
      </c>
      <c r="P246" s="90">
        <f t="shared" si="194"/>
        <v>0.16760463001646556</v>
      </c>
      <c r="Q246" s="90">
        <f t="shared" si="194"/>
        <v>0.16907636159460976</v>
      </c>
      <c r="R246" s="90">
        <f t="shared" si="194"/>
        <v>0.16323001197286152</v>
      </c>
      <c r="S246" s="90">
        <f t="shared" si="194"/>
        <v>0.17091239631860014</v>
      </c>
      <c r="T246" s="90">
        <f t="shared" si="194"/>
        <v>0.16849730941119756</v>
      </c>
      <c r="U246" s="90">
        <f t="shared" si="194"/>
        <v>0.16276408742661935</v>
      </c>
      <c r="V246" s="90">
        <f t="shared" si="194"/>
        <v>0.16677048172995176</v>
      </c>
      <c r="W246" s="90">
        <f t="shared" si="194"/>
        <v>0.16951767665005354</v>
      </c>
      <c r="X246" s="90">
        <f t="shared" si="194"/>
        <v>0.16284840644478418</v>
      </c>
      <c r="Y246" s="90">
        <f t="shared" si="194"/>
        <v>0.186507661374194</v>
      </c>
      <c r="Z246" s="90">
        <f t="shared" si="194"/>
        <v>0.17996807459396458</v>
      </c>
      <c r="AA246" s="90">
        <f t="shared" si="194"/>
        <v>0.17400209157412685</v>
      </c>
      <c r="AB246" s="90">
        <f t="shared" si="194"/>
        <v>0.17200402486725497</v>
      </c>
      <c r="AC246" s="90">
        <f t="shared" si="194"/>
        <v>0.17779118299204383</v>
      </c>
      <c r="AD246" s="90">
        <f t="shared" si="194"/>
        <v>0.17235227114231252</v>
      </c>
      <c r="AE246" s="90">
        <f t="shared" si="194"/>
        <v>0.18066054541029233</v>
      </c>
      <c r="AF246" s="90">
        <f t="shared" si="194"/>
        <v>0.16940009785258794</v>
      </c>
      <c r="AG246" s="90">
        <f t="shared" si="194"/>
        <v>0.18139189362855879</v>
      </c>
      <c r="AH246" s="90">
        <f t="shared" si="194"/>
        <v>0.17896999303776076</v>
      </c>
      <c r="AI246" s="90">
        <f t="shared" si="193"/>
        <v>0.18162100394798833</v>
      </c>
      <c r="AJ246" s="90">
        <f t="shared" si="193"/>
        <v>0.17999405613719985</v>
      </c>
      <c r="AK246" s="90">
        <f t="shared" si="193"/>
        <v>0.18624839288841558</v>
      </c>
      <c r="AL246" s="90">
        <f t="shared" si="193"/>
        <v>0.18434540434777114</v>
      </c>
      <c r="AM246" s="90">
        <f t="shared" si="193"/>
        <v>0.19057804491601052</v>
      </c>
      <c r="AN246" s="90">
        <f t="shared" si="193"/>
        <v>0.18779211385021791</v>
      </c>
      <c r="AO246" s="90">
        <f t="shared" si="193"/>
        <v>0.19733785827952424</v>
      </c>
      <c r="AP246" s="90">
        <f t="shared" si="193"/>
        <v>0.1935485044057132</v>
      </c>
      <c r="AQ246" s="90">
        <f t="shared" si="193"/>
        <v>0.19091843950253962</v>
      </c>
      <c r="AR246" s="90">
        <f t="shared" si="193"/>
        <v>0.1935496316502652</v>
      </c>
      <c r="AS246" s="90">
        <f t="shared" si="193"/>
        <v>0.1914982554762783</v>
      </c>
      <c r="AT246" s="90">
        <f t="shared" si="193"/>
        <v>0.19427361658354778</v>
      </c>
      <c r="AU246" s="90">
        <f t="shared" si="193"/>
        <v>0.19237191615352053</v>
      </c>
      <c r="AV246" s="90">
        <f t="shared" si="193"/>
        <v>0.19281762900717017</v>
      </c>
      <c r="AW246" s="90">
        <f t="shared" si="193"/>
        <v>0.19350445345124553</v>
      </c>
      <c r="AX246" s="90">
        <f t="shared" si="193"/>
        <v>0.19309579865525361</v>
      </c>
      <c r="AY246" s="90">
        <f t="shared" si="193"/>
        <v>0.19309610174764946</v>
      </c>
      <c r="AZ246" s="90">
        <f t="shared" si="193"/>
        <v>0.19186616169167794</v>
      </c>
      <c r="BA246" s="90">
        <f t="shared" si="193"/>
        <v>0.19711049594980978</v>
      </c>
      <c r="BB246" s="90">
        <f t="shared" si="193"/>
        <v>0.19454809468676293</v>
      </c>
      <c r="BC246" s="90">
        <f t="shared" si="193"/>
        <v>0.19862922527130261</v>
      </c>
      <c r="BD246" s="90">
        <f t="shared" si="193"/>
        <v>0.20239213360027025</v>
      </c>
      <c r="BE246" s="90">
        <f t="shared" si="193"/>
        <v>0.20093724045341291</v>
      </c>
      <c r="BF246" s="90">
        <f t="shared" si="193"/>
        <v>0.20076096549153122</v>
      </c>
      <c r="BG246" s="90">
        <f t="shared" si="193"/>
        <v>0.19643601912529576</v>
      </c>
      <c r="BH246" s="90">
        <f t="shared" si="193"/>
        <v>0.19608795796444253</v>
      </c>
      <c r="BI246" s="91">
        <f>(SUM(BC246:BG246)-MIN(BC246:BG246)-MAX(BC246:BG246))/3+0.001+0.003+0.002</f>
        <v>0.20610914373874892</v>
      </c>
      <c r="BJ246" s="91">
        <f t="shared" si="190"/>
        <v>0.20537807502341332</v>
      </c>
      <c r="BK246" s="91">
        <f t="shared" si="191"/>
        <v>0.20537807502341329</v>
      </c>
      <c r="BL246" s="91">
        <f t="shared" si="192"/>
        <v>0.20685835321341342</v>
      </c>
      <c r="BM246" s="91">
        <f t="shared" si="192"/>
        <v>0.20839738972404079</v>
      </c>
      <c r="BN246" s="91">
        <f t="shared" si="192"/>
        <v>0.21162176459519189</v>
      </c>
      <c r="BO246" s="91">
        <f t="shared" si="192"/>
        <v>0.21211519065852524</v>
      </c>
      <c r="BP246" s="91">
        <f t="shared" si="192"/>
        <v>0.21287793932028917</v>
      </c>
      <c r="BQ246" s="91">
        <f t="shared" si="192"/>
        <v>0.21495916917754868</v>
      </c>
      <c r="BR246" s="91">
        <f t="shared" si="192"/>
        <v>0.21671144832591926</v>
      </c>
      <c r="BS246" s="91">
        <f t="shared" si="192"/>
        <v>0.21820496485800212</v>
      </c>
      <c r="BT246" s="91">
        <f t="shared" si="192"/>
        <v>0.21931743305212101</v>
      </c>
      <c r="BU246" s="91">
        <f t="shared" si="192"/>
        <v>0.22084951894125238</v>
      </c>
    </row>
    <row r="247" spans="1:73" ht="15.75" thickBot="1">
      <c r="A247" s="4" t="s">
        <v>138</v>
      </c>
      <c r="B247" s="88"/>
      <c r="C247" s="88">
        <f t="shared" si="194"/>
        <v>0.16666666666666666</v>
      </c>
      <c r="D247" s="88">
        <f t="shared" si="194"/>
        <v>0.2</v>
      </c>
      <c r="E247" s="88">
        <f t="shared" si="194"/>
        <v>0.2</v>
      </c>
      <c r="F247" s="88">
        <f t="shared" si="194"/>
        <v>0.18181818181818182</v>
      </c>
      <c r="G247" s="88">
        <f t="shared" si="194"/>
        <v>0.2</v>
      </c>
      <c r="H247" s="88">
        <f t="shared" si="194"/>
        <v>0.19047619047619047</v>
      </c>
      <c r="I247" s="88">
        <f t="shared" si="194"/>
        <v>0.16666666666666666</v>
      </c>
      <c r="J247" s="88">
        <f t="shared" si="194"/>
        <v>0.17391304347826086</v>
      </c>
      <c r="K247" s="88">
        <f t="shared" si="194"/>
        <v>0.14871794871794872</v>
      </c>
      <c r="L247" s="88">
        <f t="shared" si="194"/>
        <v>0.16725978647686832</v>
      </c>
      <c r="M247" s="88">
        <f t="shared" si="194"/>
        <v>0.17424537395807738</v>
      </c>
      <c r="N247" s="88">
        <f t="shared" si="194"/>
        <v>0.16281753099917495</v>
      </c>
      <c r="O247" s="88">
        <f t="shared" si="194"/>
        <v>0.16388105352591328</v>
      </c>
      <c r="P247" s="88">
        <f t="shared" si="194"/>
        <v>0.16098984597765797</v>
      </c>
      <c r="Q247" s="88">
        <f t="shared" si="194"/>
        <v>0.16640360872652268</v>
      </c>
      <c r="R247" s="88">
        <f t="shared" si="194"/>
        <v>0.1684240053435315</v>
      </c>
      <c r="S247" s="88">
        <f t="shared" si="194"/>
        <v>0.1666282389758853</v>
      </c>
      <c r="T247" s="88">
        <f t="shared" si="194"/>
        <v>0.16024871104915442</v>
      </c>
      <c r="U247" s="88">
        <f t="shared" si="194"/>
        <v>0.16392676532395867</v>
      </c>
      <c r="V247" s="88">
        <f t="shared" si="194"/>
        <v>0.16369703176484859</v>
      </c>
      <c r="W247" s="88">
        <f t="shared" si="194"/>
        <v>0.16814952811366105</v>
      </c>
      <c r="X247" s="88">
        <f t="shared" si="194"/>
        <v>0.1682876414799202</v>
      </c>
      <c r="Y247" s="88">
        <f t="shared" si="194"/>
        <v>0.17160909090543236</v>
      </c>
      <c r="Z247" s="88">
        <f t="shared" si="194"/>
        <v>0.17213710692816572</v>
      </c>
      <c r="AA247" s="88">
        <f t="shared" si="194"/>
        <v>0.17186956145815552</v>
      </c>
      <c r="AB247" s="88">
        <f t="shared" si="194"/>
        <v>0.17144735418821802</v>
      </c>
      <c r="AC247" s="88">
        <f t="shared" si="194"/>
        <v>0.17101105663504984</v>
      </c>
      <c r="AD247" s="88">
        <f t="shared" si="194"/>
        <v>0.1698110183649354</v>
      </c>
      <c r="AE247" s="90">
        <f t="shared" si="194"/>
        <v>0.17832513374931389</v>
      </c>
      <c r="AF247" s="90">
        <f t="shared" si="194"/>
        <v>0.1711006095141854</v>
      </c>
      <c r="AG247" s="90">
        <f t="shared" si="194"/>
        <v>0.17796098912743383</v>
      </c>
      <c r="AH247" s="90">
        <f t="shared" ref="AH247" si="195">AH231/AH88</f>
        <v>0.17675390743234204</v>
      </c>
      <c r="AI247" s="90">
        <f t="shared" si="193"/>
        <v>0.17830966033509549</v>
      </c>
      <c r="AJ247" s="90">
        <f t="shared" si="193"/>
        <v>0.17637259835418106</v>
      </c>
      <c r="AK247" s="90">
        <f t="shared" si="193"/>
        <v>0.18222991794832111</v>
      </c>
      <c r="AL247" s="90">
        <f t="shared" si="193"/>
        <v>0.18269534525316078</v>
      </c>
      <c r="AM247" s="90">
        <f t="shared" si="193"/>
        <v>0.1861108167657026</v>
      </c>
      <c r="AN247" s="90">
        <f t="shared" si="193"/>
        <v>0.18595619733367499</v>
      </c>
      <c r="AO247" s="90">
        <f t="shared" si="193"/>
        <v>0.18829663556257636</v>
      </c>
      <c r="AP247" s="90">
        <f t="shared" si="193"/>
        <v>0.18841626195852193</v>
      </c>
      <c r="AQ247" s="90">
        <f t="shared" si="193"/>
        <v>0.18803750886112214</v>
      </c>
      <c r="AR247" s="90">
        <f t="shared" si="193"/>
        <v>0.18837454851623478</v>
      </c>
      <c r="AS247" s="90">
        <f t="shared" si="193"/>
        <v>0.19234403969267891</v>
      </c>
      <c r="AT247" s="90">
        <f t="shared" si="193"/>
        <v>0.18936145167853097</v>
      </c>
      <c r="AU247" s="90">
        <f t="shared" si="193"/>
        <v>0.19079625791551563</v>
      </c>
      <c r="AV247" s="90">
        <f t="shared" si="193"/>
        <v>0.19032063129829518</v>
      </c>
      <c r="AW247" s="90">
        <f t="shared" si="193"/>
        <v>0.1904974077510759</v>
      </c>
      <c r="AX247" s="90">
        <f t="shared" si="193"/>
        <v>0.19035355966338877</v>
      </c>
      <c r="AY247" s="90">
        <f t="shared" si="193"/>
        <v>0.18897713298753918</v>
      </c>
      <c r="AZ247" s="90">
        <f t="shared" si="193"/>
        <v>0.18677264525823553</v>
      </c>
      <c r="BA247" s="90">
        <f t="shared" si="193"/>
        <v>0.194089185256202</v>
      </c>
      <c r="BB247" s="90">
        <f t="shared" si="193"/>
        <v>0.194502834108359</v>
      </c>
      <c r="BC247" s="90">
        <f t="shared" si="193"/>
        <v>0.19324692156332807</v>
      </c>
      <c r="BD247" s="90">
        <f t="shared" si="193"/>
        <v>0.19803191195322589</v>
      </c>
      <c r="BE247" s="90">
        <f t="shared" si="193"/>
        <v>0.1952590089614358</v>
      </c>
      <c r="BF247" s="90">
        <f t="shared" si="193"/>
        <v>0.19898061610067305</v>
      </c>
      <c r="BG247" s="90">
        <f t="shared" si="193"/>
        <v>0.19688979936494075</v>
      </c>
      <c r="BH247" s="90">
        <f t="shared" si="193"/>
        <v>0.19326766853641378</v>
      </c>
      <c r="BI247" s="91">
        <f t="shared" si="193"/>
        <v>0.17490658818711655</v>
      </c>
      <c r="BJ247" s="91">
        <f t="shared" ref="BJ247:BU247" si="196">BJ231/BJ88</f>
        <v>0.20258878136085173</v>
      </c>
      <c r="BK247" s="91">
        <f t="shared" si="196"/>
        <v>0.20185626582966459</v>
      </c>
      <c r="BL247" s="91">
        <f t="shared" si="196"/>
        <v>0.20312993362292356</v>
      </c>
      <c r="BM247" s="91">
        <f t="shared" si="196"/>
        <v>0.20419215933766513</v>
      </c>
      <c r="BN247" s="91">
        <f t="shared" si="196"/>
        <v>0.20613875889867309</v>
      </c>
      <c r="BO247" s="91">
        <f t="shared" si="196"/>
        <v>0.20852154925877314</v>
      </c>
      <c r="BP247" s="91">
        <f t="shared" si="196"/>
        <v>0.20934850028448168</v>
      </c>
      <c r="BQ247" s="91">
        <f t="shared" si="196"/>
        <v>0.21048601576225812</v>
      </c>
      <c r="BR247" s="91">
        <f t="shared" si="196"/>
        <v>0.21228327858154997</v>
      </c>
      <c r="BS247" s="91">
        <f t="shared" si="196"/>
        <v>0.21399492270540768</v>
      </c>
      <c r="BT247" s="91">
        <f t="shared" si="196"/>
        <v>0.21544691739784932</v>
      </c>
      <c r="BU247" s="91">
        <f t="shared" si="196"/>
        <v>0.21669613294072593</v>
      </c>
    </row>
    <row r="248" spans="1:73">
      <c r="A248" s="60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1:73" ht="15.75" thickBot="1">
      <c r="A249" s="53" t="s">
        <v>148</v>
      </c>
    </row>
    <row r="250" spans="1:73" s="4" customFormat="1" ht="15.75" thickBot="1">
      <c r="A250" s="54"/>
      <c r="B250" s="63" t="s">
        <v>1</v>
      </c>
      <c r="C250" s="63" t="s">
        <v>2</v>
      </c>
      <c r="D250" s="63" t="s">
        <v>3</v>
      </c>
      <c r="E250" s="63" t="s">
        <v>4</v>
      </c>
      <c r="F250" s="63" t="s">
        <v>5</v>
      </c>
      <c r="G250" s="63" t="s">
        <v>6</v>
      </c>
      <c r="H250" s="63" t="s">
        <v>7</v>
      </c>
      <c r="I250" s="63" t="s">
        <v>8</v>
      </c>
      <c r="J250" s="63" t="s">
        <v>9</v>
      </c>
      <c r="K250" s="63" t="s">
        <v>10</v>
      </c>
      <c r="L250" s="63" t="s">
        <v>11</v>
      </c>
      <c r="M250" s="55" t="s">
        <v>12</v>
      </c>
      <c r="N250" s="55" t="s">
        <v>13</v>
      </c>
      <c r="O250" s="55" t="s">
        <v>14</v>
      </c>
      <c r="P250" s="55" t="s">
        <v>15</v>
      </c>
      <c r="Q250" s="55" t="s">
        <v>16</v>
      </c>
      <c r="R250" s="55" t="s">
        <v>17</v>
      </c>
      <c r="S250" s="55" t="s">
        <v>18</v>
      </c>
      <c r="T250" s="55" t="s">
        <v>19</v>
      </c>
      <c r="U250" s="55" t="s">
        <v>20</v>
      </c>
      <c r="V250" s="55" t="s">
        <v>21</v>
      </c>
      <c r="W250" s="55" t="s">
        <v>22</v>
      </c>
      <c r="X250" s="55" t="s">
        <v>23</v>
      </c>
      <c r="Y250" s="55" t="s">
        <v>24</v>
      </c>
      <c r="Z250" s="55" t="s">
        <v>25</v>
      </c>
      <c r="AA250" s="55" t="s">
        <v>26</v>
      </c>
      <c r="AB250" s="55" t="s">
        <v>27</v>
      </c>
      <c r="AC250" s="55" t="s">
        <v>28</v>
      </c>
      <c r="AD250" s="55" t="s">
        <v>29</v>
      </c>
      <c r="AE250" s="55" t="s">
        <v>30</v>
      </c>
      <c r="AF250" s="55" t="s">
        <v>31</v>
      </c>
      <c r="AG250" s="55" t="s">
        <v>32</v>
      </c>
      <c r="AH250" s="55" t="s">
        <v>33</v>
      </c>
      <c r="AI250" s="55" t="s">
        <v>34</v>
      </c>
      <c r="AJ250" s="55" t="s">
        <v>35</v>
      </c>
      <c r="AK250" s="55" t="s">
        <v>36</v>
      </c>
      <c r="AL250" s="55" t="s">
        <v>37</v>
      </c>
      <c r="AM250" s="55" t="s">
        <v>38</v>
      </c>
      <c r="AN250" s="55" t="s">
        <v>39</v>
      </c>
      <c r="AO250" s="55" t="s">
        <v>40</v>
      </c>
      <c r="AP250" s="55" t="s">
        <v>41</v>
      </c>
      <c r="AQ250" s="55" t="s">
        <v>42</v>
      </c>
      <c r="AR250" s="55" t="s">
        <v>43</v>
      </c>
      <c r="AS250" s="55" t="s">
        <v>44</v>
      </c>
      <c r="AT250" s="55" t="s">
        <v>45</v>
      </c>
      <c r="AU250" s="55" t="s">
        <v>46</v>
      </c>
      <c r="AV250" s="55" t="s">
        <v>47</v>
      </c>
      <c r="AW250" s="55" t="s">
        <v>48</v>
      </c>
      <c r="AX250" s="55" t="s">
        <v>49</v>
      </c>
      <c r="AY250" s="55" t="s">
        <v>50</v>
      </c>
      <c r="AZ250" s="55" t="s">
        <v>51</v>
      </c>
      <c r="BA250" s="55" t="s">
        <v>52</v>
      </c>
      <c r="BB250" s="55" t="s">
        <v>53</v>
      </c>
      <c r="BC250" s="55" t="s">
        <v>54</v>
      </c>
      <c r="BD250" s="55" t="s">
        <v>55</v>
      </c>
      <c r="BE250" s="55" t="s">
        <v>56</v>
      </c>
      <c r="BF250" s="55" t="s">
        <v>57</v>
      </c>
      <c r="BG250" s="55" t="str">
        <f t="shared" ref="BG250:BU250" si="197">BH2</f>
        <v>22/23</v>
      </c>
      <c r="BH250" s="55" t="str">
        <f t="shared" si="197"/>
        <v>23/24</v>
      </c>
      <c r="BI250" s="55" t="str">
        <f t="shared" si="197"/>
        <v>24/25</v>
      </c>
      <c r="BJ250" s="55" t="str">
        <f t="shared" si="197"/>
        <v>25/26</v>
      </c>
      <c r="BK250" s="55" t="str">
        <f t="shared" si="197"/>
        <v>26/27</v>
      </c>
      <c r="BL250" s="55" t="str">
        <f t="shared" si="197"/>
        <v>27/28</v>
      </c>
      <c r="BM250" s="55" t="str">
        <f t="shared" si="197"/>
        <v>28/29</v>
      </c>
      <c r="BN250" s="55" t="str">
        <f t="shared" si="197"/>
        <v>29/30</v>
      </c>
      <c r="BO250" s="55" t="str">
        <f t="shared" si="197"/>
        <v>30/31</v>
      </c>
      <c r="BP250" s="55" t="str">
        <f t="shared" si="197"/>
        <v>31/32</v>
      </c>
      <c r="BQ250" s="55" t="str">
        <f t="shared" si="197"/>
        <v>32/33</v>
      </c>
      <c r="BR250" s="55" t="str">
        <f t="shared" si="197"/>
        <v>33/34</v>
      </c>
      <c r="BS250" s="55" t="str">
        <f t="shared" si="197"/>
        <v>34/35</v>
      </c>
      <c r="BT250" s="55" t="str">
        <f t="shared" si="197"/>
        <v>34/35</v>
      </c>
      <c r="BU250" s="55">
        <f t="shared" si="197"/>
        <v>0</v>
      </c>
    </row>
    <row r="251" spans="1:73" s="88" customFormat="1" ht="14.25">
      <c r="A251" s="4" t="s">
        <v>100</v>
      </c>
      <c r="C251" s="89">
        <f t="shared" ref="C251:BN254" si="198">C235+C124</f>
        <v>1.0898761120671754</v>
      </c>
      <c r="D251" s="89">
        <f t="shared" si="198"/>
        <v>1.0902498442330053</v>
      </c>
      <c r="E251" s="89">
        <f t="shared" si="198"/>
        <v>1.0902498442330053</v>
      </c>
      <c r="F251" s="89">
        <f t="shared" si="198"/>
        <v>0.99289771999523113</v>
      </c>
      <c r="G251" s="89">
        <f t="shared" si="198"/>
        <v>1.0902261396316755</v>
      </c>
      <c r="H251" s="89">
        <f t="shared" si="198"/>
        <v>1.0392253970496039</v>
      </c>
      <c r="I251" s="89">
        <f t="shared" si="198"/>
        <v>1.0007642694288057</v>
      </c>
      <c r="J251" s="89">
        <f t="shared" si="198"/>
        <v>1.0201779758144489</v>
      </c>
      <c r="K251" s="89">
        <f t="shared" si="198"/>
        <v>1.0070366891056974</v>
      </c>
      <c r="L251" s="89">
        <f t="shared" si="198"/>
        <v>1.0131818223216233</v>
      </c>
      <c r="M251" s="88">
        <f t="shared" si="198"/>
        <v>0.94646407258231924</v>
      </c>
      <c r="N251" s="88">
        <f t="shared" si="198"/>
        <v>1.3708734000068434</v>
      </c>
      <c r="O251" s="88">
        <f t="shared" si="198"/>
        <v>0.96080435140620812</v>
      </c>
      <c r="P251" s="88">
        <f t="shared" si="198"/>
        <v>0.93372194287775356</v>
      </c>
      <c r="Q251" s="88">
        <f t="shared" si="198"/>
        <v>0.99422770467498922</v>
      </c>
      <c r="R251" s="88">
        <f t="shared" si="198"/>
        <v>0.96851274943142762</v>
      </c>
      <c r="S251" s="88">
        <f t="shared" si="198"/>
        <v>0.94615861952012437</v>
      </c>
      <c r="T251" s="88">
        <f t="shared" si="198"/>
        <v>0.87000806475701187</v>
      </c>
      <c r="U251" s="88">
        <f t="shared" si="198"/>
        <v>1.0366320890436891</v>
      </c>
      <c r="V251" s="88">
        <f t="shared" si="198"/>
        <v>0.95447901830417392</v>
      </c>
      <c r="W251" s="88">
        <f t="shared" si="198"/>
        <v>0.96585069431420056</v>
      </c>
      <c r="X251" s="88">
        <f t="shared" si="198"/>
        <v>0.9270356700811524</v>
      </c>
      <c r="Y251" s="88">
        <f t="shared" si="198"/>
        <v>0.94000136577815219</v>
      </c>
      <c r="Z251" s="88">
        <f t="shared" si="198"/>
        <v>0.95962626360381131</v>
      </c>
      <c r="AA251" s="88">
        <f t="shared" si="198"/>
        <v>0.97491286641963537</v>
      </c>
      <c r="AB251" s="88">
        <f t="shared" si="198"/>
        <v>0.97860200375907613</v>
      </c>
      <c r="AC251" s="88">
        <f t="shared" si="198"/>
        <v>0.98538324569689772</v>
      </c>
      <c r="AD251" s="88">
        <f t="shared" si="198"/>
        <v>1.0082822549497055</v>
      </c>
      <c r="AE251" s="90">
        <f t="shared" si="198"/>
        <v>0.9856020411813099</v>
      </c>
      <c r="AF251" s="90">
        <f t="shared" si="198"/>
        <v>0.98738287008462433</v>
      </c>
      <c r="AG251" s="90">
        <f t="shared" si="198"/>
        <v>0.98221609091847539</v>
      </c>
      <c r="AH251" s="90">
        <f t="shared" si="198"/>
        <v>0.97694748543607346</v>
      </c>
      <c r="AI251" s="90">
        <f t="shared" si="198"/>
        <v>0.98365586735297805</v>
      </c>
      <c r="AJ251" s="90">
        <f t="shared" si="198"/>
        <v>0.97547148359712521</v>
      </c>
      <c r="AK251" s="90">
        <f t="shared" si="198"/>
        <v>0.97657123417770575</v>
      </c>
      <c r="AL251" s="90">
        <f t="shared" si="198"/>
        <v>0.97788243251599172</v>
      </c>
      <c r="AM251" s="90">
        <f t="shared" si="198"/>
        <v>0.98750850599525997</v>
      </c>
      <c r="AN251" s="90">
        <f t="shared" si="198"/>
        <v>0.98044408946088124</v>
      </c>
      <c r="AO251" s="90">
        <f t="shared" si="198"/>
        <v>0.97733401807243914</v>
      </c>
      <c r="AP251" s="90">
        <f t="shared" si="198"/>
        <v>0.97712796216733466</v>
      </c>
      <c r="AQ251" s="90">
        <f t="shared" si="198"/>
        <v>0.97946925125244988</v>
      </c>
      <c r="AR251" s="90">
        <f t="shared" si="198"/>
        <v>0.96862474803127552</v>
      </c>
      <c r="AS251" s="90">
        <f t="shared" si="198"/>
        <v>0.96309202178941533</v>
      </c>
      <c r="AT251" s="90">
        <f t="shared" si="198"/>
        <v>0.97579675994529902</v>
      </c>
      <c r="AU251" s="90">
        <f t="shared" si="198"/>
        <v>0.9850735173399443</v>
      </c>
      <c r="AV251" s="90">
        <f t="shared" si="198"/>
        <v>0.96845334356148782</v>
      </c>
      <c r="AW251" s="90">
        <f t="shared" si="198"/>
        <v>0.97735659067369118</v>
      </c>
      <c r="AX251" s="90">
        <f t="shared" si="198"/>
        <v>0.9733546054236446</v>
      </c>
      <c r="AY251" s="90">
        <f t="shared" si="198"/>
        <v>0.96634963268209528</v>
      </c>
      <c r="AZ251" s="90">
        <f t="shared" si="198"/>
        <v>0.95084245226573616</v>
      </c>
      <c r="BA251" s="90">
        <f t="shared" si="198"/>
        <v>0.96410979259523544</v>
      </c>
      <c r="BB251" s="90">
        <f t="shared" si="198"/>
        <v>0.96088587372281331</v>
      </c>
      <c r="BC251" s="90">
        <f t="shared" si="198"/>
        <v>0.95542669854407303</v>
      </c>
      <c r="BD251" s="90">
        <f t="shared" si="198"/>
        <v>0.95273247257734417</v>
      </c>
      <c r="BE251" s="90">
        <f t="shared" si="198"/>
        <v>0.95262355804293775</v>
      </c>
      <c r="BF251" s="90">
        <f t="shared" si="198"/>
        <v>0.94923831296033501</v>
      </c>
      <c r="BG251" s="90">
        <f t="shared" si="198"/>
        <v>0.94626384711019362</v>
      </c>
      <c r="BH251" s="90">
        <f t="shared" si="198"/>
        <v>0.94241437656033678</v>
      </c>
      <c r="BI251" s="90">
        <f t="shared" si="198"/>
        <v>0.95811553422709561</v>
      </c>
      <c r="BJ251" s="91">
        <f t="shared" si="198"/>
        <v>0.95476992563704166</v>
      </c>
      <c r="BK251" s="91">
        <f t="shared" si="198"/>
        <v>0.95473362079223956</v>
      </c>
      <c r="BL251" s="91">
        <f t="shared" si="198"/>
        <v>0.95394501901954198</v>
      </c>
      <c r="BM251" s="91">
        <f t="shared" si="198"/>
        <v>0.95577678829684365</v>
      </c>
      <c r="BN251" s="91">
        <f t="shared" si="198"/>
        <v>0.95808764093307697</v>
      </c>
      <c r="BO251" s="91">
        <f t="shared" ref="BO251:BU263" si="199">BO235+BO124</f>
        <v>0.96066615436716452</v>
      </c>
      <c r="BP251" s="91">
        <f t="shared" si="199"/>
        <v>0.96125027703223087</v>
      </c>
      <c r="BQ251" s="91">
        <f t="shared" si="199"/>
        <v>0.96241728187009479</v>
      </c>
      <c r="BR251" s="91">
        <f t="shared" si="199"/>
        <v>0.96407189723587472</v>
      </c>
      <c r="BS251" s="91">
        <f t="shared" si="199"/>
        <v>0.96588182423018976</v>
      </c>
      <c r="BT251" s="91">
        <f t="shared" si="199"/>
        <v>0.96738347135064451</v>
      </c>
      <c r="BU251" s="91">
        <f t="shared" si="199"/>
        <v>0.96863914094231662</v>
      </c>
    </row>
    <row r="252" spans="1:73" s="88" customFormat="1" ht="14.25">
      <c r="A252" s="4" t="s">
        <v>102</v>
      </c>
      <c r="C252" s="89">
        <f t="shared" si="198"/>
        <v>1.0206049730510516</v>
      </c>
      <c r="D252" s="89">
        <f t="shared" si="198"/>
        <v>1.021102445286169</v>
      </c>
      <c r="E252" s="89">
        <f t="shared" si="198"/>
        <v>1.021102445286169</v>
      </c>
      <c r="F252" s="89">
        <f t="shared" si="198"/>
        <v>0.93104143055217503</v>
      </c>
      <c r="G252" s="89">
        <f t="shared" si="198"/>
        <v>1.0210652165673717</v>
      </c>
      <c r="H252" s="89">
        <f t="shared" si="198"/>
        <v>0.97387976254895636</v>
      </c>
      <c r="I252" s="89">
        <f t="shared" si="198"/>
        <v>0.9382047071987889</v>
      </c>
      <c r="J252" s="89">
        <f t="shared" si="198"/>
        <v>0.95616363697110196</v>
      </c>
      <c r="K252" s="89">
        <f t="shared" si="198"/>
        <v>0.94367679627400247</v>
      </c>
      <c r="L252" s="89">
        <f t="shared" si="198"/>
        <v>0.94930790790977115</v>
      </c>
      <c r="M252" s="88">
        <f t="shared" si="198"/>
        <v>0.97335544855519673</v>
      </c>
      <c r="N252" s="88">
        <f t="shared" si="198"/>
        <v>0.97190383415083847</v>
      </c>
      <c r="O252" s="88">
        <f t="shared" si="198"/>
        <v>0.98314403009970874</v>
      </c>
      <c r="P252" s="88">
        <f t="shared" si="198"/>
        <v>0.93124615029105373</v>
      </c>
      <c r="Q252" s="88">
        <f t="shared" si="198"/>
        <v>0.96740731484649467</v>
      </c>
      <c r="R252" s="88">
        <f t="shared" si="198"/>
        <v>0.979687976404362</v>
      </c>
      <c r="S252" s="88">
        <f t="shared" si="198"/>
        <v>0.95352760557618321</v>
      </c>
      <c r="T252" s="88">
        <f t="shared" si="198"/>
        <v>0.94140471764083855</v>
      </c>
      <c r="U252" s="88">
        <f t="shared" si="198"/>
        <v>0.99900041336289502</v>
      </c>
      <c r="V252" s="88">
        <f t="shared" si="198"/>
        <v>0.96210461224105726</v>
      </c>
      <c r="W252" s="88">
        <f t="shared" si="198"/>
        <v>0.92737980848878432</v>
      </c>
      <c r="X252" s="88">
        <f t="shared" si="198"/>
        <v>0.97208827184575353</v>
      </c>
      <c r="Y252" s="88">
        <f t="shared" si="198"/>
        <v>0.96559983002723426</v>
      </c>
      <c r="Z252" s="88">
        <f t="shared" si="198"/>
        <v>0.95507393522448913</v>
      </c>
      <c r="AA252" s="88">
        <f t="shared" si="198"/>
        <v>0.96107912355561909</v>
      </c>
      <c r="AB252" s="88">
        <f t="shared" si="198"/>
        <v>0.97402714246479327</v>
      </c>
      <c r="AC252" s="88">
        <f t="shared" si="198"/>
        <v>0.98663366847429534</v>
      </c>
      <c r="AD252" s="88">
        <f t="shared" si="198"/>
        <v>0.98385707624639529</v>
      </c>
      <c r="AE252" s="90">
        <f t="shared" si="198"/>
        <v>0.98487262358082073</v>
      </c>
      <c r="AF252" s="90">
        <f t="shared" si="198"/>
        <v>1.0156565669240749</v>
      </c>
      <c r="AG252" s="90">
        <f t="shared" si="198"/>
        <v>0.98099432696533528</v>
      </c>
      <c r="AH252" s="90">
        <f t="shared" si="198"/>
        <v>0.97880209559366937</v>
      </c>
      <c r="AI252" s="90">
        <f t="shared" si="198"/>
        <v>0.9796420805318804</v>
      </c>
      <c r="AJ252" s="90">
        <f t="shared" si="198"/>
        <v>0.97953957892272714</v>
      </c>
      <c r="AK252" s="90">
        <f t="shared" si="198"/>
        <v>0.97097227265178832</v>
      </c>
      <c r="AL252" s="90">
        <f t="shared" si="198"/>
        <v>0.97003207739648512</v>
      </c>
      <c r="AM252" s="90">
        <f t="shared" si="198"/>
        <v>0.97689812524640407</v>
      </c>
      <c r="AN252" s="90">
        <f t="shared" si="198"/>
        <v>0.97595050051635512</v>
      </c>
      <c r="AO252" s="90">
        <f t="shared" si="198"/>
        <v>0.9757114203472167</v>
      </c>
      <c r="AP252" s="90">
        <f t="shared" si="198"/>
        <v>0.96281177390797945</v>
      </c>
      <c r="AQ252" s="90">
        <f t="shared" si="198"/>
        <v>0.96807409005118772</v>
      </c>
      <c r="AR252" s="90">
        <f t="shared" si="198"/>
        <v>0.96741926068060646</v>
      </c>
      <c r="AS252" s="90">
        <f t="shared" si="198"/>
        <v>0.96465053615009988</v>
      </c>
      <c r="AT252" s="90">
        <f t="shared" si="198"/>
        <v>0.97752447773657669</v>
      </c>
      <c r="AU252" s="90">
        <f t="shared" si="198"/>
        <v>0.97079551279103538</v>
      </c>
      <c r="AV252" s="90">
        <f t="shared" si="198"/>
        <v>0.95963726471067257</v>
      </c>
      <c r="AW252" s="90">
        <f t="shared" si="198"/>
        <v>0.96521775636555784</v>
      </c>
      <c r="AX252" s="90">
        <f t="shared" si="198"/>
        <v>0.96996389731835386</v>
      </c>
      <c r="AY252" s="90">
        <f t="shared" si="198"/>
        <v>0.96182853069056407</v>
      </c>
      <c r="AZ252" s="90">
        <f t="shared" si="198"/>
        <v>0.95542879393501878</v>
      </c>
      <c r="BA252" s="90">
        <f t="shared" si="198"/>
        <v>0.9664695230934971</v>
      </c>
      <c r="BB252" s="90">
        <f t="shared" si="198"/>
        <v>0.95052505802063481</v>
      </c>
      <c r="BC252" s="90">
        <f t="shared" si="198"/>
        <v>0.9547045077898535</v>
      </c>
      <c r="BD252" s="90">
        <f t="shared" si="198"/>
        <v>0.9438267166869736</v>
      </c>
      <c r="BE252" s="90">
        <f t="shared" si="198"/>
        <v>0.9434453705039787</v>
      </c>
      <c r="BF252" s="90">
        <f t="shared" si="198"/>
        <v>0.95588800231286442</v>
      </c>
      <c r="BG252" s="90">
        <f t="shared" si="198"/>
        <v>0.94631787898073028</v>
      </c>
      <c r="BH252" s="90">
        <f t="shared" si="198"/>
        <v>0.9425493191983414</v>
      </c>
      <c r="BI252" s="90">
        <f t="shared" si="198"/>
        <v>0.96680575474913932</v>
      </c>
      <c r="BJ252" s="91">
        <f t="shared" si="198"/>
        <v>0.95172499479447503</v>
      </c>
      <c r="BK252" s="91">
        <f t="shared" si="198"/>
        <v>0.95489030035322231</v>
      </c>
      <c r="BL252" s="91">
        <f t="shared" si="198"/>
        <v>0.95638103311828027</v>
      </c>
      <c r="BM252" s="91">
        <f t="shared" si="198"/>
        <v>0.95603802861341802</v>
      </c>
      <c r="BN252" s="91">
        <f t="shared" si="198"/>
        <v>0.95836287608103832</v>
      </c>
      <c r="BO252" s="91">
        <f t="shared" si="199"/>
        <v>0.96078394843151427</v>
      </c>
      <c r="BP252" s="91">
        <f t="shared" si="199"/>
        <v>0.96150670209565736</v>
      </c>
      <c r="BQ252" s="91">
        <f t="shared" si="199"/>
        <v>0.96330404854630558</v>
      </c>
      <c r="BR252" s="91">
        <f t="shared" si="199"/>
        <v>0.96468399189538934</v>
      </c>
      <c r="BS252" s="91">
        <f t="shared" si="199"/>
        <v>0.96621784220273665</v>
      </c>
      <c r="BT252" s="91">
        <f t="shared" si="199"/>
        <v>0.96782281879206689</v>
      </c>
      <c r="BU252" s="91">
        <f t="shared" si="199"/>
        <v>0.96916982882965552</v>
      </c>
    </row>
    <row r="253" spans="1:73" s="88" customFormat="1" ht="14.25">
      <c r="A253" s="4" t="s">
        <v>103</v>
      </c>
      <c r="C253" s="89">
        <f t="shared" si="198"/>
        <v>1.0223272055399542</v>
      </c>
      <c r="D253" s="89">
        <f t="shared" si="198"/>
        <v>1.0224142573561164</v>
      </c>
      <c r="E253" s="89">
        <f t="shared" si="198"/>
        <v>1.0224142573561164</v>
      </c>
      <c r="F253" s="89">
        <f t="shared" si="198"/>
        <v>0.93158276980312571</v>
      </c>
      <c r="G253" s="89">
        <f t="shared" si="198"/>
        <v>1.0223857921124107</v>
      </c>
      <c r="H253" s="89">
        <f t="shared" si="198"/>
        <v>0.97479926094359526</v>
      </c>
      <c r="I253" s="89">
        <f t="shared" si="198"/>
        <v>0.93903737141519683</v>
      </c>
      <c r="J253" s="89">
        <f t="shared" si="198"/>
        <v>0.95711513305962892</v>
      </c>
      <c r="K253" s="89">
        <f t="shared" si="198"/>
        <v>0.94493977414421104</v>
      </c>
      <c r="L253" s="89">
        <f t="shared" si="198"/>
        <v>0.95048162063337516</v>
      </c>
      <c r="M253" s="88">
        <f t="shared" si="198"/>
        <v>0.97024070760036796</v>
      </c>
      <c r="N253" s="88">
        <f t="shared" si="198"/>
        <v>0.98605664772905366</v>
      </c>
      <c r="O253" s="88">
        <f t="shared" si="198"/>
        <v>0.97589337230524331</v>
      </c>
      <c r="P253" s="88">
        <f t="shared" si="198"/>
        <v>0.96171879027734175</v>
      </c>
      <c r="Q253" s="88">
        <f t="shared" si="198"/>
        <v>0.95087924461401296</v>
      </c>
      <c r="R253" s="88">
        <f t="shared" si="198"/>
        <v>0.96811581757924259</v>
      </c>
      <c r="S253" s="88">
        <f t="shared" si="198"/>
        <v>0.99193488181883627</v>
      </c>
      <c r="T253" s="88">
        <f t="shared" si="198"/>
        <v>0.96203378891193014</v>
      </c>
      <c r="U253" s="88">
        <f t="shared" si="198"/>
        <v>0.96474105476288385</v>
      </c>
      <c r="V253" s="88">
        <f t="shared" si="198"/>
        <v>0.97244536877268761</v>
      </c>
      <c r="W253" s="88">
        <f t="shared" si="198"/>
        <v>0.9372196608172807</v>
      </c>
      <c r="X253" s="88">
        <f t="shared" si="198"/>
        <v>0.97975029314826889</v>
      </c>
      <c r="Y253" s="88">
        <f t="shared" si="198"/>
        <v>0.96184087085803327</v>
      </c>
      <c r="Z253" s="88">
        <f t="shared" si="198"/>
        <v>0.97403064682838603</v>
      </c>
      <c r="AA253" s="88">
        <f t="shared" si="198"/>
        <v>0.97473454836151707</v>
      </c>
      <c r="AB253" s="88">
        <f t="shared" si="198"/>
        <v>0.98061407858515226</v>
      </c>
      <c r="AC253" s="88">
        <f t="shared" si="198"/>
        <v>0.98539315278602224</v>
      </c>
      <c r="AD253" s="88">
        <f t="shared" si="198"/>
        <v>0.96908056111784058</v>
      </c>
      <c r="AE253" s="90">
        <f t="shared" si="198"/>
        <v>0.97980095081983964</v>
      </c>
      <c r="AF253" s="90">
        <f t="shared" si="198"/>
        <v>0.97561356247486253</v>
      </c>
      <c r="AG253" s="90">
        <f t="shared" si="198"/>
        <v>0.98132024676721363</v>
      </c>
      <c r="AH253" s="90">
        <f t="shared" si="198"/>
        <v>0.97188406382277126</v>
      </c>
      <c r="AI253" s="90">
        <f t="shared" si="198"/>
        <v>0.9821068269182347</v>
      </c>
      <c r="AJ253" s="90">
        <f t="shared" si="198"/>
        <v>0.97785893282806691</v>
      </c>
      <c r="AK253" s="90">
        <f t="shared" si="198"/>
        <v>0.96582143994108605</v>
      </c>
      <c r="AL253" s="90">
        <f t="shared" si="198"/>
        <v>0.97503333272509118</v>
      </c>
      <c r="AM253" s="90">
        <f t="shared" si="198"/>
        <v>0.97462724878353646</v>
      </c>
      <c r="AN253" s="90">
        <f t="shared" si="198"/>
        <v>0.97512347948013245</v>
      </c>
      <c r="AO253" s="90">
        <f t="shared" si="198"/>
        <v>0.97449545383705516</v>
      </c>
      <c r="AP253" s="90">
        <f t="shared" si="198"/>
        <v>0.9761478982589924</v>
      </c>
      <c r="AQ253" s="90">
        <f t="shared" si="198"/>
        <v>0.97627078516489507</v>
      </c>
      <c r="AR253" s="90">
        <f t="shared" si="198"/>
        <v>0.96765074366898562</v>
      </c>
      <c r="AS253" s="90">
        <f t="shared" si="198"/>
        <v>0.96382072659277152</v>
      </c>
      <c r="AT253" s="90">
        <f t="shared" si="198"/>
        <v>0.98744254790592412</v>
      </c>
      <c r="AU253" s="90">
        <f t="shared" si="198"/>
        <v>0.98372257420727305</v>
      </c>
      <c r="AV253" s="90">
        <f t="shared" si="198"/>
        <v>0.96200526087736715</v>
      </c>
      <c r="AW253" s="90">
        <f t="shared" si="198"/>
        <v>0.9691247372036953</v>
      </c>
      <c r="AX253" s="90">
        <f t="shared" si="198"/>
        <v>0.97132902871068905</v>
      </c>
      <c r="AY253" s="90">
        <f t="shared" si="198"/>
        <v>0.96025761355622685</v>
      </c>
      <c r="AZ253" s="90">
        <f t="shared" si="198"/>
        <v>0.95295369796239682</v>
      </c>
      <c r="BA253" s="90">
        <f t="shared" si="198"/>
        <v>0.96210426612242583</v>
      </c>
      <c r="BB253" s="90">
        <f t="shared" si="198"/>
        <v>0.96663415666197217</v>
      </c>
      <c r="BC253" s="90">
        <f t="shared" si="198"/>
        <v>0.94299442327038296</v>
      </c>
      <c r="BD253" s="90">
        <f t="shared" si="198"/>
        <v>0.95746855696660516</v>
      </c>
      <c r="BE253" s="90">
        <f t="shared" si="198"/>
        <v>0.94799492032379562</v>
      </c>
      <c r="BF253" s="90">
        <f t="shared" si="198"/>
        <v>0.95375450187458466</v>
      </c>
      <c r="BG253" s="90">
        <f t="shared" si="198"/>
        <v>0.962712929472056</v>
      </c>
      <c r="BH253" s="90">
        <f t="shared" si="198"/>
        <v>0.94032229799656786</v>
      </c>
      <c r="BI253" s="90">
        <f t="shared" si="198"/>
        <v>0.95884782935753932</v>
      </c>
      <c r="BJ253" s="91">
        <f t="shared" si="198"/>
        <v>0.95907265972166189</v>
      </c>
      <c r="BK253" s="91">
        <f t="shared" si="198"/>
        <v>0.95811531335147815</v>
      </c>
      <c r="BL253" s="91">
        <f t="shared" si="198"/>
        <v>0.9609198274368862</v>
      </c>
      <c r="BM253" s="91">
        <f t="shared" si="198"/>
        <v>0.9623734312625174</v>
      </c>
      <c r="BN253" s="91">
        <f t="shared" si="198"/>
        <v>0.96174451128425908</v>
      </c>
      <c r="BO253" s="91">
        <f t="shared" si="199"/>
        <v>0.96617002153166132</v>
      </c>
      <c r="BP253" s="91">
        <f t="shared" si="199"/>
        <v>0.96658375269725405</v>
      </c>
      <c r="BQ253" s="91">
        <f t="shared" si="199"/>
        <v>0.96744619531884235</v>
      </c>
      <c r="BR253" s="91">
        <f t="shared" si="199"/>
        <v>0.9693114342022352</v>
      </c>
      <c r="BS253" s="91">
        <f t="shared" si="199"/>
        <v>0.97102009884748086</v>
      </c>
      <c r="BT253" s="91">
        <f t="shared" si="199"/>
        <v>0.9726846359415231</v>
      </c>
      <c r="BU253" s="91">
        <f t="shared" si="199"/>
        <v>0.97386630297600407</v>
      </c>
    </row>
    <row r="254" spans="1:73" s="88" customFormat="1" ht="14.25">
      <c r="A254" s="4" t="s">
        <v>104</v>
      </c>
      <c r="C254" s="89">
        <f t="shared" si="198"/>
        <v>1.0234089178539962</v>
      </c>
      <c r="D254" s="89">
        <f t="shared" si="198"/>
        <v>1.0244395236621049</v>
      </c>
      <c r="E254" s="89">
        <f t="shared" si="198"/>
        <v>1.0244395236621049</v>
      </c>
      <c r="F254" s="89">
        <f t="shared" si="198"/>
        <v>0.93383510105315337</v>
      </c>
      <c r="G254" s="89">
        <f t="shared" si="198"/>
        <v>1.0244055251395339</v>
      </c>
      <c r="H254" s="89">
        <f t="shared" si="198"/>
        <v>0.97693635181411032</v>
      </c>
      <c r="I254" s="89">
        <f t="shared" si="198"/>
        <v>0.94078517039341747</v>
      </c>
      <c r="J254" s="89">
        <f t="shared" si="198"/>
        <v>0.95891398879448064</v>
      </c>
      <c r="K254" s="89">
        <f t="shared" si="198"/>
        <v>0.94603931005391595</v>
      </c>
      <c r="L254" s="89">
        <f t="shared" si="198"/>
        <v>0.95201102458824571</v>
      </c>
      <c r="M254" s="88">
        <f t="shared" si="198"/>
        <v>0.96294558484133375</v>
      </c>
      <c r="N254" s="88">
        <f t="shared" si="198"/>
        <v>0.95447646449759926</v>
      </c>
      <c r="O254" s="88">
        <f t="shared" si="198"/>
        <v>0.95744399099574651</v>
      </c>
      <c r="P254" s="88">
        <f t="shared" si="198"/>
        <v>0.99058305996118134</v>
      </c>
      <c r="Q254" s="88">
        <f t="shared" si="198"/>
        <v>0.97030977132590779</v>
      </c>
      <c r="R254" s="88">
        <f t="shared" si="198"/>
        <v>0.94320742831313809</v>
      </c>
      <c r="S254" s="88">
        <f t="shared" si="198"/>
        <v>0.82131022748997373</v>
      </c>
      <c r="T254" s="88">
        <f t="shared" si="198"/>
        <v>0.87057504257096319</v>
      </c>
      <c r="U254" s="88">
        <f t="shared" si="198"/>
        <v>0.94132203245453383</v>
      </c>
      <c r="V254" s="88">
        <f t="shared" si="198"/>
        <v>0.96035190718828378</v>
      </c>
      <c r="W254" s="88">
        <f t="shared" si="198"/>
        <v>0.95294948615018771</v>
      </c>
      <c r="X254" s="88">
        <f t="shared" si="198"/>
        <v>0.95967704448504831</v>
      </c>
      <c r="Y254" s="88">
        <f t="shared" si="198"/>
        <v>0.96308841985511651</v>
      </c>
      <c r="Z254" s="88">
        <f t="shared" si="198"/>
        <v>0.97343814802247108</v>
      </c>
      <c r="AA254" s="88">
        <f t="shared" si="198"/>
        <v>0.97480185934521624</v>
      </c>
      <c r="AB254" s="88">
        <f t="shared" si="198"/>
        <v>0.98281209909194578</v>
      </c>
      <c r="AC254" s="88">
        <f t="shared" si="198"/>
        <v>0.98297438073077059</v>
      </c>
      <c r="AD254" s="88">
        <f t="shared" si="198"/>
        <v>0.94765709649814478</v>
      </c>
      <c r="AE254" s="90">
        <f t="shared" si="198"/>
        <v>0.97728849085948077</v>
      </c>
      <c r="AF254" s="90">
        <f t="shared" si="198"/>
        <v>0.98020489541796374</v>
      </c>
      <c r="AG254" s="90">
        <f t="shared" si="198"/>
        <v>0.98315482573193036</v>
      </c>
      <c r="AH254" s="90">
        <f t="shared" si="198"/>
        <v>0.97000828285245477</v>
      </c>
      <c r="AI254" s="90">
        <f t="shared" si="198"/>
        <v>0.98392056344318124</v>
      </c>
      <c r="AJ254" s="90">
        <f t="shared" si="198"/>
        <v>0.98197399492692139</v>
      </c>
      <c r="AK254" s="90">
        <f t="shared" si="198"/>
        <v>0.96715437164465112</v>
      </c>
      <c r="AL254" s="90">
        <f t="shared" si="198"/>
        <v>0.9765564748866733</v>
      </c>
      <c r="AM254" s="90">
        <f t="shared" si="198"/>
        <v>0.9758962172683211</v>
      </c>
      <c r="AN254" s="90">
        <f t="shared" si="198"/>
        <v>0.97519715732299594</v>
      </c>
      <c r="AO254" s="90">
        <f t="shared" si="198"/>
        <v>0.9790353727158021</v>
      </c>
      <c r="AP254" s="90">
        <f t="shared" si="198"/>
        <v>0.97046317588701225</v>
      </c>
      <c r="AQ254" s="90">
        <f t="shared" si="198"/>
        <v>1.0047989670109032</v>
      </c>
      <c r="AR254" s="90">
        <f t="shared" si="198"/>
        <v>0.95992958351899971</v>
      </c>
      <c r="AS254" s="90">
        <f t="shared" si="198"/>
        <v>0.96018178160264411</v>
      </c>
      <c r="AT254" s="90">
        <f t="shared" si="198"/>
        <v>0.97831547014320175</v>
      </c>
      <c r="AU254" s="90">
        <f t="shared" si="198"/>
        <v>0.973774098830261</v>
      </c>
      <c r="AV254" s="90">
        <f t="shared" si="198"/>
        <v>0.96406156143512367</v>
      </c>
      <c r="AW254" s="90">
        <f t="shared" si="198"/>
        <v>0.97233807466790201</v>
      </c>
      <c r="AX254" s="90">
        <f t="shared" si="198"/>
        <v>0.9673609022581714</v>
      </c>
      <c r="AY254" s="90">
        <f t="shared" si="198"/>
        <v>0.96412470711524589</v>
      </c>
      <c r="AZ254" s="90">
        <f t="shared" si="198"/>
        <v>0.95625338472403398</v>
      </c>
      <c r="BA254" s="90">
        <f t="shared" si="198"/>
        <v>0.96846545866364664</v>
      </c>
      <c r="BB254" s="90">
        <f t="shared" si="198"/>
        <v>0.96219977427970849</v>
      </c>
      <c r="BC254" s="90">
        <f t="shared" si="198"/>
        <v>0.95649192177897302</v>
      </c>
      <c r="BD254" s="90">
        <f t="shared" si="198"/>
        <v>0.95711782664458189</v>
      </c>
      <c r="BE254" s="90">
        <f t="shared" si="198"/>
        <v>0.94820624517435381</v>
      </c>
      <c r="BF254" s="90">
        <f t="shared" si="198"/>
        <v>0.95597010976104535</v>
      </c>
      <c r="BG254" s="90">
        <f t="shared" si="198"/>
        <v>0.93692008933863113</v>
      </c>
      <c r="BH254" s="90">
        <f t="shared" si="198"/>
        <v>0.93878870015972327</v>
      </c>
      <c r="BI254" s="90">
        <f t="shared" si="198"/>
        <v>0.96007314508584862</v>
      </c>
      <c r="BJ254" s="91">
        <f t="shared" si="198"/>
        <v>0.95503953528207364</v>
      </c>
      <c r="BK254" s="91">
        <f t="shared" si="198"/>
        <v>0.95349612027390618</v>
      </c>
      <c r="BL254" s="91">
        <f t="shared" si="198"/>
        <v>0.95451174234455516</v>
      </c>
      <c r="BM254" s="91">
        <f t="shared" si="198"/>
        <v>0.95368707918217555</v>
      </c>
      <c r="BN254" s="91">
        <f t="shared" ref="BN254:BO257" si="200">BN238+BN127</f>
        <v>0.9574014678059245</v>
      </c>
      <c r="BO254" s="91">
        <f t="shared" si="200"/>
        <v>0.96034913263351185</v>
      </c>
      <c r="BP254" s="91">
        <f t="shared" si="199"/>
        <v>0.96095524863034232</v>
      </c>
      <c r="BQ254" s="91">
        <f t="shared" si="199"/>
        <v>0.96174255947162579</v>
      </c>
      <c r="BR254" s="91">
        <f t="shared" si="199"/>
        <v>0.96366694545491793</v>
      </c>
      <c r="BS254" s="91">
        <f t="shared" si="199"/>
        <v>0.96556249899096613</v>
      </c>
      <c r="BT254" s="91">
        <f t="shared" si="199"/>
        <v>0.96701564691182662</v>
      </c>
      <c r="BU254" s="91">
        <f t="shared" si="199"/>
        <v>0.96812566276271317</v>
      </c>
    </row>
    <row r="255" spans="1:73" s="88" customFormat="1" ht="14.25">
      <c r="A255" s="4" t="s">
        <v>105</v>
      </c>
      <c r="C255" s="89">
        <f t="shared" ref="C255:BN258" si="201">C239+C128</f>
        <v>1.0383953303437712</v>
      </c>
      <c r="D255" s="89">
        <f t="shared" si="201"/>
        <v>1.0388469861924763</v>
      </c>
      <c r="E255" s="89">
        <f t="shared" si="201"/>
        <v>1.0388469861924763</v>
      </c>
      <c r="F255" s="89">
        <f t="shared" si="201"/>
        <v>0.94700003692568968</v>
      </c>
      <c r="G255" s="89">
        <f t="shared" si="201"/>
        <v>1.0388120827806842</v>
      </c>
      <c r="H255" s="89">
        <f t="shared" si="201"/>
        <v>0.99069180361852238</v>
      </c>
      <c r="I255" s="89">
        <f t="shared" si="201"/>
        <v>0.95434086291075626</v>
      </c>
      <c r="J255" s="89">
        <f t="shared" si="201"/>
        <v>0.97265333400008724</v>
      </c>
      <c r="K255" s="89">
        <f t="shared" si="201"/>
        <v>0.96000225240518522</v>
      </c>
      <c r="L255" s="89">
        <f t="shared" si="201"/>
        <v>0.96574260075474083</v>
      </c>
      <c r="M255" s="88">
        <f t="shared" si="201"/>
        <v>0.97014368576833299</v>
      </c>
      <c r="N255" s="88">
        <f t="shared" si="201"/>
        <v>0.97385333117799588</v>
      </c>
      <c r="O255" s="88">
        <f t="shared" si="201"/>
        <v>0.97031540908449554</v>
      </c>
      <c r="P255" s="88">
        <f t="shared" si="201"/>
        <v>0.99151840059277385</v>
      </c>
      <c r="Q255" s="88">
        <f t="shared" si="201"/>
        <v>0.99221851149951146</v>
      </c>
      <c r="R255" s="88">
        <f t="shared" si="201"/>
        <v>0.93752261708200346</v>
      </c>
      <c r="S255" s="88">
        <f t="shared" si="201"/>
        <v>0.99350006063417662</v>
      </c>
      <c r="T255" s="88">
        <f t="shared" si="201"/>
        <v>0.84649811353484539</v>
      </c>
      <c r="U255" s="88">
        <f t="shared" si="201"/>
        <v>0.96559891721182023</v>
      </c>
      <c r="V255" s="88">
        <f t="shared" si="201"/>
        <v>0.94157510902239705</v>
      </c>
      <c r="W255" s="88">
        <f t="shared" si="201"/>
        <v>0.96299026312856517</v>
      </c>
      <c r="X255" s="88">
        <f t="shared" si="201"/>
        <v>0.96718253219320283</v>
      </c>
      <c r="Y255" s="88">
        <f t="shared" si="201"/>
        <v>0.95423030138209219</v>
      </c>
      <c r="Z255" s="88">
        <f t="shared" si="201"/>
        <v>0.97219396405561187</v>
      </c>
      <c r="AA255" s="88">
        <f t="shared" si="201"/>
        <v>0.99024759641533266</v>
      </c>
      <c r="AB255" s="88">
        <f t="shared" si="201"/>
        <v>0.98731418335892218</v>
      </c>
      <c r="AC255" s="88">
        <f t="shared" si="201"/>
        <v>0.98459772215665364</v>
      </c>
      <c r="AD255" s="88">
        <f t="shared" si="201"/>
        <v>0.98431799795048824</v>
      </c>
      <c r="AE255" s="90">
        <f t="shared" si="201"/>
        <v>0.98087127886675829</v>
      </c>
      <c r="AF255" s="90">
        <f t="shared" si="201"/>
        <v>0.97942505486470699</v>
      </c>
      <c r="AG255" s="90">
        <f t="shared" si="201"/>
        <v>0.98095054640055013</v>
      </c>
      <c r="AH255" s="90">
        <f t="shared" si="201"/>
        <v>0.97935637528512753</v>
      </c>
      <c r="AI255" s="90">
        <f t="shared" si="201"/>
        <v>0.9820023497187772</v>
      </c>
      <c r="AJ255" s="90">
        <f t="shared" si="201"/>
        <v>0.97457030530166566</v>
      </c>
      <c r="AK255" s="90">
        <f t="shared" si="201"/>
        <v>0.96925327668005368</v>
      </c>
      <c r="AL255" s="90">
        <f t="shared" si="201"/>
        <v>0.97668026502329064</v>
      </c>
      <c r="AM255" s="90">
        <f t="shared" si="201"/>
        <v>0.97769355906457345</v>
      </c>
      <c r="AN255" s="90">
        <f t="shared" si="201"/>
        <v>0.97669766913875833</v>
      </c>
      <c r="AO255" s="90">
        <f t="shared" si="201"/>
        <v>0.98186176470849795</v>
      </c>
      <c r="AP255" s="90">
        <f t="shared" si="201"/>
        <v>0.97147018725457079</v>
      </c>
      <c r="AQ255" s="90">
        <f t="shared" si="201"/>
        <v>0.96823224141350916</v>
      </c>
      <c r="AR255" s="90">
        <f t="shared" si="201"/>
        <v>0.97674995910887752</v>
      </c>
      <c r="AS255" s="90">
        <f t="shared" si="201"/>
        <v>0.96428229472202776</v>
      </c>
      <c r="AT255" s="90">
        <f t="shared" si="201"/>
        <v>0.97697054777990677</v>
      </c>
      <c r="AU255" s="90">
        <f t="shared" si="201"/>
        <v>0.9831103232779087</v>
      </c>
      <c r="AV255" s="90">
        <f t="shared" si="201"/>
        <v>0.97407636847033863</v>
      </c>
      <c r="AW255" s="90">
        <f t="shared" si="201"/>
        <v>0.95887257158442685</v>
      </c>
      <c r="AX255" s="90">
        <f t="shared" si="201"/>
        <v>0.96890632832988399</v>
      </c>
      <c r="AY255" s="90">
        <f t="shared" si="201"/>
        <v>0.96187856042822328</v>
      </c>
      <c r="AZ255" s="90">
        <f t="shared" si="201"/>
        <v>0.95404568821021218</v>
      </c>
      <c r="BA255" s="90">
        <f t="shared" si="201"/>
        <v>0.96007169608539833</v>
      </c>
      <c r="BB255" s="90">
        <f t="shared" si="201"/>
        <v>0.95362708205657287</v>
      </c>
      <c r="BC255" s="90">
        <f t="shared" si="201"/>
        <v>0.95366636118535264</v>
      </c>
      <c r="BD255" s="90">
        <f t="shared" si="201"/>
        <v>0.94965407278482261</v>
      </c>
      <c r="BE255" s="90">
        <f t="shared" si="201"/>
        <v>0.94609844980777558</v>
      </c>
      <c r="BF255" s="90">
        <f t="shared" si="201"/>
        <v>0.96096826266976643</v>
      </c>
      <c r="BG255" s="90">
        <f t="shared" si="201"/>
        <v>0.94717473034059874</v>
      </c>
      <c r="BH255" s="90">
        <f t="shared" si="201"/>
        <v>0.941453711177065</v>
      </c>
      <c r="BI255" s="90">
        <f t="shared" si="201"/>
        <v>0.96891283190587685</v>
      </c>
      <c r="BJ255" s="91">
        <f t="shared" si="201"/>
        <v>0.95364241764439894</v>
      </c>
      <c r="BK255" s="91">
        <f t="shared" si="201"/>
        <v>0.95605915513225859</v>
      </c>
      <c r="BL255" s="91">
        <f t="shared" si="201"/>
        <v>0.95769815933046298</v>
      </c>
      <c r="BM255" s="91">
        <f t="shared" si="201"/>
        <v>0.95606179015129378</v>
      </c>
      <c r="BN255" s="91">
        <f t="shared" si="201"/>
        <v>0.95922910308558529</v>
      </c>
      <c r="BO255" s="91">
        <f t="shared" si="200"/>
        <v>0.96203638791941792</v>
      </c>
      <c r="BP255" s="91">
        <f t="shared" si="199"/>
        <v>0.96245021791939256</v>
      </c>
      <c r="BQ255" s="91">
        <f t="shared" si="199"/>
        <v>0.96415479492175848</v>
      </c>
      <c r="BR255" s="91">
        <f t="shared" si="199"/>
        <v>0.96550505758863558</v>
      </c>
      <c r="BS255" s="91">
        <f t="shared" si="199"/>
        <v>0.96723856964146526</v>
      </c>
      <c r="BT255" s="91">
        <f t="shared" si="199"/>
        <v>0.96879597858436606</v>
      </c>
      <c r="BU255" s="91">
        <f t="shared" si="199"/>
        <v>0.97003102754645343</v>
      </c>
    </row>
    <row r="256" spans="1:73" s="88" customFormat="1" ht="14.25">
      <c r="A256" s="4" t="s">
        <v>106</v>
      </c>
      <c r="C256" s="89">
        <f t="shared" si="201"/>
        <v>1.025075655954766</v>
      </c>
      <c r="D256" s="89">
        <f t="shared" si="201"/>
        <v>1.0251042952190197</v>
      </c>
      <c r="E256" s="89">
        <f t="shared" si="201"/>
        <v>1.0251042952190197</v>
      </c>
      <c r="F256" s="89">
        <f t="shared" si="201"/>
        <v>0.9343659750760287</v>
      </c>
      <c r="G256" s="89">
        <f t="shared" si="201"/>
        <v>1.0250712853033535</v>
      </c>
      <c r="H256" s="89">
        <f t="shared" si="201"/>
        <v>0.97753225763350149</v>
      </c>
      <c r="I256" s="89">
        <f t="shared" si="201"/>
        <v>0.9418306573333195</v>
      </c>
      <c r="J256" s="89">
        <f t="shared" si="201"/>
        <v>0.95987836636268287</v>
      </c>
      <c r="K256" s="89">
        <f t="shared" si="201"/>
        <v>0.94768799974850915</v>
      </c>
      <c r="L256" s="89">
        <f t="shared" si="201"/>
        <v>0.95315398349279579</v>
      </c>
      <c r="M256" s="88">
        <f t="shared" si="201"/>
        <v>0.97069860185244372</v>
      </c>
      <c r="N256" s="88">
        <f t="shared" si="201"/>
        <v>0.97340761573228063</v>
      </c>
      <c r="O256" s="88">
        <f t="shared" si="201"/>
        <v>0.94523715344799908</v>
      </c>
      <c r="P256" s="88">
        <f t="shared" si="201"/>
        <v>0.96876914108323098</v>
      </c>
      <c r="Q256" s="88">
        <f t="shared" si="201"/>
        <v>0.98240276662320636</v>
      </c>
      <c r="R256" s="88">
        <f t="shared" si="201"/>
        <v>0.95798129684822386</v>
      </c>
      <c r="S256" s="88">
        <f t="shared" si="201"/>
        <v>0.97331443305967058</v>
      </c>
      <c r="T256" s="88">
        <f t="shared" si="201"/>
        <v>0.97286414899910312</v>
      </c>
      <c r="U256" s="88">
        <f t="shared" si="201"/>
        <v>0.96963085291672457</v>
      </c>
      <c r="V256" s="88">
        <f t="shared" si="201"/>
        <v>0.97075908977129211</v>
      </c>
      <c r="W256" s="88">
        <f t="shared" si="201"/>
        <v>0.97014221221315156</v>
      </c>
      <c r="X256" s="88">
        <f t="shared" si="201"/>
        <v>0.95106170480698249</v>
      </c>
      <c r="Y256" s="88">
        <f t="shared" si="201"/>
        <v>0.96138838948383221</v>
      </c>
      <c r="Z256" s="88">
        <f t="shared" si="201"/>
        <v>0.97414919195929739</v>
      </c>
      <c r="AA256" s="88">
        <f t="shared" si="201"/>
        <v>0.98065277739350176</v>
      </c>
      <c r="AB256" s="88">
        <f t="shared" si="201"/>
        <v>0.98970516381321239</v>
      </c>
      <c r="AC256" s="88">
        <f t="shared" si="201"/>
        <v>0.95311699495307334</v>
      </c>
      <c r="AD256" s="88">
        <f t="shared" si="201"/>
        <v>0.99762201347976254</v>
      </c>
      <c r="AE256" s="90">
        <f t="shared" si="201"/>
        <v>0.98224306319125554</v>
      </c>
      <c r="AF256" s="90">
        <f t="shared" si="201"/>
        <v>0.97753244199569778</v>
      </c>
      <c r="AG256" s="90">
        <f t="shared" si="201"/>
        <v>0.9797380745915375</v>
      </c>
      <c r="AH256" s="90">
        <f t="shared" si="201"/>
        <v>0.9749759086247578</v>
      </c>
      <c r="AI256" s="90">
        <f t="shared" si="201"/>
        <v>0.9799549342957985</v>
      </c>
      <c r="AJ256" s="90">
        <f t="shared" si="201"/>
        <v>0.98227930137693642</v>
      </c>
      <c r="AK256" s="90">
        <f t="shared" si="201"/>
        <v>0.97359926223080773</v>
      </c>
      <c r="AL256" s="90">
        <f t="shared" si="201"/>
        <v>0.97947076908353581</v>
      </c>
      <c r="AM256" s="90">
        <f t="shared" si="201"/>
        <v>0.97433477803774748</v>
      </c>
      <c r="AN256" s="90">
        <f t="shared" si="201"/>
        <v>0.97681945854406904</v>
      </c>
      <c r="AO256" s="90">
        <f t="shared" si="201"/>
        <v>0.97976200412454295</v>
      </c>
      <c r="AP256" s="90">
        <f t="shared" si="201"/>
        <v>0.98054300797204386</v>
      </c>
      <c r="AQ256" s="90">
        <f t="shared" si="201"/>
        <v>0.97180769666027311</v>
      </c>
      <c r="AR256" s="90">
        <f t="shared" si="201"/>
        <v>0.9728572255528124</v>
      </c>
      <c r="AS256" s="90">
        <f t="shared" si="201"/>
        <v>0.97034727002887755</v>
      </c>
      <c r="AT256" s="90">
        <f t="shared" si="201"/>
        <v>0.97373686198145326</v>
      </c>
      <c r="AU256" s="90">
        <f t="shared" si="201"/>
        <v>0.98123147619146878</v>
      </c>
      <c r="AV256" s="90">
        <f t="shared" si="201"/>
        <v>0.96458056817779891</v>
      </c>
      <c r="AW256" s="90">
        <f t="shared" si="201"/>
        <v>0.96506914566563751</v>
      </c>
      <c r="AX256" s="90">
        <f t="shared" si="201"/>
        <v>0.96886689514806357</v>
      </c>
      <c r="AY256" s="90">
        <f t="shared" si="201"/>
        <v>0.95914519029967316</v>
      </c>
      <c r="AZ256" s="90">
        <f t="shared" si="201"/>
        <v>0.95019000762413031</v>
      </c>
      <c r="BA256" s="90">
        <f t="shared" si="201"/>
        <v>0.95634626113194243</v>
      </c>
      <c r="BB256" s="90">
        <f t="shared" si="201"/>
        <v>0.96750036993652899</v>
      </c>
      <c r="BC256" s="90">
        <f t="shared" si="201"/>
        <v>0.96029817060258305</v>
      </c>
      <c r="BD256" s="90">
        <f t="shared" si="201"/>
        <v>0.95983668444612313</v>
      </c>
      <c r="BE256" s="90">
        <f t="shared" si="201"/>
        <v>0.9440114039802936</v>
      </c>
      <c r="BF256" s="90">
        <f t="shared" si="201"/>
        <v>0.96211592195448148</v>
      </c>
      <c r="BG256" s="90">
        <f t="shared" si="201"/>
        <v>0.94444081256000478</v>
      </c>
      <c r="BH256" s="90">
        <f t="shared" si="201"/>
        <v>0.93947061804149978</v>
      </c>
      <c r="BI256" s="90">
        <f t="shared" si="201"/>
        <v>0.9653896249625088</v>
      </c>
      <c r="BJ256" s="91">
        <f t="shared" si="201"/>
        <v>0.95496465278091924</v>
      </c>
      <c r="BK256" s="91">
        <f t="shared" si="201"/>
        <v>0.95350000930599765</v>
      </c>
      <c r="BL256" s="91">
        <f t="shared" si="201"/>
        <v>0.95715109223953954</v>
      </c>
      <c r="BM256" s="91">
        <f t="shared" si="201"/>
        <v>0.95468723232987884</v>
      </c>
      <c r="BN256" s="91">
        <f t="shared" si="201"/>
        <v>0.95863912790165784</v>
      </c>
      <c r="BO256" s="91">
        <f t="shared" si="200"/>
        <v>0.96104251327827195</v>
      </c>
      <c r="BP256" s="91">
        <f t="shared" si="199"/>
        <v>0.96151962620366227</v>
      </c>
      <c r="BQ256" s="91">
        <f t="shared" si="199"/>
        <v>0.96274445124390851</v>
      </c>
      <c r="BR256" s="91">
        <f t="shared" si="199"/>
        <v>0.96454962328962368</v>
      </c>
      <c r="BS256" s="91">
        <f t="shared" si="199"/>
        <v>0.96635109481325565</v>
      </c>
      <c r="BT256" s="91">
        <f t="shared" si="199"/>
        <v>0.96783463377253642</v>
      </c>
      <c r="BU256" s="91">
        <f t="shared" si="199"/>
        <v>0.96898722789367298</v>
      </c>
    </row>
    <row r="257" spans="1:89" s="88" customFormat="1" ht="14.25">
      <c r="A257" s="4" t="s">
        <v>107</v>
      </c>
      <c r="C257" s="89">
        <f t="shared" si="201"/>
        <v>0.99940594595293009</v>
      </c>
      <c r="D257" s="89">
        <f t="shared" si="201"/>
        <v>0.99959913985779159</v>
      </c>
      <c r="E257" s="89">
        <f t="shared" si="201"/>
        <v>0.99959913985779159</v>
      </c>
      <c r="F257" s="89">
        <f t="shared" si="201"/>
        <v>0.91007624701609946</v>
      </c>
      <c r="G257" s="89">
        <f t="shared" si="201"/>
        <v>0.99958097609370811</v>
      </c>
      <c r="H257" s="89">
        <f t="shared" si="201"/>
        <v>0.95268284257736935</v>
      </c>
      <c r="I257" s="89">
        <f t="shared" si="201"/>
        <v>0.91739448172360105</v>
      </c>
      <c r="J257" s="89">
        <f t="shared" si="201"/>
        <v>0.9352346550172419</v>
      </c>
      <c r="K257" s="89">
        <f t="shared" si="201"/>
        <v>0.92330701096989753</v>
      </c>
      <c r="L257" s="89">
        <f t="shared" si="201"/>
        <v>0.92891100963900963</v>
      </c>
      <c r="M257" s="88">
        <f t="shared" si="201"/>
        <v>0.94925171878037962</v>
      </c>
      <c r="N257" s="88">
        <f t="shared" si="201"/>
        <v>0.95261357550583514</v>
      </c>
      <c r="O257" s="88">
        <f t="shared" si="201"/>
        <v>0.94406711178942793</v>
      </c>
      <c r="P257" s="88">
        <f t="shared" si="201"/>
        <v>0.92050985216730385</v>
      </c>
      <c r="Q257" s="88">
        <f t="shared" si="201"/>
        <v>0.96085756415333912</v>
      </c>
      <c r="R257" s="88">
        <f t="shared" si="201"/>
        <v>0.9198135006110999</v>
      </c>
      <c r="S257" s="88">
        <f t="shared" si="201"/>
        <v>0.96457450669608791</v>
      </c>
      <c r="T257" s="88">
        <f t="shared" si="201"/>
        <v>0.98392084106369815</v>
      </c>
      <c r="U257" s="88">
        <f t="shared" si="201"/>
        <v>0.97033741666560425</v>
      </c>
      <c r="V257" s="88">
        <f t="shared" si="201"/>
        <v>0.94069961510950661</v>
      </c>
      <c r="W257" s="88">
        <f t="shared" si="201"/>
        <v>0.96612457477775537</v>
      </c>
      <c r="X257" s="88">
        <f t="shared" si="201"/>
        <v>0.9534939374601149</v>
      </c>
      <c r="Y257" s="88">
        <f t="shared" si="201"/>
        <v>0.95471525108943034</v>
      </c>
      <c r="Z257" s="88">
        <f t="shared" si="201"/>
        <v>0.97501873560640473</v>
      </c>
      <c r="AA257" s="88">
        <f t="shared" si="201"/>
        <v>0.98133031498280376</v>
      </c>
      <c r="AB257" s="88">
        <f t="shared" si="201"/>
        <v>0.98513607047804952</v>
      </c>
      <c r="AC257" s="88">
        <f t="shared" si="201"/>
        <v>0.98308570391903127</v>
      </c>
      <c r="AD257" s="88">
        <f t="shared" si="201"/>
        <v>0.98113295357235941</v>
      </c>
      <c r="AE257" s="90">
        <f t="shared" si="201"/>
        <v>0.98350918163042733</v>
      </c>
      <c r="AF257" s="90">
        <f t="shared" si="201"/>
        <v>0.98098301353968476</v>
      </c>
      <c r="AG257" s="90">
        <f t="shared" si="201"/>
        <v>1.008140865942071</v>
      </c>
      <c r="AH257" s="90">
        <f t="shared" si="201"/>
        <v>0.97878300120240924</v>
      </c>
      <c r="AI257" s="90">
        <f t="shared" si="201"/>
        <v>0.98682001236051131</v>
      </c>
      <c r="AJ257" s="90">
        <f t="shared" si="201"/>
        <v>0.98035932144742766</v>
      </c>
      <c r="AK257" s="90">
        <f t="shared" si="201"/>
        <v>0.97354615248053489</v>
      </c>
      <c r="AL257" s="90">
        <f t="shared" si="201"/>
        <v>0.9743029870230715</v>
      </c>
      <c r="AM257" s="90">
        <f t="shared" si="201"/>
        <v>0.97720575783234565</v>
      </c>
      <c r="AN257" s="90">
        <f t="shared" si="201"/>
        <v>0.98099535294507956</v>
      </c>
      <c r="AO257" s="90">
        <f t="shared" si="201"/>
        <v>0.97811011821824234</v>
      </c>
      <c r="AP257" s="90">
        <f t="shared" si="201"/>
        <v>0.97747140755762052</v>
      </c>
      <c r="AQ257" s="90">
        <f t="shared" si="201"/>
        <v>0.97672782433956185</v>
      </c>
      <c r="AR257" s="90">
        <f t="shared" si="201"/>
        <v>0.97162336817419492</v>
      </c>
      <c r="AS257" s="90">
        <f t="shared" si="201"/>
        <v>0.96951274352349692</v>
      </c>
      <c r="AT257" s="90">
        <f t="shared" si="201"/>
        <v>0.978807305632449</v>
      </c>
      <c r="AU257" s="90">
        <f t="shared" si="201"/>
        <v>0.98436968489307897</v>
      </c>
      <c r="AV257" s="90">
        <f t="shared" si="201"/>
        <v>0.96927031070430769</v>
      </c>
      <c r="AW257" s="90">
        <f t="shared" si="201"/>
        <v>0.96447380830349605</v>
      </c>
      <c r="AX257" s="90">
        <f t="shared" si="201"/>
        <v>0.97362471461163691</v>
      </c>
      <c r="AY257" s="90">
        <f t="shared" si="201"/>
        <v>0.96952425437359013</v>
      </c>
      <c r="AZ257" s="90">
        <f t="shared" si="201"/>
        <v>0.95491891723032363</v>
      </c>
      <c r="BA257" s="90">
        <f t="shared" si="201"/>
        <v>0.95316505029967591</v>
      </c>
      <c r="BB257" s="90">
        <f t="shared" si="201"/>
        <v>0.96614730415695993</v>
      </c>
      <c r="BC257" s="90">
        <f t="shared" si="201"/>
        <v>0.9499021308876483</v>
      </c>
      <c r="BD257" s="90">
        <f t="shared" si="201"/>
        <v>0.95675647277601028</v>
      </c>
      <c r="BE257" s="90">
        <f t="shared" si="201"/>
        <v>0.94627158535779465</v>
      </c>
      <c r="BF257" s="90">
        <f t="shared" si="201"/>
        <v>0.95297583208041847</v>
      </c>
      <c r="BG257" s="90">
        <f t="shared" si="201"/>
        <v>0.9522615782591306</v>
      </c>
      <c r="BH257" s="90">
        <f t="shared" si="201"/>
        <v>0.94350595972755724</v>
      </c>
      <c r="BI257" s="90">
        <f t="shared" si="201"/>
        <v>0.96098345573417399</v>
      </c>
      <c r="BJ257" s="91">
        <f t="shared" si="201"/>
        <v>0.95632119743243837</v>
      </c>
      <c r="BK257" s="91">
        <f t="shared" si="201"/>
        <v>0.95487694397514356</v>
      </c>
      <c r="BL257" s="91">
        <f t="shared" si="201"/>
        <v>0.95691821552406064</v>
      </c>
      <c r="BM257" s="91">
        <f t="shared" si="201"/>
        <v>0.95755191948896912</v>
      </c>
      <c r="BN257" s="91">
        <f t="shared" si="201"/>
        <v>0.95910413191061228</v>
      </c>
      <c r="BO257" s="91">
        <f t="shared" si="200"/>
        <v>0.96222711696950369</v>
      </c>
      <c r="BP257" s="91">
        <f t="shared" si="199"/>
        <v>0.96276189496282427</v>
      </c>
      <c r="BQ257" s="91">
        <f t="shared" si="199"/>
        <v>0.96375231689742313</v>
      </c>
      <c r="BR257" s="91">
        <f t="shared" si="199"/>
        <v>0.96563431683634782</v>
      </c>
      <c r="BS257" s="91">
        <f t="shared" si="199"/>
        <v>0.96741999256142419</v>
      </c>
      <c r="BT257" s="91">
        <f t="shared" si="199"/>
        <v>0.9689088084640376</v>
      </c>
      <c r="BU257" s="91">
        <f t="shared" si="199"/>
        <v>0.97008457633075829</v>
      </c>
    </row>
    <row r="258" spans="1:89" s="88" customFormat="1" ht="14.25">
      <c r="A258" s="4" t="s">
        <v>108</v>
      </c>
      <c r="C258" s="89">
        <f t="shared" si="201"/>
        <v>1.0157568548039722</v>
      </c>
      <c r="D258" s="89">
        <f t="shared" si="201"/>
        <v>1.0152968108373137</v>
      </c>
      <c r="E258" s="89">
        <f t="shared" si="201"/>
        <v>1.0152968108373137</v>
      </c>
      <c r="F258" s="89">
        <f t="shared" si="201"/>
        <v>0.92521320319044986</v>
      </c>
      <c r="G258" s="89">
        <f t="shared" si="201"/>
        <v>1.015266988591913</v>
      </c>
      <c r="H258" s="89">
        <f t="shared" si="201"/>
        <v>0.96807181632582218</v>
      </c>
      <c r="I258" s="89">
        <f t="shared" si="201"/>
        <v>0.93287563686418262</v>
      </c>
      <c r="J258" s="89">
        <f t="shared" si="201"/>
        <v>0.95074336353451872</v>
      </c>
      <c r="K258" s="89">
        <f t="shared" si="201"/>
        <v>0.93901938120400097</v>
      </c>
      <c r="L258" s="89">
        <f t="shared" si="201"/>
        <v>0.94421668818065785</v>
      </c>
      <c r="M258" s="88">
        <f t="shared" si="201"/>
        <v>0.9603210950277139</v>
      </c>
      <c r="N258" s="88">
        <f t="shared" si="201"/>
        <v>0.94602221666726594</v>
      </c>
      <c r="O258" s="88">
        <f t="shared" si="201"/>
        <v>0.94508141082551267</v>
      </c>
      <c r="P258" s="88">
        <f t="shared" si="201"/>
        <v>0.97083046393265682</v>
      </c>
      <c r="Q258" s="88">
        <f t="shared" si="201"/>
        <v>0.96893909517472931</v>
      </c>
      <c r="R258" s="88">
        <f t="shared" si="201"/>
        <v>0.93894343197837093</v>
      </c>
      <c r="S258" s="88">
        <f t="shared" si="201"/>
        <v>0.98065372519173022</v>
      </c>
      <c r="T258" s="88">
        <f t="shared" si="201"/>
        <v>0.92029228607971814</v>
      </c>
      <c r="U258" s="88">
        <f t="shared" si="201"/>
        <v>0.94942347221209022</v>
      </c>
      <c r="V258" s="88">
        <f t="shared" si="201"/>
        <v>0.96663463135066596</v>
      </c>
      <c r="W258" s="88">
        <f t="shared" si="201"/>
        <v>0.9930556650572544</v>
      </c>
      <c r="X258" s="88">
        <f t="shared" si="201"/>
        <v>0.96153857089646677</v>
      </c>
      <c r="Y258" s="88">
        <f t="shared" si="201"/>
        <v>0.9573538938241517</v>
      </c>
      <c r="Z258" s="88">
        <f t="shared" si="201"/>
        <v>0.97918557434606068</v>
      </c>
      <c r="AA258" s="88">
        <f t="shared" si="201"/>
        <v>0.98511414215277104</v>
      </c>
      <c r="AB258" s="88">
        <f t="shared" si="201"/>
        <v>0.9833605134149781</v>
      </c>
      <c r="AC258" s="88">
        <f t="shared" si="201"/>
        <v>0.99221365381405446</v>
      </c>
      <c r="AD258" s="88">
        <f t="shared" si="201"/>
        <v>1.0303359817299855</v>
      </c>
      <c r="AE258" s="90">
        <f t="shared" si="201"/>
        <v>0.9812699363120122</v>
      </c>
      <c r="AF258" s="90">
        <f t="shared" si="201"/>
        <v>0.9779289311583298</v>
      </c>
      <c r="AG258" s="90">
        <f t="shared" si="201"/>
        <v>1.0042510180397897</v>
      </c>
      <c r="AH258" s="90">
        <f t="shared" si="201"/>
        <v>0.97407872153231523</v>
      </c>
      <c r="AI258" s="90">
        <f t="shared" si="201"/>
        <v>0.99603928342026826</v>
      </c>
      <c r="AJ258" s="90">
        <f t="shared" si="201"/>
        <v>0.97878840792634847</v>
      </c>
      <c r="AK258" s="90">
        <f t="shared" si="201"/>
        <v>0.9392642332157829</v>
      </c>
      <c r="AL258" s="90">
        <f t="shared" si="201"/>
        <v>0.97778188831407686</v>
      </c>
      <c r="AM258" s="90">
        <f t="shared" si="201"/>
        <v>0.98327333697748631</v>
      </c>
      <c r="AN258" s="90">
        <f t="shared" si="201"/>
        <v>0.98369120803401988</v>
      </c>
      <c r="AO258" s="90">
        <f t="shared" si="201"/>
        <v>0.98277156738629889</v>
      </c>
      <c r="AP258" s="90">
        <f t="shared" si="201"/>
        <v>0.97993548001982833</v>
      </c>
      <c r="AQ258" s="90">
        <f t="shared" si="201"/>
        <v>0.97162198321747784</v>
      </c>
      <c r="AR258" s="90">
        <f t="shared" si="201"/>
        <v>0.97352364552583714</v>
      </c>
      <c r="AS258" s="90">
        <f t="shared" si="201"/>
        <v>0.97120351149209239</v>
      </c>
      <c r="AT258" s="90">
        <f t="shared" si="201"/>
        <v>0.92611732315903372</v>
      </c>
      <c r="AU258" s="90">
        <f t="shared" si="201"/>
        <v>0.98436423359932057</v>
      </c>
      <c r="AV258" s="90">
        <f t="shared" si="201"/>
        <v>0.97573473297304036</v>
      </c>
      <c r="AW258" s="90">
        <f t="shared" si="201"/>
        <v>0.96491738441498154</v>
      </c>
      <c r="AX258" s="90">
        <f t="shared" si="201"/>
        <v>0.96885146625370666</v>
      </c>
      <c r="AY258" s="90">
        <f t="shared" si="201"/>
        <v>0.98401831505148629</v>
      </c>
      <c r="AZ258" s="90">
        <f t="shared" si="201"/>
        <v>0.95581461786360467</v>
      </c>
      <c r="BA258" s="90">
        <f t="shared" si="201"/>
        <v>0.96352727063456456</v>
      </c>
      <c r="BB258" s="90">
        <f t="shared" si="201"/>
        <v>0.95978145805998905</v>
      </c>
      <c r="BC258" s="90">
        <f t="shared" si="201"/>
        <v>0.95334573056251093</v>
      </c>
      <c r="BD258" s="90">
        <f t="shared" si="201"/>
        <v>0.95041007430004454</v>
      </c>
      <c r="BE258" s="90">
        <f t="shared" si="201"/>
        <v>0.94083922375892082</v>
      </c>
      <c r="BF258" s="90">
        <f t="shared" si="201"/>
        <v>0.9503056082105763</v>
      </c>
      <c r="BG258" s="90">
        <f t="shared" si="201"/>
        <v>0.93858948071994919</v>
      </c>
      <c r="BH258" s="90">
        <f t="shared" si="201"/>
        <v>0.94270013335701441</v>
      </c>
      <c r="BI258" s="90">
        <f t="shared" si="201"/>
        <v>0.96069655489621586</v>
      </c>
      <c r="BJ258" s="91">
        <f t="shared" si="201"/>
        <v>0.9514489689640151</v>
      </c>
      <c r="BK258" s="91">
        <f t="shared" si="201"/>
        <v>0.95041493893034013</v>
      </c>
      <c r="BL258" s="91">
        <f t="shared" si="201"/>
        <v>0.95219620246276837</v>
      </c>
      <c r="BM258" s="91">
        <f t="shared" si="201"/>
        <v>0.95223264603602287</v>
      </c>
      <c r="BN258" s="91">
        <f t="shared" ref="BN258:BO261" si="202">BN242+BN131</f>
        <v>0.95465241765239872</v>
      </c>
      <c r="BO258" s="91">
        <f t="shared" si="202"/>
        <v>0.95740905826406475</v>
      </c>
      <c r="BP258" s="91">
        <f t="shared" si="199"/>
        <v>0.95769649552783542</v>
      </c>
      <c r="BQ258" s="91">
        <f t="shared" si="199"/>
        <v>0.95871407488304206</v>
      </c>
      <c r="BR258" s="91">
        <f t="shared" si="199"/>
        <v>0.96080905570313191</v>
      </c>
      <c r="BS258" s="91">
        <f t="shared" si="199"/>
        <v>0.96251944520027621</v>
      </c>
      <c r="BT258" s="91">
        <f t="shared" si="199"/>
        <v>0.96401283148897399</v>
      </c>
      <c r="BU258" s="91">
        <f t="shared" si="199"/>
        <v>0.96512398220827755</v>
      </c>
    </row>
    <row r="259" spans="1:89" s="88" customFormat="1" ht="14.25">
      <c r="A259" s="4" t="s">
        <v>109</v>
      </c>
      <c r="C259" s="89">
        <f t="shared" ref="C259:BN262" si="203">C243+C132</f>
        <v>1.0071088302483207</v>
      </c>
      <c r="D259" s="89">
        <f t="shared" si="203"/>
        <v>1.0061777311830151</v>
      </c>
      <c r="E259" s="89">
        <f t="shared" si="203"/>
        <v>1.0061777311830151</v>
      </c>
      <c r="F259" s="89">
        <f t="shared" si="203"/>
        <v>0.91580167207423657</v>
      </c>
      <c r="G259" s="89">
        <f t="shared" si="203"/>
        <v>1.0061630004858266</v>
      </c>
      <c r="H259" s="89">
        <f t="shared" si="203"/>
        <v>0.95881895122965055</v>
      </c>
      <c r="I259" s="89">
        <f t="shared" si="203"/>
        <v>0.92376173312298238</v>
      </c>
      <c r="J259" s="89">
        <f t="shared" si="203"/>
        <v>0.94165359653421721</v>
      </c>
      <c r="K259" s="89">
        <f t="shared" si="203"/>
        <v>0.93043758503606311</v>
      </c>
      <c r="L259" s="89">
        <f t="shared" si="203"/>
        <v>0.93553875362445682</v>
      </c>
      <c r="M259" s="88">
        <f t="shared" si="203"/>
        <v>0.95905991135738755</v>
      </c>
      <c r="N259" s="88">
        <f t="shared" si="203"/>
        <v>0.95158160173356177</v>
      </c>
      <c r="O259" s="88">
        <f t="shared" si="203"/>
        <v>0.94962348302586508</v>
      </c>
      <c r="P259" s="88">
        <f t="shared" si="203"/>
        <v>0.94866763789008979</v>
      </c>
      <c r="Q259" s="88">
        <f t="shared" si="203"/>
        <v>0.95182616957213739</v>
      </c>
      <c r="R259" s="88">
        <f t="shared" si="203"/>
        <v>0.94846738655787199</v>
      </c>
      <c r="S259" s="88">
        <f t="shared" si="203"/>
        <v>0.86418579350039249</v>
      </c>
      <c r="T259" s="88">
        <f t="shared" si="203"/>
        <v>0.89835534201173561</v>
      </c>
      <c r="U259" s="88">
        <f t="shared" si="203"/>
        <v>0.9542651158861134</v>
      </c>
      <c r="V259" s="88">
        <f t="shared" si="203"/>
        <v>0.84756205673758866</v>
      </c>
      <c r="W259" s="88">
        <f t="shared" si="203"/>
        <v>0.95718761659451856</v>
      </c>
      <c r="X259" s="88">
        <f t="shared" si="203"/>
        <v>0.98419994481018658</v>
      </c>
      <c r="Y259" s="88">
        <f t="shared" si="203"/>
        <v>0.96954834132598422</v>
      </c>
      <c r="Z259" s="88">
        <f t="shared" si="203"/>
        <v>0.95698414694082812</v>
      </c>
      <c r="AA259" s="88">
        <f t="shared" si="203"/>
        <v>0.98035143007210046</v>
      </c>
      <c r="AB259" s="88">
        <f t="shared" si="203"/>
        <v>0.98826039101771268</v>
      </c>
      <c r="AC259" s="88">
        <f t="shared" si="203"/>
        <v>0.97932892717328568</v>
      </c>
      <c r="AD259" s="88">
        <f t="shared" si="203"/>
        <v>0.98412596726065049</v>
      </c>
      <c r="AE259" s="90">
        <f t="shared" si="203"/>
        <v>0.97042504660558304</v>
      </c>
      <c r="AF259" s="90">
        <f t="shared" si="203"/>
        <v>0.98061663172176827</v>
      </c>
      <c r="AG259" s="90">
        <f t="shared" si="203"/>
        <v>1.0101943040903418</v>
      </c>
      <c r="AH259" s="90">
        <f t="shared" si="203"/>
        <v>0.97834558938872496</v>
      </c>
      <c r="AI259" s="90">
        <f t="shared" si="203"/>
        <v>0.98101871794663398</v>
      </c>
      <c r="AJ259" s="90">
        <f t="shared" si="203"/>
        <v>0.97932070122850046</v>
      </c>
      <c r="AK259" s="90">
        <f t="shared" si="203"/>
        <v>0.96708715757763453</v>
      </c>
      <c r="AL259" s="90">
        <f t="shared" si="203"/>
        <v>0.97461938181893459</v>
      </c>
      <c r="AM259" s="90">
        <f t="shared" si="203"/>
        <v>0.9862997350794761</v>
      </c>
      <c r="AN259" s="90">
        <f t="shared" si="203"/>
        <v>0.98693403444616268</v>
      </c>
      <c r="AO259" s="90">
        <f t="shared" si="203"/>
        <v>0.97795359317707409</v>
      </c>
      <c r="AP259" s="90">
        <f t="shared" si="203"/>
        <v>0.97931155439380857</v>
      </c>
      <c r="AQ259" s="90">
        <f t="shared" si="203"/>
        <v>0.97917552932295238</v>
      </c>
      <c r="AR259" s="90">
        <f t="shared" si="203"/>
        <v>0.97422962556943316</v>
      </c>
      <c r="AS259" s="90">
        <f t="shared" si="203"/>
        <v>0.96507379345389932</v>
      </c>
      <c r="AT259" s="90">
        <f t="shared" si="203"/>
        <v>0.93511078682661719</v>
      </c>
      <c r="AU259" s="90">
        <f t="shared" si="203"/>
        <v>0.97706957820986529</v>
      </c>
      <c r="AV259" s="90">
        <f t="shared" si="203"/>
        <v>0.96803259269760922</v>
      </c>
      <c r="AW259" s="90">
        <f t="shared" si="203"/>
        <v>0.96684301269684392</v>
      </c>
      <c r="AX259" s="90">
        <f t="shared" si="203"/>
        <v>0.97305463383791302</v>
      </c>
      <c r="AY259" s="90">
        <f t="shared" si="203"/>
        <v>0.97016511860903243</v>
      </c>
      <c r="AZ259" s="90">
        <f t="shared" si="203"/>
        <v>0.95569801613205707</v>
      </c>
      <c r="BA259" s="90">
        <f t="shared" si="203"/>
        <v>0.97046125013544637</v>
      </c>
      <c r="BB259" s="90">
        <f t="shared" si="203"/>
        <v>0.96421871283340055</v>
      </c>
      <c r="BC259" s="90">
        <f t="shared" si="203"/>
        <v>0.96203885241808762</v>
      </c>
      <c r="BD259" s="90">
        <f t="shared" si="203"/>
        <v>0.95859890503061795</v>
      </c>
      <c r="BE259" s="90">
        <f t="shared" si="203"/>
        <v>0.94610110709979189</v>
      </c>
      <c r="BF259" s="90">
        <f t="shared" si="203"/>
        <v>0.91591994039571678</v>
      </c>
      <c r="BG259" s="90">
        <f t="shared" si="203"/>
        <v>0.94602291652224779</v>
      </c>
      <c r="BH259" s="90">
        <f t="shared" si="203"/>
        <v>0.93974863971501654</v>
      </c>
      <c r="BI259" s="90">
        <f t="shared" si="203"/>
        <v>0.96020403111031982</v>
      </c>
      <c r="BJ259" s="91">
        <f t="shared" si="203"/>
        <v>0.94919457805896135</v>
      </c>
      <c r="BK259" s="91">
        <f t="shared" si="203"/>
        <v>0.94970084124149523</v>
      </c>
      <c r="BL259" s="91">
        <f t="shared" si="203"/>
        <v>0.94955363170912566</v>
      </c>
      <c r="BM259" s="91">
        <f t="shared" si="203"/>
        <v>0.95270227782377392</v>
      </c>
      <c r="BN259" s="91">
        <f t="shared" si="203"/>
        <v>0.95387918288606621</v>
      </c>
      <c r="BO259" s="91">
        <f t="shared" si="202"/>
        <v>0.95564877080535837</v>
      </c>
      <c r="BP259" s="91">
        <f t="shared" si="199"/>
        <v>0.95656827952950585</v>
      </c>
      <c r="BQ259" s="91">
        <f t="shared" si="199"/>
        <v>0.95801631134508436</v>
      </c>
      <c r="BR259" s="91">
        <f t="shared" si="199"/>
        <v>0.95995460767545582</v>
      </c>
      <c r="BS259" s="91">
        <f t="shared" si="199"/>
        <v>0.96138928036767557</v>
      </c>
      <c r="BT259" s="91">
        <f t="shared" si="199"/>
        <v>0.96271125451832584</v>
      </c>
      <c r="BU259" s="91">
        <f t="shared" si="199"/>
        <v>0.96419883676395202</v>
      </c>
    </row>
    <row r="260" spans="1:89" s="88" customFormat="1" ht="14.25">
      <c r="A260" s="4" t="s">
        <v>110</v>
      </c>
      <c r="C260" s="89">
        <f t="shared" si="203"/>
        <v>1.0207546244290595</v>
      </c>
      <c r="D260" s="89">
        <f t="shared" si="203"/>
        <v>1.0202670476322204</v>
      </c>
      <c r="E260" s="89">
        <f t="shared" si="203"/>
        <v>1.0202670476322204</v>
      </c>
      <c r="F260" s="89">
        <f t="shared" si="203"/>
        <v>0.92911522619593956</v>
      </c>
      <c r="G260" s="89">
        <f t="shared" si="203"/>
        <v>1.0202455199759386</v>
      </c>
      <c r="H260" s="89">
        <f t="shared" si="203"/>
        <v>0.97249317703609184</v>
      </c>
      <c r="I260" s="89">
        <f t="shared" si="203"/>
        <v>0.93690118057334437</v>
      </c>
      <c r="J260" s="89">
        <f t="shared" si="203"/>
        <v>0.95498815972671514</v>
      </c>
      <c r="K260" s="89">
        <f t="shared" si="203"/>
        <v>0.94326788836339581</v>
      </c>
      <c r="L260" s="89">
        <f t="shared" si="203"/>
        <v>0.94859045992877666</v>
      </c>
      <c r="M260" s="88">
        <f t="shared" si="203"/>
        <v>0.99438615035645572</v>
      </c>
      <c r="N260" s="88">
        <f t="shared" si="203"/>
        <v>0.9445914047200189</v>
      </c>
      <c r="O260" s="88">
        <f t="shared" si="203"/>
        <v>0.96373750329156471</v>
      </c>
      <c r="P260" s="88">
        <f t="shared" si="203"/>
        <v>0.96352722948370484</v>
      </c>
      <c r="Q260" s="88">
        <f t="shared" si="203"/>
        <v>0.9686707575029212</v>
      </c>
      <c r="R260" s="88">
        <f t="shared" si="203"/>
        <v>1.0053408383784246</v>
      </c>
      <c r="S260" s="88">
        <f t="shared" si="203"/>
        <v>0.93017044689706196</v>
      </c>
      <c r="T260" s="88">
        <f t="shared" si="203"/>
        <v>0.96929330550007264</v>
      </c>
      <c r="U260" s="88">
        <f t="shared" si="203"/>
        <v>0.95977865425340225</v>
      </c>
      <c r="V260" s="88">
        <f t="shared" si="203"/>
        <v>0.98584823451497083</v>
      </c>
      <c r="W260" s="88">
        <f t="shared" si="203"/>
        <v>0.96413962974933953</v>
      </c>
      <c r="X260" s="88">
        <f t="shared" si="203"/>
        <v>0.99121750126957886</v>
      </c>
      <c r="Y260" s="88">
        <f t="shared" si="203"/>
        <v>0.97866992307623746</v>
      </c>
      <c r="Z260" s="88">
        <f t="shared" si="203"/>
        <v>0.97149184312625625</v>
      </c>
      <c r="AA260" s="88">
        <f t="shared" si="203"/>
        <v>0.98329445624296441</v>
      </c>
      <c r="AB260" s="88">
        <f t="shared" si="203"/>
        <v>0.99598806745061608</v>
      </c>
      <c r="AC260" s="88">
        <f t="shared" si="203"/>
        <v>0.98834731131844955</v>
      </c>
      <c r="AD260" s="88">
        <f t="shared" si="203"/>
        <v>0.97912079346830594</v>
      </c>
      <c r="AE260" s="90">
        <f t="shared" si="203"/>
        <v>0.98198111271415134</v>
      </c>
      <c r="AF260" s="90">
        <f t="shared" si="203"/>
        <v>0.94709051902095986</v>
      </c>
      <c r="AG260" s="90">
        <f t="shared" si="203"/>
        <v>1.0153639593259538</v>
      </c>
      <c r="AH260" s="90">
        <f t="shared" si="203"/>
        <v>0.98210688933648826</v>
      </c>
      <c r="AI260" s="90">
        <f t="shared" si="203"/>
        <v>0.97810478398500278</v>
      </c>
      <c r="AJ260" s="90">
        <f t="shared" si="203"/>
        <v>0.97958645758412344</v>
      </c>
      <c r="AK260" s="90">
        <f t="shared" si="203"/>
        <v>0.97404224589276045</v>
      </c>
      <c r="AL260" s="90">
        <f t="shared" si="203"/>
        <v>0.98097018142268799</v>
      </c>
      <c r="AM260" s="90">
        <f t="shared" si="203"/>
        <v>0.98642123795080972</v>
      </c>
      <c r="AN260" s="90">
        <f t="shared" si="203"/>
        <v>0.98186775957003136</v>
      </c>
      <c r="AO260" s="90">
        <f t="shared" si="203"/>
        <v>0.97882537849693008</v>
      </c>
      <c r="AP260" s="90">
        <f t="shared" si="203"/>
        <v>0.9840264115456876</v>
      </c>
      <c r="AQ260" s="90">
        <f t="shared" si="203"/>
        <v>0.9759244014705406</v>
      </c>
      <c r="AR260" s="90">
        <f t="shared" si="203"/>
        <v>0.96165693839457655</v>
      </c>
      <c r="AS260" s="90">
        <f t="shared" si="203"/>
        <v>0.96851050205092171</v>
      </c>
      <c r="AT260" s="90">
        <f t="shared" si="203"/>
        <v>0.97300498648045419</v>
      </c>
      <c r="AU260" s="90">
        <f t="shared" si="203"/>
        <v>0.97427677609301</v>
      </c>
      <c r="AV260" s="90">
        <f t="shared" si="203"/>
        <v>0.97431501287713862</v>
      </c>
      <c r="AW260" s="90">
        <f t="shared" si="203"/>
        <v>0.97068372123281088</v>
      </c>
      <c r="AX260" s="90">
        <f t="shared" si="203"/>
        <v>0.97252870724636331</v>
      </c>
      <c r="AY260" s="90">
        <f t="shared" si="203"/>
        <v>0.96024501652901373</v>
      </c>
      <c r="AZ260" s="90">
        <f t="shared" si="203"/>
        <v>0.95443812206300338</v>
      </c>
      <c r="BA260" s="90">
        <f t="shared" si="203"/>
        <v>0.96693873135868436</v>
      </c>
      <c r="BB260" s="90">
        <f t="shared" si="203"/>
        <v>0.96731387672209745</v>
      </c>
      <c r="BC260" s="90">
        <f t="shared" si="203"/>
        <v>0.94602259853971915</v>
      </c>
      <c r="BD260" s="90">
        <f t="shared" si="203"/>
        <v>0.95005300180782615</v>
      </c>
      <c r="BE260" s="90">
        <f t="shared" si="203"/>
        <v>0.93942940084504489</v>
      </c>
      <c r="BF260" s="90">
        <f t="shared" si="203"/>
        <v>0.96182203229728713</v>
      </c>
      <c r="BG260" s="90">
        <f t="shared" si="203"/>
        <v>0.94723319820594465</v>
      </c>
      <c r="BH260" s="90">
        <f t="shared" si="203"/>
        <v>0.95668049678066558</v>
      </c>
      <c r="BI260" s="90">
        <f t="shared" si="203"/>
        <v>0.96601807994359801</v>
      </c>
      <c r="BJ260" s="91">
        <f t="shared" si="203"/>
        <v>0.95732223226481239</v>
      </c>
      <c r="BK260" s="91">
        <f t="shared" si="203"/>
        <v>0.96026336285820457</v>
      </c>
      <c r="BL260" s="91">
        <f t="shared" si="203"/>
        <v>0.96295429042008696</v>
      </c>
      <c r="BM260" s="91">
        <f t="shared" si="203"/>
        <v>0.96243473394039269</v>
      </c>
      <c r="BN260" s="91">
        <f t="shared" si="203"/>
        <v>0.96612944417714097</v>
      </c>
      <c r="BO260" s="91">
        <f t="shared" si="202"/>
        <v>0.96735339355152705</v>
      </c>
      <c r="BP260" s="91">
        <f t="shared" si="199"/>
        <v>0.96811645377508659</v>
      </c>
      <c r="BQ260" s="91">
        <f t="shared" si="199"/>
        <v>0.96950070542837175</v>
      </c>
      <c r="BR260" s="91">
        <f t="shared" si="199"/>
        <v>0.9714075744802837</v>
      </c>
      <c r="BS260" s="91">
        <f t="shared" si="199"/>
        <v>0.97287938111726324</v>
      </c>
      <c r="BT260" s="91">
        <f t="shared" si="199"/>
        <v>0.97442577009007236</v>
      </c>
      <c r="BU260" s="91">
        <f t="shared" si="199"/>
        <v>0.97559188246606265</v>
      </c>
    </row>
    <row r="261" spans="1:89" s="88" customFormat="1" ht="14.25">
      <c r="A261" s="4" t="s">
        <v>111</v>
      </c>
      <c r="C261" s="89">
        <f t="shared" si="203"/>
        <v>1.0130865555589075</v>
      </c>
      <c r="D261" s="89">
        <f t="shared" si="203"/>
        <v>1.012759630021993</v>
      </c>
      <c r="E261" s="89">
        <f t="shared" si="203"/>
        <v>1.012759630021993</v>
      </c>
      <c r="F261" s="89">
        <f t="shared" si="203"/>
        <v>0.92167765420445058</v>
      </c>
      <c r="G261" s="89">
        <f t="shared" si="203"/>
        <v>1.01274634679778</v>
      </c>
      <c r="H261" s="89">
        <f t="shared" si="203"/>
        <v>0.96503294521024452</v>
      </c>
      <c r="I261" s="89">
        <f t="shared" si="203"/>
        <v>0.9293980735638373</v>
      </c>
      <c r="J261" s="89">
        <f t="shared" si="203"/>
        <v>0.94749791609247114</v>
      </c>
      <c r="K261" s="89">
        <f t="shared" si="203"/>
        <v>0.93579813255560373</v>
      </c>
      <c r="L261" s="89">
        <f t="shared" si="203"/>
        <v>0.94127175434258781</v>
      </c>
      <c r="M261" s="88">
        <f t="shared" si="203"/>
        <v>0.94237735859669547</v>
      </c>
      <c r="N261" s="88">
        <f t="shared" si="203"/>
        <v>0.92715682643179287</v>
      </c>
      <c r="O261" s="88">
        <f t="shared" si="203"/>
        <v>0.97786271073057385</v>
      </c>
      <c r="P261" s="88">
        <f t="shared" si="203"/>
        <v>0.96131651182502731</v>
      </c>
      <c r="Q261" s="88">
        <f t="shared" si="203"/>
        <v>0.9676469839345504</v>
      </c>
      <c r="R261" s="88">
        <f t="shared" si="203"/>
        <v>0.92958070011501248</v>
      </c>
      <c r="S261" s="88">
        <f t="shared" si="203"/>
        <v>0.97150544305599085</v>
      </c>
      <c r="T261" s="88">
        <f t="shared" si="203"/>
        <v>0.96487901769591899</v>
      </c>
      <c r="U261" s="88">
        <f t="shared" si="203"/>
        <v>0.97889598905892627</v>
      </c>
      <c r="V261" s="88">
        <f t="shared" si="203"/>
        <v>0.96546940161595574</v>
      </c>
      <c r="W261" s="88">
        <f t="shared" si="203"/>
        <v>0.97876358774940708</v>
      </c>
      <c r="X261" s="88">
        <f t="shared" si="203"/>
        <v>0.969462957085934</v>
      </c>
      <c r="Y261" s="88">
        <f t="shared" si="203"/>
        <v>0.97939118582462514</v>
      </c>
      <c r="Z261" s="88">
        <f t="shared" si="203"/>
        <v>1.0273642811675912</v>
      </c>
      <c r="AA261" s="88">
        <f t="shared" si="203"/>
        <v>0.98271209794324921</v>
      </c>
      <c r="AB261" s="88">
        <f t="shared" si="203"/>
        <v>0.95762045703280008</v>
      </c>
      <c r="AC261" s="88">
        <f t="shared" si="203"/>
        <v>0.99743886207499222</v>
      </c>
      <c r="AD261" s="88">
        <f t="shared" si="203"/>
        <v>0.97487462587296314</v>
      </c>
      <c r="AE261" s="90">
        <f t="shared" si="203"/>
        <v>1.003524614392665</v>
      </c>
      <c r="AF261" s="90">
        <f t="shared" si="203"/>
        <v>0.98002446070919103</v>
      </c>
      <c r="AG261" s="90">
        <f t="shared" si="203"/>
        <v>1.0016731791079083</v>
      </c>
      <c r="AH261" s="90">
        <f t="shared" si="203"/>
        <v>0.99096143564536587</v>
      </c>
      <c r="AI261" s="90">
        <f t="shared" si="203"/>
        <v>0.98823147376534137</v>
      </c>
      <c r="AJ261" s="90">
        <f t="shared" si="203"/>
        <v>0.98015079224260915</v>
      </c>
      <c r="AK261" s="90">
        <f t="shared" si="203"/>
        <v>0.9734668644026605</v>
      </c>
      <c r="AL261" s="90">
        <f t="shared" si="203"/>
        <v>0.97599699479060209</v>
      </c>
      <c r="AM261" s="90">
        <f t="shared" si="203"/>
        <v>0.9854309407271119</v>
      </c>
      <c r="AN261" s="90">
        <f t="shared" si="203"/>
        <v>0.98652310842015423</v>
      </c>
      <c r="AO261" s="90">
        <f t="shared" si="203"/>
        <v>0.98972063455033243</v>
      </c>
      <c r="AP261" s="90">
        <f t="shared" si="203"/>
        <v>0.98436277734319455</v>
      </c>
      <c r="AQ261" s="90">
        <f t="shared" si="203"/>
        <v>0.98262434438874302</v>
      </c>
      <c r="AR261" s="90">
        <f t="shared" si="203"/>
        <v>0.97058393685600697</v>
      </c>
      <c r="AS261" s="90">
        <f t="shared" si="203"/>
        <v>0.97634167491884083</v>
      </c>
      <c r="AT261" s="90">
        <f t="shared" si="203"/>
        <v>0.96609172403137367</v>
      </c>
      <c r="AU261" s="90">
        <f t="shared" si="203"/>
        <v>0.98107758276597445</v>
      </c>
      <c r="AV261" s="90">
        <f t="shared" si="203"/>
        <v>0.97681204672913147</v>
      </c>
      <c r="AW261" s="90">
        <f t="shared" si="203"/>
        <v>0.97570446310083125</v>
      </c>
      <c r="AX261" s="90">
        <f t="shared" si="203"/>
        <v>0.97545742558250981</v>
      </c>
      <c r="AY261" s="90">
        <f t="shared" si="203"/>
        <v>0.96452761737842252</v>
      </c>
      <c r="AZ261" s="90">
        <f t="shared" si="203"/>
        <v>0.95842074244207309</v>
      </c>
      <c r="BA261" s="90">
        <f t="shared" si="203"/>
        <v>0.96854685058248724</v>
      </c>
      <c r="BB261" s="90">
        <f t="shared" si="203"/>
        <v>0.96320182455429137</v>
      </c>
      <c r="BC261" s="90">
        <f t="shared" si="203"/>
        <v>0.95001091942390903</v>
      </c>
      <c r="BD261" s="90">
        <f t="shared" si="203"/>
        <v>0.95852868174296746</v>
      </c>
      <c r="BE261" s="90">
        <f t="shared" si="203"/>
        <v>0.93925403988316647</v>
      </c>
      <c r="BF261" s="90">
        <f t="shared" si="203"/>
        <v>0.95173992455938117</v>
      </c>
      <c r="BG261" s="90">
        <f t="shared" si="203"/>
        <v>0.94860650340019748</v>
      </c>
      <c r="BH261" s="90">
        <f t="shared" si="203"/>
        <v>0.95013223318071782</v>
      </c>
      <c r="BI261" s="90">
        <f t="shared" si="203"/>
        <v>0.95923966767211721</v>
      </c>
      <c r="BJ261" s="91">
        <f t="shared" si="203"/>
        <v>0.95586841157951319</v>
      </c>
      <c r="BK261" s="91">
        <f t="shared" si="203"/>
        <v>0.95523300307399295</v>
      </c>
      <c r="BL261" s="91">
        <f t="shared" si="203"/>
        <v>0.95777010926992212</v>
      </c>
      <c r="BM261" s="91">
        <f t="shared" si="203"/>
        <v>0.95869509571217115</v>
      </c>
      <c r="BN261" s="91">
        <f t="shared" si="203"/>
        <v>0.96097660034177357</v>
      </c>
      <c r="BO261" s="91">
        <f t="shared" si="202"/>
        <v>0.96258922144639347</v>
      </c>
      <c r="BP261" s="91">
        <f t="shared" si="199"/>
        <v>0.96344453885386871</v>
      </c>
      <c r="BQ261" s="91">
        <f t="shared" si="199"/>
        <v>0.96494812612667735</v>
      </c>
      <c r="BR261" s="91">
        <f t="shared" si="199"/>
        <v>0.96658109385912572</v>
      </c>
      <c r="BS261" s="91">
        <f t="shared" si="199"/>
        <v>0.96832792121169253</v>
      </c>
      <c r="BT261" s="91">
        <f t="shared" si="199"/>
        <v>0.96971484722212564</v>
      </c>
      <c r="BU261" s="91">
        <f t="shared" si="199"/>
        <v>0.9709912529465573</v>
      </c>
    </row>
    <row r="262" spans="1:89" s="88" customFormat="1" ht="14.25">
      <c r="A262" s="4" t="s">
        <v>112</v>
      </c>
      <c r="C262" s="89">
        <f t="shared" si="203"/>
        <v>1.0095307353251954</v>
      </c>
      <c r="D262" s="89">
        <f t="shared" si="203"/>
        <v>1.00916261734903</v>
      </c>
      <c r="E262" s="89">
        <f t="shared" si="203"/>
        <v>1.00916261734903</v>
      </c>
      <c r="F262" s="89">
        <f t="shared" si="203"/>
        <v>0.91823032725467468</v>
      </c>
      <c r="G262" s="89">
        <f t="shared" si="203"/>
        <v>1.0091517202709466</v>
      </c>
      <c r="H262" s="89">
        <f t="shared" si="203"/>
        <v>0.96151740724683177</v>
      </c>
      <c r="I262" s="89">
        <f t="shared" si="203"/>
        <v>0.92596483438874477</v>
      </c>
      <c r="J262" s="89">
        <f t="shared" si="203"/>
        <v>0.94403306818418886</v>
      </c>
      <c r="K262" s="89">
        <f t="shared" si="203"/>
        <v>0.93241600650029499</v>
      </c>
      <c r="L262" s="89">
        <f t="shared" si="203"/>
        <v>0.93787940600904496</v>
      </c>
      <c r="M262" s="88">
        <f t="shared" si="203"/>
        <v>0.93193898140825382</v>
      </c>
      <c r="N262" s="88">
        <f t="shared" si="203"/>
        <v>0.93077747759825336</v>
      </c>
      <c r="O262" s="88">
        <f t="shared" si="203"/>
        <v>0.95869331166313476</v>
      </c>
      <c r="P262" s="88">
        <f t="shared" si="203"/>
        <v>0.97250842471085908</v>
      </c>
      <c r="Q262" s="88">
        <f t="shared" si="203"/>
        <v>0.99510825076528131</v>
      </c>
      <c r="R262" s="88">
        <f t="shared" si="203"/>
        <v>0.98596475724265265</v>
      </c>
      <c r="S262" s="88">
        <f t="shared" si="203"/>
        <v>0.99099001772941731</v>
      </c>
      <c r="T262" s="88">
        <f t="shared" si="203"/>
        <v>0.99725077851177224</v>
      </c>
      <c r="U262" s="88">
        <f t="shared" si="203"/>
        <v>0.9705316573247984</v>
      </c>
      <c r="V262" s="88">
        <f t="shared" si="203"/>
        <v>1.0279837711803772</v>
      </c>
      <c r="W262" s="88">
        <f t="shared" si="203"/>
        <v>0.97837579766174476</v>
      </c>
      <c r="X262" s="88">
        <f t="shared" si="203"/>
        <v>0.91219569563683411</v>
      </c>
      <c r="Y262" s="88">
        <f t="shared" si="203"/>
        <v>0.95340775150800816</v>
      </c>
      <c r="Z262" s="88">
        <f t="shared" si="203"/>
        <v>1.0310892644487799</v>
      </c>
      <c r="AA262" s="88">
        <f t="shared" si="203"/>
        <v>0.97621026200929184</v>
      </c>
      <c r="AB262" s="88">
        <f t="shared" si="203"/>
        <v>0.9951933070047807</v>
      </c>
      <c r="AC262" s="88">
        <f t="shared" si="203"/>
        <v>1.0092474240250424</v>
      </c>
      <c r="AD262" s="88">
        <f t="shared" si="203"/>
        <v>0.97514412571481712</v>
      </c>
      <c r="AE262" s="90">
        <f t="shared" si="203"/>
        <v>0.99187634262574376</v>
      </c>
      <c r="AF262" s="90">
        <f t="shared" si="203"/>
        <v>0.9893718932831187</v>
      </c>
      <c r="AG262" s="90">
        <f t="shared" si="203"/>
        <v>0.98258800813708924</v>
      </c>
      <c r="AH262" s="90">
        <f t="shared" si="203"/>
        <v>0.97825239128362296</v>
      </c>
      <c r="AI262" s="90">
        <f t="shared" si="203"/>
        <v>0.98696459807962045</v>
      </c>
      <c r="AJ262" s="90">
        <f t="shared" si="203"/>
        <v>0.97931923388777098</v>
      </c>
      <c r="AK262" s="90">
        <f t="shared" si="203"/>
        <v>0.9604995821153931</v>
      </c>
      <c r="AL262" s="90">
        <f t="shared" si="203"/>
        <v>0.9766526459223992</v>
      </c>
      <c r="AM262" s="90">
        <f t="shared" si="203"/>
        <v>0.9906335855429006</v>
      </c>
      <c r="AN262" s="90">
        <f t="shared" si="203"/>
        <v>0.97182452221047733</v>
      </c>
      <c r="AO262" s="90">
        <f t="shared" si="203"/>
        <v>1.004484966220202</v>
      </c>
      <c r="AP262" s="90">
        <f t="shared" si="203"/>
        <v>0.9694688571329122</v>
      </c>
      <c r="AQ262" s="90">
        <f t="shared" si="203"/>
        <v>0.98092126888214859</v>
      </c>
      <c r="AR262" s="90">
        <f t="shared" si="203"/>
        <v>0.97099242134654762</v>
      </c>
      <c r="AS262" s="90">
        <f t="shared" si="203"/>
        <v>0.96988057537487127</v>
      </c>
      <c r="AT262" s="90">
        <f t="shared" si="203"/>
        <v>0.97802402269806576</v>
      </c>
      <c r="AU262" s="90">
        <f t="shared" si="203"/>
        <v>0.97381317661035893</v>
      </c>
      <c r="AV262" s="90">
        <f t="shared" si="203"/>
        <v>0.9748528422896332</v>
      </c>
      <c r="AW262" s="90">
        <f t="shared" si="203"/>
        <v>0.97105430773358359</v>
      </c>
      <c r="AX262" s="90">
        <f t="shared" si="203"/>
        <v>0.97052004917876578</v>
      </c>
      <c r="AY262" s="90">
        <f t="shared" si="203"/>
        <v>0.9594940695265487</v>
      </c>
      <c r="AZ262" s="90">
        <f t="shared" si="203"/>
        <v>0.94579244191057854</v>
      </c>
      <c r="BA262" s="90">
        <f t="shared" si="203"/>
        <v>0.964421348552849</v>
      </c>
      <c r="BB262" s="90">
        <f t="shared" si="203"/>
        <v>0.97442708325592386</v>
      </c>
      <c r="BC262" s="90">
        <f t="shared" si="203"/>
        <v>0.94933739877381074</v>
      </c>
      <c r="BD262" s="90">
        <f t="shared" si="203"/>
        <v>0.95851012410368797</v>
      </c>
      <c r="BE262" s="90">
        <f t="shared" si="203"/>
        <v>0.94818522844463315</v>
      </c>
      <c r="BF262" s="90">
        <f t="shared" si="203"/>
        <v>0.95519367340322259</v>
      </c>
      <c r="BG262" s="90">
        <f t="shared" si="203"/>
        <v>0.93754565973547332</v>
      </c>
      <c r="BH262" s="90">
        <f t="shared" si="203"/>
        <v>0.96629502930290545</v>
      </c>
      <c r="BI262" s="91">
        <f t="shared" si="203"/>
        <v>0.95690543354055557</v>
      </c>
      <c r="BJ262" s="91">
        <f t="shared" si="203"/>
        <v>0.95797763715885642</v>
      </c>
      <c r="BK262" s="91">
        <f t="shared" si="203"/>
        <v>0.95620373692498617</v>
      </c>
      <c r="BL262" s="91">
        <f t="shared" si="203"/>
        <v>0.95946787316306048</v>
      </c>
      <c r="BM262" s="91">
        <f t="shared" si="203"/>
        <v>0.95980456100364842</v>
      </c>
      <c r="BN262" s="91">
        <f t="shared" ref="BN262:BO263" si="204">BN246+BN135</f>
        <v>0.96363334592407957</v>
      </c>
      <c r="BO262" s="91">
        <f t="shared" si="204"/>
        <v>0.96372598909739982</v>
      </c>
      <c r="BP262" s="91">
        <f t="shared" si="199"/>
        <v>0.96488404423493535</v>
      </c>
      <c r="BQ262" s="91">
        <f t="shared" si="199"/>
        <v>0.96663568619333862</v>
      </c>
      <c r="BR262" s="91">
        <f t="shared" si="199"/>
        <v>0.96858760988672199</v>
      </c>
      <c r="BS262" s="91">
        <f t="shared" si="199"/>
        <v>0.96996943831443894</v>
      </c>
      <c r="BT262" s="91">
        <f t="shared" si="199"/>
        <v>0.97117036088253395</v>
      </c>
      <c r="BU262" s="91">
        <f t="shared" si="199"/>
        <v>0.97262190295226236</v>
      </c>
    </row>
    <row r="263" spans="1:89" s="88" customFormat="1" thickBot="1">
      <c r="A263" s="4" t="s">
        <v>138</v>
      </c>
      <c r="C263" s="88">
        <f t="shared" ref="C263:BN263" si="205">C247+C136</f>
        <v>1.0210434563308606</v>
      </c>
      <c r="D263" s="88">
        <f t="shared" si="205"/>
        <v>1.0210460104143386</v>
      </c>
      <c r="E263" s="88">
        <f t="shared" si="205"/>
        <v>1.0210460104143386</v>
      </c>
      <c r="F263" s="88">
        <f t="shared" si="205"/>
        <v>0.93012159500437996</v>
      </c>
      <c r="G263" s="88">
        <f t="shared" si="205"/>
        <v>1.0210204695795591</v>
      </c>
      <c r="H263" s="88">
        <f t="shared" si="205"/>
        <v>0.97338609745964366</v>
      </c>
      <c r="I263" s="88">
        <f t="shared" si="205"/>
        <v>0.9376335004931885</v>
      </c>
      <c r="J263" s="88">
        <f t="shared" si="205"/>
        <v>0.95572390168739452</v>
      </c>
      <c r="K263" s="88">
        <f t="shared" si="205"/>
        <v>0.94363765763044971</v>
      </c>
      <c r="L263" s="88">
        <f t="shared" si="205"/>
        <v>0.94916670615022292</v>
      </c>
      <c r="M263" s="88">
        <f t="shared" si="205"/>
        <v>0.96074931999952728</v>
      </c>
      <c r="N263" s="88">
        <f t="shared" si="205"/>
        <v>0.97706852730711446</v>
      </c>
      <c r="O263" s="88">
        <f t="shared" si="205"/>
        <v>0.95891848945091429</v>
      </c>
      <c r="P263" s="88">
        <f t="shared" si="205"/>
        <v>0.96015490728495623</v>
      </c>
      <c r="Q263" s="88">
        <f t="shared" si="205"/>
        <v>0.96856476634838484</v>
      </c>
      <c r="R263" s="88">
        <f t="shared" si="205"/>
        <v>0.95082148901785768</v>
      </c>
      <c r="S263" s="88">
        <f t="shared" si="205"/>
        <v>0.9484584387494428</v>
      </c>
      <c r="T263" s="88">
        <f t="shared" si="205"/>
        <v>0.92932296488858535</v>
      </c>
      <c r="U263" s="88">
        <f t="shared" si="205"/>
        <v>0.96594976923965192</v>
      </c>
      <c r="V263" s="88">
        <f t="shared" si="205"/>
        <v>0.9542870072130426</v>
      </c>
      <c r="W263" s="88">
        <f t="shared" si="205"/>
        <v>0.96174797464712924</v>
      </c>
      <c r="X263" s="88">
        <f t="shared" si="205"/>
        <v>0.96380655484783473</v>
      </c>
      <c r="Y263" s="88">
        <f t="shared" si="205"/>
        <v>0.96089927089080751</v>
      </c>
      <c r="Z263" s="88">
        <f t="shared" si="205"/>
        <v>0.97569198076422248</v>
      </c>
      <c r="AA263" s="88">
        <f t="shared" si="205"/>
        <v>0.97851427258128743</v>
      </c>
      <c r="AB263" s="88">
        <f t="shared" si="205"/>
        <v>0.98303840628175565</v>
      </c>
      <c r="AC263" s="88">
        <f t="shared" si="205"/>
        <v>0.98388168228835893</v>
      </c>
      <c r="AD263" s="88">
        <f t="shared" si="205"/>
        <v>0.98505967569746056</v>
      </c>
      <c r="AE263" s="90">
        <f t="shared" si="205"/>
        <v>0.9826756636491234</v>
      </c>
      <c r="AF263" s="90">
        <f t="shared" si="205"/>
        <v>0.98046154989707668</v>
      </c>
      <c r="AG263" s="90">
        <f t="shared" si="205"/>
        <v>0.99296184133679455</v>
      </c>
      <c r="AH263" s="90">
        <f t="shared" si="205"/>
        <v>0.9767189132496219</v>
      </c>
      <c r="AI263" s="90">
        <f t="shared" si="205"/>
        <v>0.98323553968881239</v>
      </c>
      <c r="AJ263" s="90">
        <f t="shared" si="205"/>
        <v>0.97914746519694729</v>
      </c>
      <c r="AK263" s="90">
        <f t="shared" si="205"/>
        <v>0.96771508595208255</v>
      </c>
      <c r="AL263" s="90">
        <f t="shared" si="205"/>
        <v>0.97613699180756863</v>
      </c>
      <c r="AM263" s="90">
        <f t="shared" si="205"/>
        <v>0.98059186342482407</v>
      </c>
      <c r="AN263" s="90">
        <f t="shared" si="205"/>
        <v>0.9790112688941327</v>
      </c>
      <c r="AO263" s="90">
        <f t="shared" si="205"/>
        <v>0.98080575621987676</v>
      </c>
      <c r="AP263" s="90">
        <f t="shared" si="205"/>
        <v>0.97566518240553668</v>
      </c>
      <c r="AQ263" s="90">
        <f t="shared" si="205"/>
        <v>0.97809963332384975</v>
      </c>
      <c r="AR263" s="90">
        <f t="shared" si="205"/>
        <v>0.96955293370129836</v>
      </c>
      <c r="AS263" s="90">
        <f t="shared" si="205"/>
        <v>0.96698009394272066</v>
      </c>
      <c r="AT263" s="90">
        <f t="shared" si="205"/>
        <v>0.96937695642152244</v>
      </c>
      <c r="AU263" s="90">
        <f t="shared" si="205"/>
        <v>0.97943126866004615</v>
      </c>
      <c r="AV263" s="90">
        <f t="shared" si="205"/>
        <v>0.96856415478303282</v>
      </c>
      <c r="AW263" s="90">
        <f t="shared" si="205"/>
        <v>0.96828570109694068</v>
      </c>
      <c r="AX263" s="90">
        <f t="shared" si="205"/>
        <v>0.9708334984717738</v>
      </c>
      <c r="AY263" s="90">
        <f t="shared" si="205"/>
        <v>0.96451617390541322</v>
      </c>
      <c r="AZ263" s="90">
        <f t="shared" si="205"/>
        <v>0.95375275640340207</v>
      </c>
      <c r="BA263" s="90">
        <f t="shared" si="205"/>
        <v>0.96348355704974709</v>
      </c>
      <c r="BB263" s="90">
        <f t="shared" si="205"/>
        <v>0.96267276105625277</v>
      </c>
      <c r="BC263" s="90">
        <f t="shared" si="205"/>
        <v>0.95280123241537895</v>
      </c>
      <c r="BD263" s="90">
        <f t="shared" si="205"/>
        <v>0.95419809814261636</v>
      </c>
      <c r="BE263" s="90">
        <f t="shared" si="205"/>
        <v>0.94568246694337665</v>
      </c>
      <c r="BF263" s="90">
        <f t="shared" si="205"/>
        <v>0.95458104222141504</v>
      </c>
      <c r="BG263" s="90">
        <f t="shared" si="205"/>
        <v>0.9464596593522504</v>
      </c>
      <c r="BH263" s="90">
        <f t="shared" si="205"/>
        <v>0.94393757716608662</v>
      </c>
      <c r="BI263" s="91">
        <f t="shared" si="205"/>
        <v>0.94102804362462666</v>
      </c>
      <c r="BJ263" s="91">
        <f t="shared" si="205"/>
        <v>0.95473810819824778</v>
      </c>
      <c r="BK263" s="91">
        <f t="shared" si="205"/>
        <v>0.9548291028029503</v>
      </c>
      <c r="BL263" s="91">
        <f t="shared" si="205"/>
        <v>0.95645680341869665</v>
      </c>
      <c r="BM263" s="91">
        <f t="shared" si="205"/>
        <v>0.95675959632418028</v>
      </c>
      <c r="BN263" s="91">
        <f t="shared" si="205"/>
        <v>0.95922191573336413</v>
      </c>
      <c r="BO263" s="91">
        <f t="shared" si="204"/>
        <v>0.96158622417577777</v>
      </c>
      <c r="BP263" s="91">
        <f t="shared" si="199"/>
        <v>0.96226862025790594</v>
      </c>
      <c r="BQ263" s="91">
        <f t="shared" si="199"/>
        <v>0.96352603664628378</v>
      </c>
      <c r="BR263" s="91">
        <f t="shared" si="199"/>
        <v>0.9653054846207586</v>
      </c>
      <c r="BS263" s="91" t="e">
        <f t="shared" si="199"/>
        <v>#DIV/0!</v>
      </c>
      <c r="BT263" s="91" t="e">
        <f t="shared" si="199"/>
        <v>#DIV/0!</v>
      </c>
      <c r="BU263" s="91" t="e">
        <f t="shared" si="199"/>
        <v>#DIV/0!</v>
      </c>
    </row>
    <row r="264" spans="1:89">
      <c r="A264" s="60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1:89" ht="15.75" thickBot="1">
      <c r="A265" s="108" t="s">
        <v>149</v>
      </c>
      <c r="CK265" t="s">
        <v>140</v>
      </c>
    </row>
    <row r="266" spans="1:89" s="4" customFormat="1" ht="15.75" thickBot="1">
      <c r="A266" s="54"/>
      <c r="B266" s="63" t="s">
        <v>1</v>
      </c>
      <c r="C266" s="63" t="s">
        <v>2</v>
      </c>
      <c r="D266" s="63" t="s">
        <v>3</v>
      </c>
      <c r="E266" s="63" t="s">
        <v>4</v>
      </c>
      <c r="F266" s="63" t="s">
        <v>5</v>
      </c>
      <c r="G266" s="63" t="s">
        <v>6</v>
      </c>
      <c r="H266" s="63" t="s">
        <v>7</v>
      </c>
      <c r="I266" s="63" t="s">
        <v>8</v>
      </c>
      <c r="J266" s="63" t="s">
        <v>9</v>
      </c>
      <c r="K266" s="63" t="s">
        <v>10</v>
      </c>
      <c r="L266" s="63" t="s">
        <v>11</v>
      </c>
      <c r="M266" s="55" t="s">
        <v>12</v>
      </c>
      <c r="N266" s="55" t="s">
        <v>13</v>
      </c>
      <c r="O266" s="55" t="s">
        <v>14</v>
      </c>
      <c r="P266" s="55" t="s">
        <v>15</v>
      </c>
      <c r="Q266" s="55" t="s">
        <v>16</v>
      </c>
      <c r="R266" s="55" t="s">
        <v>17</v>
      </c>
      <c r="S266" s="55" t="s">
        <v>18</v>
      </c>
      <c r="T266" s="55" t="s">
        <v>19</v>
      </c>
      <c r="U266" s="55" t="s">
        <v>20</v>
      </c>
      <c r="V266" s="55" t="s">
        <v>21</v>
      </c>
      <c r="W266" s="55" t="s">
        <v>22</v>
      </c>
      <c r="X266" s="55" t="s">
        <v>23</v>
      </c>
      <c r="Y266" s="55" t="s">
        <v>24</v>
      </c>
      <c r="Z266" s="55" t="s">
        <v>25</v>
      </c>
      <c r="AA266" s="55" t="s">
        <v>26</v>
      </c>
      <c r="AB266" s="55" t="s">
        <v>27</v>
      </c>
      <c r="AC266" s="55" t="s">
        <v>28</v>
      </c>
      <c r="AD266" s="55" t="s">
        <v>29</v>
      </c>
      <c r="AE266" s="55" t="s">
        <v>30</v>
      </c>
      <c r="AF266" s="55" t="s">
        <v>31</v>
      </c>
      <c r="AG266" s="55" t="s">
        <v>32</v>
      </c>
      <c r="AH266" s="55" t="s">
        <v>33</v>
      </c>
      <c r="AI266" s="55" t="s">
        <v>34</v>
      </c>
      <c r="AJ266" s="55" t="s">
        <v>35</v>
      </c>
      <c r="AK266" s="55" t="s">
        <v>36</v>
      </c>
      <c r="AL266" s="55" t="s">
        <v>37</v>
      </c>
      <c r="AM266" s="55" t="s">
        <v>38</v>
      </c>
      <c r="AN266" s="55" t="s">
        <v>39</v>
      </c>
      <c r="AO266" s="55" t="s">
        <v>40</v>
      </c>
      <c r="AP266" s="55" t="s">
        <v>41</v>
      </c>
      <c r="AQ266" s="55" t="s">
        <v>42</v>
      </c>
      <c r="AR266" s="55" t="s">
        <v>43</v>
      </c>
      <c r="AS266" s="55" t="s">
        <v>44</v>
      </c>
      <c r="AT266" s="55" t="s">
        <v>45</v>
      </c>
      <c r="AU266" s="55" t="s">
        <v>46</v>
      </c>
      <c r="AV266" s="55" t="s">
        <v>47</v>
      </c>
      <c r="AW266" s="55" t="s">
        <v>48</v>
      </c>
      <c r="AX266" s="55" t="s">
        <v>49</v>
      </c>
      <c r="AY266" s="55" t="s">
        <v>50</v>
      </c>
      <c r="AZ266" s="55" t="s">
        <v>51</v>
      </c>
      <c r="BA266" s="55" t="s">
        <v>52</v>
      </c>
      <c r="BB266" s="55" t="s">
        <v>53</v>
      </c>
      <c r="BC266" s="55" t="s">
        <v>54</v>
      </c>
      <c r="BD266" s="55" t="s">
        <v>55</v>
      </c>
      <c r="BE266" s="55" t="s">
        <v>56</v>
      </c>
      <c r="BF266" s="55" t="s">
        <v>57</v>
      </c>
      <c r="BG266" s="55" t="str">
        <f t="shared" ref="BG266:BU266" si="206">BH2</f>
        <v>22/23</v>
      </c>
      <c r="BH266" s="55" t="str">
        <f t="shared" si="206"/>
        <v>23/24</v>
      </c>
      <c r="BI266" s="55" t="str">
        <f t="shared" si="206"/>
        <v>24/25</v>
      </c>
      <c r="BJ266" s="55" t="str">
        <f t="shared" si="206"/>
        <v>25/26</v>
      </c>
      <c r="BK266" s="55" t="str">
        <f t="shared" si="206"/>
        <v>26/27</v>
      </c>
      <c r="BL266" s="55" t="str">
        <f t="shared" si="206"/>
        <v>27/28</v>
      </c>
      <c r="BM266" s="55" t="str">
        <f t="shared" si="206"/>
        <v>28/29</v>
      </c>
      <c r="BN266" s="55" t="str">
        <f t="shared" si="206"/>
        <v>29/30</v>
      </c>
      <c r="BO266" s="55" t="str">
        <f t="shared" si="206"/>
        <v>30/31</v>
      </c>
      <c r="BP266" s="55" t="str">
        <f t="shared" si="206"/>
        <v>31/32</v>
      </c>
      <c r="BQ266" s="55" t="str">
        <f t="shared" si="206"/>
        <v>32/33</v>
      </c>
      <c r="BR266" s="55" t="str">
        <f t="shared" si="206"/>
        <v>33/34</v>
      </c>
      <c r="BS266" s="55" t="str">
        <f t="shared" si="206"/>
        <v>34/35</v>
      </c>
      <c r="BT266" s="55" t="str">
        <f t="shared" si="206"/>
        <v>34/35</v>
      </c>
      <c r="BU266" s="55">
        <f t="shared" si="206"/>
        <v>0</v>
      </c>
      <c r="CK266" s="4" t="s">
        <v>150</v>
      </c>
    </row>
    <row r="267" spans="1:89">
      <c r="A267" s="4" t="s">
        <v>100</v>
      </c>
      <c r="C267" s="88">
        <v>0</v>
      </c>
      <c r="D267" s="88">
        <v>0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  <c r="X267" s="88">
        <v>0</v>
      </c>
      <c r="Y267" s="88">
        <v>0</v>
      </c>
      <c r="Z267" s="88">
        <v>0</v>
      </c>
      <c r="AA267" s="88">
        <v>0</v>
      </c>
      <c r="AB267" s="88">
        <v>0</v>
      </c>
      <c r="AC267" s="88">
        <v>0</v>
      </c>
      <c r="AD267" s="88">
        <v>0</v>
      </c>
      <c r="AE267" s="90">
        <v>0</v>
      </c>
      <c r="AF267" s="90">
        <v>0</v>
      </c>
      <c r="AG267" s="90">
        <v>0</v>
      </c>
      <c r="AH267" s="90">
        <v>0</v>
      </c>
      <c r="AI267" s="90">
        <v>2E-3</v>
      </c>
      <c r="AJ267" s="90">
        <v>0</v>
      </c>
      <c r="AK267" s="90">
        <v>0</v>
      </c>
      <c r="AL267" s="90">
        <v>0</v>
      </c>
      <c r="AM267" s="90">
        <v>0</v>
      </c>
      <c r="AN267" s="90">
        <v>0</v>
      </c>
      <c r="AO267" s="90">
        <v>0</v>
      </c>
      <c r="AP267" s="90">
        <v>0</v>
      </c>
      <c r="AQ267" s="90">
        <v>0</v>
      </c>
      <c r="AR267" s="90">
        <v>0</v>
      </c>
      <c r="AS267" s="90">
        <v>0</v>
      </c>
      <c r="AT267" s="90">
        <v>0</v>
      </c>
      <c r="AU267" s="90">
        <v>0</v>
      </c>
      <c r="AV267" s="90">
        <v>0</v>
      </c>
      <c r="AW267" s="90">
        <v>0</v>
      </c>
      <c r="AX267" s="90">
        <v>0</v>
      </c>
      <c r="AY267" s="90">
        <v>8.65</v>
      </c>
      <c r="AZ267" s="90">
        <v>0</v>
      </c>
      <c r="BA267" s="90">
        <v>0</v>
      </c>
      <c r="BB267" s="90">
        <v>1E-3</v>
      </c>
      <c r="BC267" s="90">
        <v>2E-3</v>
      </c>
      <c r="BD267" s="90">
        <v>0</v>
      </c>
      <c r="BE267" s="90">
        <v>0</v>
      </c>
      <c r="BF267" s="90">
        <v>0</v>
      </c>
      <c r="BG267" s="90">
        <v>3.0000000000000001E-3</v>
      </c>
      <c r="BH267" s="90">
        <v>5.66</v>
      </c>
      <c r="BI267" s="90">
        <v>0</v>
      </c>
      <c r="BJ267" s="91">
        <f t="shared" ref="BJ267:BJ277" si="207">(SUM(BD267:BH267)/SUM(BD$279:BH$279))*BJ$279</f>
        <v>4.5694413065229318</v>
      </c>
      <c r="BK267" s="91">
        <f t="shared" ref="BK267:BK277" si="208">(SUM(BE267:BI267)/SUM(BE$279:BI$279))*BK$279</f>
        <v>3.6009207369286726</v>
      </c>
      <c r="BL267" s="91">
        <f t="shared" ref="BL267:BN277" si="209">(SUM(BF267:BJ267)/SUM(BF$279:BJ$279))*BL$279</f>
        <v>3.9775326159634501</v>
      </c>
      <c r="BM267" s="91">
        <f t="shared" si="209"/>
        <v>3.8722013960754453</v>
      </c>
      <c r="BN267" s="91">
        <f t="shared" si="209"/>
        <v>4.0756673027874033</v>
      </c>
      <c r="BO267" s="91">
        <f t="shared" ref="BO267:BU277" si="210">(SUM(BD267:BH267)/SUM(BD$279:BH$279))*BO$279</f>
        <v>4.5694413065229318</v>
      </c>
      <c r="BP267" s="91">
        <f t="shared" si="210"/>
        <v>3.6009207369286726</v>
      </c>
      <c r="BQ267" s="91">
        <f t="shared" si="210"/>
        <v>3.9775326159634501</v>
      </c>
      <c r="BR267" s="91">
        <f t="shared" si="210"/>
        <v>3.8722013960754453</v>
      </c>
      <c r="BS267" s="91">
        <f t="shared" si="210"/>
        <v>4.0756673027874033</v>
      </c>
      <c r="BT267" s="91">
        <f t="shared" si="210"/>
        <v>3.696945243574731</v>
      </c>
      <c r="BU267" s="91">
        <f t="shared" si="210"/>
        <v>4.019152671655581</v>
      </c>
    </row>
    <row r="268" spans="1:89">
      <c r="A268" s="4" t="s">
        <v>102</v>
      </c>
      <c r="C268" s="88">
        <v>0</v>
      </c>
      <c r="D268" s="88">
        <v>0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  <c r="X268" s="88">
        <v>0</v>
      </c>
      <c r="Y268" s="88">
        <v>0</v>
      </c>
      <c r="Z268" s="88">
        <v>0</v>
      </c>
      <c r="AA268" s="88">
        <v>0</v>
      </c>
      <c r="AB268" s="88">
        <v>0</v>
      </c>
      <c r="AC268" s="88">
        <v>0</v>
      </c>
      <c r="AD268" s="88">
        <v>0</v>
      </c>
      <c r="AE268" s="90">
        <v>0</v>
      </c>
      <c r="AF268" s="90">
        <v>0</v>
      </c>
      <c r="AG268" s="90">
        <v>0</v>
      </c>
      <c r="AH268" s="90">
        <v>0</v>
      </c>
      <c r="AI268" s="90">
        <v>1E-3</v>
      </c>
      <c r="AJ268" s="90">
        <v>4.0000000000000001E-3</v>
      </c>
      <c r="AK268" s="90">
        <v>0</v>
      </c>
      <c r="AL268" s="90">
        <v>0</v>
      </c>
      <c r="AM268" s="90">
        <v>0</v>
      </c>
      <c r="AN268" s="90">
        <v>0</v>
      </c>
      <c r="AO268" s="90">
        <v>0</v>
      </c>
      <c r="AP268" s="90">
        <v>0</v>
      </c>
      <c r="AQ268" s="90">
        <v>0</v>
      </c>
      <c r="AR268" s="90">
        <v>0</v>
      </c>
      <c r="AS268" s="90">
        <v>0</v>
      </c>
      <c r="AT268" s="90">
        <v>0</v>
      </c>
      <c r="AU268" s="90">
        <v>0</v>
      </c>
      <c r="AV268" s="90">
        <v>0</v>
      </c>
      <c r="AW268" s="90">
        <v>0</v>
      </c>
      <c r="AX268" s="90">
        <v>0</v>
      </c>
      <c r="AY268" s="90">
        <v>7.3840000000000003</v>
      </c>
      <c r="AZ268" s="90">
        <v>0</v>
      </c>
      <c r="BA268" s="90">
        <v>4.0000000000000001E-3</v>
      </c>
      <c r="BB268" s="90">
        <v>1E-3</v>
      </c>
      <c r="BC268" s="90">
        <v>6.0000000000000001E-3</v>
      </c>
      <c r="BD268" s="90">
        <v>0</v>
      </c>
      <c r="BE268" s="90">
        <v>2E-3</v>
      </c>
      <c r="BF268" s="90">
        <v>0</v>
      </c>
      <c r="BG268" s="90">
        <v>2E-3</v>
      </c>
      <c r="BH268" s="90">
        <v>18.317</v>
      </c>
      <c r="BI268" s="90">
        <v>2E-3</v>
      </c>
      <c r="BJ268" s="91">
        <f t="shared" si="207"/>
        <v>14.78310686505503</v>
      </c>
      <c r="BK268" s="91">
        <f t="shared" si="208"/>
        <v>11.651010182366955</v>
      </c>
      <c r="BL268" s="91">
        <f t="shared" si="209"/>
        <v>12.868157347177531</v>
      </c>
      <c r="BM268" s="91">
        <f t="shared" si="209"/>
        <v>12.527744605266365</v>
      </c>
      <c r="BN268" s="91">
        <f t="shared" si="209"/>
        <v>13.187698404923308</v>
      </c>
      <c r="BO268" s="91">
        <f t="shared" si="210"/>
        <v>14.78310686505503</v>
      </c>
      <c r="BP268" s="91">
        <f t="shared" si="210"/>
        <v>11.651010182366955</v>
      </c>
      <c r="BQ268" s="91">
        <f t="shared" si="210"/>
        <v>12.868157347177531</v>
      </c>
      <c r="BR268" s="91">
        <f t="shared" si="210"/>
        <v>12.527744605266365</v>
      </c>
      <c r="BS268" s="91">
        <f t="shared" si="210"/>
        <v>13.187698404923308</v>
      </c>
      <c r="BT268" s="91">
        <f t="shared" si="210"/>
        <v>11.961235153815203</v>
      </c>
      <c r="BU268" s="91">
        <f t="shared" si="210"/>
        <v>13.003543480957838</v>
      </c>
    </row>
    <row r="269" spans="1:89">
      <c r="A269" s="4" t="s">
        <v>103</v>
      </c>
      <c r="C269" s="88">
        <v>0</v>
      </c>
      <c r="D269" s="88">
        <v>0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  <c r="X269" s="88">
        <v>0</v>
      </c>
      <c r="Y269" s="88">
        <v>0</v>
      </c>
      <c r="Z269" s="88">
        <v>0</v>
      </c>
      <c r="AA269" s="88">
        <v>0</v>
      </c>
      <c r="AB269" s="88">
        <v>0</v>
      </c>
      <c r="AC269" s="88">
        <v>0</v>
      </c>
      <c r="AD269" s="88">
        <v>0</v>
      </c>
      <c r="AE269" s="90">
        <v>0</v>
      </c>
      <c r="AF269" s="90">
        <v>0</v>
      </c>
      <c r="AG269" s="90">
        <v>0</v>
      </c>
      <c r="AH269" s="90">
        <v>0</v>
      </c>
      <c r="AI269" s="90">
        <v>1E-3</v>
      </c>
      <c r="AJ269" s="90">
        <v>0</v>
      </c>
      <c r="AK269" s="90">
        <v>0</v>
      </c>
      <c r="AL269" s="90">
        <v>0</v>
      </c>
      <c r="AM269" s="90">
        <v>0</v>
      </c>
      <c r="AN269" s="90">
        <v>0</v>
      </c>
      <c r="AO269" s="90">
        <v>0</v>
      </c>
      <c r="AP269" s="90">
        <v>0</v>
      </c>
      <c r="AQ269" s="90">
        <v>0</v>
      </c>
      <c r="AR269" s="90">
        <v>0</v>
      </c>
      <c r="AS269" s="90">
        <v>0</v>
      </c>
      <c r="AT269" s="90">
        <v>0</v>
      </c>
      <c r="AU269" s="90">
        <v>0</v>
      </c>
      <c r="AV269" s="90">
        <v>0</v>
      </c>
      <c r="AW269" s="90">
        <v>0</v>
      </c>
      <c r="AX269" s="90">
        <v>0</v>
      </c>
      <c r="AY269" s="90">
        <v>16.696999999999999</v>
      </c>
      <c r="AZ269" s="90">
        <v>3.4000000000000002E-2</v>
      </c>
      <c r="BA269" s="90">
        <v>4.516</v>
      </c>
      <c r="BB269" s="90">
        <v>0</v>
      </c>
      <c r="BC269" s="90">
        <v>0</v>
      </c>
      <c r="BD269" s="90">
        <v>0</v>
      </c>
      <c r="BE269" s="90">
        <v>0</v>
      </c>
      <c r="BF269" s="90">
        <v>1E-3</v>
      </c>
      <c r="BG269" s="90">
        <v>0</v>
      </c>
      <c r="BH269" s="90">
        <v>16.710999999999999</v>
      </c>
      <c r="BI269" s="90">
        <v>0</v>
      </c>
      <c r="BJ269" s="91">
        <f t="shared" si="207"/>
        <v>13.48481425297744</v>
      </c>
      <c r="BK269" s="91">
        <f t="shared" si="208"/>
        <v>10.626626762414265</v>
      </c>
      <c r="BL269" s="91">
        <f t="shared" si="209"/>
        <v>11.738040804870417</v>
      </c>
      <c r="BM269" s="91">
        <f t="shared" si="209"/>
        <v>11.426919399238542</v>
      </c>
      <c r="BN269" s="91">
        <f t="shared" si="209"/>
        <v>12.029442068848725</v>
      </c>
      <c r="BO269" s="91">
        <f t="shared" si="210"/>
        <v>13.48481425297744</v>
      </c>
      <c r="BP269" s="91">
        <f t="shared" si="210"/>
        <v>10.626626762414265</v>
      </c>
      <c r="BQ269" s="91">
        <f t="shared" si="210"/>
        <v>11.738040804870417</v>
      </c>
      <c r="BR269" s="91">
        <f t="shared" si="210"/>
        <v>11.426919399238542</v>
      </c>
      <c r="BS269" s="91">
        <f t="shared" si="210"/>
        <v>12.029442068848725</v>
      </c>
      <c r="BT269" s="91">
        <f t="shared" si="210"/>
        <v>10.909938742961691</v>
      </c>
      <c r="BU269" s="91">
        <f t="shared" si="210"/>
        <v>11.861168657669877</v>
      </c>
    </row>
    <row r="270" spans="1:89">
      <c r="A270" s="4" t="s">
        <v>104</v>
      </c>
      <c r="C270" s="88">
        <v>0</v>
      </c>
      <c r="D270" s="88">
        <v>0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  <c r="X270" s="88">
        <v>0</v>
      </c>
      <c r="Y270" s="88">
        <v>0</v>
      </c>
      <c r="Z270" s="88">
        <v>0</v>
      </c>
      <c r="AA270" s="88">
        <v>0</v>
      </c>
      <c r="AB270" s="88">
        <v>0</v>
      </c>
      <c r="AC270" s="88">
        <v>0</v>
      </c>
      <c r="AD270" s="88">
        <v>0</v>
      </c>
      <c r="AE270" s="90">
        <v>0</v>
      </c>
      <c r="AF270" s="90">
        <v>0</v>
      </c>
      <c r="AG270" s="90">
        <v>0</v>
      </c>
      <c r="AH270" s="90">
        <v>0</v>
      </c>
      <c r="AI270" s="90">
        <v>2E-3</v>
      </c>
      <c r="AJ270" s="90">
        <v>0</v>
      </c>
      <c r="AK270" s="90">
        <v>0</v>
      </c>
      <c r="AL270" s="90">
        <v>0</v>
      </c>
      <c r="AM270" s="90">
        <v>0</v>
      </c>
      <c r="AN270" s="90">
        <v>0</v>
      </c>
      <c r="AO270" s="90">
        <v>0</v>
      </c>
      <c r="AP270" s="90">
        <v>0</v>
      </c>
      <c r="AQ270" s="90">
        <v>0</v>
      </c>
      <c r="AR270" s="90">
        <v>0</v>
      </c>
      <c r="AS270" s="90">
        <v>0</v>
      </c>
      <c r="AT270" s="90">
        <v>0</v>
      </c>
      <c r="AU270" s="90">
        <v>0</v>
      </c>
      <c r="AV270" s="90">
        <v>1E-3</v>
      </c>
      <c r="AW270" s="90">
        <v>0</v>
      </c>
      <c r="AX270" s="90">
        <v>0</v>
      </c>
      <c r="AY270" s="90">
        <v>8.0530000000000008</v>
      </c>
      <c r="AZ270" s="90">
        <v>5.4530000000000003</v>
      </c>
      <c r="BA270" s="90">
        <v>4.0000000000000001E-3</v>
      </c>
      <c r="BB270" s="90">
        <v>0</v>
      </c>
      <c r="BC270" s="90">
        <v>3.0000000000000001E-3</v>
      </c>
      <c r="BD270" s="90">
        <v>0</v>
      </c>
      <c r="BE270" s="90">
        <v>0</v>
      </c>
      <c r="BF270" s="90">
        <v>1E-3</v>
      </c>
      <c r="BG270" s="90">
        <v>1E-3</v>
      </c>
      <c r="BH270" s="90">
        <v>15.273</v>
      </c>
      <c r="BI270" s="90">
        <v>0</v>
      </c>
      <c r="BJ270" s="91">
        <f t="shared" si="207"/>
        <v>12.325307426653326</v>
      </c>
      <c r="BK270" s="91">
        <f t="shared" si="208"/>
        <v>9.7128843822329998</v>
      </c>
      <c r="BL270" s="91">
        <f t="shared" si="209"/>
        <v>10.72873224595474</v>
      </c>
      <c r="BM270" s="91">
        <f t="shared" si="209"/>
        <v>10.444338893118037</v>
      </c>
      <c r="BN270" s="91">
        <f t="shared" si="209"/>
        <v>10.994828498448515</v>
      </c>
      <c r="BO270" s="91">
        <f t="shared" si="210"/>
        <v>12.325307426653326</v>
      </c>
      <c r="BP270" s="91">
        <f t="shared" si="210"/>
        <v>9.7128843822329998</v>
      </c>
      <c r="BQ270" s="91">
        <f t="shared" si="210"/>
        <v>10.72873224595474</v>
      </c>
      <c r="BR270" s="91">
        <f t="shared" si="210"/>
        <v>10.444338893118037</v>
      </c>
      <c r="BS270" s="91">
        <f t="shared" si="210"/>
        <v>10.994828498448515</v>
      </c>
      <c r="BT270" s="91">
        <f t="shared" si="210"/>
        <v>9.9718299110674842</v>
      </c>
      <c r="BU270" s="91">
        <f t="shared" si="210"/>
        <v>10.841218289281523</v>
      </c>
    </row>
    <row r="271" spans="1:89">
      <c r="A271" s="4" t="s">
        <v>105</v>
      </c>
      <c r="C271" s="88">
        <v>0</v>
      </c>
      <c r="D271" s="88">
        <v>0</v>
      </c>
      <c r="E271" s="88">
        <v>0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  <c r="X271" s="88">
        <v>0</v>
      </c>
      <c r="Y271" s="88">
        <v>0</v>
      </c>
      <c r="Z271" s="88">
        <v>0</v>
      </c>
      <c r="AA271" s="88">
        <v>0</v>
      </c>
      <c r="AB271" s="88">
        <v>0</v>
      </c>
      <c r="AC271" s="88">
        <v>0</v>
      </c>
      <c r="AD271" s="88">
        <v>0</v>
      </c>
      <c r="AE271" s="90">
        <v>0</v>
      </c>
      <c r="AF271" s="90">
        <v>0</v>
      </c>
      <c r="AG271" s="90">
        <v>0</v>
      </c>
      <c r="AH271" s="90">
        <v>0</v>
      </c>
      <c r="AI271" s="90">
        <v>2E-3</v>
      </c>
      <c r="AJ271" s="90">
        <v>1.2E-2</v>
      </c>
      <c r="AK271" s="90">
        <v>0</v>
      </c>
      <c r="AL271" s="90">
        <v>0</v>
      </c>
      <c r="AM271" s="90">
        <v>0</v>
      </c>
      <c r="AN271" s="90">
        <v>0</v>
      </c>
      <c r="AO271" s="90">
        <v>0</v>
      </c>
      <c r="AP271" s="90">
        <v>0</v>
      </c>
      <c r="AQ271" s="90">
        <v>0</v>
      </c>
      <c r="AR271" s="90">
        <v>0</v>
      </c>
      <c r="AS271" s="90">
        <v>0</v>
      </c>
      <c r="AT271" s="90">
        <v>0</v>
      </c>
      <c r="AU271" s="90">
        <v>0</v>
      </c>
      <c r="AV271" s="90">
        <v>0</v>
      </c>
      <c r="AW271" s="90">
        <v>0</v>
      </c>
      <c r="AX271" s="90">
        <v>0</v>
      </c>
      <c r="AY271" s="90">
        <v>9.9779999999999998</v>
      </c>
      <c r="AZ271" s="90">
        <v>0</v>
      </c>
      <c r="BA271" s="90">
        <v>0</v>
      </c>
      <c r="BB271" s="90">
        <v>1E-3</v>
      </c>
      <c r="BC271" s="90">
        <v>0</v>
      </c>
      <c r="BD271" s="90">
        <v>0</v>
      </c>
      <c r="BE271" s="90">
        <v>0</v>
      </c>
      <c r="BF271" s="90">
        <v>0</v>
      </c>
      <c r="BG271" s="90">
        <v>0</v>
      </c>
      <c r="BH271" s="90">
        <v>9.0190000000000001</v>
      </c>
      <c r="BI271" s="90">
        <v>0</v>
      </c>
      <c r="BJ271" s="91">
        <f t="shared" si="207"/>
        <v>7.2773779169221831</v>
      </c>
      <c r="BK271" s="91">
        <f t="shared" si="208"/>
        <v>5.7348938948189474</v>
      </c>
      <c r="BL271" s="91">
        <f t="shared" si="209"/>
        <v>6.3346930360894138</v>
      </c>
      <c r="BM271" s="91">
        <f t="shared" si="209"/>
        <v>6.1669405599866565</v>
      </c>
      <c r="BN271" s="91">
        <f t="shared" si="209"/>
        <v>6.4920776797832476</v>
      </c>
      <c r="BO271" s="91">
        <f t="shared" si="210"/>
        <v>7.2773779169221831</v>
      </c>
      <c r="BP271" s="91">
        <f t="shared" si="210"/>
        <v>5.7348938948189474</v>
      </c>
      <c r="BQ271" s="91">
        <f t="shared" si="210"/>
        <v>6.3346930360894138</v>
      </c>
      <c r="BR271" s="91">
        <f t="shared" si="210"/>
        <v>6.1669405599866565</v>
      </c>
      <c r="BS271" s="91">
        <f t="shared" si="210"/>
        <v>6.4920776797832476</v>
      </c>
      <c r="BT271" s="91">
        <f t="shared" si="210"/>
        <v>5.8878243248808921</v>
      </c>
      <c r="BU271" s="91">
        <f t="shared" si="210"/>
        <v>6.4011966175200889</v>
      </c>
    </row>
    <row r="272" spans="1:89">
      <c r="A272" s="4" t="s">
        <v>106</v>
      </c>
      <c r="C272" s="88">
        <v>0</v>
      </c>
      <c r="D272" s="88">
        <v>0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  <c r="X272" s="88">
        <v>0</v>
      </c>
      <c r="Y272" s="88">
        <v>0</v>
      </c>
      <c r="Z272" s="88">
        <v>0</v>
      </c>
      <c r="AA272" s="88">
        <v>0</v>
      </c>
      <c r="AB272" s="88">
        <v>0</v>
      </c>
      <c r="AC272" s="88">
        <v>0</v>
      </c>
      <c r="AD272" s="88">
        <v>0</v>
      </c>
      <c r="AE272" s="90">
        <v>0</v>
      </c>
      <c r="AF272" s="90">
        <v>0</v>
      </c>
      <c r="AG272" s="90">
        <v>0</v>
      </c>
      <c r="AH272" s="90">
        <v>0</v>
      </c>
      <c r="AI272" s="90">
        <v>2E-3</v>
      </c>
      <c r="AJ272" s="90">
        <v>1.2E-2</v>
      </c>
      <c r="AK272" s="90">
        <v>0</v>
      </c>
      <c r="AL272" s="90">
        <v>0</v>
      </c>
      <c r="AM272" s="90">
        <v>0</v>
      </c>
      <c r="AN272" s="90">
        <v>0</v>
      </c>
      <c r="AO272" s="90">
        <v>0</v>
      </c>
      <c r="AP272" s="90">
        <v>0</v>
      </c>
      <c r="AQ272" s="90">
        <v>0</v>
      </c>
      <c r="AR272" s="90">
        <v>0</v>
      </c>
      <c r="AS272" s="90">
        <v>0</v>
      </c>
      <c r="AT272" s="90">
        <v>0</v>
      </c>
      <c r="AU272" s="90">
        <v>0</v>
      </c>
      <c r="AV272" s="90">
        <v>0</v>
      </c>
      <c r="AW272" s="90">
        <v>0</v>
      </c>
      <c r="AX272" s="90">
        <v>0</v>
      </c>
      <c r="AY272" s="90">
        <v>7.3380000000000001</v>
      </c>
      <c r="AZ272" s="90">
        <v>2.4590000000000001</v>
      </c>
      <c r="BA272" s="90">
        <v>0</v>
      </c>
      <c r="BB272" s="90">
        <v>7.0000000000000001E-3</v>
      </c>
      <c r="BC272" s="90">
        <v>1E-3</v>
      </c>
      <c r="BD272" s="90">
        <v>0</v>
      </c>
      <c r="BE272" s="90">
        <v>1E-3</v>
      </c>
      <c r="BF272" s="90">
        <v>1E-3</v>
      </c>
      <c r="BG272" s="90">
        <v>0</v>
      </c>
      <c r="BH272" s="90">
        <v>12.717000000000001</v>
      </c>
      <c r="BI272" s="90">
        <v>0</v>
      </c>
      <c r="BJ272" s="91">
        <f t="shared" si="207"/>
        <v>10.262886098828391</v>
      </c>
      <c r="BK272" s="91">
        <f t="shared" si="208"/>
        <v>8.0876056600734216</v>
      </c>
      <c r="BL272" s="91">
        <f t="shared" si="209"/>
        <v>8.9330807051452226</v>
      </c>
      <c r="BM272" s="91">
        <f t="shared" si="209"/>
        <v>8.6963374907352353</v>
      </c>
      <c r="BN272" s="91">
        <f t="shared" si="209"/>
        <v>9.1548736334365621</v>
      </c>
      <c r="BO272" s="91">
        <f t="shared" si="210"/>
        <v>10.262886098828391</v>
      </c>
      <c r="BP272" s="91">
        <f t="shared" si="210"/>
        <v>8.0876056600734216</v>
      </c>
      <c r="BQ272" s="91">
        <f t="shared" si="210"/>
        <v>8.9330807051452226</v>
      </c>
      <c r="BR272" s="91">
        <f t="shared" si="210"/>
        <v>8.6963374907352353</v>
      </c>
      <c r="BS272" s="91">
        <f t="shared" si="210"/>
        <v>9.1548736334365621</v>
      </c>
      <c r="BT272" s="91">
        <f t="shared" si="210"/>
        <v>8.3030561434112933</v>
      </c>
      <c r="BU272" s="91">
        <f t="shared" si="210"/>
        <v>9.0269567176437668</v>
      </c>
    </row>
    <row r="273" spans="1:73">
      <c r="A273" s="4" t="s">
        <v>107</v>
      </c>
      <c r="C273" s="88">
        <v>0</v>
      </c>
      <c r="D273" s="88">
        <v>0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  <c r="X273" s="88">
        <v>0</v>
      </c>
      <c r="Y273" s="88">
        <v>0</v>
      </c>
      <c r="Z273" s="88">
        <v>0</v>
      </c>
      <c r="AA273" s="88">
        <v>0</v>
      </c>
      <c r="AB273" s="88">
        <v>0</v>
      </c>
      <c r="AC273" s="88">
        <v>0</v>
      </c>
      <c r="AD273" s="88">
        <v>0</v>
      </c>
      <c r="AE273" s="90">
        <v>0</v>
      </c>
      <c r="AF273" s="90">
        <v>0</v>
      </c>
      <c r="AG273" s="90">
        <v>0</v>
      </c>
      <c r="AH273" s="90">
        <v>0</v>
      </c>
      <c r="AI273" s="90">
        <v>1E-3</v>
      </c>
      <c r="AJ273" s="90">
        <v>0.01</v>
      </c>
      <c r="AK273" s="90">
        <v>0.01</v>
      </c>
      <c r="AL273" s="90">
        <v>0</v>
      </c>
      <c r="AM273" s="90">
        <v>0</v>
      </c>
      <c r="AN273" s="90">
        <v>8.2000000000000003E-2</v>
      </c>
      <c r="AO273" s="90">
        <v>0</v>
      </c>
      <c r="AP273" s="90">
        <v>0</v>
      </c>
      <c r="AQ273" s="90">
        <v>0</v>
      </c>
      <c r="AR273" s="90">
        <v>0</v>
      </c>
      <c r="AS273" s="90">
        <v>0</v>
      </c>
      <c r="AT273" s="90">
        <v>0</v>
      </c>
      <c r="AU273" s="90">
        <v>0</v>
      </c>
      <c r="AV273" s="90">
        <v>0</v>
      </c>
      <c r="AW273" s="90">
        <v>0</v>
      </c>
      <c r="AX273" s="90">
        <v>0</v>
      </c>
      <c r="AY273" s="90">
        <v>0</v>
      </c>
      <c r="AZ273" s="90">
        <v>6.0350000000000001</v>
      </c>
      <c r="BA273" s="90">
        <v>0</v>
      </c>
      <c r="BB273" s="90">
        <v>0</v>
      </c>
      <c r="BC273" s="90">
        <v>1E-3</v>
      </c>
      <c r="BD273" s="90">
        <v>0</v>
      </c>
      <c r="BE273" s="90">
        <v>0</v>
      </c>
      <c r="BF273" s="90">
        <v>0</v>
      </c>
      <c r="BG273" s="90">
        <v>1E-3</v>
      </c>
      <c r="BH273" s="90">
        <v>0</v>
      </c>
      <c r="BI273" s="90">
        <v>4.0000000000000001E-3</v>
      </c>
      <c r="BJ273" s="91">
        <f t="shared" si="207"/>
        <v>8.0689410321789371E-4</v>
      </c>
      <c r="BK273" s="91">
        <f t="shared" si="208"/>
        <v>3.1793402233168573E-3</v>
      </c>
      <c r="BL273" s="91">
        <f t="shared" si="209"/>
        <v>2.2572434085960653E-3</v>
      </c>
      <c r="BM273" s="91">
        <f t="shared" si="209"/>
        <v>2.5154050761753044E-3</v>
      </c>
      <c r="BN273" s="91">
        <f t="shared" si="209"/>
        <v>2.3444100535394102E-3</v>
      </c>
      <c r="BO273" s="91">
        <f t="shared" si="210"/>
        <v>8.0689410321789371E-4</v>
      </c>
      <c r="BP273" s="91">
        <f t="shared" si="210"/>
        <v>3.1793402233168573E-3</v>
      </c>
      <c r="BQ273" s="91">
        <f t="shared" si="210"/>
        <v>2.2572434085960653E-3</v>
      </c>
      <c r="BR273" s="91">
        <f t="shared" si="210"/>
        <v>2.5154050761753044E-3</v>
      </c>
      <c r="BS273" s="91">
        <f t="shared" si="210"/>
        <v>2.3444100535394102E-3</v>
      </c>
      <c r="BT273" s="91">
        <f t="shared" si="210"/>
        <v>2.9443575718398739E-3</v>
      </c>
      <c r="BU273" s="91">
        <f t="shared" si="210"/>
        <v>2.2206585729691061E-3</v>
      </c>
    </row>
    <row r="274" spans="1:73">
      <c r="A274" s="4" t="s">
        <v>108</v>
      </c>
      <c r="C274" s="88">
        <v>0</v>
      </c>
      <c r="D274" s="88">
        <v>0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  <c r="X274" s="88">
        <v>0</v>
      </c>
      <c r="Y274" s="88">
        <v>0</v>
      </c>
      <c r="Z274" s="88">
        <v>0</v>
      </c>
      <c r="AA274" s="88">
        <v>0</v>
      </c>
      <c r="AB274" s="88">
        <v>0</v>
      </c>
      <c r="AC274" s="88">
        <v>0</v>
      </c>
      <c r="AD274" s="88">
        <v>0</v>
      </c>
      <c r="AE274" s="90">
        <v>0</v>
      </c>
      <c r="AF274" s="90">
        <v>0</v>
      </c>
      <c r="AG274" s="90">
        <v>0</v>
      </c>
      <c r="AH274" s="90">
        <v>0</v>
      </c>
      <c r="AI274" s="90">
        <v>2E-3</v>
      </c>
      <c r="AJ274" s="90">
        <v>0</v>
      </c>
      <c r="AK274" s="90">
        <v>2E-3</v>
      </c>
      <c r="AL274" s="90">
        <v>0</v>
      </c>
      <c r="AM274" s="90">
        <v>0</v>
      </c>
      <c r="AN274" s="90">
        <v>0</v>
      </c>
      <c r="AO274" s="90">
        <v>0</v>
      </c>
      <c r="AP274" s="90">
        <v>0</v>
      </c>
      <c r="AQ274" s="90">
        <v>0</v>
      </c>
      <c r="AR274" s="90">
        <v>0</v>
      </c>
      <c r="AS274" s="90">
        <v>0</v>
      </c>
      <c r="AT274" s="90">
        <v>0</v>
      </c>
      <c r="AU274" s="90">
        <v>0</v>
      </c>
      <c r="AV274" s="90">
        <v>0</v>
      </c>
      <c r="AW274" s="90">
        <v>0</v>
      </c>
      <c r="AX274" s="90">
        <v>0.1</v>
      </c>
      <c r="AY274" s="90">
        <v>1.0580000000000001</v>
      </c>
      <c r="AZ274" s="90">
        <v>0</v>
      </c>
      <c r="BA274" s="90">
        <v>1E-3</v>
      </c>
      <c r="BB274" s="90">
        <v>1E-3</v>
      </c>
      <c r="BC274" s="90">
        <v>3.0000000000000001E-3</v>
      </c>
      <c r="BD274" s="90">
        <v>0</v>
      </c>
      <c r="BE274" s="90">
        <v>0</v>
      </c>
      <c r="BF274" s="90">
        <v>2E-3</v>
      </c>
      <c r="BG274" s="90">
        <v>0</v>
      </c>
      <c r="BH274" s="90">
        <v>0</v>
      </c>
      <c r="BI274" s="90">
        <v>6.0000000000000001E-3</v>
      </c>
      <c r="BJ274" s="91">
        <f t="shared" si="207"/>
        <v>1.6137882064357874E-3</v>
      </c>
      <c r="BK274" s="91">
        <f t="shared" si="208"/>
        <v>5.0869443573069717E-3</v>
      </c>
      <c r="BL274" s="91">
        <f t="shared" si="209"/>
        <v>3.7370511111250219E-3</v>
      </c>
      <c r="BM274" s="91">
        <f t="shared" si="209"/>
        <v>3.555158479191699E-3</v>
      </c>
      <c r="BN274" s="91">
        <f t="shared" si="209"/>
        <v>3.7620919673697004E-3</v>
      </c>
      <c r="BO274" s="91">
        <f t="shared" si="210"/>
        <v>1.6137882064357874E-3</v>
      </c>
      <c r="BP274" s="91">
        <f t="shared" si="210"/>
        <v>5.0869443573069717E-3</v>
      </c>
      <c r="BQ274" s="91">
        <f t="shared" si="210"/>
        <v>3.7370511111250219E-3</v>
      </c>
      <c r="BR274" s="91">
        <f t="shared" si="210"/>
        <v>3.555158479191699E-3</v>
      </c>
      <c r="BS274" s="91">
        <f t="shared" si="210"/>
        <v>3.7620919673697004E-3</v>
      </c>
      <c r="BT274" s="91">
        <f t="shared" si="210"/>
        <v>4.6137558817060343E-3</v>
      </c>
      <c r="BU274" s="91">
        <f t="shared" si="210"/>
        <v>3.5510068242858364E-3</v>
      </c>
    </row>
    <row r="275" spans="1:73">
      <c r="A275" s="4" t="s">
        <v>109</v>
      </c>
      <c r="C275" s="88">
        <v>0</v>
      </c>
      <c r="D275" s="88">
        <v>0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  <c r="X275" s="88">
        <v>0</v>
      </c>
      <c r="Y275" s="88">
        <v>0</v>
      </c>
      <c r="Z275" s="88">
        <v>0</v>
      </c>
      <c r="AA275" s="88">
        <v>0</v>
      </c>
      <c r="AB275" s="88">
        <v>0</v>
      </c>
      <c r="AC275" s="88">
        <v>0</v>
      </c>
      <c r="AD275" s="88">
        <v>0</v>
      </c>
      <c r="AE275" s="90">
        <v>0</v>
      </c>
      <c r="AF275" s="90">
        <v>0</v>
      </c>
      <c r="AG275" s="90">
        <v>0</v>
      </c>
      <c r="AH275" s="90">
        <v>0</v>
      </c>
      <c r="AI275" s="90">
        <v>2E-3</v>
      </c>
      <c r="AJ275" s="90">
        <v>4.0000000000000001E-3</v>
      </c>
      <c r="AK275" s="90">
        <v>0</v>
      </c>
      <c r="AL275" s="90">
        <v>0</v>
      </c>
      <c r="AM275" s="90">
        <v>0</v>
      </c>
      <c r="AN275" s="90">
        <v>0</v>
      </c>
      <c r="AO275" s="90">
        <v>0</v>
      </c>
      <c r="AP275" s="90">
        <v>0</v>
      </c>
      <c r="AQ275" s="90">
        <v>0</v>
      </c>
      <c r="AR275" s="90">
        <v>0</v>
      </c>
      <c r="AS275" s="90">
        <v>0</v>
      </c>
      <c r="AT275" s="90">
        <v>0</v>
      </c>
      <c r="AU275" s="90">
        <v>0</v>
      </c>
      <c r="AV275" s="90">
        <v>0</v>
      </c>
      <c r="AW275" s="90">
        <v>0</v>
      </c>
      <c r="AX275" s="90">
        <v>10.677</v>
      </c>
      <c r="AY275" s="90">
        <v>0</v>
      </c>
      <c r="AZ275" s="90">
        <v>5.3019999999999996</v>
      </c>
      <c r="BA275" s="90">
        <v>0</v>
      </c>
      <c r="BB275" s="90">
        <v>0</v>
      </c>
      <c r="BC275" s="90">
        <v>0</v>
      </c>
      <c r="BD275" s="90">
        <v>0</v>
      </c>
      <c r="BE275" s="90">
        <v>0</v>
      </c>
      <c r="BF275" s="90">
        <v>1E-3</v>
      </c>
      <c r="BG275" s="90">
        <v>2E-3</v>
      </c>
      <c r="BH275" s="90">
        <v>0</v>
      </c>
      <c r="BI275" s="91">
        <f>(SUM(BC275:BG275)/SUM(BC$279:BG$279))*BI$279</f>
        <v>4.9109481403876373E-3</v>
      </c>
      <c r="BJ275" s="91">
        <f t="shared" si="207"/>
        <v>2.4206823096536816E-3</v>
      </c>
      <c r="BK275" s="91">
        <f t="shared" si="208"/>
        <v>5.0303191254616212E-3</v>
      </c>
      <c r="BL275" s="91">
        <f t="shared" si="209"/>
        <v>4.0160892068761538E-3</v>
      </c>
      <c r="BM275" s="91">
        <f t="shared" si="209"/>
        <v>4.0201623453463529E-3</v>
      </c>
      <c r="BN275" s="91">
        <f t="shared" si="209"/>
        <v>3.7484182395382112E-3</v>
      </c>
      <c r="BO275" s="91">
        <f t="shared" si="210"/>
        <v>2.4206823096536816E-3</v>
      </c>
      <c r="BP275" s="91">
        <f t="shared" si="210"/>
        <v>5.0303191254616212E-3</v>
      </c>
      <c r="BQ275" s="91">
        <f t="shared" si="210"/>
        <v>4.0160892068761538E-3</v>
      </c>
      <c r="BR275" s="91">
        <f t="shared" si="210"/>
        <v>4.0201623453463529E-3</v>
      </c>
      <c r="BS275" s="91">
        <f t="shared" si="210"/>
        <v>3.7484182395382112E-3</v>
      </c>
      <c r="BT275" s="91">
        <f t="shared" si="210"/>
        <v>4.7072771833212576E-3</v>
      </c>
      <c r="BU275" s="91">
        <f t="shared" si="210"/>
        <v>3.8471342453752044E-3</v>
      </c>
    </row>
    <row r="276" spans="1:73">
      <c r="A276" s="4" t="s">
        <v>110</v>
      </c>
      <c r="C276" s="88">
        <v>0</v>
      </c>
      <c r="D276" s="88">
        <v>0</v>
      </c>
      <c r="E276" s="88">
        <v>0</v>
      </c>
      <c r="F276" s="88">
        <v>0</v>
      </c>
      <c r="G276" s="88">
        <v>0</v>
      </c>
      <c r="H276" s="88">
        <v>0</v>
      </c>
      <c r="I276" s="88">
        <v>0</v>
      </c>
      <c r="J276" s="88">
        <v>0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  <c r="X276" s="88">
        <v>0</v>
      </c>
      <c r="Y276" s="88">
        <v>0</v>
      </c>
      <c r="Z276" s="88">
        <v>0</v>
      </c>
      <c r="AA276" s="88">
        <v>0</v>
      </c>
      <c r="AB276" s="88">
        <v>0</v>
      </c>
      <c r="AC276" s="88">
        <v>0</v>
      </c>
      <c r="AD276" s="88">
        <v>0</v>
      </c>
      <c r="AE276" s="90">
        <v>0</v>
      </c>
      <c r="AF276" s="90">
        <v>0</v>
      </c>
      <c r="AG276" s="90">
        <v>0</v>
      </c>
      <c r="AH276" s="90">
        <v>0</v>
      </c>
      <c r="AI276" s="90">
        <v>1E-3</v>
      </c>
      <c r="AJ276" s="90">
        <v>0</v>
      </c>
      <c r="AK276" s="90">
        <v>0</v>
      </c>
      <c r="AL276" s="90">
        <v>0</v>
      </c>
      <c r="AM276" s="90">
        <v>0</v>
      </c>
      <c r="AN276" s="90">
        <v>0</v>
      </c>
      <c r="AO276" s="90">
        <v>0</v>
      </c>
      <c r="AP276" s="90">
        <v>0</v>
      </c>
      <c r="AQ276" s="90">
        <v>0</v>
      </c>
      <c r="AR276" s="90">
        <v>0</v>
      </c>
      <c r="AS276" s="90">
        <v>0</v>
      </c>
      <c r="AT276" s="90">
        <v>0</v>
      </c>
      <c r="AU276" s="90">
        <v>0</v>
      </c>
      <c r="AV276" s="90">
        <v>0</v>
      </c>
      <c r="AW276" s="90">
        <v>0</v>
      </c>
      <c r="AX276" s="90">
        <v>4.9640000000000004</v>
      </c>
      <c r="AY276" s="90">
        <v>0</v>
      </c>
      <c r="AZ276" s="90">
        <v>1.7290000000000001</v>
      </c>
      <c r="BA276" s="90">
        <v>8.9999999999999993E-3</v>
      </c>
      <c r="BB276" s="90">
        <v>4.0000000000000001E-3</v>
      </c>
      <c r="BC276" s="90">
        <v>1E-3</v>
      </c>
      <c r="BD276" s="90">
        <v>0</v>
      </c>
      <c r="BE276" s="90">
        <v>0</v>
      </c>
      <c r="BF276" s="90">
        <v>0</v>
      </c>
      <c r="BG276" s="90">
        <v>0</v>
      </c>
      <c r="BH276" s="90">
        <v>0</v>
      </c>
      <c r="BI276" s="91">
        <f>(SUM(BC276:BG276)/SUM(BC$279:BG$279))*BI$279</f>
        <v>1.6369827134625459E-3</v>
      </c>
      <c r="BJ276" s="91">
        <f t="shared" si="207"/>
        <v>0</v>
      </c>
      <c r="BK276" s="91">
        <f t="shared" si="208"/>
        <v>1.0409049971571692E-3</v>
      </c>
      <c r="BL276" s="91">
        <f t="shared" si="209"/>
        <v>6.3632440583020263E-4</v>
      </c>
      <c r="BM276" s="91">
        <f t="shared" si="209"/>
        <v>7.4958788030155953E-4</v>
      </c>
      <c r="BN276" s="91">
        <f t="shared" si="209"/>
        <v>7.5851897239156616E-4</v>
      </c>
      <c r="BO276" s="91">
        <f t="shared" si="210"/>
        <v>0</v>
      </c>
      <c r="BP276" s="91">
        <f t="shared" si="210"/>
        <v>1.0409049971571692E-3</v>
      </c>
      <c r="BQ276" s="91">
        <f t="shared" si="210"/>
        <v>6.3632440583020263E-4</v>
      </c>
      <c r="BR276" s="91">
        <f t="shared" si="210"/>
        <v>7.4958788030155953E-4</v>
      </c>
      <c r="BS276" s="91">
        <f t="shared" si="210"/>
        <v>7.5851897239156616E-4</v>
      </c>
      <c r="BT276" s="91">
        <f t="shared" si="210"/>
        <v>9.3779999925034079E-4</v>
      </c>
      <c r="BU276" s="91">
        <f t="shared" si="210"/>
        <v>6.370672511360995E-4</v>
      </c>
    </row>
    <row r="277" spans="1:73">
      <c r="A277" s="4" t="s">
        <v>111</v>
      </c>
      <c r="C277" s="88">
        <v>0</v>
      </c>
      <c r="D277" s="88">
        <v>0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  <c r="X277" s="88">
        <v>0</v>
      </c>
      <c r="Y277" s="88">
        <v>0</v>
      </c>
      <c r="Z277" s="88">
        <v>0</v>
      </c>
      <c r="AA277" s="88">
        <v>0</v>
      </c>
      <c r="AB277" s="88">
        <v>0</v>
      </c>
      <c r="AC277" s="88">
        <v>0</v>
      </c>
      <c r="AD277" s="88">
        <v>0</v>
      </c>
      <c r="AE277" s="90">
        <v>0</v>
      </c>
      <c r="AF277" s="90">
        <v>0</v>
      </c>
      <c r="AG277" s="90">
        <v>0</v>
      </c>
      <c r="AH277" s="90">
        <v>0</v>
      </c>
      <c r="AI277" s="90">
        <v>2E-3</v>
      </c>
      <c r="AJ277" s="90">
        <v>0</v>
      </c>
      <c r="AK277" s="90">
        <v>0</v>
      </c>
      <c r="AL277" s="90">
        <v>0</v>
      </c>
      <c r="AM277" s="90">
        <v>0</v>
      </c>
      <c r="AN277" s="90">
        <v>0</v>
      </c>
      <c r="AO277" s="90">
        <v>0</v>
      </c>
      <c r="AP277" s="90">
        <v>0</v>
      </c>
      <c r="AQ277" s="90">
        <v>0</v>
      </c>
      <c r="AR277" s="90">
        <v>0</v>
      </c>
      <c r="AS277" s="90">
        <v>0</v>
      </c>
      <c r="AT277" s="90">
        <v>0</v>
      </c>
      <c r="AU277" s="90">
        <v>0</v>
      </c>
      <c r="AV277" s="90">
        <v>0</v>
      </c>
      <c r="AW277" s="90">
        <v>0</v>
      </c>
      <c r="AX277" s="90">
        <v>19.198</v>
      </c>
      <c r="AY277" s="90">
        <v>0</v>
      </c>
      <c r="AZ277" s="90">
        <v>4.8719999999999999</v>
      </c>
      <c r="BA277" s="90">
        <v>0</v>
      </c>
      <c r="BB277" s="90">
        <v>1E-3</v>
      </c>
      <c r="BC277" s="90">
        <v>5.0000000000000001E-3</v>
      </c>
      <c r="BD277" s="90">
        <v>0</v>
      </c>
      <c r="BE277" s="90">
        <v>4.0000000000000001E-3</v>
      </c>
      <c r="BF277" s="90">
        <v>0</v>
      </c>
      <c r="BG277" s="90">
        <v>3.177</v>
      </c>
      <c r="BH277" s="90">
        <v>2E-3</v>
      </c>
      <c r="BI277" s="91">
        <f>(SUM(BC277:BG277)/SUM(BC$279:BG$279))*BI$279</f>
        <v>5.2154269250916707</v>
      </c>
      <c r="BJ277" s="91">
        <f t="shared" si="207"/>
        <v>2.5683439305425555</v>
      </c>
      <c r="BK277" s="91">
        <f t="shared" si="208"/>
        <v>5.3402913071062521</v>
      </c>
      <c r="BL277" s="91">
        <f t="shared" si="209"/>
        <v>4.2614247503009555</v>
      </c>
      <c r="BM277" s="91">
        <f t="shared" si="209"/>
        <v>4.5635139070730917</v>
      </c>
      <c r="BN277" s="91">
        <f t="shared" si="209"/>
        <v>3.9794491850085221</v>
      </c>
      <c r="BO277" s="91">
        <f t="shared" si="210"/>
        <v>2.5683439305425555</v>
      </c>
      <c r="BP277" s="91">
        <f t="shared" si="210"/>
        <v>5.3402913071062521</v>
      </c>
      <c r="BQ277" s="91">
        <f t="shared" si="210"/>
        <v>4.2614247503009555</v>
      </c>
      <c r="BR277" s="91">
        <f t="shared" si="210"/>
        <v>4.5635139070730917</v>
      </c>
      <c r="BS277" s="91">
        <f t="shared" si="210"/>
        <v>3.9794491850085221</v>
      </c>
      <c r="BT277" s="91">
        <f t="shared" si="210"/>
        <v>5.0651540354110445</v>
      </c>
      <c r="BU277" s="91">
        <f t="shared" si="210"/>
        <v>4.1426046160062748</v>
      </c>
    </row>
    <row r="278" spans="1:73">
      <c r="A278" s="4" t="s">
        <v>112</v>
      </c>
      <c r="C278" s="88">
        <v>0</v>
      </c>
      <c r="D278" s="88">
        <v>0</v>
      </c>
      <c r="E278" s="88">
        <v>0</v>
      </c>
      <c r="F278" s="88">
        <v>0</v>
      </c>
      <c r="G278" s="88">
        <v>0</v>
      </c>
      <c r="H278" s="88">
        <v>0</v>
      </c>
      <c r="I278" s="88">
        <v>0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  <c r="X278" s="88">
        <v>0</v>
      </c>
      <c r="Y278" s="88">
        <v>0</v>
      </c>
      <c r="Z278" s="88">
        <v>0</v>
      </c>
      <c r="AA278" s="88">
        <v>0</v>
      </c>
      <c r="AB278" s="88">
        <v>0</v>
      </c>
      <c r="AC278" s="88">
        <v>0</v>
      </c>
      <c r="AD278" s="88">
        <v>0</v>
      </c>
      <c r="AE278" s="90">
        <v>0</v>
      </c>
      <c r="AF278" s="90">
        <v>0</v>
      </c>
      <c r="AG278" s="90">
        <v>0</v>
      </c>
      <c r="AH278" s="90">
        <v>0</v>
      </c>
      <c r="AI278" s="90">
        <v>2E-3</v>
      </c>
      <c r="AJ278" s="90">
        <v>0</v>
      </c>
      <c r="AK278" s="90">
        <v>0</v>
      </c>
      <c r="AL278" s="90">
        <v>0</v>
      </c>
      <c r="AM278" s="90">
        <v>0</v>
      </c>
      <c r="AN278" s="90">
        <v>0</v>
      </c>
      <c r="AO278" s="90">
        <v>0</v>
      </c>
      <c r="AP278" s="90">
        <v>0</v>
      </c>
      <c r="AQ278" s="90">
        <v>0</v>
      </c>
      <c r="AR278" s="90">
        <v>0</v>
      </c>
      <c r="AS278" s="90">
        <v>0.10100000000000001</v>
      </c>
      <c r="AT278" s="90">
        <v>0</v>
      </c>
      <c r="AU278" s="90">
        <v>0</v>
      </c>
      <c r="AV278" s="90">
        <v>0</v>
      </c>
      <c r="AW278" s="90">
        <v>0</v>
      </c>
      <c r="AX278" s="90">
        <v>0</v>
      </c>
      <c r="AY278" s="90">
        <v>0</v>
      </c>
      <c r="AZ278" s="90">
        <v>0</v>
      </c>
      <c r="BA278" s="90">
        <v>7.0000000000000001E-3</v>
      </c>
      <c r="BB278" s="90">
        <v>0</v>
      </c>
      <c r="BC278" s="90">
        <v>0</v>
      </c>
      <c r="BD278" s="90">
        <v>0</v>
      </c>
      <c r="BE278" s="90">
        <v>0</v>
      </c>
      <c r="BF278" s="90">
        <v>0</v>
      </c>
      <c r="BG278" s="90">
        <v>12.051</v>
      </c>
      <c r="BH278" s="90">
        <v>0</v>
      </c>
      <c r="BI278" s="91">
        <f t="shared" ref="BI278:BO278" si="211">BI279-SUM(BI267:BI277)</f>
        <v>19.766025144054481</v>
      </c>
      <c r="BJ278" s="91">
        <f t="shared" si="211"/>
        <v>9.7238808378788377</v>
      </c>
      <c r="BK278" s="91">
        <f t="shared" si="211"/>
        <v>20.231429565355242</v>
      </c>
      <c r="BL278" s="91">
        <f t="shared" si="211"/>
        <v>16.147691786365847</v>
      </c>
      <c r="BM278" s="91">
        <f t="shared" si="211"/>
        <v>17.291163434725611</v>
      </c>
      <c r="BN278" s="91">
        <f t="shared" si="211"/>
        <v>15.07534978753089</v>
      </c>
      <c r="BO278" s="91">
        <f t="shared" si="211"/>
        <v>9.7238808378788377</v>
      </c>
      <c r="BP278" s="91">
        <f t="shared" ref="BP278:BU278" si="212">BP279-SUM(BP267:BP277)</f>
        <v>20.231429565355242</v>
      </c>
      <c r="BQ278" s="91">
        <f t="shared" si="212"/>
        <v>16.147691786365847</v>
      </c>
      <c r="BR278" s="91">
        <f t="shared" si="212"/>
        <v>17.291163434725611</v>
      </c>
      <c r="BS278" s="91">
        <f t="shared" si="212"/>
        <v>15.07534978753089</v>
      </c>
      <c r="BT278" s="91">
        <f t="shared" si="212"/>
        <v>19.190813254241533</v>
      </c>
      <c r="BU278" s="91">
        <f t="shared" si="212"/>
        <v>15.693903082371278</v>
      </c>
    </row>
    <row r="279" spans="1:73" ht="15.75" thickBot="1">
      <c r="A279" s="4" t="s">
        <v>113</v>
      </c>
      <c r="B279" s="92"/>
      <c r="C279" s="92">
        <v>0</v>
      </c>
      <c r="D279" s="92">
        <v>0</v>
      </c>
      <c r="E279" s="92">
        <v>0</v>
      </c>
      <c r="F279" s="92">
        <v>0</v>
      </c>
      <c r="G279" s="92">
        <v>0</v>
      </c>
      <c r="H279" s="92">
        <v>0</v>
      </c>
      <c r="I279" s="92">
        <v>0</v>
      </c>
      <c r="J279" s="92">
        <v>0</v>
      </c>
      <c r="K279" s="92">
        <v>0</v>
      </c>
      <c r="L279" s="92">
        <v>0</v>
      </c>
      <c r="M279" s="92">
        <v>0</v>
      </c>
      <c r="N279" s="92">
        <v>0</v>
      </c>
      <c r="O279" s="92">
        <v>0</v>
      </c>
      <c r="P279" s="92">
        <v>0</v>
      </c>
      <c r="Q279" s="92">
        <v>0</v>
      </c>
      <c r="R279" s="92">
        <v>0</v>
      </c>
      <c r="S279" s="92">
        <v>0</v>
      </c>
      <c r="T279" s="92">
        <v>0</v>
      </c>
      <c r="U279" s="92">
        <v>0</v>
      </c>
      <c r="V279" s="92">
        <v>0</v>
      </c>
      <c r="W279" s="92">
        <v>0</v>
      </c>
      <c r="X279" s="92">
        <v>0</v>
      </c>
      <c r="Y279" s="92">
        <v>0</v>
      </c>
      <c r="Z279" s="92">
        <v>0</v>
      </c>
      <c r="AA279" s="92">
        <v>0</v>
      </c>
      <c r="AB279" s="92">
        <v>0</v>
      </c>
      <c r="AC279" s="92">
        <v>0</v>
      </c>
      <c r="AD279" s="92">
        <v>0</v>
      </c>
      <c r="AE279" s="93">
        <v>0</v>
      </c>
      <c r="AF279" s="93">
        <v>0</v>
      </c>
      <c r="AG279" s="93">
        <v>0</v>
      </c>
      <c r="AH279" s="93">
        <v>0</v>
      </c>
      <c r="AI279" s="93">
        <f t="shared" ref="AI279:BH279" si="213">SUM(AI267:AI278)</f>
        <v>2.0000000000000004E-2</v>
      </c>
      <c r="AJ279" s="93">
        <f t="shared" si="213"/>
        <v>4.1999999999999996E-2</v>
      </c>
      <c r="AK279" s="93">
        <f t="shared" si="213"/>
        <v>1.2E-2</v>
      </c>
      <c r="AL279" s="93">
        <f t="shared" si="213"/>
        <v>0</v>
      </c>
      <c r="AM279" s="93">
        <f t="shared" si="213"/>
        <v>0</v>
      </c>
      <c r="AN279" s="93">
        <f t="shared" si="213"/>
        <v>8.2000000000000003E-2</v>
      </c>
      <c r="AO279" s="93">
        <f t="shared" si="213"/>
        <v>0</v>
      </c>
      <c r="AP279" s="93">
        <f t="shared" si="213"/>
        <v>0</v>
      </c>
      <c r="AQ279" s="93">
        <f t="shared" si="213"/>
        <v>0</v>
      </c>
      <c r="AR279" s="93">
        <f t="shared" si="213"/>
        <v>0</v>
      </c>
      <c r="AS279" s="93">
        <f t="shared" si="213"/>
        <v>0.10100000000000001</v>
      </c>
      <c r="AT279" s="93">
        <f t="shared" si="213"/>
        <v>0</v>
      </c>
      <c r="AU279" s="93">
        <f t="shared" si="213"/>
        <v>0</v>
      </c>
      <c r="AV279" s="93">
        <f t="shared" si="213"/>
        <v>1E-3</v>
      </c>
      <c r="AW279" s="93">
        <f t="shared" si="213"/>
        <v>0</v>
      </c>
      <c r="AX279" s="93">
        <f t="shared" si="213"/>
        <v>34.939</v>
      </c>
      <c r="AY279" s="93">
        <f t="shared" si="213"/>
        <v>59.157999999999994</v>
      </c>
      <c r="AZ279" s="93">
        <f t="shared" si="213"/>
        <v>25.884</v>
      </c>
      <c r="BA279" s="93">
        <f t="shared" si="213"/>
        <v>4.5409999999999995</v>
      </c>
      <c r="BB279" s="93">
        <f t="shared" si="213"/>
        <v>1.6E-2</v>
      </c>
      <c r="BC279" s="93">
        <f t="shared" si="213"/>
        <v>2.2000000000000002E-2</v>
      </c>
      <c r="BD279" s="93">
        <f t="shared" si="213"/>
        <v>0</v>
      </c>
      <c r="BE279" s="93">
        <f t="shared" si="213"/>
        <v>7.0000000000000001E-3</v>
      </c>
      <c r="BF279" s="93">
        <f t="shared" si="213"/>
        <v>6.0000000000000001E-3</v>
      </c>
      <c r="BG279" s="93">
        <f t="shared" si="213"/>
        <v>15.237</v>
      </c>
      <c r="BH279" s="93">
        <f t="shared" si="213"/>
        <v>77.698999999999998</v>
      </c>
      <c r="BI279" s="109">
        <f t="shared" ref="BI279:BU279" si="214">BI32</f>
        <v>25</v>
      </c>
      <c r="BJ279" s="109">
        <f t="shared" si="214"/>
        <v>75</v>
      </c>
      <c r="BK279" s="109">
        <f t="shared" si="214"/>
        <v>75</v>
      </c>
      <c r="BL279" s="109">
        <f t="shared" si="214"/>
        <v>75</v>
      </c>
      <c r="BM279" s="109">
        <f t="shared" si="214"/>
        <v>75</v>
      </c>
      <c r="BN279" s="109">
        <f t="shared" si="214"/>
        <v>75</v>
      </c>
      <c r="BO279" s="109">
        <f t="shared" si="214"/>
        <v>75</v>
      </c>
      <c r="BP279" s="109">
        <f t="shared" si="214"/>
        <v>75</v>
      </c>
      <c r="BQ279" s="109">
        <f t="shared" si="214"/>
        <v>75</v>
      </c>
      <c r="BR279" s="109">
        <f t="shared" si="214"/>
        <v>75</v>
      </c>
      <c r="BS279" s="109">
        <f t="shared" si="214"/>
        <v>75</v>
      </c>
      <c r="BT279" s="109">
        <f t="shared" si="214"/>
        <v>75</v>
      </c>
      <c r="BU279" s="109">
        <f t="shared" si="214"/>
        <v>75</v>
      </c>
    </row>
    <row r="280" spans="1:73">
      <c r="A280" s="60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1:73" ht="15.75" thickBot="1">
      <c r="A281" s="53" t="s">
        <v>151</v>
      </c>
    </row>
    <row r="282" spans="1:73" s="4" customFormat="1" ht="15.75" thickBot="1">
      <c r="A282" s="54"/>
      <c r="B282" s="63" t="s">
        <v>1</v>
      </c>
      <c r="C282" s="63" t="s">
        <v>2</v>
      </c>
      <c r="D282" s="63" t="s">
        <v>3</v>
      </c>
      <c r="E282" s="63" t="s">
        <v>4</v>
      </c>
      <c r="F282" s="63" t="s">
        <v>5</v>
      </c>
      <c r="G282" s="63" t="s">
        <v>6</v>
      </c>
      <c r="H282" s="63" t="s">
        <v>7</v>
      </c>
      <c r="I282" s="63" t="s">
        <v>8</v>
      </c>
      <c r="J282" s="63" t="s">
        <v>9</v>
      </c>
      <c r="K282" s="63" t="s">
        <v>10</v>
      </c>
      <c r="L282" s="63" t="s">
        <v>11</v>
      </c>
      <c r="M282" s="55" t="s">
        <v>12</v>
      </c>
      <c r="N282" s="55" t="s">
        <v>13</v>
      </c>
      <c r="O282" s="55" t="s">
        <v>14</v>
      </c>
      <c r="P282" s="55" t="s">
        <v>15</v>
      </c>
      <c r="Q282" s="55" t="s">
        <v>16</v>
      </c>
      <c r="R282" s="55" t="s">
        <v>17</v>
      </c>
      <c r="S282" s="55" t="s">
        <v>18</v>
      </c>
      <c r="T282" s="55" t="s">
        <v>19</v>
      </c>
      <c r="U282" s="55" t="s">
        <v>20</v>
      </c>
      <c r="V282" s="55" t="s">
        <v>21</v>
      </c>
      <c r="W282" s="55" t="s">
        <v>22</v>
      </c>
      <c r="X282" s="55" t="s">
        <v>23</v>
      </c>
      <c r="Y282" s="55" t="s">
        <v>24</v>
      </c>
      <c r="Z282" s="55" t="s">
        <v>25</v>
      </c>
      <c r="AA282" s="55" t="s">
        <v>26</v>
      </c>
      <c r="AB282" s="55" t="s">
        <v>27</v>
      </c>
      <c r="AC282" s="55" t="s">
        <v>28</v>
      </c>
      <c r="AD282" s="55" t="s">
        <v>29</v>
      </c>
      <c r="AE282" s="55" t="s">
        <v>30</v>
      </c>
      <c r="AF282" s="55" t="s">
        <v>31</v>
      </c>
      <c r="AG282" s="55" t="s">
        <v>32</v>
      </c>
      <c r="AH282" s="55" t="s">
        <v>33</v>
      </c>
      <c r="AI282" s="55" t="s">
        <v>34</v>
      </c>
      <c r="AJ282" s="55" t="s">
        <v>35</v>
      </c>
      <c r="AK282" s="55" t="s">
        <v>36</v>
      </c>
      <c r="AL282" s="55" t="s">
        <v>37</v>
      </c>
      <c r="AM282" s="55" t="s">
        <v>38</v>
      </c>
      <c r="AN282" s="55" t="s">
        <v>39</v>
      </c>
      <c r="AO282" s="55" t="s">
        <v>40</v>
      </c>
      <c r="AP282" s="55" t="s">
        <v>41</v>
      </c>
      <c r="AQ282" s="55" t="s">
        <v>42</v>
      </c>
      <c r="AR282" s="55" t="s">
        <v>43</v>
      </c>
      <c r="AS282" s="55" t="s">
        <v>44</v>
      </c>
      <c r="AT282" s="55" t="s">
        <v>45</v>
      </c>
      <c r="AU282" s="55" t="s">
        <v>46</v>
      </c>
      <c r="AV282" s="55" t="s">
        <v>47</v>
      </c>
      <c r="AW282" s="55" t="s">
        <v>48</v>
      </c>
      <c r="AX282" s="55" t="s">
        <v>49</v>
      </c>
      <c r="AY282" s="55" t="s">
        <v>50</v>
      </c>
      <c r="AZ282" s="55" t="s">
        <v>51</v>
      </c>
      <c r="BA282" s="55" t="s">
        <v>52</v>
      </c>
      <c r="BB282" s="55" t="s">
        <v>53</v>
      </c>
      <c r="BC282" s="55" t="s">
        <v>54</v>
      </c>
      <c r="BD282" s="55" t="s">
        <v>55</v>
      </c>
      <c r="BE282" s="55" t="s">
        <v>56</v>
      </c>
      <c r="BF282" s="55" t="str">
        <f t="shared" ref="BF282:BU282" si="215">BG2</f>
        <v>21/22</v>
      </c>
      <c r="BG282" s="55" t="str">
        <f t="shared" si="215"/>
        <v>22/23</v>
      </c>
      <c r="BH282" s="55" t="str">
        <f t="shared" si="215"/>
        <v>23/24</v>
      </c>
      <c r="BI282" s="55" t="str">
        <f t="shared" si="215"/>
        <v>24/25</v>
      </c>
      <c r="BJ282" s="55" t="str">
        <f t="shared" si="215"/>
        <v>25/26</v>
      </c>
      <c r="BK282" s="55" t="str">
        <f t="shared" si="215"/>
        <v>26/27</v>
      </c>
      <c r="BL282" s="55" t="str">
        <f t="shared" si="215"/>
        <v>27/28</v>
      </c>
      <c r="BM282" s="55" t="str">
        <f t="shared" si="215"/>
        <v>28/29</v>
      </c>
      <c r="BN282" s="55" t="str">
        <f t="shared" si="215"/>
        <v>29/30</v>
      </c>
      <c r="BO282" s="55" t="str">
        <f t="shared" si="215"/>
        <v>30/31</v>
      </c>
      <c r="BP282" s="55" t="str">
        <f t="shared" si="215"/>
        <v>31/32</v>
      </c>
      <c r="BQ282" s="55" t="str">
        <f t="shared" si="215"/>
        <v>32/33</v>
      </c>
      <c r="BR282" s="55" t="str">
        <f t="shared" si="215"/>
        <v>33/34</v>
      </c>
      <c r="BS282" s="55" t="str">
        <f t="shared" si="215"/>
        <v>34/35</v>
      </c>
      <c r="BT282" s="55" t="str">
        <f t="shared" si="215"/>
        <v>34/35</v>
      </c>
      <c r="BU282" s="55">
        <f t="shared" si="215"/>
        <v>0</v>
      </c>
    </row>
    <row r="283" spans="1:73">
      <c r="A283" s="4" t="s">
        <v>100</v>
      </c>
      <c r="B283" s="56"/>
      <c r="C283" s="57">
        <f t="shared" ref="C283:Q294" si="216">(SUM($S283:$W283)/SUM($S$295:$W$295))*C$295</f>
        <v>0</v>
      </c>
      <c r="D283" s="57">
        <f t="shared" si="216"/>
        <v>0</v>
      </c>
      <c r="E283" s="57">
        <f t="shared" si="216"/>
        <v>0</v>
      </c>
      <c r="F283" s="57">
        <f t="shared" si="216"/>
        <v>0</v>
      </c>
      <c r="G283" s="57">
        <f t="shared" si="216"/>
        <v>0</v>
      </c>
      <c r="H283" s="57">
        <f t="shared" si="216"/>
        <v>0</v>
      </c>
      <c r="I283" s="57">
        <f t="shared" si="216"/>
        <v>0</v>
      </c>
      <c r="J283" s="57">
        <f t="shared" si="216"/>
        <v>0</v>
      </c>
      <c r="K283" s="57">
        <f t="shared" si="216"/>
        <v>1.4960996477101156</v>
      </c>
      <c r="L283" s="57">
        <f t="shared" si="216"/>
        <v>2.2441494715651733</v>
      </c>
      <c r="M283" s="57">
        <f t="shared" si="216"/>
        <v>1.360090588827378</v>
      </c>
      <c r="N283" s="57">
        <f t="shared" si="216"/>
        <v>4.5563034725717158</v>
      </c>
      <c r="O283" s="57">
        <f t="shared" si="216"/>
        <v>4.3522898842476092</v>
      </c>
      <c r="P283" s="57">
        <f t="shared" si="216"/>
        <v>4.0122672370407644</v>
      </c>
      <c r="Q283" s="57">
        <f t="shared" si="216"/>
        <v>6.9364620030196269</v>
      </c>
      <c r="R283" s="57">
        <v>4.6333783327708407</v>
      </c>
      <c r="S283" s="56">
        <v>13.1</v>
      </c>
      <c r="T283" s="56">
        <v>13.9</v>
      </c>
      <c r="U283" s="56">
        <v>28.1</v>
      </c>
      <c r="V283" s="56">
        <v>30.1</v>
      </c>
      <c r="W283" s="56">
        <v>22.9</v>
      </c>
      <c r="X283" s="56">
        <v>26</v>
      </c>
      <c r="Y283" s="56">
        <v>11.3</v>
      </c>
      <c r="Z283" s="56">
        <v>18.7</v>
      </c>
      <c r="AA283" s="56">
        <v>45.3</v>
      </c>
      <c r="AB283" s="56">
        <v>79.3</v>
      </c>
      <c r="AC283" s="56">
        <v>65.400000000000006</v>
      </c>
      <c r="AD283" s="56">
        <v>91.08</v>
      </c>
      <c r="AE283" s="56">
        <v>67.102999999999994</v>
      </c>
      <c r="AF283" s="59">
        <f>'[1]Argentina Soybean Oil Exports'!AN$290</f>
        <v>74.018000000000001</v>
      </c>
      <c r="AG283" s="59">
        <f>'[1]Argentina Soybean Oil Exports'!AZ$290</f>
        <v>86.951999999999998</v>
      </c>
      <c r="AH283" s="59">
        <f>'[1]Argentina Soybean Oil Exports'!BL$290</f>
        <v>98.415000000000006</v>
      </c>
      <c r="AI283" s="59">
        <f>'[1]Argentina Soybean Oil Exports'!BX$290</f>
        <v>106.709</v>
      </c>
      <c r="AJ283" s="59">
        <f>'[1]Argentina Soybean Oil Exports'!CJ$290</f>
        <v>41.978999999999999</v>
      </c>
      <c r="AK283" s="59">
        <f>'[1]Argentina Soybean Oil Exports'!CV$290</f>
        <v>187.536</v>
      </c>
      <c r="AL283" s="59">
        <f>'[1]Argentina Soybean Oil Exports'!DH$290</f>
        <v>137.804</v>
      </c>
      <c r="AM283" s="59">
        <f>'[1]Argentina Soybean Oil Exports'!DT$290</f>
        <v>149.55500000000001</v>
      </c>
      <c r="AN283" s="59">
        <f>'[1]Argentina Soybean Oil Exports'!EF$290</f>
        <v>229.768</v>
      </c>
      <c r="AO283" s="59">
        <f>'[1]Argentina Soybean Oil Exports'!ER$290</f>
        <v>263.28199999999998</v>
      </c>
      <c r="AP283" s="59">
        <f>'[1]Argentina Soybean Oil Exports'!FD$290</f>
        <v>215.74100000000001</v>
      </c>
      <c r="AQ283" s="59">
        <f>'[1]Argentina Soybean Oil Exports'!FP$290</f>
        <v>429.68799999999999</v>
      </c>
      <c r="AR283" s="59">
        <f>'[1]Argentina Soybean Oil Exports'!GB$290</f>
        <v>405.928</v>
      </c>
      <c r="AS283" s="59">
        <f>'[1]Argentina Soybean Oil Exports'!GN$290</f>
        <v>452.36900000000003</v>
      </c>
      <c r="AT283" s="59">
        <f>'[1]Argentina Soybean Oil Exports'!GZ$290</f>
        <v>275.09199999999998</v>
      </c>
      <c r="AU283" s="59">
        <f>'[1]Argentina Soybean Oil Exports'!HL$290</f>
        <v>414.2</v>
      </c>
      <c r="AV283" s="59">
        <f>'[1]Argentina Soybean Oil Exports'!HX$290</f>
        <v>98.009</v>
      </c>
      <c r="AW283" s="59">
        <f>'[1]Argentina Soybean Oil Exports'!IJ$290</f>
        <v>313.62400000000002</v>
      </c>
      <c r="AX283" s="59">
        <f>'[1]Argentina Soybean Oil Exports'!IV$290</f>
        <v>264.14600000000002</v>
      </c>
      <c r="AY283" s="59">
        <f>'[1]Argentina Soybean Oil Exports'!JH$290</f>
        <v>146.82</v>
      </c>
      <c r="AZ283" s="59">
        <f>'[1]Argentina Soybean Oil Exports'!JT$290</f>
        <v>236.446</v>
      </c>
      <c r="BA283" s="59">
        <f>'[1]Argentina Soybean Oil Exports'!KF$290</f>
        <v>309.03199999999998</v>
      </c>
      <c r="BB283" s="59">
        <f>'[1]Argentina Soybean Oil Exports'!KR$290</f>
        <v>496.74</v>
      </c>
      <c r="BC283" s="59">
        <f>'[1]Argentina Soybean Oil Exports'!LD$290</f>
        <v>558.10704499999997</v>
      </c>
      <c r="BD283" s="59">
        <f>'[1]Argentina Soybean Oil Exports'!LP$290</f>
        <v>438.11039</v>
      </c>
      <c r="BE283" s="59">
        <f>'[1]Argentina Soybean Oil Exports'!MB$290</f>
        <v>360.84644500000002</v>
      </c>
      <c r="BF283" s="59">
        <f>'[1]Argentina Soybean Oil Exports'!MN$290</f>
        <v>202.80054899999999</v>
      </c>
      <c r="BG283" s="59">
        <f>'[1]Argentina Soybean Oil Exports'!MZ$290</f>
        <v>495.43579699999998</v>
      </c>
      <c r="BH283" s="59">
        <f>'[1]Argentina Soybean Oil Exports'!NL$290</f>
        <v>408.42399999999998</v>
      </c>
      <c r="BI283" s="59">
        <f>'[1]Argentina Soybean Oil Exports'!NX$290</f>
        <v>192.62700000000001</v>
      </c>
      <c r="BJ283" s="58">
        <f t="shared" ref="BJ283:BJ293" si="217">(SUM(BD283:BH283)/SUM(BD$295:BH$295))*BJ$295</f>
        <v>448.84684336641692</v>
      </c>
      <c r="BK283" s="58">
        <f t="shared" ref="BK283:BK293" si="218">(SUM(BE283:BI283)/SUM(BE$295:BI$295))*BK$295</f>
        <v>429.1252622495241</v>
      </c>
      <c r="BL283" s="58">
        <f t="shared" ref="BL283:BU293" si="219">(SUM(BF283:BJ283)/SUM(BF$295:BJ$295))*BL$295</f>
        <v>453.44128606360982</v>
      </c>
      <c r="BM283" s="58">
        <f t="shared" si="219"/>
        <v>532.48008320520182</v>
      </c>
      <c r="BN283" s="58">
        <f t="shared" si="219"/>
        <v>501.1753799650661</v>
      </c>
      <c r="BO283" s="58">
        <f t="shared" si="219"/>
        <v>493.00148370524892</v>
      </c>
      <c r="BP283" s="58">
        <f t="shared" si="219"/>
        <v>500.16561885041489</v>
      </c>
      <c r="BQ283" s="58">
        <f t="shared" si="219"/>
        <v>496.74711241003104</v>
      </c>
      <c r="BR283" s="58">
        <f t="shared" si="219"/>
        <v>501.78748446609228</v>
      </c>
      <c r="BS283" s="58">
        <f t="shared" si="219"/>
        <v>504.7139356271926</v>
      </c>
      <c r="BT283" s="58">
        <f t="shared" si="219"/>
        <v>498.57541587937067</v>
      </c>
      <c r="BU283" s="58">
        <f t="shared" si="219"/>
        <v>499.28312701179607</v>
      </c>
    </row>
    <row r="284" spans="1:73">
      <c r="A284" s="4" t="s">
        <v>102</v>
      </c>
      <c r="B284" s="56"/>
      <c r="C284" s="57">
        <f t="shared" si="216"/>
        <v>0</v>
      </c>
      <c r="D284" s="57">
        <f t="shared" si="216"/>
        <v>0</v>
      </c>
      <c r="E284" s="57">
        <f t="shared" si="216"/>
        <v>0</v>
      </c>
      <c r="F284" s="57">
        <f t="shared" si="216"/>
        <v>0</v>
      </c>
      <c r="G284" s="57">
        <f t="shared" si="216"/>
        <v>0</v>
      </c>
      <c r="H284" s="57">
        <f t="shared" si="216"/>
        <v>0</v>
      </c>
      <c r="I284" s="57">
        <f t="shared" si="216"/>
        <v>0</v>
      </c>
      <c r="J284" s="57">
        <f t="shared" si="216"/>
        <v>0</v>
      </c>
      <c r="K284" s="57">
        <f t="shared" si="216"/>
        <v>1.1168847508807245</v>
      </c>
      <c r="L284" s="57">
        <f t="shared" si="216"/>
        <v>1.6753271263210867</v>
      </c>
      <c r="M284" s="57">
        <f t="shared" si="216"/>
        <v>1.0153497735279313</v>
      </c>
      <c r="N284" s="57">
        <f t="shared" si="216"/>
        <v>3.4014217413185701</v>
      </c>
      <c r="O284" s="57">
        <f t="shared" si="216"/>
        <v>3.2491192752893805</v>
      </c>
      <c r="P284" s="57">
        <f t="shared" si="216"/>
        <v>2.9952818319073975</v>
      </c>
      <c r="Q284" s="57">
        <f t="shared" si="216"/>
        <v>5.1782838449924498</v>
      </c>
      <c r="R284" s="56">
        <v>0.8</v>
      </c>
      <c r="S284" s="56">
        <v>1.9</v>
      </c>
      <c r="T284" s="56">
        <v>0.2</v>
      </c>
      <c r="U284" s="56">
        <v>6.9</v>
      </c>
      <c r="V284" s="56">
        <v>29.9</v>
      </c>
      <c r="W284" s="56">
        <v>41.8</v>
      </c>
      <c r="X284" s="56">
        <v>11.3</v>
      </c>
      <c r="Y284" s="56">
        <v>40.1</v>
      </c>
      <c r="Z284" s="56">
        <v>23.8</v>
      </c>
      <c r="AA284" s="56">
        <v>31.9</v>
      </c>
      <c r="AB284" s="56">
        <v>93.7</v>
      </c>
      <c r="AC284" s="56">
        <v>46.6</v>
      </c>
      <c r="AD284" s="56">
        <v>10.4</v>
      </c>
      <c r="AE284" s="59">
        <v>59.41</v>
      </c>
      <c r="AF284" s="59">
        <f>'[1]Argentina Soybean Oil Exports'!AO$290</f>
        <v>44.956000000000003</v>
      </c>
      <c r="AG284" s="59">
        <f>'[1]Argentina Soybean Oil Exports'!BA$290</f>
        <v>39.631</v>
      </c>
      <c r="AH284" s="59">
        <f>'[1]Argentina Soybean Oil Exports'!BM$290</f>
        <v>46.000999999999998</v>
      </c>
      <c r="AI284" s="59">
        <f>'[1]Argentina Soybean Oil Exports'!BY$290</f>
        <v>117.108</v>
      </c>
      <c r="AJ284" s="59">
        <f>'[1]Argentina Soybean Oil Exports'!CK$290</f>
        <v>112.38800000000001</v>
      </c>
      <c r="AK284" s="59">
        <f>'[1]Argentina Soybean Oil Exports'!CW$290</f>
        <v>186.06299999999999</v>
      </c>
      <c r="AL284" s="59">
        <f>'[1]Argentina Soybean Oil Exports'!DI$290</f>
        <v>208.45500000000001</v>
      </c>
      <c r="AM284" s="59">
        <f>'[1]Argentina Soybean Oil Exports'!DU$290</f>
        <v>201.18</v>
      </c>
      <c r="AN284" s="59">
        <f>'[1]Argentina Soybean Oil Exports'!EG$290</f>
        <v>231.19900000000001</v>
      </c>
      <c r="AO284" s="59">
        <f>'[1]Argentina Soybean Oil Exports'!ES$290</f>
        <v>277.94799999999998</v>
      </c>
      <c r="AP284" s="59">
        <f>'[1]Argentina Soybean Oil Exports'!FE$290</f>
        <v>340.87700000000001</v>
      </c>
      <c r="AQ284" s="59">
        <f>'[1]Argentina Soybean Oil Exports'!FQ$290</f>
        <v>384.55</v>
      </c>
      <c r="AR284" s="59">
        <f>'[1]Argentina Soybean Oil Exports'!GC$290</f>
        <v>457.66399999999999</v>
      </c>
      <c r="AS284" s="59">
        <f>'[1]Argentina Soybean Oil Exports'!GO$290</f>
        <v>414.34300000000002</v>
      </c>
      <c r="AT284" s="59">
        <f>'[1]Argentina Soybean Oil Exports'!HA$290</f>
        <v>305.71100000000001</v>
      </c>
      <c r="AU284" s="59">
        <f>'[1]Argentina Soybean Oil Exports'!HM$290</f>
        <v>416.42</v>
      </c>
      <c r="AV284" s="59">
        <f>'[1]Argentina Soybean Oil Exports'!HY$290</f>
        <v>505.87299999999999</v>
      </c>
      <c r="AW284" s="59">
        <f>'[1]Argentina Soybean Oil Exports'!IK$290</f>
        <v>288.28399999999999</v>
      </c>
      <c r="AX284" s="59">
        <f>'[1]Argentina Soybean Oil Exports'!IW$290</f>
        <v>275.32400000000001</v>
      </c>
      <c r="AY284" s="59">
        <f>'[1]Argentina Soybean Oil Exports'!JI$290</f>
        <v>400.36</v>
      </c>
      <c r="AZ284" s="59">
        <f>'[1]Argentina Soybean Oil Exports'!JU$290</f>
        <v>486.36500000000001</v>
      </c>
      <c r="BA284" s="59">
        <f>'[1]Argentina Soybean Oil Exports'!KG$290</f>
        <v>570.48500000000001</v>
      </c>
      <c r="BB284" s="59">
        <f>'[1]Argentina Soybean Oil Exports'!KS$290</f>
        <v>553.22299999999996</v>
      </c>
      <c r="BC284" s="59">
        <f>'[1]Argentina Soybean Oil Exports'!LE$290</f>
        <v>495.051444</v>
      </c>
      <c r="BD284" s="59">
        <f>'[1]Argentina Soybean Oil Exports'!LQ$290</f>
        <v>430.41975500000001</v>
      </c>
      <c r="BE284" s="59">
        <f>'[1]Argentina Soybean Oil Exports'!MC$290</f>
        <v>340.51960700000001</v>
      </c>
      <c r="BF284" s="59">
        <f>'[1]Argentina Soybean Oil Exports'!MO$290</f>
        <v>553.14885300000003</v>
      </c>
      <c r="BG284" s="59">
        <f>'[1]Argentina Soybean Oil Exports'!NA$290</f>
        <v>639.56296799999996</v>
      </c>
      <c r="BH284" s="59">
        <f>'[1]Argentina Soybean Oil Exports'!NM$290</f>
        <v>494.55799999999999</v>
      </c>
      <c r="BI284" s="59">
        <f>'[1]Argentina Soybean Oil Exports'!NY$290</f>
        <v>392.553</v>
      </c>
      <c r="BJ284" s="58">
        <f t="shared" si="217"/>
        <v>579.00371760128917</v>
      </c>
      <c r="BK284" s="58">
        <f t="shared" si="218"/>
        <v>625.63034665026578</v>
      </c>
      <c r="BL284" s="58">
        <f t="shared" si="219"/>
        <v>689.66200216036214</v>
      </c>
      <c r="BM284" s="58">
        <f t="shared" si="219"/>
        <v>736.59022547669531</v>
      </c>
      <c r="BN284" s="58">
        <f t="shared" si="219"/>
        <v>721.3445946783927</v>
      </c>
      <c r="BO284" s="58">
        <f t="shared" si="219"/>
        <v>724.79709052124269</v>
      </c>
      <c r="BP284" s="58">
        <f t="shared" si="219"/>
        <v>708.93100320148153</v>
      </c>
      <c r="BQ284" s="58">
        <f t="shared" si="219"/>
        <v>721.24211535813583</v>
      </c>
      <c r="BR284" s="58">
        <f t="shared" si="219"/>
        <v>724.54550324471734</v>
      </c>
      <c r="BS284" s="58">
        <f t="shared" si="219"/>
        <v>722.58100584718954</v>
      </c>
      <c r="BT284" s="58">
        <f t="shared" si="219"/>
        <v>720.17206140079395</v>
      </c>
      <c r="BU284" s="58">
        <f t="shared" si="219"/>
        <v>720.41934363455346</v>
      </c>
    </row>
    <row r="285" spans="1:73">
      <c r="A285" s="4" t="s">
        <v>103</v>
      </c>
      <c r="B285" s="56"/>
      <c r="C285" s="57">
        <f t="shared" si="216"/>
        <v>0</v>
      </c>
      <c r="D285" s="57">
        <f t="shared" si="216"/>
        <v>0</v>
      </c>
      <c r="E285" s="57">
        <f t="shared" si="216"/>
        <v>0</v>
      </c>
      <c r="F285" s="57">
        <f t="shared" si="216"/>
        <v>0</v>
      </c>
      <c r="G285" s="57">
        <f t="shared" si="216"/>
        <v>0</v>
      </c>
      <c r="H285" s="57">
        <f t="shared" si="216"/>
        <v>0</v>
      </c>
      <c r="I285" s="57">
        <f t="shared" si="216"/>
        <v>0</v>
      </c>
      <c r="J285" s="57">
        <f t="shared" si="216"/>
        <v>0</v>
      </c>
      <c r="K285" s="57">
        <f t="shared" si="216"/>
        <v>1.3051082033215902</v>
      </c>
      <c r="L285" s="57">
        <f t="shared" si="216"/>
        <v>1.9576623049823851</v>
      </c>
      <c r="M285" s="57">
        <f t="shared" si="216"/>
        <v>1.1864620030196273</v>
      </c>
      <c r="N285" s="57">
        <f t="shared" si="216"/>
        <v>3.9746477101157516</v>
      </c>
      <c r="O285" s="57">
        <f t="shared" si="216"/>
        <v>3.7966784096628077</v>
      </c>
      <c r="P285" s="57">
        <f t="shared" si="216"/>
        <v>3.5000629089079007</v>
      </c>
      <c r="Q285" s="57">
        <f t="shared" si="216"/>
        <v>6.0509562154000998</v>
      </c>
      <c r="R285" s="56">
        <v>2.1</v>
      </c>
      <c r="S285" s="56">
        <v>1.9</v>
      </c>
      <c r="T285" s="56">
        <v>24.5</v>
      </c>
      <c r="U285" s="56">
        <v>15.9</v>
      </c>
      <c r="V285" s="56">
        <v>24.4</v>
      </c>
      <c r="W285" s="56">
        <v>27.6</v>
      </c>
      <c r="X285" s="56">
        <v>42.6</v>
      </c>
      <c r="Y285" s="56">
        <v>71.8</v>
      </c>
      <c r="Z285" s="56">
        <v>32.200000000000003</v>
      </c>
      <c r="AA285" s="56">
        <v>90</v>
      </c>
      <c r="AB285" s="56">
        <v>88</v>
      </c>
      <c r="AC285" s="56">
        <v>85.4</v>
      </c>
      <c r="AD285" s="56">
        <v>55.2</v>
      </c>
      <c r="AE285" s="59">
        <v>72.64</v>
      </c>
      <c r="AF285" s="59">
        <f>'[1]Argentina Soybean Oil Exports'!AP$290</f>
        <v>107.405</v>
      </c>
      <c r="AG285" s="59">
        <f>'[1]Argentina Soybean Oil Exports'!BB$290</f>
        <v>122.02</v>
      </c>
      <c r="AH285" s="59">
        <f>'[1]Argentina Soybean Oil Exports'!BN$290</f>
        <v>110.181</v>
      </c>
      <c r="AI285" s="59">
        <f>'[1]Argentina Soybean Oil Exports'!BZ$290</f>
        <v>187.55500000000001</v>
      </c>
      <c r="AJ285" s="59">
        <f>'[1]Argentina Soybean Oil Exports'!CL$290</f>
        <v>236.81800000000001</v>
      </c>
      <c r="AK285" s="59">
        <f>'[1]Argentina Soybean Oil Exports'!CX$290</f>
        <v>357.85700000000003</v>
      </c>
      <c r="AL285" s="59">
        <f>'[1]Argentina Soybean Oil Exports'!DJ$290</f>
        <v>249.64599999999999</v>
      </c>
      <c r="AM285" s="59">
        <f>'[1]Argentina Soybean Oil Exports'!DV$290</f>
        <v>300.11799999999999</v>
      </c>
      <c r="AN285" s="59">
        <f>'[1]Argentina Soybean Oil Exports'!EH$290</f>
        <v>287.08</v>
      </c>
      <c r="AO285" s="59">
        <f>'[1]Argentina Soybean Oil Exports'!ET$290</f>
        <v>419.65199999999999</v>
      </c>
      <c r="AP285" s="59">
        <f>'[1]Argentina Soybean Oil Exports'!FF$290</f>
        <v>463.971</v>
      </c>
      <c r="AQ285" s="59">
        <f>'[1]Argentina Soybean Oil Exports'!FR$290</f>
        <v>365.12900000000002</v>
      </c>
      <c r="AR285" s="59">
        <f>'[1]Argentina Soybean Oil Exports'!GD$290</f>
        <v>635.56799999999998</v>
      </c>
      <c r="AS285" s="59">
        <f>'[1]Argentina Soybean Oil Exports'!GP$290</f>
        <v>564.61900000000003</v>
      </c>
      <c r="AT285" s="59">
        <f>'[1]Argentina Soybean Oil Exports'!HB$290</f>
        <v>497.13799999999998</v>
      </c>
      <c r="AU285" s="59">
        <f>'[1]Argentina Soybean Oil Exports'!HN$290</f>
        <v>515.08600000000001</v>
      </c>
      <c r="AV285" s="59">
        <f>'[1]Argentina Soybean Oil Exports'!HZ$290</f>
        <v>498.20100000000002</v>
      </c>
      <c r="AW285" s="59">
        <f>'[1]Argentina Soybean Oil Exports'!IL$290</f>
        <v>594.14</v>
      </c>
      <c r="AX285" s="59">
        <f>'[1]Argentina Soybean Oil Exports'!IX$290</f>
        <v>434.94900000000001</v>
      </c>
      <c r="AY285" s="59">
        <f>'[1]Argentina Soybean Oil Exports'!JJ$290</f>
        <v>616.19299999999998</v>
      </c>
      <c r="AZ285" s="59">
        <f>'[1]Argentina Soybean Oil Exports'!JV$290</f>
        <v>572.03700000000003</v>
      </c>
      <c r="BA285" s="59">
        <f>'[1]Argentina Soybean Oil Exports'!KH$290</f>
        <v>405.22199999999998</v>
      </c>
      <c r="BB285" s="59">
        <f>'[1]Argentina Soybean Oil Exports'!KT$290</f>
        <v>511.351</v>
      </c>
      <c r="BC285" s="59">
        <f>'[1]Argentina Soybean Oil Exports'!LF$290</f>
        <v>530.73883499999999</v>
      </c>
      <c r="BD285" s="59">
        <f>'[1]Argentina Soybean Oil Exports'!LR$290</f>
        <v>280.678898</v>
      </c>
      <c r="BE285" s="59">
        <f>'[1]Argentina Soybean Oil Exports'!MD$290</f>
        <v>541.85624900000005</v>
      </c>
      <c r="BF285" s="59">
        <f>'[1]Argentina Soybean Oil Exports'!MP$290</f>
        <v>621.02156400000001</v>
      </c>
      <c r="BG285" s="59">
        <f>'[1]Argentina Soybean Oil Exports'!NB$290</f>
        <v>602.34290299999998</v>
      </c>
      <c r="BH285" s="59">
        <f>'[1]Argentina Soybean Oil Exports'!NN$290</f>
        <v>541.47400000000005</v>
      </c>
      <c r="BI285" s="59">
        <f>'[1]Argentina Soybean Oil Exports'!NZ$290</f>
        <v>460.90300000000002</v>
      </c>
      <c r="BJ285" s="58">
        <f t="shared" si="217"/>
        <v>609.42695670073203</v>
      </c>
      <c r="BK285" s="58">
        <f t="shared" si="218"/>
        <v>715.39179680469749</v>
      </c>
      <c r="BL285" s="58">
        <f t="shared" si="219"/>
        <v>735.40259327330944</v>
      </c>
      <c r="BM285" s="58">
        <f t="shared" si="219"/>
        <v>790.04986404231681</v>
      </c>
      <c r="BN285" s="58">
        <f t="shared" si="219"/>
        <v>794.27020582418106</v>
      </c>
      <c r="BO285" s="58">
        <f t="shared" si="219"/>
        <v>793.77463958039004</v>
      </c>
      <c r="BP285" s="58">
        <f t="shared" si="219"/>
        <v>770.74894007603189</v>
      </c>
      <c r="BQ285" s="58">
        <f t="shared" si="219"/>
        <v>789.4616700051331</v>
      </c>
      <c r="BR285" s="58">
        <f t="shared" si="219"/>
        <v>785.83016472756094</v>
      </c>
      <c r="BS285" s="58">
        <f t="shared" si="219"/>
        <v>787.6610639056106</v>
      </c>
      <c r="BT285" s="58">
        <f t="shared" si="219"/>
        <v>786.81712404265943</v>
      </c>
      <c r="BU285" s="58">
        <f t="shared" si="219"/>
        <v>785.49529565894534</v>
      </c>
    </row>
    <row r="286" spans="1:73">
      <c r="A286" s="4" t="s">
        <v>104</v>
      </c>
      <c r="B286" s="56"/>
      <c r="C286" s="57">
        <f t="shared" si="216"/>
        <v>0</v>
      </c>
      <c r="D286" s="57">
        <f t="shared" si="216"/>
        <v>0</v>
      </c>
      <c r="E286" s="57">
        <f t="shared" si="216"/>
        <v>0</v>
      </c>
      <c r="F286" s="57">
        <f t="shared" si="216"/>
        <v>0</v>
      </c>
      <c r="G286" s="57">
        <f t="shared" si="216"/>
        <v>0</v>
      </c>
      <c r="H286" s="57">
        <f t="shared" si="216"/>
        <v>0</v>
      </c>
      <c r="I286" s="57">
        <f t="shared" si="216"/>
        <v>0</v>
      </c>
      <c r="J286" s="57">
        <f t="shared" si="216"/>
        <v>0</v>
      </c>
      <c r="K286" s="57">
        <f t="shared" si="216"/>
        <v>1.6857070961248115</v>
      </c>
      <c r="L286" s="57">
        <f t="shared" si="216"/>
        <v>2.528560644187217</v>
      </c>
      <c r="M286" s="57">
        <f t="shared" si="216"/>
        <v>1.5324609964771012</v>
      </c>
      <c r="N286" s="57">
        <f t="shared" si="216"/>
        <v>5.133744338198289</v>
      </c>
      <c r="O286" s="57">
        <f t="shared" si="216"/>
        <v>4.9038751887267242</v>
      </c>
      <c r="P286" s="57">
        <f t="shared" si="216"/>
        <v>4.5207599396074487</v>
      </c>
      <c r="Q286" s="57">
        <f t="shared" si="216"/>
        <v>7.8155510820332168</v>
      </c>
      <c r="R286" s="56">
        <v>5.4</v>
      </c>
      <c r="S286" s="56">
        <v>7.8</v>
      </c>
      <c r="T286" s="56">
        <v>12.3</v>
      </c>
      <c r="U286" s="56">
        <v>21.7</v>
      </c>
      <c r="V286" s="56">
        <v>27.3</v>
      </c>
      <c r="W286" s="56">
        <v>52.7</v>
      </c>
      <c r="X286" s="56">
        <v>36.299999999999997</v>
      </c>
      <c r="Y286" s="56">
        <v>66.400000000000006</v>
      </c>
      <c r="Z286" s="56">
        <v>58.2</v>
      </c>
      <c r="AA286" s="56">
        <v>94.3</v>
      </c>
      <c r="AB286" s="56">
        <v>46.8</v>
      </c>
      <c r="AC286" s="56">
        <v>111.9</v>
      </c>
      <c r="AD286" s="56">
        <v>58.1</v>
      </c>
      <c r="AE286" s="59">
        <v>135.96099999999998</v>
      </c>
      <c r="AF286" s="59">
        <f>'[1]Argentina Soybean Oil Exports'!AQ$290</f>
        <v>142.505</v>
      </c>
      <c r="AG286" s="59">
        <f>'[1]Argentina Soybean Oil Exports'!BC$290</f>
        <v>132.81200000000001</v>
      </c>
      <c r="AH286" s="59">
        <f>'[1]Argentina Soybean Oil Exports'!BO$290</f>
        <v>132.97200000000001</v>
      </c>
      <c r="AI286" s="59">
        <f>'[1]Argentina Soybean Oil Exports'!CA$290</f>
        <v>187.77600000000001</v>
      </c>
      <c r="AJ286" s="59">
        <f>'[1]Argentina Soybean Oil Exports'!CM$290</f>
        <v>271.03300000000002</v>
      </c>
      <c r="AK286" s="59">
        <f>'[1]Argentina Soybean Oil Exports'!CY$290</f>
        <v>263.86799999999999</v>
      </c>
      <c r="AL286" s="59">
        <f>'[1]Argentina Soybean Oil Exports'!DK$290</f>
        <v>191.22300000000001</v>
      </c>
      <c r="AM286" s="59">
        <f>'[1]Argentina Soybean Oil Exports'!DW$290</f>
        <v>330.101</v>
      </c>
      <c r="AN286" s="59">
        <f>'[1]Argentina Soybean Oil Exports'!EI$290</f>
        <v>317.97699999999998</v>
      </c>
      <c r="AO286" s="59">
        <f>'[1]Argentina Soybean Oil Exports'!EU$290</f>
        <v>429.27800000000002</v>
      </c>
      <c r="AP286" s="59">
        <f>'[1]Argentina Soybean Oil Exports'!FG$290</f>
        <v>270.44099999999997</v>
      </c>
      <c r="AQ286" s="59">
        <f>'[1]Argentina Soybean Oil Exports'!FS$290</f>
        <v>434.63400000000001</v>
      </c>
      <c r="AR286" s="59">
        <f>'[1]Argentina Soybean Oil Exports'!GE$290</f>
        <v>392.08800000000002</v>
      </c>
      <c r="AS286" s="59">
        <f>'[1]Argentina Soybean Oil Exports'!GQ$290</f>
        <v>637.60199999999998</v>
      </c>
      <c r="AT286" s="59">
        <f>'[1]Argentina Soybean Oil Exports'!HC$290</f>
        <v>277.197</v>
      </c>
      <c r="AU286" s="59">
        <f>'[1]Argentina Soybean Oil Exports'!HO$290</f>
        <v>386.49900000000002</v>
      </c>
      <c r="AV286" s="59">
        <f>'[1]Argentina Soybean Oil Exports'!IA$290</f>
        <v>502.76900000000001</v>
      </c>
      <c r="AW286" s="59">
        <f>'[1]Argentina Soybean Oil Exports'!IM$290</f>
        <v>526.798</v>
      </c>
      <c r="AX286" s="59">
        <f>'[1]Argentina Soybean Oil Exports'!IY$290</f>
        <v>374.94600000000003</v>
      </c>
      <c r="AY286" s="59">
        <f>'[1]Argentina Soybean Oil Exports'!JK$290</f>
        <v>524.67999999999995</v>
      </c>
      <c r="AZ286" s="59">
        <f>'[1]Argentina Soybean Oil Exports'!JW$290</f>
        <v>545.14099999999996</v>
      </c>
      <c r="BA286" s="59">
        <f>'[1]Argentina Soybean Oil Exports'!KI$290</f>
        <v>641.63300000000004</v>
      </c>
      <c r="BB286" s="59">
        <f>'[1]Argentina Soybean Oil Exports'!KU$290</f>
        <v>484.81799999999998</v>
      </c>
      <c r="BC286" s="59">
        <f>'[1]Argentina Soybean Oil Exports'!LG$290</f>
        <v>388.58655700000003</v>
      </c>
      <c r="BD286" s="59">
        <f>'[1]Argentina Soybean Oil Exports'!LS$290</f>
        <v>289.35162000000003</v>
      </c>
      <c r="BE286" s="59">
        <f>'[1]Argentina Soybean Oil Exports'!ME$290</f>
        <v>578.24275299999999</v>
      </c>
      <c r="BF286" s="59">
        <f>'[1]Argentina Soybean Oil Exports'!MQ$290</f>
        <v>620.387204</v>
      </c>
      <c r="BG286" s="59">
        <f>'[1]Argentina Soybean Oil Exports'!NC$290</f>
        <v>570.36913700000002</v>
      </c>
      <c r="BH286" s="59">
        <f>'[1]Argentina Soybean Oil Exports'!NO$290</f>
        <v>520.25300000000004</v>
      </c>
      <c r="BI286" s="59">
        <f>'[1]Argentina Soybean Oil Exports'!OA$290</f>
        <v>484.226</v>
      </c>
      <c r="BJ286" s="58">
        <f t="shared" si="217"/>
        <v>607.36130470573198</v>
      </c>
      <c r="BK286" s="58">
        <f t="shared" si="218"/>
        <v>716.91180607446631</v>
      </c>
      <c r="BL286" s="58">
        <f t="shared" si="219"/>
        <v>726.95393470163299</v>
      </c>
      <c r="BM286" s="58">
        <f t="shared" si="219"/>
        <v>781.84677391598461</v>
      </c>
      <c r="BN286" s="58">
        <f t="shared" si="219"/>
        <v>792.48272050947924</v>
      </c>
      <c r="BO286" s="58">
        <f t="shared" si="219"/>
        <v>795.24310738988731</v>
      </c>
      <c r="BP286" s="58">
        <f t="shared" si="219"/>
        <v>766.7340114607573</v>
      </c>
      <c r="BQ286" s="58">
        <f t="shared" si="219"/>
        <v>786.27594692607227</v>
      </c>
      <c r="BR286" s="58">
        <f t="shared" si="219"/>
        <v>781.5845039261327</v>
      </c>
      <c r="BS286" s="58">
        <f t="shared" si="219"/>
        <v>784.51651204043617</v>
      </c>
      <c r="BT286" s="58">
        <f t="shared" si="219"/>
        <v>784.46405804246569</v>
      </c>
      <c r="BU286" s="58">
        <f t="shared" si="219"/>
        <v>782.87081634865717</v>
      </c>
    </row>
    <row r="287" spans="1:73">
      <c r="A287" s="4" t="s">
        <v>105</v>
      </c>
      <c r="B287" s="56"/>
      <c r="C287" s="57">
        <f t="shared" si="216"/>
        <v>0</v>
      </c>
      <c r="D287" s="57">
        <f t="shared" si="216"/>
        <v>0</v>
      </c>
      <c r="E287" s="57">
        <f t="shared" si="216"/>
        <v>0</v>
      </c>
      <c r="F287" s="57">
        <f t="shared" si="216"/>
        <v>0</v>
      </c>
      <c r="G287" s="57">
        <f t="shared" si="216"/>
        <v>0</v>
      </c>
      <c r="H287" s="57">
        <f t="shared" si="216"/>
        <v>0</v>
      </c>
      <c r="I287" s="57">
        <f t="shared" si="216"/>
        <v>0</v>
      </c>
      <c r="J287" s="57">
        <f t="shared" si="216"/>
        <v>0</v>
      </c>
      <c r="K287" s="57">
        <f t="shared" si="216"/>
        <v>1.1321087065928537</v>
      </c>
      <c r="L287" s="57">
        <f t="shared" si="216"/>
        <v>1.6981630598892805</v>
      </c>
      <c r="M287" s="57">
        <f t="shared" si="216"/>
        <v>1.0291897332662305</v>
      </c>
      <c r="N287" s="57">
        <f t="shared" si="216"/>
        <v>3.4477856064418724</v>
      </c>
      <c r="O287" s="57">
        <f t="shared" si="216"/>
        <v>3.2934071464519379</v>
      </c>
      <c r="P287" s="57">
        <f t="shared" si="216"/>
        <v>3.0361097131353803</v>
      </c>
      <c r="Q287" s="57">
        <f t="shared" si="216"/>
        <v>5.2488676396577763</v>
      </c>
      <c r="R287" s="56">
        <v>2.2999999999999998</v>
      </c>
      <c r="S287" s="56">
        <v>6</v>
      </c>
      <c r="T287" s="56">
        <v>16.600000000000001</v>
      </c>
      <c r="U287" s="56">
        <v>14</v>
      </c>
      <c r="V287" s="56">
        <v>14.7</v>
      </c>
      <c r="W287" s="56">
        <v>30.5</v>
      </c>
      <c r="X287" s="56">
        <v>116.3</v>
      </c>
      <c r="Y287" s="56">
        <v>93.9</v>
      </c>
      <c r="Z287" s="56">
        <v>130.6</v>
      </c>
      <c r="AA287" s="56">
        <v>55.5</v>
      </c>
      <c r="AB287" s="56">
        <v>255.8</v>
      </c>
      <c r="AC287" s="56">
        <v>91.7</v>
      </c>
      <c r="AD287" s="56">
        <v>95.2</v>
      </c>
      <c r="AE287" s="59">
        <v>67.484999999999999</v>
      </c>
      <c r="AF287" s="59">
        <f>'[1]Argentina Soybean Oil Exports'!AR$290</f>
        <v>120.875</v>
      </c>
      <c r="AG287" s="59">
        <f>'[1]Argentina Soybean Oil Exports'!BD$290</f>
        <v>133.614</v>
      </c>
      <c r="AH287" s="59">
        <f>'[1]Argentina Soybean Oil Exports'!BP$290</f>
        <v>183.459</v>
      </c>
      <c r="AI287" s="59">
        <f>'[1]Argentina Soybean Oil Exports'!CB$290</f>
        <v>190.21799999999999</v>
      </c>
      <c r="AJ287" s="59">
        <f>'[1]Argentina Soybean Oil Exports'!CN$290</f>
        <v>249.15899999999999</v>
      </c>
      <c r="AK287" s="59">
        <f>'[1]Argentina Soybean Oil Exports'!CZ$290</f>
        <v>305.733</v>
      </c>
      <c r="AL287" s="59">
        <f>'[1]Argentina Soybean Oil Exports'!DL$290</f>
        <v>389.01900000000001</v>
      </c>
      <c r="AM287" s="59">
        <f>'[1]Argentina Soybean Oil Exports'!DX$290</f>
        <v>375.09500000000003</v>
      </c>
      <c r="AN287" s="59">
        <f>'[1]Argentina Soybean Oil Exports'!EJ$290</f>
        <v>375.94799999999998</v>
      </c>
      <c r="AO287" s="59">
        <f>'[1]Argentina Soybean Oil Exports'!EV$290</f>
        <v>471.92200000000003</v>
      </c>
      <c r="AP287" s="59">
        <f>'[1]Argentina Soybean Oil Exports'!FH$290</f>
        <v>500.47699999999998</v>
      </c>
      <c r="AQ287" s="59">
        <f>'[1]Argentina Soybean Oil Exports'!FT$290</f>
        <v>424.53800000000001</v>
      </c>
      <c r="AR287" s="59">
        <f>'[1]Argentina Soybean Oil Exports'!GF$290</f>
        <v>497.61599999999999</v>
      </c>
      <c r="AS287" s="59">
        <f>'[1]Argentina Soybean Oil Exports'!GR$290</f>
        <v>657.76499999999999</v>
      </c>
      <c r="AT287" s="59">
        <f>'[1]Argentina Soybean Oil Exports'!HD$290</f>
        <v>343.69400000000002</v>
      </c>
      <c r="AU287" s="59">
        <f>'[1]Argentina Soybean Oil Exports'!HP$290</f>
        <v>401.9</v>
      </c>
      <c r="AV287" s="59">
        <f>'[1]Argentina Soybean Oil Exports'!IB$290</f>
        <v>589.06399999999996</v>
      </c>
      <c r="AW287" s="59">
        <f>'[1]Argentina Soybean Oil Exports'!IN$290</f>
        <v>304.68700000000001</v>
      </c>
      <c r="AX287" s="59">
        <f>'[1]Argentina Soybean Oil Exports'!IZ$290</f>
        <v>294.89299999999997</v>
      </c>
      <c r="AY287" s="59">
        <f>'[1]Argentina Soybean Oil Exports'!JL$290</f>
        <v>372.49299999999999</v>
      </c>
      <c r="AZ287" s="59">
        <f>'[1]Argentina Soybean Oil Exports'!JX$290</f>
        <v>390.14499999999998</v>
      </c>
      <c r="BA287" s="59">
        <f>'[1]Argentina Soybean Oil Exports'!KJ$290</f>
        <v>761.47</v>
      </c>
      <c r="BB287" s="59">
        <f>'[1]Argentina Soybean Oil Exports'!KV$290</f>
        <v>493.33199999999999</v>
      </c>
      <c r="BC287" s="59">
        <f>'[1]Argentina Soybean Oil Exports'!LH$290</f>
        <v>466.20098200000001</v>
      </c>
      <c r="BD287" s="59">
        <f>'[1]Argentina Soybean Oil Exports'!LT$290</f>
        <v>379.650532</v>
      </c>
      <c r="BE287" s="59">
        <f>'[1]Argentina Soybean Oil Exports'!MF$290</f>
        <v>541.07943799999998</v>
      </c>
      <c r="BF287" s="59">
        <f>'[1]Argentina Soybean Oil Exports'!MR$290</f>
        <v>610.918677</v>
      </c>
      <c r="BG287" s="59">
        <f>'[1]Argentina Soybean Oil Exports'!ND$290</f>
        <v>452.258779</v>
      </c>
      <c r="BH287" s="59">
        <f>'[1]Argentina Soybean Oil Exports'!NP$290</f>
        <v>310.16500000000002</v>
      </c>
      <c r="BI287" s="59">
        <f>'[1]Argentina Soybean Oil Exports'!OB$290</f>
        <v>322.78800000000001</v>
      </c>
      <c r="BJ287" s="58">
        <f t="shared" si="217"/>
        <v>540.34313771441487</v>
      </c>
      <c r="BK287" s="58">
        <f t="shared" si="218"/>
        <v>578.2927181379082</v>
      </c>
      <c r="BL287" s="58">
        <f t="shared" si="219"/>
        <v>580.1096213035654</v>
      </c>
      <c r="BM287" s="58">
        <f t="shared" si="219"/>
        <v>594.34256667636248</v>
      </c>
      <c r="BN287" s="58">
        <f t="shared" si="219"/>
        <v>604.71482697640749</v>
      </c>
      <c r="BO287" s="58">
        <f t="shared" si="219"/>
        <v>627.09357215156695</v>
      </c>
      <c r="BP287" s="58">
        <f t="shared" si="219"/>
        <v>612.8284016815893</v>
      </c>
      <c r="BQ287" s="58">
        <f t="shared" si="219"/>
        <v>615.37181551460003</v>
      </c>
      <c r="BR287" s="58">
        <f t="shared" si="219"/>
        <v>610.79835033313407</v>
      </c>
      <c r="BS287" s="58">
        <f t="shared" si="219"/>
        <v>610.87023660010527</v>
      </c>
      <c r="BT287" s="58">
        <f t="shared" si="219"/>
        <v>614.16139333145964</v>
      </c>
      <c r="BU287" s="58">
        <f t="shared" si="219"/>
        <v>615.39247525619919</v>
      </c>
    </row>
    <row r="288" spans="1:73">
      <c r="A288" s="4" t="s">
        <v>106</v>
      </c>
      <c r="B288" s="56"/>
      <c r="C288" s="57">
        <f t="shared" si="216"/>
        <v>0</v>
      </c>
      <c r="D288" s="57">
        <f t="shared" si="216"/>
        <v>0</v>
      </c>
      <c r="E288" s="57">
        <f t="shared" si="216"/>
        <v>0</v>
      </c>
      <c r="F288" s="57">
        <f t="shared" si="216"/>
        <v>0</v>
      </c>
      <c r="G288" s="57">
        <f t="shared" si="216"/>
        <v>0</v>
      </c>
      <c r="H288" s="57">
        <f t="shared" si="216"/>
        <v>0</v>
      </c>
      <c r="I288" s="57">
        <f t="shared" si="216"/>
        <v>0</v>
      </c>
      <c r="J288" s="57">
        <f t="shared" si="216"/>
        <v>0</v>
      </c>
      <c r="K288" s="57">
        <f t="shared" si="216"/>
        <v>2.48980875691998</v>
      </c>
      <c r="L288" s="57">
        <f t="shared" si="216"/>
        <v>3.7347131353799705</v>
      </c>
      <c r="M288" s="57">
        <f t="shared" si="216"/>
        <v>2.2634625062908911</v>
      </c>
      <c r="N288" s="57">
        <f t="shared" si="216"/>
        <v>7.5825993960744853</v>
      </c>
      <c r="O288" s="57">
        <f t="shared" si="216"/>
        <v>7.2430800201308516</v>
      </c>
      <c r="P288" s="57">
        <f t="shared" si="216"/>
        <v>6.6772143935581285</v>
      </c>
      <c r="Q288" s="57">
        <f t="shared" si="216"/>
        <v>11.543658782083545</v>
      </c>
      <c r="R288" s="56">
        <v>13.6</v>
      </c>
      <c r="S288" s="56">
        <v>16.600000000000001</v>
      </c>
      <c r="T288" s="56">
        <v>15.6</v>
      </c>
      <c r="U288" s="56">
        <v>34.299999999999997</v>
      </c>
      <c r="V288" s="56">
        <v>56.5</v>
      </c>
      <c r="W288" s="56">
        <v>56.9</v>
      </c>
      <c r="X288" s="56">
        <v>92.1</v>
      </c>
      <c r="Y288" s="56">
        <v>72.599999999999994</v>
      </c>
      <c r="Z288" s="56">
        <v>119.2</v>
      </c>
      <c r="AA288" s="56">
        <v>77.099999999999994</v>
      </c>
      <c r="AB288" s="56">
        <v>128</v>
      </c>
      <c r="AC288" s="56">
        <v>97.2</v>
      </c>
      <c r="AD288" s="56">
        <v>100.1</v>
      </c>
      <c r="AE288" s="59">
        <v>128.89500000000001</v>
      </c>
      <c r="AF288" s="59">
        <f>'[1]Argentina Soybean Oil Exports'!AS$290</f>
        <v>195.22900000000001</v>
      </c>
      <c r="AG288" s="59">
        <f>'[1]Argentina Soybean Oil Exports'!BE$290</f>
        <v>152.501</v>
      </c>
      <c r="AH288" s="59">
        <f>'[1]Argentina Soybean Oil Exports'!BQ$290</f>
        <v>174.37</v>
      </c>
      <c r="AI288" s="59">
        <f>'[1]Argentina Soybean Oil Exports'!CC$290</f>
        <v>229.02600000000001</v>
      </c>
      <c r="AJ288" s="59">
        <f>'[1]Argentina Soybean Oil Exports'!CO$290</f>
        <v>226.57900000000001</v>
      </c>
      <c r="AK288" s="59">
        <f>'[1]Argentina Soybean Oil Exports'!DA$290</f>
        <v>369.03399999999999</v>
      </c>
      <c r="AL288" s="59">
        <f>'[1]Argentina Soybean Oil Exports'!DM$290</f>
        <v>304.67200000000003</v>
      </c>
      <c r="AM288" s="59">
        <f>'[1]Argentina Soybean Oil Exports'!DY$290</f>
        <v>367.88099999999997</v>
      </c>
      <c r="AN288" s="59">
        <f>'[1]Argentina Soybean Oil Exports'!EK$290</f>
        <v>337.35199999999998</v>
      </c>
      <c r="AO288" s="59">
        <f>'[1]Argentina Soybean Oil Exports'!EW$290</f>
        <v>247.078</v>
      </c>
      <c r="AP288" s="59">
        <f>'[1]Argentina Soybean Oil Exports'!FI$290</f>
        <v>385.339</v>
      </c>
      <c r="AQ288" s="59">
        <f>'[1]Argentina Soybean Oil Exports'!FU$290</f>
        <v>551.21900000000005</v>
      </c>
      <c r="AR288" s="59">
        <f>'[1]Argentina Soybean Oil Exports'!GG$290</f>
        <v>592.55999999999995</v>
      </c>
      <c r="AS288" s="59">
        <f>'[1]Argentina Soybean Oil Exports'!GS$290</f>
        <v>564.74599999999998</v>
      </c>
      <c r="AT288" s="59">
        <f>'[1]Argentina Soybean Oil Exports'!HE$290</f>
        <v>575.36199999999997</v>
      </c>
      <c r="AU288" s="59">
        <f>'[1]Argentina Soybean Oil Exports'!HQ$290</f>
        <v>288.34899999999999</v>
      </c>
      <c r="AV288" s="59">
        <f>'[1]Argentina Soybean Oil Exports'!IC$290</f>
        <v>463.74</v>
      </c>
      <c r="AW288" s="59">
        <f>'[1]Argentina Soybean Oil Exports'!IO$290</f>
        <v>448.45299999999997</v>
      </c>
      <c r="AX288" s="59">
        <f>'[1]Argentina Soybean Oil Exports'!JA$290</f>
        <v>368.053</v>
      </c>
      <c r="AY288" s="59">
        <f>'[1]Argentina Soybean Oil Exports'!JM$290</f>
        <v>450.17899999999997</v>
      </c>
      <c r="AZ288" s="59">
        <f>'[1]Argentina Soybean Oil Exports'!JY$290</f>
        <v>369.774</v>
      </c>
      <c r="BA288" s="59">
        <f>'[1]Argentina Soybean Oil Exports'!KK$290</f>
        <v>434.31200000000001</v>
      </c>
      <c r="BB288" s="59">
        <f>'[1]Argentina Soybean Oil Exports'!KW$290</f>
        <v>506.12200000000001</v>
      </c>
      <c r="BC288" s="59">
        <f>'[1]Argentina Soybean Oil Exports'!LI$290</f>
        <v>518.64320499999997</v>
      </c>
      <c r="BD288" s="59">
        <f>'[1]Argentina Soybean Oil Exports'!LU$290</f>
        <v>494.62701199999998</v>
      </c>
      <c r="BE288" s="59">
        <f>'[1]Argentina Soybean Oil Exports'!MG$290</f>
        <v>539.98536899999999</v>
      </c>
      <c r="BF288" s="59">
        <f>'[1]Argentina Soybean Oil Exports'!MS$290</f>
        <v>382.66273899999999</v>
      </c>
      <c r="BG288" s="59">
        <f>'[1]Argentina Soybean Oil Exports'!NE$290</f>
        <v>487.72890699999999</v>
      </c>
      <c r="BH288" s="59">
        <f>'[1]Argentina Soybean Oil Exports'!NQ$290</f>
        <v>453.26600000000002</v>
      </c>
      <c r="BI288" s="59">
        <f>'[1]Argentina Soybean Oil Exports'!OC$290</f>
        <v>260.65300000000002</v>
      </c>
      <c r="BJ288" s="58">
        <f t="shared" si="217"/>
        <v>555.46416561437616</v>
      </c>
      <c r="BK288" s="58">
        <f t="shared" si="218"/>
        <v>549.10579465007356</v>
      </c>
      <c r="BL288" s="58">
        <f t="shared" si="219"/>
        <v>555.02732477110192</v>
      </c>
      <c r="BM288" s="58">
        <f t="shared" si="219"/>
        <v>621.95018606024792</v>
      </c>
      <c r="BN288" s="58">
        <f t="shared" si="219"/>
        <v>615.56007506668743</v>
      </c>
      <c r="BO288" s="58">
        <f t="shared" si="219"/>
        <v>609.43161978323974</v>
      </c>
      <c r="BP288" s="58">
        <f t="shared" si="219"/>
        <v>612.68135417333565</v>
      </c>
      <c r="BQ288" s="58">
        <f t="shared" si="219"/>
        <v>608.46907223326821</v>
      </c>
      <c r="BR288" s="58">
        <f t="shared" si="219"/>
        <v>609.90040228272517</v>
      </c>
      <c r="BS288" s="58">
        <f t="shared" si="219"/>
        <v>613.61846146335574</v>
      </c>
      <c r="BT288" s="58">
        <f t="shared" si="219"/>
        <v>611.20850470785126</v>
      </c>
      <c r="BU288" s="58">
        <f t="shared" si="219"/>
        <v>610.82018198718492</v>
      </c>
    </row>
    <row r="289" spans="1:73">
      <c r="A289" s="4" t="s">
        <v>107</v>
      </c>
      <c r="B289" s="56"/>
      <c r="C289" s="57">
        <f t="shared" si="216"/>
        <v>0</v>
      </c>
      <c r="D289" s="57">
        <f t="shared" si="216"/>
        <v>0</v>
      </c>
      <c r="E289" s="57">
        <f t="shared" si="216"/>
        <v>0</v>
      </c>
      <c r="F289" s="57">
        <f t="shared" si="216"/>
        <v>0</v>
      </c>
      <c r="G289" s="57">
        <f t="shared" si="216"/>
        <v>0</v>
      </c>
      <c r="H289" s="57">
        <f t="shared" si="216"/>
        <v>0</v>
      </c>
      <c r="I289" s="57">
        <f t="shared" si="216"/>
        <v>0</v>
      </c>
      <c r="J289" s="57">
        <f t="shared" si="216"/>
        <v>0</v>
      </c>
      <c r="K289" s="57">
        <f t="shared" si="216"/>
        <v>1.9279063915450432</v>
      </c>
      <c r="L289" s="57">
        <f t="shared" si="216"/>
        <v>2.8918595873175645</v>
      </c>
      <c r="M289" s="57">
        <f t="shared" si="216"/>
        <v>1.7526421741318574</v>
      </c>
      <c r="N289" s="57">
        <f t="shared" si="216"/>
        <v>5.8713512833417223</v>
      </c>
      <c r="O289" s="57">
        <f t="shared" si="216"/>
        <v>5.6084549572219435</v>
      </c>
      <c r="P289" s="57">
        <f t="shared" si="216"/>
        <v>5.1702944136889792</v>
      </c>
      <c r="Q289" s="57">
        <f t="shared" si="216"/>
        <v>8.9384750880724724</v>
      </c>
      <c r="R289" s="56">
        <v>14.5</v>
      </c>
      <c r="S289" s="56">
        <v>1.3</v>
      </c>
      <c r="T289" s="56">
        <v>6.1</v>
      </c>
      <c r="U289" s="56">
        <v>30.9</v>
      </c>
      <c r="V289" s="56">
        <v>70</v>
      </c>
      <c r="W289" s="56">
        <v>31</v>
      </c>
      <c r="X289" s="56">
        <v>39.6</v>
      </c>
      <c r="Y289" s="56">
        <v>77.099999999999994</v>
      </c>
      <c r="Z289" s="56">
        <v>130.4</v>
      </c>
      <c r="AA289" s="56">
        <v>47.9</v>
      </c>
      <c r="AB289" s="56">
        <v>80.7</v>
      </c>
      <c r="AC289" s="56">
        <v>119</v>
      </c>
      <c r="AD289" s="56">
        <v>83.43</v>
      </c>
      <c r="AE289" s="59">
        <v>168.697</v>
      </c>
      <c r="AF289" s="59">
        <f>'[1]Argentina Soybean Oil Exports'!AT$290</f>
        <v>120.52200000000001</v>
      </c>
      <c r="AG289" s="59">
        <f>'[1]Argentina Soybean Oil Exports'!BF$290</f>
        <v>160.09100000000001</v>
      </c>
      <c r="AH289" s="59">
        <f>'[1]Argentina Soybean Oil Exports'!BR$290</f>
        <v>139.399</v>
      </c>
      <c r="AI289" s="59">
        <f>'[1]Argentina Soybean Oil Exports'!CD$290</f>
        <v>212.202</v>
      </c>
      <c r="AJ289" s="59">
        <f>'[1]Argentina Soybean Oil Exports'!CP$290</f>
        <v>182.51499999999999</v>
      </c>
      <c r="AK289" s="59">
        <f>'[1]Argentina Soybean Oil Exports'!DB$290</f>
        <v>363.47</v>
      </c>
      <c r="AL289" s="59">
        <f>'[1]Argentina Soybean Oil Exports'!DN$290</f>
        <v>261.137</v>
      </c>
      <c r="AM289" s="59">
        <f>'[1]Argentina Soybean Oil Exports'!DZ$290</f>
        <v>272.77100000000002</v>
      </c>
      <c r="AN289" s="59">
        <f>'[1]Argentina Soybean Oil Exports'!EL$290</f>
        <v>417.46800000000002</v>
      </c>
      <c r="AO289" s="59">
        <f>'[1]Argentina Soybean Oil Exports'!EX$290</f>
        <v>401.45299999999997</v>
      </c>
      <c r="AP289" s="59">
        <f>'[1]Argentina Soybean Oil Exports'!FJ$290</f>
        <v>278.93</v>
      </c>
      <c r="AQ289" s="59">
        <f>'[1]Argentina Soybean Oil Exports'!FV$290</f>
        <v>390.86900000000003</v>
      </c>
      <c r="AR289" s="59">
        <f>'[1]Argentina Soybean Oil Exports'!GH$290</f>
        <v>491.34100000000001</v>
      </c>
      <c r="AS289" s="59">
        <f>'[1]Argentina Soybean Oil Exports'!GT$290</f>
        <v>530.73199999999997</v>
      </c>
      <c r="AT289" s="59">
        <f>'[1]Argentina Soybean Oil Exports'!HF$290</f>
        <v>645.06200000000001</v>
      </c>
      <c r="AU289" s="59">
        <f>'[1]Argentina Soybean Oil Exports'!HR$290</f>
        <v>353.54599999999999</v>
      </c>
      <c r="AV289" s="59">
        <f>'[1]Argentina Soybean Oil Exports'!ID$290</f>
        <v>546.024</v>
      </c>
      <c r="AW289" s="59">
        <f>'[1]Argentina Soybean Oil Exports'!IP$290</f>
        <v>323.988</v>
      </c>
      <c r="AX289" s="59">
        <f>'[1]Argentina Soybean Oil Exports'!JB$290</f>
        <v>305.22899999999998</v>
      </c>
      <c r="AY289" s="59">
        <f>'[1]Argentina Soybean Oil Exports'!JN$290</f>
        <v>494.82100000000003</v>
      </c>
      <c r="AZ289" s="59">
        <f>'[1]Argentina Soybean Oil Exports'!JZ$290</f>
        <v>302.06099999999998</v>
      </c>
      <c r="BA289" s="59">
        <f>'[1]Argentina Soybean Oil Exports'!KL$290</f>
        <v>650.86900000000003</v>
      </c>
      <c r="BB289" s="59">
        <f>'[1]Argentina Soybean Oil Exports'!KX$290</f>
        <v>301.47399999999999</v>
      </c>
      <c r="BC289" s="59">
        <f>'[1]Argentina Soybean Oil Exports'!LJ$290</f>
        <v>452.49062500000002</v>
      </c>
      <c r="BD289" s="59">
        <f>'[1]Argentina Soybean Oil Exports'!LV$290</f>
        <v>419.36932000000002</v>
      </c>
      <c r="BE289" s="59">
        <f>'[1]Argentina Soybean Oil Exports'!MH$290</f>
        <v>453.71324299999998</v>
      </c>
      <c r="BF289" s="59">
        <f>'[1]Argentina Soybean Oil Exports'!MT$290</f>
        <v>480.80112100000002</v>
      </c>
      <c r="BG289" s="59">
        <f>'[1]Argentina Soybean Oil Exports'!NF$290</f>
        <v>521.74098400000003</v>
      </c>
      <c r="BH289" s="59">
        <f>'[1]Argentina Soybean Oil Exports'!NR$290</f>
        <v>347.74099999999999</v>
      </c>
      <c r="BI289" s="59">
        <f>'[1]Argentina Soybean Oil Exports'!OD$290</f>
        <v>308.49700000000001</v>
      </c>
      <c r="BJ289" s="58">
        <f t="shared" si="217"/>
        <v>523.68895058312603</v>
      </c>
      <c r="BK289" s="58">
        <f t="shared" si="218"/>
        <v>546.05494260484897</v>
      </c>
      <c r="BL289" s="58">
        <f t="shared" si="219"/>
        <v>566.10160786130336</v>
      </c>
      <c r="BM289" s="58">
        <f t="shared" si="219"/>
        <v>606.17501994170186</v>
      </c>
      <c r="BN289" s="58">
        <f t="shared" si="219"/>
        <v>594.44087275090089</v>
      </c>
      <c r="BO289" s="58">
        <f t="shared" si="219"/>
        <v>611.42543311427619</v>
      </c>
      <c r="BP289" s="58">
        <f t="shared" si="219"/>
        <v>599.85588387290545</v>
      </c>
      <c r="BQ289" s="58">
        <f t="shared" si="219"/>
        <v>602.9273971696972</v>
      </c>
      <c r="BR289" s="58">
        <f t="shared" si="219"/>
        <v>602.48530990715642</v>
      </c>
      <c r="BS289" s="58">
        <f t="shared" si="219"/>
        <v>602.96492136989627</v>
      </c>
      <c r="BT289" s="58">
        <f t="shared" si="219"/>
        <v>602.22697936298721</v>
      </c>
      <c r="BU289" s="58">
        <f t="shared" si="219"/>
        <v>603.93178908678624</v>
      </c>
    </row>
    <row r="290" spans="1:73">
      <c r="A290" s="4" t="s">
        <v>108</v>
      </c>
      <c r="B290" s="56"/>
      <c r="C290" s="57">
        <f t="shared" si="216"/>
        <v>0</v>
      </c>
      <c r="D290" s="57">
        <f t="shared" si="216"/>
        <v>0</v>
      </c>
      <c r="E290" s="57">
        <f t="shared" si="216"/>
        <v>0</v>
      </c>
      <c r="F290" s="57">
        <f t="shared" si="216"/>
        <v>0</v>
      </c>
      <c r="G290" s="57">
        <f t="shared" si="216"/>
        <v>0</v>
      </c>
      <c r="H290" s="57">
        <f t="shared" si="216"/>
        <v>0</v>
      </c>
      <c r="I290" s="57">
        <f t="shared" si="216"/>
        <v>0</v>
      </c>
      <c r="J290" s="57">
        <f t="shared" si="216"/>
        <v>0</v>
      </c>
      <c r="K290" s="57">
        <f t="shared" si="216"/>
        <v>2.3555611474584799</v>
      </c>
      <c r="L290" s="57">
        <f t="shared" si="216"/>
        <v>3.5333417211877203</v>
      </c>
      <c r="M290" s="57">
        <f t="shared" si="216"/>
        <v>2.1414192249622546</v>
      </c>
      <c r="N290" s="57">
        <f t="shared" si="216"/>
        <v>7.173754403623553</v>
      </c>
      <c r="O290" s="57">
        <f t="shared" si="216"/>
        <v>6.8525415198792148</v>
      </c>
      <c r="P290" s="57">
        <f t="shared" si="216"/>
        <v>6.3171867136386508</v>
      </c>
      <c r="Q290" s="57">
        <f t="shared" si="216"/>
        <v>10.921238047307499</v>
      </c>
      <c r="R290" s="56">
        <v>18.600000000000001</v>
      </c>
      <c r="S290" s="56">
        <v>8.3000000000000007</v>
      </c>
      <c r="T290" s="56">
        <v>19.600000000000001</v>
      </c>
      <c r="U290" s="56">
        <v>27.1</v>
      </c>
      <c r="V290" s="56">
        <v>59.4</v>
      </c>
      <c r="W290" s="56">
        <v>55.8</v>
      </c>
      <c r="X290" s="56">
        <v>65.400000000000006</v>
      </c>
      <c r="Y290" s="56">
        <v>93</v>
      </c>
      <c r="Z290" s="56">
        <v>75.099999999999994</v>
      </c>
      <c r="AA290" s="56">
        <v>105.4</v>
      </c>
      <c r="AB290" s="56">
        <v>181.5</v>
      </c>
      <c r="AC290" s="56">
        <v>74.8</v>
      </c>
      <c r="AD290" s="56">
        <v>114.94</v>
      </c>
      <c r="AE290" s="59">
        <f>'[1]Argentina Soybean Oil Exports'!AI$290</f>
        <v>79.72</v>
      </c>
      <c r="AF290" s="59">
        <f>'[1]Argentina Soybean Oil Exports'!AU$290</f>
        <v>172.297</v>
      </c>
      <c r="AG290" s="59">
        <f>'[1]Argentina Soybean Oil Exports'!BG$290</f>
        <v>111.91</v>
      </c>
      <c r="AH290" s="59">
        <f>'[1]Argentina Soybean Oil Exports'!BS$290</f>
        <v>216.197</v>
      </c>
      <c r="AI290" s="59">
        <f>'[1]Argentina Soybean Oil Exports'!CE$290</f>
        <v>206.93899999999999</v>
      </c>
      <c r="AJ290" s="59">
        <f>'[1]Argentina Soybean Oil Exports'!CQ$290</f>
        <v>227.54900000000001</v>
      </c>
      <c r="AK290" s="59">
        <f>'[1]Argentina Soybean Oil Exports'!DC$290</f>
        <v>224.613</v>
      </c>
      <c r="AL290" s="59">
        <f>'[1]Argentina Soybean Oil Exports'!DO$290</f>
        <v>309.55799999999999</v>
      </c>
      <c r="AM290" s="59">
        <f>'[1]Argentina Soybean Oil Exports'!EA$290</f>
        <v>312.35000000000002</v>
      </c>
      <c r="AN290" s="59">
        <f>'[1]Argentina Soybean Oil Exports'!EM$290</f>
        <v>261.654</v>
      </c>
      <c r="AO290" s="59">
        <f>'[1]Argentina Soybean Oil Exports'!EY$290</f>
        <v>422.541</v>
      </c>
      <c r="AP290" s="59">
        <f>'[1]Argentina Soybean Oil Exports'!FK$290</f>
        <v>391.541</v>
      </c>
      <c r="AQ290" s="59">
        <f>'[1]Argentina Soybean Oil Exports'!FW$290</f>
        <v>409.01499999999999</v>
      </c>
      <c r="AR290" s="59">
        <f>'[1]Argentina Soybean Oil Exports'!GI$290</f>
        <v>558.78300000000002</v>
      </c>
      <c r="AS290" s="59">
        <f>'[1]Argentina Soybean Oil Exports'!GU$290</f>
        <v>724.26400000000001</v>
      </c>
      <c r="AT290" s="59">
        <f>'[1]Argentina Soybean Oil Exports'!HG$290</f>
        <v>377.42500000000001</v>
      </c>
      <c r="AU290" s="59">
        <f>'[1]Argentina Soybean Oil Exports'!HS$290</f>
        <v>213.078</v>
      </c>
      <c r="AV290" s="59">
        <f>'[1]Argentina Soybean Oil Exports'!IE$290</f>
        <v>432.20100000000002</v>
      </c>
      <c r="AW290" s="59">
        <f>'[1]Argentina Soybean Oil Exports'!IQ$290</f>
        <v>417.49900000000002</v>
      </c>
      <c r="AX290" s="59">
        <f>'[1]Argentina Soybean Oil Exports'!JC$290</f>
        <v>312.31900000000002</v>
      </c>
      <c r="AY290" s="59">
        <f>'[1]Argentina Soybean Oil Exports'!JO$290</f>
        <v>304.52199999999999</v>
      </c>
      <c r="AZ290" s="59">
        <f>'[1]Argentina Soybean Oil Exports'!KA$290</f>
        <v>304.11900000000003</v>
      </c>
      <c r="BA290" s="59">
        <f>'[1]Argentina Soybean Oil Exports'!KM$290</f>
        <v>501.49700000000001</v>
      </c>
      <c r="BB290" s="59">
        <f>'[1]Argentina Soybean Oil Exports'!KY$290</f>
        <v>406.52100000000002</v>
      </c>
      <c r="BC290" s="59">
        <f>'[1]Argentina Soybean Oil Exports'!LK$290</f>
        <v>398.79413399999999</v>
      </c>
      <c r="BD290" s="59">
        <f>'[1]Argentina Soybean Oil Exports'!LW$290</f>
        <v>443.63900599999999</v>
      </c>
      <c r="BE290" s="59">
        <f>'[1]Argentina Soybean Oil Exports'!MI$290</f>
        <v>445.84316799999999</v>
      </c>
      <c r="BF290" s="59">
        <f>'[1]Argentina Soybean Oil Exports'!MU$290</f>
        <v>564.64809300000002</v>
      </c>
      <c r="BG290" s="59">
        <f>'[1]Argentina Soybean Oil Exports'!NG$290</f>
        <v>460.95665100000002</v>
      </c>
      <c r="BH290" s="59">
        <f>'[1]Argentina Soybean Oil Exports'!NS$290</f>
        <v>230.113</v>
      </c>
      <c r="BI290" s="59">
        <f>'[1]Argentina Soybean Oil Exports'!OF$290</f>
        <v>243.38461000000001</v>
      </c>
      <c r="BJ290" s="58">
        <f t="shared" si="217"/>
        <v>505.27788119485695</v>
      </c>
      <c r="BK290" s="58">
        <f t="shared" si="218"/>
        <v>502.74577971606845</v>
      </c>
      <c r="BL290" s="58">
        <f t="shared" si="219"/>
        <v>519.90788644013742</v>
      </c>
      <c r="BM290" s="58">
        <f t="shared" si="219"/>
        <v>523.85532264714277</v>
      </c>
      <c r="BN290" s="58">
        <f t="shared" si="219"/>
        <v>519.06106147538981</v>
      </c>
      <c r="BO290" s="58">
        <f t="shared" si="219"/>
        <v>550.21234109546026</v>
      </c>
      <c r="BP290" s="58">
        <f t="shared" si="219"/>
        <v>543.68385257749753</v>
      </c>
      <c r="BQ290" s="58">
        <f t="shared" si="219"/>
        <v>539.33657554107185</v>
      </c>
      <c r="BR290" s="58">
        <f t="shared" si="219"/>
        <v>537.48679912281489</v>
      </c>
      <c r="BS290" s="58">
        <f t="shared" si="219"/>
        <v>535.22983066731251</v>
      </c>
      <c r="BT290" s="58">
        <f t="shared" si="219"/>
        <v>537.95612596244689</v>
      </c>
      <c r="BU290" s="58">
        <f t="shared" si="219"/>
        <v>541.18987980083136</v>
      </c>
    </row>
    <row r="291" spans="1:73">
      <c r="A291" s="4" t="s">
        <v>109</v>
      </c>
      <c r="B291" s="56"/>
      <c r="C291" s="57">
        <f t="shared" si="216"/>
        <v>0</v>
      </c>
      <c r="D291" s="57">
        <f t="shared" si="216"/>
        <v>0</v>
      </c>
      <c r="E291" s="57">
        <f t="shared" si="216"/>
        <v>0</v>
      </c>
      <c r="F291" s="57">
        <f t="shared" si="216"/>
        <v>0</v>
      </c>
      <c r="G291" s="57">
        <f t="shared" si="216"/>
        <v>0</v>
      </c>
      <c r="H291" s="57">
        <f t="shared" si="216"/>
        <v>0</v>
      </c>
      <c r="I291" s="57">
        <f t="shared" si="216"/>
        <v>0</v>
      </c>
      <c r="J291" s="57">
        <f t="shared" si="216"/>
        <v>0</v>
      </c>
      <c r="K291" s="57">
        <f t="shared" si="216"/>
        <v>2.3320332159033721</v>
      </c>
      <c r="L291" s="57">
        <f t="shared" si="216"/>
        <v>3.4980498238550579</v>
      </c>
      <c r="M291" s="57">
        <f t="shared" si="216"/>
        <v>2.1200301962757928</v>
      </c>
      <c r="N291" s="57">
        <f t="shared" si="216"/>
        <v>7.1021011575239061</v>
      </c>
      <c r="O291" s="57">
        <f t="shared" si="216"/>
        <v>6.784096628082537</v>
      </c>
      <c r="P291" s="57">
        <f t="shared" si="216"/>
        <v>6.254089079013589</v>
      </c>
      <c r="Q291" s="57">
        <f t="shared" si="216"/>
        <v>10.812154001006544</v>
      </c>
      <c r="R291" s="56">
        <v>0.7</v>
      </c>
      <c r="S291" s="56">
        <v>12.4</v>
      </c>
      <c r="T291" s="56">
        <v>11.5</v>
      </c>
      <c r="U291" s="56">
        <v>34.5</v>
      </c>
      <c r="V291" s="56">
        <v>50.5</v>
      </c>
      <c r="W291" s="56">
        <v>59.6</v>
      </c>
      <c r="X291" s="56">
        <v>105.3</v>
      </c>
      <c r="Y291" s="56">
        <v>40.200000000000003</v>
      </c>
      <c r="Z291" s="56">
        <v>141.30000000000001</v>
      </c>
      <c r="AA291" s="56">
        <v>73.7</v>
      </c>
      <c r="AB291" s="56">
        <v>100.5</v>
      </c>
      <c r="AC291" s="56">
        <v>92.3</v>
      </c>
      <c r="AD291" s="56">
        <v>115.2</v>
      </c>
      <c r="AE291" s="59">
        <f>'[1]Argentina Soybean Oil Exports'!AJ$290</f>
        <v>148.346</v>
      </c>
      <c r="AF291" s="59">
        <f>'[1]Argentina Soybean Oil Exports'!AV$290</f>
        <v>145.696</v>
      </c>
      <c r="AG291" s="59">
        <f>'[1]Argentina Soybean Oil Exports'!BH$290</f>
        <v>185.93600000000001</v>
      </c>
      <c r="AH291" s="59">
        <f>'[1]Argentina Soybean Oil Exports'!BT$290</f>
        <v>197.774</v>
      </c>
      <c r="AI291" s="59">
        <f>'[1]Argentina Soybean Oil Exports'!CF$290</f>
        <v>125.57</v>
      </c>
      <c r="AJ291" s="59">
        <f>'[1]Argentina Soybean Oil Exports'!CR$290</f>
        <v>269.99599999999998</v>
      </c>
      <c r="AK291" s="59">
        <f>'[1]Argentina Soybean Oil Exports'!DD$290</f>
        <v>248.62700000000001</v>
      </c>
      <c r="AL291" s="59">
        <f>'[1]Argentina Soybean Oil Exports'!DP$290</f>
        <v>224.39400000000001</v>
      </c>
      <c r="AM291" s="59">
        <f>'[1]Argentina Soybean Oil Exports'!EB$290</f>
        <v>322.29399999999998</v>
      </c>
      <c r="AN291" s="59">
        <f>'[1]Argentina Soybean Oil Exports'!EN$290</f>
        <v>302.84699999999998</v>
      </c>
      <c r="AO291" s="59">
        <f>'[1]Argentina Soybean Oil Exports'!EZ$290</f>
        <v>442.15899999999999</v>
      </c>
      <c r="AP291" s="59">
        <f>'[1]Argentina Soybean Oil Exports'!FL$290</f>
        <v>508.52600000000001</v>
      </c>
      <c r="AQ291" s="59">
        <f>'[1]Argentina Soybean Oil Exports'!FX$290</f>
        <v>323.95999999999998</v>
      </c>
      <c r="AR291" s="59">
        <f>'[1]Argentina Soybean Oil Exports'!GJ$290</f>
        <v>404.32600000000002</v>
      </c>
      <c r="AS291" s="59">
        <f>'[1]Argentina Soybean Oil Exports'!GV$290</f>
        <v>512.23900000000003</v>
      </c>
      <c r="AT291" s="59">
        <f>'[1]Argentina Soybean Oil Exports'!HH$290</f>
        <v>322.12200000000001</v>
      </c>
      <c r="AU291" s="59">
        <f>'[1]Argentina Soybean Oil Exports'!HT$290</f>
        <v>313.44600000000003</v>
      </c>
      <c r="AV291" s="59">
        <f>'[1]Argentina Soybean Oil Exports'!IF$290</f>
        <v>472.459</v>
      </c>
      <c r="AW291" s="59">
        <f>'[1]Argentina Soybean Oil Exports'!IR$290</f>
        <v>254.273</v>
      </c>
      <c r="AX291" s="59">
        <f>'[1]Argentina Soybean Oil Exports'!JD$290</f>
        <v>317.23399999999998</v>
      </c>
      <c r="AY291" s="59">
        <f>'[1]Argentina Soybean Oil Exports'!JP$290</f>
        <v>311.18799999999999</v>
      </c>
      <c r="AZ291" s="59">
        <f>'[1]Argentina Soybean Oil Exports'!KB$290</f>
        <v>226.47800000000001</v>
      </c>
      <c r="BA291" s="59">
        <f>'[1]Argentina Soybean Oil Exports'!KN$290</f>
        <v>520.08799999999997</v>
      </c>
      <c r="BB291" s="59">
        <f>'[1]Argentina Soybean Oil Exports'!KZ$290</f>
        <v>463.05700000000002</v>
      </c>
      <c r="BC291" s="59">
        <f>'[1]Argentina Soybean Oil Exports'!LL$290</f>
        <v>266.97373399999998</v>
      </c>
      <c r="BD291" s="59">
        <f>'[1]Argentina Soybean Oil Exports'!LX$290</f>
        <v>231.161112</v>
      </c>
      <c r="BE291" s="59">
        <f>'[1]Argentina Soybean Oil Exports'!MJ$290</f>
        <v>336.053181</v>
      </c>
      <c r="BF291" s="59">
        <f>'[1]Argentina Soybean Oil Exports'!MV$290</f>
        <v>549.891344</v>
      </c>
      <c r="BG291" s="59">
        <f>'[1]Argentina Soybean Oil Exports'!NH$290</f>
        <v>452.16699999999997</v>
      </c>
      <c r="BH291" s="59">
        <f>'[1]Argentina Soybean Oil Exports'!NT$290</f>
        <v>432.01299999999998</v>
      </c>
      <c r="BI291" s="58">
        <f>(SUM(BC291:BG291)/SUM(BC$295:BG$295))*BI$295-100</f>
        <v>117.59290778664374</v>
      </c>
      <c r="BJ291" s="58">
        <f t="shared" si="217"/>
        <v>471.3804796672847</v>
      </c>
      <c r="BK291" s="58">
        <f t="shared" si="218"/>
        <v>487.95298474685819</v>
      </c>
      <c r="BL291" s="58">
        <f t="shared" si="219"/>
        <v>524.74919281062273</v>
      </c>
      <c r="BM291" s="58">
        <f t="shared" si="219"/>
        <v>528.8791186588943</v>
      </c>
      <c r="BN291" s="58">
        <f t="shared" si="219"/>
        <v>527.4273842709008</v>
      </c>
      <c r="BO291" s="58">
        <f t="shared" si="219"/>
        <v>510.74941046890848</v>
      </c>
      <c r="BP291" s="58">
        <f t="shared" si="219"/>
        <v>537.24242057649315</v>
      </c>
      <c r="BQ291" s="58">
        <f t="shared" si="219"/>
        <v>531.90888473323389</v>
      </c>
      <c r="BR291" s="58">
        <f t="shared" si="219"/>
        <v>531.88822796244904</v>
      </c>
      <c r="BS291" s="58">
        <f t="shared" si="219"/>
        <v>527.24144374168611</v>
      </c>
      <c r="BT291" s="58">
        <f t="shared" si="219"/>
        <v>527.84326560239708</v>
      </c>
      <c r="BU291" s="58">
        <f t="shared" si="219"/>
        <v>527.80607749655405</v>
      </c>
    </row>
    <row r="292" spans="1:73">
      <c r="A292" s="4" t="s">
        <v>110</v>
      </c>
      <c r="B292" s="56"/>
      <c r="C292" s="57">
        <f t="shared" si="216"/>
        <v>0</v>
      </c>
      <c r="D292" s="57">
        <f t="shared" si="216"/>
        <v>0</v>
      </c>
      <c r="E292" s="57">
        <f t="shared" si="216"/>
        <v>0</v>
      </c>
      <c r="F292" s="57">
        <f t="shared" si="216"/>
        <v>0</v>
      </c>
      <c r="G292" s="57">
        <f t="shared" si="216"/>
        <v>0</v>
      </c>
      <c r="H292" s="57">
        <f t="shared" si="216"/>
        <v>0</v>
      </c>
      <c r="I292" s="57">
        <f t="shared" si="216"/>
        <v>0</v>
      </c>
      <c r="J292" s="57">
        <f t="shared" si="216"/>
        <v>0</v>
      </c>
      <c r="K292" s="57">
        <f t="shared" si="216"/>
        <v>2.4842727730246605</v>
      </c>
      <c r="L292" s="57">
        <f t="shared" si="216"/>
        <v>3.7264091595369906</v>
      </c>
      <c r="M292" s="57">
        <f t="shared" si="216"/>
        <v>2.2584297936587823</v>
      </c>
      <c r="N292" s="57">
        <f t="shared" si="216"/>
        <v>7.5657398087569199</v>
      </c>
      <c r="O292" s="57">
        <f t="shared" si="216"/>
        <v>7.2269753397081029</v>
      </c>
      <c r="P292" s="57">
        <f t="shared" si="216"/>
        <v>6.6623678912934077</v>
      </c>
      <c r="Q292" s="57">
        <f t="shared" si="216"/>
        <v>11.517991947659789</v>
      </c>
      <c r="R292" s="56">
        <v>3.5</v>
      </c>
      <c r="S292" s="56">
        <v>0</v>
      </c>
      <c r="T292" s="56">
        <v>38.5</v>
      </c>
      <c r="U292" s="56">
        <v>34</v>
      </c>
      <c r="V292" s="56">
        <v>30.6</v>
      </c>
      <c r="W292" s="56">
        <v>76.400000000000006</v>
      </c>
      <c r="X292" s="56">
        <v>64.8</v>
      </c>
      <c r="Y292" s="56">
        <v>115.4</v>
      </c>
      <c r="Z292" s="56">
        <v>108.5</v>
      </c>
      <c r="AA292" s="56">
        <v>13.6</v>
      </c>
      <c r="AB292" s="56">
        <v>87.9</v>
      </c>
      <c r="AC292" s="56">
        <v>88.95</v>
      </c>
      <c r="AD292" s="56">
        <v>53.9</v>
      </c>
      <c r="AE292" s="59">
        <f>'[1]Argentina Soybean Oil Exports'!AK$290</f>
        <v>122.76600000000001</v>
      </c>
      <c r="AF292" s="59">
        <f>'[1]Argentina Soybean Oil Exports'!AW$290</f>
        <v>86.9</v>
      </c>
      <c r="AG292" s="59">
        <f>'[1]Argentina Soybean Oil Exports'!BI$290</f>
        <v>152.792</v>
      </c>
      <c r="AH292" s="59">
        <f>'[1]Argentina Soybean Oil Exports'!BU$290</f>
        <v>104.22499999999999</v>
      </c>
      <c r="AI292" s="59">
        <f>'[1]Argentina Soybean Oil Exports'!CG$290</f>
        <v>129.50700000000001</v>
      </c>
      <c r="AJ292" s="59">
        <f>'[1]Argentina Soybean Oil Exports'!CS$290</f>
        <v>258.69400000000002</v>
      </c>
      <c r="AK292" s="59">
        <f>'[1]Argentina Soybean Oil Exports'!DE$290</f>
        <v>197.72800000000001</v>
      </c>
      <c r="AL292" s="59">
        <f>'[1]Argentina Soybean Oil Exports'!DQ$290</f>
        <v>270.54300000000001</v>
      </c>
      <c r="AM292" s="59">
        <f>'[1]Argentina Soybean Oil Exports'!EC$290</f>
        <v>428.36700000000002</v>
      </c>
      <c r="AN292" s="59">
        <f>'[1]Argentina Soybean Oil Exports'!EO$290</f>
        <v>268.54899999999998</v>
      </c>
      <c r="AO292" s="59">
        <f>'[1]Argentina Soybean Oil Exports'!FA$290</f>
        <v>239.28700000000001</v>
      </c>
      <c r="AP292" s="59">
        <f>'[1]Argentina Soybean Oil Exports'!FM$290</f>
        <v>322.74</v>
      </c>
      <c r="AQ292" s="59">
        <f>'[1]Argentina Soybean Oil Exports'!FY$290</f>
        <v>583.44000000000005</v>
      </c>
      <c r="AR292" s="59">
        <f>'[1]Argentina Soybean Oil Exports'!GK$290</f>
        <v>497.767</v>
      </c>
      <c r="AS292" s="59">
        <f>'[1]Argentina Soybean Oil Exports'!GW$290</f>
        <v>658.35199999999998</v>
      </c>
      <c r="AT292" s="59">
        <f>'[1]Argentina Soybean Oil Exports'!HI$290</f>
        <v>350.47199999999998</v>
      </c>
      <c r="AU292" s="59">
        <f>'[1]Argentina Soybean Oil Exports'!HU$290</f>
        <v>258.55700000000002</v>
      </c>
      <c r="AV292" s="59">
        <f>'[1]Argentina Soybean Oil Exports'!IG$290</f>
        <v>325.15300000000002</v>
      </c>
      <c r="AW292" s="59">
        <f>'[1]Argentina Soybean Oil Exports'!IS$290</f>
        <v>240.33099999999999</v>
      </c>
      <c r="AX292" s="59">
        <f>'[1]Argentina Soybean Oil Exports'!JE$290</f>
        <v>255.77500000000001</v>
      </c>
      <c r="AY292" s="59">
        <f>'[1]Argentina Soybean Oil Exports'!JQ$290</f>
        <v>239.363</v>
      </c>
      <c r="AZ292" s="59">
        <f>'[1]Argentina Soybean Oil Exports'!KC$290</f>
        <v>290.95</v>
      </c>
      <c r="BA292" s="59">
        <f>'[1]Argentina Soybean Oil Exports'!KO$290</f>
        <v>304.63</v>
      </c>
      <c r="BB292" s="59">
        <f>'[1]Argentina Soybean Oil Exports'!LA$290</f>
        <v>523.00020600000005</v>
      </c>
      <c r="BC292" s="59">
        <f>'[1]Argentina Soybean Oil Exports'!LM$290</f>
        <v>312.03480500000001</v>
      </c>
      <c r="BD292" s="59">
        <f>'[1]Argentina Soybean Oil Exports'!LY$290</f>
        <v>372.24073399999997</v>
      </c>
      <c r="BE292" s="59">
        <f>'[1]Argentina Soybean Oil Exports'!MK$290</f>
        <v>389.57276200000001</v>
      </c>
      <c r="BF292" s="59">
        <f>'[1]Argentina Soybean Oil Exports'!MW$290</f>
        <v>135.626679</v>
      </c>
      <c r="BG292" s="59">
        <f>'[1]Argentina Soybean Oil Exports'!NI$290</f>
        <v>360.43799999999999</v>
      </c>
      <c r="BH292" s="59">
        <f>'[1]Argentina Soybean Oil Exports'!NU$290</f>
        <v>379.38400000000001</v>
      </c>
      <c r="BI292" s="58">
        <f>(SUM(BC292:BG292)/SUM(BC$295:BG$295))*BI$295-150</f>
        <v>36.032732690528007</v>
      </c>
      <c r="BJ292" s="58">
        <f t="shared" si="217"/>
        <v>385.63881892917505</v>
      </c>
      <c r="BK292" s="58">
        <f t="shared" si="218"/>
        <v>336.30736059500265</v>
      </c>
      <c r="BL292" s="58">
        <f t="shared" si="219"/>
        <v>336.45464354455322</v>
      </c>
      <c r="BM292" s="58">
        <f t="shared" si="219"/>
        <v>403.93302352571055</v>
      </c>
      <c r="BN292" s="58">
        <f t="shared" si="219"/>
        <v>382.22752082115261</v>
      </c>
      <c r="BO292" s="58">
        <f t="shared" si="219"/>
        <v>359.1974676368078</v>
      </c>
      <c r="BP292" s="58">
        <f t="shared" si="219"/>
        <v>390.08850670420418</v>
      </c>
      <c r="BQ292" s="58">
        <f t="shared" si="219"/>
        <v>374.87010641716017</v>
      </c>
      <c r="BR292" s="58">
        <f t="shared" si="219"/>
        <v>378.70832761927738</v>
      </c>
      <c r="BS292" s="58">
        <f t="shared" si="219"/>
        <v>382.06332502100702</v>
      </c>
      <c r="BT292" s="58">
        <f t="shared" si="219"/>
        <v>377.01838583972039</v>
      </c>
      <c r="BU292" s="58">
        <f t="shared" si="219"/>
        <v>376.98554667969137</v>
      </c>
    </row>
    <row r="293" spans="1:73">
      <c r="A293" s="4" t="s">
        <v>111</v>
      </c>
      <c r="B293" s="56"/>
      <c r="C293" s="57">
        <f t="shared" si="216"/>
        <v>0</v>
      </c>
      <c r="D293" s="57">
        <f t="shared" si="216"/>
        <v>0</v>
      </c>
      <c r="E293" s="57">
        <f t="shared" si="216"/>
        <v>0</v>
      </c>
      <c r="F293" s="57">
        <f t="shared" si="216"/>
        <v>0</v>
      </c>
      <c r="G293" s="57">
        <f t="shared" si="216"/>
        <v>0</v>
      </c>
      <c r="H293" s="57">
        <f t="shared" si="216"/>
        <v>0</v>
      </c>
      <c r="I293" s="57">
        <f t="shared" si="216"/>
        <v>0</v>
      </c>
      <c r="J293" s="57">
        <f t="shared" si="216"/>
        <v>0</v>
      </c>
      <c r="K293" s="57">
        <f t="shared" si="216"/>
        <v>2.0441620533467537</v>
      </c>
      <c r="L293" s="57">
        <f t="shared" si="216"/>
        <v>3.066243080020131</v>
      </c>
      <c r="M293" s="57">
        <f t="shared" si="216"/>
        <v>1.8583291394061399</v>
      </c>
      <c r="N293" s="57">
        <f t="shared" si="216"/>
        <v>6.2254026170105687</v>
      </c>
      <c r="O293" s="57">
        <f t="shared" si="216"/>
        <v>5.9466532460996477</v>
      </c>
      <c r="P293" s="57">
        <f t="shared" si="216"/>
        <v>5.4820709612481124</v>
      </c>
      <c r="Q293" s="57">
        <f t="shared" si="216"/>
        <v>9.4774786109713141</v>
      </c>
      <c r="R293" s="56">
        <v>1.3</v>
      </c>
      <c r="S293" s="56">
        <v>14.1</v>
      </c>
      <c r="T293" s="56">
        <v>18.2</v>
      </c>
      <c r="U293" s="56">
        <v>25.3</v>
      </c>
      <c r="V293" s="56">
        <v>52.6</v>
      </c>
      <c r="W293" s="56">
        <v>37.5</v>
      </c>
      <c r="X293" s="56">
        <v>27.8</v>
      </c>
      <c r="Y293" s="56">
        <v>53.3</v>
      </c>
      <c r="Z293" s="56">
        <v>78</v>
      </c>
      <c r="AA293" s="56">
        <v>30.4</v>
      </c>
      <c r="AB293" s="56">
        <v>69.2</v>
      </c>
      <c r="AC293" s="56">
        <v>86.4</v>
      </c>
      <c r="AD293" s="56">
        <v>79.995000000000005</v>
      </c>
      <c r="AE293" s="59">
        <f>'[1]Argentina Soybean Oil Exports'!AL$290</f>
        <v>115.627</v>
      </c>
      <c r="AF293" s="59">
        <f>'[1]Argentina Soybean Oil Exports'!AX$290</f>
        <v>121.65300000000001</v>
      </c>
      <c r="AG293" s="59">
        <f>'[1]Argentina Soybean Oil Exports'!BJ$290</f>
        <v>119.94799999999999</v>
      </c>
      <c r="AH293" s="59">
        <f>'[1]Argentina Soybean Oil Exports'!BV$290</f>
        <v>157.596</v>
      </c>
      <c r="AI293" s="59">
        <f>'[1]Argentina Soybean Oil Exports'!CH$290</f>
        <v>114.259</v>
      </c>
      <c r="AJ293" s="59">
        <f>'[1]Argentina Soybean Oil Exports'!CT$290</f>
        <v>212.90299999999999</v>
      </c>
      <c r="AK293" s="59">
        <f>'[1]Argentina Soybean Oil Exports'!DF$290</f>
        <v>228.41800000000001</v>
      </c>
      <c r="AL293" s="59">
        <f>'[1]Argentina Soybean Oil Exports'!DR$290</f>
        <v>105.18</v>
      </c>
      <c r="AM293" s="59">
        <f>'[1]Argentina Soybean Oil Exports'!ED$290</f>
        <v>218.48099999999999</v>
      </c>
      <c r="AN293" s="59">
        <f>'[1]Argentina Soybean Oil Exports'!EP$290</f>
        <v>332.04500000000002</v>
      </c>
      <c r="AO293" s="59">
        <f>'[1]Argentina Soybean Oil Exports'!FB$290</f>
        <v>264.916</v>
      </c>
      <c r="AP293" s="59">
        <f>'[1]Argentina Soybean Oil Exports'!FN$290</f>
        <v>294.15800000000002</v>
      </c>
      <c r="AQ293" s="59">
        <f>'[1]Argentina Soybean Oil Exports'!FZ$290</f>
        <v>419.19299999999998</v>
      </c>
      <c r="AR293" s="59">
        <f>'[1]Argentina Soybean Oil Exports'!GL$290</f>
        <v>206.16300000000001</v>
      </c>
      <c r="AS293" s="59">
        <f>'[1]Argentina Soybean Oil Exports'!GX$290</f>
        <v>647.35299999999995</v>
      </c>
      <c r="AT293" s="59">
        <f>'[1]Argentina Soybean Oil Exports'!HJ$290</f>
        <v>489.44099999999997</v>
      </c>
      <c r="AU293" s="59">
        <f>'[1]Argentina Soybean Oil Exports'!HV$290</f>
        <v>192.98599999999999</v>
      </c>
      <c r="AV293" s="59">
        <f>'[1]Argentina Soybean Oil Exports'!IH$290</f>
        <v>281.71899999999999</v>
      </c>
      <c r="AW293" s="59">
        <f>'[1]Argentina Soybean Oil Exports'!IT$290</f>
        <v>220.86</v>
      </c>
      <c r="AX293" s="59">
        <f>'[1]Argentina Soybean Oil Exports'!JF$290</f>
        <v>129.65899999999999</v>
      </c>
      <c r="AY293" s="59">
        <f>'[1]Argentina Soybean Oil Exports'!JR$290</f>
        <v>179.126</v>
      </c>
      <c r="AZ293" s="59">
        <f>'[1]Argentina Soybean Oil Exports'!KD$290</f>
        <v>249.29499999999999</v>
      </c>
      <c r="BA293" s="59">
        <f>'[1]Argentina Soybean Oil Exports'!KP$290</f>
        <v>540.78899999999999</v>
      </c>
      <c r="BB293" s="59">
        <f>'[1]Argentina Soybean Oil Exports'!LB$290</f>
        <v>325.00381299999998</v>
      </c>
      <c r="BC293" s="59">
        <f>'[1]Argentina Soybean Oil Exports'!LN$290</f>
        <v>209.88608300000001</v>
      </c>
      <c r="BD293" s="59">
        <f>'[1]Argentina Soybean Oil Exports'!LZ$290</f>
        <v>455.48972099999997</v>
      </c>
      <c r="BE293" s="59">
        <f>'[1]Argentina Soybean Oil Exports'!ML$290</f>
        <v>425.38829700000002</v>
      </c>
      <c r="BF293" s="59">
        <f>'[1]Argentina Soybean Oil Exports'!MX$290</f>
        <v>661.65480100000002</v>
      </c>
      <c r="BG293" s="59">
        <f>'[1]Argentina Soybean Oil Exports'!NJ$290</f>
        <v>280.09800000000001</v>
      </c>
      <c r="BH293" s="59">
        <f>'[1]Argentina Soybean Oil Exports'!NV$290</f>
        <v>323.637</v>
      </c>
      <c r="BI293" s="58">
        <f>(SUM(BC293:BG293)/SUM(BC$295:BG$295))*BI$295-100</f>
        <v>140.85072124108819</v>
      </c>
      <c r="BJ293" s="58">
        <f t="shared" si="217"/>
        <v>505.5294133481442</v>
      </c>
      <c r="BK293" s="58">
        <f t="shared" si="218"/>
        <v>473.45473097512428</v>
      </c>
      <c r="BL293" s="58">
        <f t="shared" si="219"/>
        <v>495.88608444613237</v>
      </c>
      <c r="BM293" s="58">
        <f t="shared" si="219"/>
        <v>464.81931034864658</v>
      </c>
      <c r="BN293" s="58">
        <f t="shared" si="219"/>
        <v>502.96319128552017</v>
      </c>
      <c r="BO293" s="58">
        <f t="shared" si="219"/>
        <v>498.75965145595711</v>
      </c>
      <c r="BP293" s="58">
        <f t="shared" si="219"/>
        <v>516.57308497960651</v>
      </c>
      <c r="BQ293" s="58">
        <f t="shared" si="219"/>
        <v>502.2439110332744</v>
      </c>
      <c r="BR293" s="58">
        <f t="shared" si="219"/>
        <v>501.53205946852717</v>
      </c>
      <c r="BS293" s="58">
        <f t="shared" si="219"/>
        <v>497.07182982060095</v>
      </c>
      <c r="BT293" s="58">
        <f t="shared" si="219"/>
        <v>504.41437964457708</v>
      </c>
      <c r="BU293" s="58">
        <f t="shared" si="219"/>
        <v>503.23610735159326</v>
      </c>
    </row>
    <row r="294" spans="1:73">
      <c r="A294" s="4" t="s">
        <v>112</v>
      </c>
      <c r="B294" s="56"/>
      <c r="C294" s="57">
        <f t="shared" si="216"/>
        <v>0</v>
      </c>
      <c r="D294" s="57">
        <f t="shared" si="216"/>
        <v>0</v>
      </c>
      <c r="E294" s="57">
        <f t="shared" si="216"/>
        <v>0</v>
      </c>
      <c r="F294" s="57">
        <f t="shared" si="216"/>
        <v>0</v>
      </c>
      <c r="G294" s="57">
        <f t="shared" si="216"/>
        <v>0</v>
      </c>
      <c r="H294" s="57">
        <f t="shared" si="216"/>
        <v>0</v>
      </c>
      <c r="I294" s="57">
        <f t="shared" si="216"/>
        <v>0</v>
      </c>
      <c r="J294" s="57">
        <f t="shared" si="216"/>
        <v>0</v>
      </c>
      <c r="K294" s="57">
        <f t="shared" si="216"/>
        <v>1.6303472571716158</v>
      </c>
      <c r="L294" s="57">
        <f t="shared" si="216"/>
        <v>2.4455208857574235</v>
      </c>
      <c r="M294" s="57">
        <f t="shared" si="216"/>
        <v>1.4821338701560145</v>
      </c>
      <c r="N294" s="57">
        <f t="shared" si="216"/>
        <v>4.9651484650226481</v>
      </c>
      <c r="O294" s="57">
        <f t="shared" si="216"/>
        <v>4.742828384499246</v>
      </c>
      <c r="P294" s="57">
        <f t="shared" si="216"/>
        <v>4.3722949169602421</v>
      </c>
      <c r="Q294" s="57">
        <f t="shared" si="216"/>
        <v>7.5588827377956731</v>
      </c>
      <c r="R294" s="56">
        <v>0.7</v>
      </c>
      <c r="S294" s="56">
        <v>14.5</v>
      </c>
      <c r="T294" s="56">
        <v>29.5</v>
      </c>
      <c r="U294" s="56">
        <v>25</v>
      </c>
      <c r="V294" s="56">
        <v>16.899999999999999</v>
      </c>
      <c r="W294" s="56">
        <v>31.9</v>
      </c>
      <c r="X294" s="56">
        <v>14.9</v>
      </c>
      <c r="Y294" s="56">
        <v>37.4</v>
      </c>
      <c r="Z294" s="56">
        <v>37.5</v>
      </c>
      <c r="AA294" s="56">
        <v>73.099999999999994</v>
      </c>
      <c r="AB294" s="56">
        <v>65.5</v>
      </c>
      <c r="AC294" s="56">
        <v>82.35</v>
      </c>
      <c r="AD294" s="56">
        <v>58.08</v>
      </c>
      <c r="AE294" s="59">
        <f>'[1]Argentina Soybean Oil Exports'!AM$290</f>
        <v>123.176</v>
      </c>
      <c r="AF294" s="59">
        <f>'[1]Argentina Soybean Oil Exports'!AY$290</f>
        <v>72.578000000000003</v>
      </c>
      <c r="AG294" s="59">
        <f>'[1]Argentina Soybean Oil Exports'!BK$290</f>
        <v>134.85400000000001</v>
      </c>
      <c r="AH294" s="59">
        <f>'[1]Argentina Soybean Oil Exports'!BW$290</f>
        <v>111.41500000000001</v>
      </c>
      <c r="AI294" s="59">
        <f>'[1]Argentina Soybean Oil Exports'!CI$290</f>
        <v>69.486000000000004</v>
      </c>
      <c r="AJ294" s="59">
        <f>'[1]Argentina Soybean Oil Exports'!CU$290</f>
        <v>108.462</v>
      </c>
      <c r="AK294" s="59">
        <f>'[1]Argentina Soybean Oil Exports'!DG$290</f>
        <v>201.892</v>
      </c>
      <c r="AL294" s="59">
        <f>'[1]Argentina Soybean Oil Exports'!DS$290</f>
        <v>173.321</v>
      </c>
      <c r="AM294" s="59">
        <f>'[1]Argentina Soybean Oil Exports'!EE$290</f>
        <v>151.375</v>
      </c>
      <c r="AN294" s="59">
        <f>'[1]Argentina Soybean Oil Exports'!EQ$290</f>
        <v>243.85300000000001</v>
      </c>
      <c r="AO294" s="59">
        <f>'[1]Argentina Soybean Oil Exports'!FC$290</f>
        <v>413.00900000000001</v>
      </c>
      <c r="AP294" s="59">
        <f>'[1]Argentina Soybean Oil Exports'!FO$290</f>
        <v>259.61900000000003</v>
      </c>
      <c r="AQ294" s="59">
        <f>'[1]Argentina Soybean Oil Exports'!GA$290</f>
        <v>389.15600000000001</v>
      </c>
      <c r="AR294" s="59">
        <f>'[1]Argentina Soybean Oil Exports'!GM$290</f>
        <v>480.43099999999998</v>
      </c>
      <c r="AS294" s="59">
        <f>'[1]Argentina Soybean Oil Exports'!GY$290</f>
        <v>327.56599999999997</v>
      </c>
      <c r="AT294" s="59">
        <f>'[1]Argentina Soybean Oil Exports'!HK$290</f>
        <v>388.88200000000001</v>
      </c>
      <c r="AU294" s="59">
        <f>'[1]Argentina Soybean Oil Exports'!HW$290</f>
        <v>271.54700000000003</v>
      </c>
      <c r="AV294" s="59">
        <f>'[1]Argentina Soybean Oil Exports'!II$290</f>
        <v>249.09</v>
      </c>
      <c r="AW294" s="59">
        <f>'[1]Argentina Soybean Oil Exports'!IU$290</f>
        <v>343.21300000000002</v>
      </c>
      <c r="AX294" s="59">
        <f>'[1]Argentina Soybean Oil Exports'!JG$290</f>
        <v>223.803</v>
      </c>
      <c r="AY294" s="59">
        <f>'[1]Argentina Soybean Oil Exports'!JS$290</f>
        <v>151.30199999999999</v>
      </c>
      <c r="AZ294" s="59">
        <f>'[1]Argentina Soybean Oil Exports'!KE$290</f>
        <v>250.29599999999999</v>
      </c>
      <c r="BA294" s="59">
        <f>'[1]Argentina Soybean Oil Exports'!KQ$290</f>
        <v>483.87900000000002</v>
      </c>
      <c r="BB294" s="59">
        <f>'[1]Argentina Soybean Oil Exports'!LC$290</f>
        <v>259.97256499999997</v>
      </c>
      <c r="BC294" s="59">
        <f>'[1]Argentina Soybean Oil Exports'!LO$290</f>
        <v>243.812682</v>
      </c>
      <c r="BD294" s="59">
        <f>'[1]Argentina Soybean Oil Exports'!MA$290</f>
        <v>409.70328699999999</v>
      </c>
      <c r="BE294" s="59">
        <f>'[1]Argentina Soybean Oil Exports'!MM$290</f>
        <v>318.08450900000003</v>
      </c>
      <c r="BF294" s="59">
        <f>'[1]Argentina Soybean Oil Exports'!MY$290</f>
        <v>454.85724199999999</v>
      </c>
      <c r="BG294" s="59">
        <f>'[1]Argentina Soybean Oil Exports'!NK$290</f>
        <v>242.148</v>
      </c>
      <c r="BH294" s="59">
        <f>'[1]Argentina Soybean Oil Exports'!NW$290</f>
        <v>350.024</v>
      </c>
      <c r="BI294" s="58">
        <f t="shared" ref="BI294:BO294" si="220">BI295-SUM(BI283:BI293)</f>
        <v>139.89202828174029</v>
      </c>
      <c r="BJ294" s="58">
        <f t="shared" si="220"/>
        <v>418.03833057445263</v>
      </c>
      <c r="BK294" s="58">
        <f t="shared" si="220"/>
        <v>389.02647679516122</v>
      </c>
      <c r="BL294" s="58">
        <f t="shared" si="220"/>
        <v>416.30382262366857</v>
      </c>
      <c r="BM294" s="58">
        <f t="shared" si="220"/>
        <v>415.0785055010947</v>
      </c>
      <c r="BN294" s="58">
        <f t="shared" si="220"/>
        <v>444.3321663759225</v>
      </c>
      <c r="BO294" s="58">
        <f t="shared" si="220"/>
        <v>426.31418309701348</v>
      </c>
      <c r="BP294" s="58">
        <f t="shared" ref="BP294:BU294" si="221">BP295-SUM(BP283:BP293)</f>
        <v>440.46692184568292</v>
      </c>
      <c r="BQ294" s="58">
        <f t="shared" si="221"/>
        <v>431.14539265832263</v>
      </c>
      <c r="BR294" s="58">
        <f t="shared" si="221"/>
        <v>433.45286693941307</v>
      </c>
      <c r="BS294" s="58">
        <f t="shared" si="221"/>
        <v>431.46743389560652</v>
      </c>
      <c r="BT294" s="58">
        <f t="shared" si="221"/>
        <v>435.14230618327019</v>
      </c>
      <c r="BU294" s="58">
        <f t="shared" si="221"/>
        <v>432.569359687207</v>
      </c>
    </row>
    <row r="295" spans="1:73" ht="15.75" thickBot="1">
      <c r="A295" s="4" t="s">
        <v>113</v>
      </c>
      <c r="B295" s="56"/>
      <c r="C295" s="59">
        <v>0</v>
      </c>
      <c r="D295" s="59">
        <v>0</v>
      </c>
      <c r="E295" s="59">
        <v>0</v>
      </c>
      <c r="F295" s="59">
        <v>0</v>
      </c>
      <c r="G295" s="59">
        <v>0</v>
      </c>
      <c r="H295" s="59">
        <v>0</v>
      </c>
      <c r="I295" s="59">
        <v>0</v>
      </c>
      <c r="J295" s="59">
        <v>0</v>
      </c>
      <c r="K295" s="59">
        <v>22</v>
      </c>
      <c r="L295" s="59">
        <v>33</v>
      </c>
      <c r="M295" s="59">
        <v>20</v>
      </c>
      <c r="N295" s="59">
        <v>67</v>
      </c>
      <c r="O295" s="59">
        <v>64</v>
      </c>
      <c r="P295" s="59">
        <v>59</v>
      </c>
      <c r="Q295" s="59">
        <v>102</v>
      </c>
      <c r="R295" s="59">
        <f t="shared" ref="R295:BH295" si="222">SUM(R283:R294)</f>
        <v>68.133378332770846</v>
      </c>
      <c r="S295" s="59">
        <f t="shared" si="222"/>
        <v>97.899999999999991</v>
      </c>
      <c r="T295" s="59">
        <f t="shared" si="222"/>
        <v>206.49999999999997</v>
      </c>
      <c r="U295" s="59">
        <f t="shared" si="222"/>
        <v>297.7</v>
      </c>
      <c r="V295" s="59">
        <f t="shared" si="222"/>
        <v>462.90000000000003</v>
      </c>
      <c r="W295" s="59">
        <f t="shared" si="222"/>
        <v>524.6</v>
      </c>
      <c r="X295" s="59">
        <f t="shared" si="222"/>
        <v>642.39999999999986</v>
      </c>
      <c r="Y295" s="59">
        <f t="shared" si="222"/>
        <v>772.5</v>
      </c>
      <c r="Z295" s="59">
        <f t="shared" si="222"/>
        <v>953.5</v>
      </c>
      <c r="AA295" s="59">
        <f t="shared" si="222"/>
        <v>738.2</v>
      </c>
      <c r="AB295" s="59">
        <f t="shared" si="222"/>
        <v>1276.9000000000003</v>
      </c>
      <c r="AC295" s="59">
        <f t="shared" si="222"/>
        <v>1042</v>
      </c>
      <c r="AD295" s="59">
        <f t="shared" si="222"/>
        <v>915.62500000000011</v>
      </c>
      <c r="AE295" s="59">
        <f t="shared" si="222"/>
        <v>1289.826</v>
      </c>
      <c r="AF295" s="59">
        <f t="shared" si="222"/>
        <v>1404.6340000000002</v>
      </c>
      <c r="AG295" s="59">
        <f t="shared" si="222"/>
        <v>1533.0609999999999</v>
      </c>
      <c r="AH295" s="59">
        <f t="shared" si="222"/>
        <v>1672.0039999999999</v>
      </c>
      <c r="AI295" s="59">
        <f t="shared" si="222"/>
        <v>1876.3550000000002</v>
      </c>
      <c r="AJ295" s="59">
        <f t="shared" si="222"/>
        <v>2398.0749999999998</v>
      </c>
      <c r="AK295" s="59">
        <f t="shared" si="222"/>
        <v>3134.8389999999999</v>
      </c>
      <c r="AL295" s="59">
        <f t="shared" si="222"/>
        <v>2824.9520000000002</v>
      </c>
      <c r="AM295" s="59">
        <f t="shared" si="222"/>
        <v>3429.5680000000002</v>
      </c>
      <c r="AN295" s="59">
        <f t="shared" si="222"/>
        <v>3605.74</v>
      </c>
      <c r="AO295" s="59">
        <f t="shared" si="222"/>
        <v>4292.5250000000005</v>
      </c>
      <c r="AP295" s="59">
        <f t="shared" si="222"/>
        <v>4232.3599999999997</v>
      </c>
      <c r="AQ295" s="59">
        <f t="shared" si="222"/>
        <v>5105.3910000000005</v>
      </c>
      <c r="AR295" s="59">
        <f t="shared" si="222"/>
        <v>5620.2349999999997</v>
      </c>
      <c r="AS295" s="59">
        <f t="shared" si="222"/>
        <v>6691.95</v>
      </c>
      <c r="AT295" s="59">
        <f t="shared" si="222"/>
        <v>4847.597999999999</v>
      </c>
      <c r="AU295" s="59">
        <f t="shared" si="222"/>
        <v>4025.614</v>
      </c>
      <c r="AV295" s="59">
        <f t="shared" si="222"/>
        <v>4964.3020000000006</v>
      </c>
      <c r="AW295" s="59">
        <f t="shared" si="222"/>
        <v>4276.1500000000005</v>
      </c>
      <c r="AX295" s="59">
        <f t="shared" si="222"/>
        <v>3556.33</v>
      </c>
      <c r="AY295" s="59">
        <f t="shared" si="222"/>
        <v>4191.0469999999996</v>
      </c>
      <c r="AZ295" s="59">
        <f t="shared" si="222"/>
        <v>4223.107</v>
      </c>
      <c r="BA295" s="59">
        <f t="shared" si="222"/>
        <v>6123.9059999999999</v>
      </c>
      <c r="BB295" s="59">
        <f t="shared" si="222"/>
        <v>5324.6145839999999</v>
      </c>
      <c r="BC295" s="59">
        <f t="shared" si="222"/>
        <v>4841.3201310000004</v>
      </c>
      <c r="BD295" s="59">
        <f t="shared" si="222"/>
        <v>4644.4413869999998</v>
      </c>
      <c r="BE295" s="59">
        <f t="shared" si="222"/>
        <v>5271.1850210000002</v>
      </c>
      <c r="BF295" s="59">
        <f t="shared" si="222"/>
        <v>5838.4188659999991</v>
      </c>
      <c r="BG295" s="59">
        <f t="shared" si="222"/>
        <v>5565.2471260000002</v>
      </c>
      <c r="BH295" s="59">
        <f t="shared" si="222"/>
        <v>4791.0519999999997</v>
      </c>
      <c r="BI295" s="58">
        <f t="shared" ref="BI295:BU295" si="223">BI37</f>
        <v>3100</v>
      </c>
      <c r="BJ295" s="58">
        <f t="shared" si="223"/>
        <v>6150</v>
      </c>
      <c r="BK295" s="58">
        <f t="shared" si="223"/>
        <v>6350</v>
      </c>
      <c r="BL295" s="58">
        <f t="shared" si="223"/>
        <v>6600</v>
      </c>
      <c r="BM295" s="58">
        <f t="shared" si="223"/>
        <v>7000</v>
      </c>
      <c r="BN295" s="58">
        <f t="shared" si="223"/>
        <v>7000</v>
      </c>
      <c r="BO295" s="58">
        <f t="shared" si="223"/>
        <v>7000</v>
      </c>
      <c r="BP295" s="58">
        <f t="shared" si="223"/>
        <v>7000</v>
      </c>
      <c r="BQ295" s="58">
        <f t="shared" si="223"/>
        <v>7000</v>
      </c>
      <c r="BR295" s="58">
        <f t="shared" si="223"/>
        <v>7000</v>
      </c>
      <c r="BS295" s="58">
        <f t="shared" si="223"/>
        <v>7000</v>
      </c>
      <c r="BT295" s="58">
        <f t="shared" si="223"/>
        <v>7000</v>
      </c>
      <c r="BU295" s="58">
        <f t="shared" si="223"/>
        <v>7000</v>
      </c>
    </row>
    <row r="296" spans="1:73">
      <c r="A296" s="60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2">
        <f>BC168/BC295</f>
        <v>6.1799354709931285</v>
      </c>
      <c r="BD296" s="62">
        <f>BD168/BD295</f>
        <v>6.3551365450787642</v>
      </c>
      <c r="BE296" s="62">
        <f>BE168/BE295</f>
        <v>4.865018711700424</v>
      </c>
      <c r="BF296" s="62">
        <f>BF168/BF295</f>
        <v>5.0894162755331163</v>
      </c>
      <c r="BG296" s="62">
        <f>BG168/BG295</f>
        <v>4.6810525049808902</v>
      </c>
      <c r="BH296" s="110">
        <f>(BI295/BH295)-1</f>
        <v>-0.35296047715616519</v>
      </c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</row>
    <row r="297" spans="1:73" ht="15.75" thickBot="1">
      <c r="A297" s="53" t="s">
        <v>152</v>
      </c>
    </row>
    <row r="298" spans="1:73" s="4" customFormat="1" ht="15.75" thickBot="1">
      <c r="A298" s="54"/>
      <c r="B298" s="63" t="s">
        <v>1</v>
      </c>
      <c r="C298" s="63" t="s">
        <v>2</v>
      </c>
      <c r="D298" s="63" t="s">
        <v>3</v>
      </c>
      <c r="E298" s="63" t="s">
        <v>4</v>
      </c>
      <c r="F298" s="63" t="s">
        <v>5</v>
      </c>
      <c r="G298" s="63" t="s">
        <v>6</v>
      </c>
      <c r="H298" s="63" t="s">
        <v>7</v>
      </c>
      <c r="I298" s="63" t="s">
        <v>8</v>
      </c>
      <c r="J298" s="63" t="s">
        <v>9</v>
      </c>
      <c r="K298" s="63" t="s">
        <v>10</v>
      </c>
      <c r="L298" s="63" t="s">
        <v>11</v>
      </c>
      <c r="M298" s="55" t="s">
        <v>12</v>
      </c>
      <c r="N298" s="55" t="s">
        <v>13</v>
      </c>
      <c r="O298" s="55" t="s">
        <v>14</v>
      </c>
      <c r="P298" s="55" t="s">
        <v>15</v>
      </c>
      <c r="Q298" s="55" t="s">
        <v>16</v>
      </c>
      <c r="R298" s="55" t="s">
        <v>17</v>
      </c>
      <c r="S298" s="55" t="s">
        <v>18</v>
      </c>
      <c r="T298" s="55" t="s">
        <v>19</v>
      </c>
      <c r="U298" s="55" t="s">
        <v>20</v>
      </c>
      <c r="V298" s="55" t="s">
        <v>21</v>
      </c>
      <c r="W298" s="55" t="s">
        <v>22</v>
      </c>
      <c r="X298" s="55" t="s">
        <v>23</v>
      </c>
      <c r="Y298" s="55" t="s">
        <v>24</v>
      </c>
      <c r="Z298" s="55" t="s">
        <v>25</v>
      </c>
      <c r="AA298" s="55" t="s">
        <v>26</v>
      </c>
      <c r="AB298" s="55" t="s">
        <v>27</v>
      </c>
      <c r="AC298" s="55" t="s">
        <v>28</v>
      </c>
      <c r="AD298" s="55" t="s">
        <v>29</v>
      </c>
      <c r="AE298" s="55" t="s">
        <v>30</v>
      </c>
      <c r="AF298" s="55" t="s">
        <v>31</v>
      </c>
      <c r="AG298" s="55" t="s">
        <v>32</v>
      </c>
      <c r="AH298" s="55" t="s">
        <v>33</v>
      </c>
      <c r="AI298" s="55" t="s">
        <v>34</v>
      </c>
      <c r="AJ298" s="55" t="s">
        <v>35</v>
      </c>
      <c r="AK298" s="55" t="s">
        <v>36</v>
      </c>
      <c r="AL298" s="55" t="s">
        <v>37</v>
      </c>
      <c r="AM298" s="55" t="s">
        <v>38</v>
      </c>
      <c r="AN298" s="55" t="s">
        <v>39</v>
      </c>
      <c r="AO298" s="55" t="s">
        <v>40</v>
      </c>
      <c r="AP298" s="55" t="s">
        <v>41</v>
      </c>
      <c r="AQ298" s="55" t="s">
        <v>42</v>
      </c>
      <c r="AR298" s="55" t="s">
        <v>43</v>
      </c>
      <c r="AS298" s="55" t="s">
        <v>44</v>
      </c>
      <c r="AT298" s="55" t="s">
        <v>45</v>
      </c>
      <c r="AU298" s="55" t="s">
        <v>46</v>
      </c>
      <c r="AV298" s="55" t="s">
        <v>47</v>
      </c>
      <c r="AW298" s="55" t="s">
        <v>48</v>
      </c>
      <c r="AX298" s="55" t="s">
        <v>49</v>
      </c>
      <c r="AY298" s="55" t="s">
        <v>50</v>
      </c>
      <c r="AZ298" s="55" t="s">
        <v>51</v>
      </c>
      <c r="BA298" s="55" t="s">
        <v>52</v>
      </c>
      <c r="BB298" s="55" t="s">
        <v>53</v>
      </c>
      <c r="BC298" s="55" t="s">
        <v>54</v>
      </c>
      <c r="BD298" s="55" t="s">
        <v>55</v>
      </c>
      <c r="BE298" s="55" t="s">
        <v>56</v>
      </c>
      <c r="BF298" s="55" t="s">
        <v>57</v>
      </c>
      <c r="BG298" s="55" t="str">
        <f t="shared" ref="BG298:BU298" si="224">BH2</f>
        <v>22/23</v>
      </c>
      <c r="BH298" s="55" t="str">
        <f t="shared" si="224"/>
        <v>23/24</v>
      </c>
      <c r="BI298" s="55" t="str">
        <f t="shared" si="224"/>
        <v>24/25</v>
      </c>
      <c r="BJ298" s="55" t="str">
        <f t="shared" si="224"/>
        <v>25/26</v>
      </c>
      <c r="BK298" s="55" t="str">
        <f t="shared" si="224"/>
        <v>26/27</v>
      </c>
      <c r="BL298" s="55" t="str">
        <f t="shared" si="224"/>
        <v>27/28</v>
      </c>
      <c r="BM298" s="55" t="str">
        <f t="shared" si="224"/>
        <v>28/29</v>
      </c>
      <c r="BN298" s="55" t="str">
        <f t="shared" si="224"/>
        <v>29/30</v>
      </c>
      <c r="BO298" s="55" t="str">
        <f t="shared" si="224"/>
        <v>30/31</v>
      </c>
      <c r="BP298" s="55" t="str">
        <f t="shared" si="224"/>
        <v>31/32</v>
      </c>
      <c r="BQ298" s="55" t="str">
        <f t="shared" si="224"/>
        <v>32/33</v>
      </c>
      <c r="BR298" s="55" t="str">
        <f t="shared" si="224"/>
        <v>33/34</v>
      </c>
      <c r="BS298" s="55" t="str">
        <f t="shared" si="224"/>
        <v>34/35</v>
      </c>
      <c r="BT298" s="55" t="str">
        <f t="shared" si="224"/>
        <v>34/35</v>
      </c>
      <c r="BU298" s="55">
        <f t="shared" si="224"/>
        <v>0</v>
      </c>
    </row>
    <row r="299" spans="1:73" s="111" customFormat="1" ht="14.25">
      <c r="A299" s="4" t="s">
        <v>100</v>
      </c>
      <c r="B299" s="56"/>
      <c r="C299" s="56">
        <f>C21+C219+C267-C284-C347</f>
        <v>4.6888310020863938E-2</v>
      </c>
      <c r="D299" s="56">
        <f t="shared" ref="D299:BH299" si="225">C358+D219+D267-D284-D347</f>
        <v>4.6888310020863938E-2</v>
      </c>
      <c r="E299" s="56">
        <f t="shared" si="225"/>
        <v>-1.0092170165431151</v>
      </c>
      <c r="F299" s="56">
        <f t="shared" si="225"/>
        <v>1.0937766200417278</v>
      </c>
      <c r="G299" s="56">
        <f t="shared" si="225"/>
        <v>-0.9154403965013872</v>
      </c>
      <c r="H299" s="56">
        <f t="shared" si="225"/>
        <v>1.1875532400834556</v>
      </c>
      <c r="I299" s="56">
        <f t="shared" si="225"/>
        <v>0.28132986012518363</v>
      </c>
      <c r="J299" s="56">
        <f t="shared" si="225"/>
        <v>-0.68099884639706754</v>
      </c>
      <c r="K299" s="56">
        <f t="shared" si="225"/>
        <v>-1.9254397399676071</v>
      </c>
      <c r="L299" s="56">
        <f t="shared" si="225"/>
        <v>0.36010746496758061</v>
      </c>
      <c r="M299" s="56">
        <f t="shared" si="225"/>
        <v>4.9706502264720687</v>
      </c>
      <c r="N299" s="56">
        <f t="shared" si="225"/>
        <v>1.7255782586814306</v>
      </c>
      <c r="O299" s="56">
        <f t="shared" si="225"/>
        <v>1.3658807247106193</v>
      </c>
      <c r="P299" s="56">
        <f t="shared" si="225"/>
        <v>0.93771816809260233</v>
      </c>
      <c r="Q299" s="56">
        <f t="shared" si="225"/>
        <v>-4.7742838449924498</v>
      </c>
      <c r="R299" s="56">
        <f t="shared" si="225"/>
        <v>2.7439999999999989</v>
      </c>
      <c r="S299" s="56">
        <f t="shared" si="225"/>
        <v>2.958000000000002</v>
      </c>
      <c r="T299" s="56">
        <f t="shared" si="225"/>
        <v>-0.51699999999999946</v>
      </c>
      <c r="U299" s="56">
        <f t="shared" si="225"/>
        <v>3.1380000000000017</v>
      </c>
      <c r="V299" s="56">
        <f t="shared" si="225"/>
        <v>6.9409999999999918</v>
      </c>
      <c r="W299" s="56">
        <f t="shared" si="225"/>
        <v>-13.388999999999996</v>
      </c>
      <c r="X299" s="56">
        <f t="shared" si="225"/>
        <v>13.914000000000001</v>
      </c>
      <c r="Y299" s="56">
        <f t="shared" si="225"/>
        <v>8.9359999999999999</v>
      </c>
      <c r="Z299" s="56">
        <f t="shared" si="225"/>
        <v>6.2310000000000052</v>
      </c>
      <c r="AA299" s="56">
        <f t="shared" si="225"/>
        <v>7.6980000000000075</v>
      </c>
      <c r="AB299" s="56">
        <f t="shared" si="225"/>
        <v>9.7019999999999911</v>
      </c>
      <c r="AC299" s="56">
        <f t="shared" si="225"/>
        <v>85.424000000000007</v>
      </c>
      <c r="AD299" s="56">
        <f t="shared" si="225"/>
        <v>39.213999999999999</v>
      </c>
      <c r="AE299" s="59">
        <f t="shared" si="225"/>
        <v>-9.5589999999999975</v>
      </c>
      <c r="AF299" s="59">
        <f t="shared" si="225"/>
        <v>-1.8560000000000088</v>
      </c>
      <c r="AG299" s="59">
        <f t="shared" si="225"/>
        <v>6.1220000000000141</v>
      </c>
      <c r="AH299" s="59">
        <f t="shared" si="225"/>
        <v>12.859999999999985</v>
      </c>
      <c r="AI299" s="59">
        <f t="shared" si="225"/>
        <v>1.967000000000013</v>
      </c>
      <c r="AJ299" s="59">
        <f t="shared" si="225"/>
        <v>1.5779999999999745</v>
      </c>
      <c r="AK299" s="59">
        <f t="shared" si="225"/>
        <v>19.828000000000003</v>
      </c>
      <c r="AL299" s="59">
        <f t="shared" si="225"/>
        <v>13.245999999999981</v>
      </c>
      <c r="AM299" s="59">
        <f t="shared" si="225"/>
        <v>35.150999999999982</v>
      </c>
      <c r="AN299" s="59">
        <f t="shared" si="225"/>
        <v>36.396999999999991</v>
      </c>
      <c r="AO299" s="59">
        <f t="shared" si="225"/>
        <v>47.439000000000021</v>
      </c>
      <c r="AP299" s="59">
        <f t="shared" si="225"/>
        <v>8.3149999999999977</v>
      </c>
      <c r="AQ299" s="59">
        <f t="shared" si="225"/>
        <v>4.9889999999999759</v>
      </c>
      <c r="AR299" s="59">
        <f t="shared" si="225"/>
        <v>41.554000000000059</v>
      </c>
      <c r="AS299" s="59">
        <f t="shared" si="225"/>
        <v>59.993999999999971</v>
      </c>
      <c r="AT299" s="59">
        <f t="shared" si="225"/>
        <v>76.46700000000007</v>
      </c>
      <c r="AU299" s="59">
        <f t="shared" si="225"/>
        <v>84.811999999999898</v>
      </c>
      <c r="AV299" s="59">
        <f t="shared" si="225"/>
        <v>168.18700000000001</v>
      </c>
      <c r="AW299" s="59">
        <f t="shared" si="225"/>
        <v>292.11200000000008</v>
      </c>
      <c r="AX299" s="59">
        <f t="shared" si="225"/>
        <v>301.01700000000005</v>
      </c>
      <c r="AY299" s="59">
        <f t="shared" si="225"/>
        <v>213.245</v>
      </c>
      <c r="AZ299" s="59">
        <f t="shared" si="225"/>
        <v>183.84199999999998</v>
      </c>
      <c r="BA299" s="59">
        <f t="shared" si="225"/>
        <v>172.99099999999999</v>
      </c>
      <c r="BB299" s="59">
        <f t="shared" si="225"/>
        <v>183.79899999999998</v>
      </c>
      <c r="BC299" s="59">
        <f t="shared" si="225"/>
        <v>328.13555600000012</v>
      </c>
      <c r="BD299" s="59">
        <f t="shared" si="225"/>
        <v>352.32424499999985</v>
      </c>
      <c r="BE299" s="59">
        <f t="shared" si="225"/>
        <v>343.62439300000017</v>
      </c>
      <c r="BF299" s="59">
        <f t="shared" si="225"/>
        <v>107.09314699999993</v>
      </c>
      <c r="BG299" s="59">
        <f t="shared" si="225"/>
        <v>165.99603199999996</v>
      </c>
      <c r="BH299" s="59">
        <f t="shared" si="225"/>
        <v>253.196</v>
      </c>
      <c r="BI299" s="58">
        <f t="shared" ref="BI299:BI309" si="226">(SUM(BD299:BH299)/SUM(BD$311:BH$311))*BI$311</f>
        <v>204.51397352631574</v>
      </c>
      <c r="BJ299" s="58">
        <f t="shared" ref="BJ299:BJ309" si="227">(SUM(BE299:BI299)/SUM(BE$311:BI$311))*BJ$311</f>
        <v>257.59708121323524</v>
      </c>
      <c r="BK299" s="58">
        <f t="shared" ref="BK299:BU309" si="228">(SUM(BF299:BJ299)/SUM(BF$311:BJ$311))*BK$311</f>
        <v>217.61652236423078</v>
      </c>
      <c r="BL299" s="58">
        <f t="shared" si="228"/>
        <v>221.44701781351677</v>
      </c>
      <c r="BM299" s="58">
        <f t="shared" si="228"/>
        <v>222.53766650138044</v>
      </c>
      <c r="BN299" s="58">
        <f t="shared" si="228"/>
        <v>224.40821090318951</v>
      </c>
      <c r="BO299" s="58">
        <f t="shared" si="228"/>
        <v>231.77963234110746</v>
      </c>
      <c r="BP299" s="58">
        <f t="shared" si="228"/>
        <v>234.11132680577265</v>
      </c>
      <c r="BQ299" s="58">
        <f t="shared" si="228"/>
        <v>241.10599552502987</v>
      </c>
      <c r="BR299" s="58">
        <f t="shared" si="228"/>
        <v>250.27169794647048</v>
      </c>
      <c r="BS299" s="58">
        <f t="shared" si="228"/>
        <v>256.10273900335471</v>
      </c>
      <c r="BT299" s="58">
        <f t="shared" si="228"/>
        <v>261.90538692730388</v>
      </c>
      <c r="BU299" s="58">
        <f t="shared" si="228"/>
        <v>267.36243556141005</v>
      </c>
    </row>
    <row r="300" spans="1:73" s="111" customFormat="1" ht="14.25">
      <c r="A300" s="4" t="s">
        <v>102</v>
      </c>
      <c r="B300" s="56"/>
      <c r="C300" s="56">
        <f t="shared" ref="C300:BH304" si="229">C347+C220+C268-C285-C348</f>
        <v>6.8867462541614702E-2</v>
      </c>
      <c r="D300" s="56">
        <f t="shared" si="229"/>
        <v>6.8867462541614702E-2</v>
      </c>
      <c r="E300" s="56">
        <f t="shared" si="229"/>
        <v>-9.9104312692874563E-2</v>
      </c>
      <c r="F300" s="56">
        <f t="shared" si="229"/>
        <v>0.1377349250832294</v>
      </c>
      <c r="G300" s="56">
        <f t="shared" si="229"/>
        <v>3.8630612390354813E-2</v>
      </c>
      <c r="H300" s="56">
        <f t="shared" si="229"/>
        <v>0.27546985016645881</v>
      </c>
      <c r="I300" s="56">
        <f t="shared" si="229"/>
        <v>0.41320477524968824</v>
      </c>
      <c r="J300" s="56">
        <f t="shared" si="229"/>
        <v>0.38296792509842814</v>
      </c>
      <c r="K300" s="56">
        <f t="shared" si="229"/>
        <v>0.18813288468176825</v>
      </c>
      <c r="L300" s="56">
        <f t="shared" si="229"/>
        <v>0.77519310877003811</v>
      </c>
      <c r="M300" s="56">
        <f t="shared" si="229"/>
        <v>1.3615379969803731</v>
      </c>
      <c r="N300" s="56">
        <f t="shared" si="229"/>
        <v>2.3433522898842476</v>
      </c>
      <c r="O300" s="56">
        <f t="shared" si="229"/>
        <v>1.4673215903371926</v>
      </c>
      <c r="P300" s="56">
        <f t="shared" si="229"/>
        <v>2.844937091092099</v>
      </c>
      <c r="Q300" s="56">
        <f t="shared" si="229"/>
        <v>3.0400437845999022</v>
      </c>
      <c r="R300" s="56">
        <f t="shared" si="229"/>
        <v>5.1339999999999968</v>
      </c>
      <c r="S300" s="56">
        <f t="shared" si="229"/>
        <v>9.7520000000000024</v>
      </c>
      <c r="T300" s="56">
        <f t="shared" si="229"/>
        <v>-3.652000000000001</v>
      </c>
      <c r="U300" s="56">
        <f t="shared" si="229"/>
        <v>7.8759999999999977</v>
      </c>
      <c r="V300" s="56">
        <f t="shared" si="229"/>
        <v>3.6610000000000014</v>
      </c>
      <c r="W300" s="56">
        <f t="shared" si="229"/>
        <v>0.26100000000000279</v>
      </c>
      <c r="X300" s="56">
        <f t="shared" si="229"/>
        <v>20.998999999999995</v>
      </c>
      <c r="Y300" s="56">
        <f t="shared" si="229"/>
        <v>7.970000000000006</v>
      </c>
      <c r="Z300" s="56">
        <f t="shared" si="229"/>
        <v>30.309000000000012</v>
      </c>
      <c r="AA300" s="56">
        <f t="shared" si="229"/>
        <v>-17.181999999999995</v>
      </c>
      <c r="AB300" s="56">
        <f t="shared" si="229"/>
        <v>26.175999999999995</v>
      </c>
      <c r="AC300" s="56">
        <f t="shared" si="229"/>
        <v>3.6029999999999944</v>
      </c>
      <c r="AD300" s="56">
        <f t="shared" si="229"/>
        <v>23.033999999999978</v>
      </c>
      <c r="AE300" s="59">
        <f t="shared" si="229"/>
        <v>25.434000000000012</v>
      </c>
      <c r="AF300" s="59">
        <f t="shared" si="229"/>
        <v>15.404999999999987</v>
      </c>
      <c r="AG300" s="59">
        <f t="shared" si="229"/>
        <v>7.6300000000000097</v>
      </c>
      <c r="AH300" s="59">
        <f t="shared" si="229"/>
        <v>7.1620000000000346</v>
      </c>
      <c r="AI300" s="59">
        <f t="shared" si="229"/>
        <v>-1.4549999999999983</v>
      </c>
      <c r="AJ300" s="59">
        <f t="shared" si="229"/>
        <v>30.830000000000041</v>
      </c>
      <c r="AK300" s="59">
        <f t="shared" si="229"/>
        <v>-13.927000000000049</v>
      </c>
      <c r="AL300" s="59">
        <f t="shared" si="229"/>
        <v>13.88300000000001</v>
      </c>
      <c r="AM300" s="59">
        <f t="shared" si="229"/>
        <v>29.293999999999983</v>
      </c>
      <c r="AN300" s="59">
        <f t="shared" si="229"/>
        <v>40.54400000000004</v>
      </c>
      <c r="AO300" s="59">
        <f t="shared" si="229"/>
        <v>48.524000000000001</v>
      </c>
      <c r="AP300" s="59">
        <f t="shared" si="229"/>
        <v>16.134000000000015</v>
      </c>
      <c r="AQ300" s="59">
        <f t="shared" si="229"/>
        <v>98.681000000000012</v>
      </c>
      <c r="AR300" s="59">
        <f t="shared" si="229"/>
        <v>21.140999999999991</v>
      </c>
      <c r="AS300" s="59">
        <f t="shared" si="229"/>
        <v>41.423999999999921</v>
      </c>
      <c r="AT300" s="59">
        <f t="shared" si="229"/>
        <v>146.137</v>
      </c>
      <c r="AU300" s="59">
        <f t="shared" si="229"/>
        <v>151.14400000000006</v>
      </c>
      <c r="AV300" s="59">
        <f t="shared" si="229"/>
        <v>218.36799999999994</v>
      </c>
      <c r="AW300" s="59">
        <f t="shared" si="229"/>
        <v>266.24100000000016</v>
      </c>
      <c r="AX300" s="59">
        <f t="shared" si="229"/>
        <v>260.34700000000009</v>
      </c>
      <c r="AY300" s="59">
        <f t="shared" si="229"/>
        <v>135.012</v>
      </c>
      <c r="AZ300" s="59">
        <f t="shared" si="229"/>
        <v>266.44799999999992</v>
      </c>
      <c r="BA300" s="59">
        <f t="shared" si="229"/>
        <v>169.63000000000011</v>
      </c>
      <c r="BB300" s="59">
        <f t="shared" si="229"/>
        <v>304.05899999999997</v>
      </c>
      <c r="BC300" s="59">
        <f t="shared" si="229"/>
        <v>326.49616500000013</v>
      </c>
      <c r="BD300" s="59">
        <f t="shared" si="229"/>
        <v>337.35910200000001</v>
      </c>
      <c r="BE300" s="59">
        <f t="shared" si="229"/>
        <v>296.39175099999989</v>
      </c>
      <c r="BF300" s="59">
        <f t="shared" si="229"/>
        <v>105.028436</v>
      </c>
      <c r="BG300" s="59">
        <f t="shared" si="229"/>
        <v>229.65209699999991</v>
      </c>
      <c r="BH300" s="59">
        <f t="shared" si="229"/>
        <v>223.89899999999989</v>
      </c>
      <c r="BI300" s="58">
        <f t="shared" si="226"/>
        <v>199.51029140689027</v>
      </c>
      <c r="BJ300" s="58">
        <f t="shared" si="227"/>
        <v>252.81591896321285</v>
      </c>
      <c r="BK300" s="58">
        <f t="shared" si="228"/>
        <v>222.57247124253831</v>
      </c>
      <c r="BL300" s="58">
        <f t="shared" si="228"/>
        <v>227.39774243348938</v>
      </c>
      <c r="BM300" s="58">
        <f t="shared" si="228"/>
        <v>217.10610335644728</v>
      </c>
      <c r="BN300" s="58">
        <f t="shared" si="228"/>
        <v>223.54754600415137</v>
      </c>
      <c r="BO300" s="58">
        <f t="shared" si="228"/>
        <v>231.74584313331943</v>
      </c>
      <c r="BP300" s="58">
        <f t="shared" ref="BP300:BU309" si="230">(SUM(BK300:BO300)/SUM(BK$311:BO$311))*BP$311</f>
        <v>235.07070595838434</v>
      </c>
      <c r="BQ300" s="58">
        <f t="shared" si="230"/>
        <v>241.23015030474778</v>
      </c>
      <c r="BR300" s="58">
        <f t="shared" si="230"/>
        <v>249.13468737251617</v>
      </c>
      <c r="BS300" s="58">
        <f t="shared" si="230"/>
        <v>255.89729564691945</v>
      </c>
      <c r="BT300" s="58">
        <f t="shared" si="230"/>
        <v>261.84220584495421</v>
      </c>
      <c r="BU300" s="58">
        <f t="shared" si="230"/>
        <v>267.29318109659857</v>
      </c>
    </row>
    <row r="301" spans="1:73" s="111" customFormat="1" ht="14.25">
      <c r="A301" s="4" t="s">
        <v>103</v>
      </c>
      <c r="B301" s="56"/>
      <c r="C301" s="56">
        <f t="shared" si="229"/>
        <v>9.5961778249651228E-2</v>
      </c>
      <c r="D301" s="56">
        <f t="shared" si="229"/>
        <v>9.5961778249651228E-2</v>
      </c>
      <c r="E301" s="56">
        <f t="shared" si="229"/>
        <v>-0.17006524180025839</v>
      </c>
      <c r="F301" s="56">
        <f t="shared" si="229"/>
        <v>0.19192355649930246</v>
      </c>
      <c r="G301" s="56">
        <f t="shared" si="229"/>
        <v>2.185831469904409E-2</v>
      </c>
      <c r="H301" s="56">
        <f t="shared" si="229"/>
        <v>0.38384711299860491</v>
      </c>
      <c r="I301" s="56">
        <f t="shared" si="229"/>
        <v>0.57577066949790734</v>
      </c>
      <c r="J301" s="56">
        <f t="shared" si="229"/>
        <v>0.50166720594730019</v>
      </c>
      <c r="K301" s="56">
        <f t="shared" si="229"/>
        <v>0.29910341296534604</v>
      </c>
      <c r="L301" s="56">
        <f t="shared" si="229"/>
        <v>1.1835618733966617</v>
      </c>
      <c r="M301" s="56">
        <f t="shared" si="229"/>
        <v>6.5835390035228967</v>
      </c>
      <c r="N301" s="56">
        <f t="shared" si="229"/>
        <v>2.8972556618017125</v>
      </c>
      <c r="O301" s="56">
        <f t="shared" si="229"/>
        <v>1.8871248112732752</v>
      </c>
      <c r="P301" s="56">
        <f t="shared" si="229"/>
        <v>3.8092400603925514</v>
      </c>
      <c r="Q301" s="56">
        <f t="shared" si="229"/>
        <v>1.3714489179667808</v>
      </c>
      <c r="R301" s="56">
        <f t="shared" si="229"/>
        <v>1.4790000000000028</v>
      </c>
      <c r="S301" s="56">
        <f t="shared" si="229"/>
        <v>12.550000000000002</v>
      </c>
      <c r="T301" s="56">
        <f t="shared" si="229"/>
        <v>8.6129999999999995</v>
      </c>
      <c r="U301" s="56">
        <f t="shared" si="229"/>
        <v>5.2319999999999922</v>
      </c>
      <c r="V301" s="56">
        <f t="shared" si="229"/>
        <v>16.189000000000007</v>
      </c>
      <c r="W301" s="56">
        <f t="shared" si="229"/>
        <v>15.271000000000008</v>
      </c>
      <c r="X301" s="56">
        <f t="shared" si="229"/>
        <v>19.091000000000008</v>
      </c>
      <c r="Y301" s="56">
        <f t="shared" si="229"/>
        <v>18.290999999999997</v>
      </c>
      <c r="Z301" s="56">
        <f t="shared" si="229"/>
        <v>9.2059999999999889</v>
      </c>
      <c r="AA301" s="56">
        <f t="shared" si="229"/>
        <v>15.559000000000005</v>
      </c>
      <c r="AB301" s="56">
        <f t="shared" si="229"/>
        <v>39.387</v>
      </c>
      <c r="AC301" s="56">
        <f t="shared" si="229"/>
        <v>21.172999999999988</v>
      </c>
      <c r="AD301" s="56">
        <f t="shared" si="229"/>
        <v>30.672000000000011</v>
      </c>
      <c r="AE301" s="59">
        <f t="shared" si="229"/>
        <v>37.388000000000048</v>
      </c>
      <c r="AF301" s="59">
        <f t="shared" si="229"/>
        <v>6.6790000000000163</v>
      </c>
      <c r="AG301" s="59">
        <f t="shared" si="229"/>
        <v>17.374999999999972</v>
      </c>
      <c r="AH301" s="59">
        <f t="shared" si="229"/>
        <v>14.145999999999958</v>
      </c>
      <c r="AI301" s="59">
        <f t="shared" si="229"/>
        <v>5.1559999999999917</v>
      </c>
      <c r="AJ301" s="59">
        <f t="shared" si="229"/>
        <v>23.12299999999999</v>
      </c>
      <c r="AK301" s="59">
        <f t="shared" si="229"/>
        <v>30.31299999999996</v>
      </c>
      <c r="AL301" s="59">
        <f t="shared" si="229"/>
        <v>26.435999999999979</v>
      </c>
      <c r="AM301" s="59">
        <f t="shared" si="229"/>
        <v>-3.2120000000000459</v>
      </c>
      <c r="AN301" s="59">
        <f t="shared" si="229"/>
        <v>59.59699999999998</v>
      </c>
      <c r="AO301" s="59">
        <f t="shared" si="229"/>
        <v>11.929999999999978</v>
      </c>
      <c r="AP301" s="59">
        <f t="shared" si="229"/>
        <v>58.786000000000058</v>
      </c>
      <c r="AQ301" s="59">
        <f t="shared" si="229"/>
        <v>28.822999999999951</v>
      </c>
      <c r="AR301" s="59">
        <f t="shared" si="229"/>
        <v>125.16999999999999</v>
      </c>
      <c r="AS301" s="59">
        <f t="shared" si="229"/>
        <v>4.9790000000000418</v>
      </c>
      <c r="AT301" s="59">
        <f t="shared" si="229"/>
        <v>58.786000000000001</v>
      </c>
      <c r="AU301" s="59">
        <f t="shared" si="229"/>
        <v>159.84099999999989</v>
      </c>
      <c r="AV301" s="59">
        <f t="shared" si="229"/>
        <v>185.35900000000004</v>
      </c>
      <c r="AW301" s="59">
        <f t="shared" si="229"/>
        <v>135.19300000000001</v>
      </c>
      <c r="AX301" s="59">
        <f t="shared" si="229"/>
        <v>261.08699999999999</v>
      </c>
      <c r="AY301" s="59">
        <f t="shared" si="229"/>
        <v>211.90699999999993</v>
      </c>
      <c r="AZ301" s="59">
        <f t="shared" si="229"/>
        <v>330.63600000000019</v>
      </c>
      <c r="BA301" s="59">
        <f t="shared" si="229"/>
        <v>225.32999999999987</v>
      </c>
      <c r="BB301" s="59">
        <f t="shared" si="229"/>
        <v>291.06200000000013</v>
      </c>
      <c r="BC301" s="59">
        <f t="shared" si="229"/>
        <v>315.74144300000006</v>
      </c>
      <c r="BD301" s="59">
        <f t="shared" si="229"/>
        <v>314.85737999999992</v>
      </c>
      <c r="BE301" s="59">
        <f t="shared" si="229"/>
        <v>220.88624700000003</v>
      </c>
      <c r="BF301" s="59">
        <f t="shared" si="229"/>
        <v>208.38179599999995</v>
      </c>
      <c r="BG301" s="59">
        <f t="shared" si="229"/>
        <v>249.53186299999993</v>
      </c>
      <c r="BH301" s="59">
        <f t="shared" si="229"/>
        <v>273.98199999999997</v>
      </c>
      <c r="BI301" s="58">
        <f t="shared" si="226"/>
        <v>212.11158108377049</v>
      </c>
      <c r="BJ301" s="58">
        <f t="shared" si="227"/>
        <v>279.2875895604962</v>
      </c>
      <c r="BK301" s="58">
        <f t="shared" si="228"/>
        <v>269.33446078212933</v>
      </c>
      <c r="BL301" s="58">
        <f t="shared" si="228"/>
        <v>258.79306859137893</v>
      </c>
      <c r="BM301" s="58">
        <f t="shared" si="228"/>
        <v>249.36048177995406</v>
      </c>
      <c r="BN301" s="58">
        <f t="shared" si="228"/>
        <v>253.40001358152418</v>
      </c>
      <c r="BO301" s="58">
        <f t="shared" si="228"/>
        <v>265.53890914708791</v>
      </c>
      <c r="BP301" s="58">
        <f t="shared" si="230"/>
        <v>271.52549903639169</v>
      </c>
      <c r="BQ301" s="58">
        <f t="shared" si="230"/>
        <v>276.03723510101423</v>
      </c>
      <c r="BR301" s="58">
        <f t="shared" si="230"/>
        <v>285.38939932561135</v>
      </c>
      <c r="BS301" s="58">
        <f t="shared" si="230"/>
        <v>292.99296026920524</v>
      </c>
      <c r="BT301" s="58">
        <f t="shared" si="230"/>
        <v>300.35087253060237</v>
      </c>
      <c r="BU301" s="58">
        <f t="shared" si="230"/>
        <v>306.66573263504546</v>
      </c>
    </row>
    <row r="302" spans="1:73" s="111" customFormat="1" ht="14.25">
      <c r="A302" s="4" t="s">
        <v>104</v>
      </c>
      <c r="B302" s="56"/>
      <c r="C302" s="56">
        <f t="shared" si="229"/>
        <v>8.7961877013864015E-2</v>
      </c>
      <c r="D302" s="56">
        <f t="shared" si="229"/>
        <v>8.7961877013864015E-2</v>
      </c>
      <c r="E302" s="56">
        <f t="shared" si="229"/>
        <v>-0.24935849128490539</v>
      </c>
      <c r="F302" s="56">
        <f t="shared" si="229"/>
        <v>0.17592375402772803</v>
      </c>
      <c r="G302" s="56">
        <f t="shared" si="229"/>
        <v>-7.3434737257177307E-2</v>
      </c>
      <c r="H302" s="56">
        <f t="shared" si="229"/>
        <v>0.35184750805545606</v>
      </c>
      <c r="I302" s="56">
        <f t="shared" si="229"/>
        <v>0.52777126208318403</v>
      </c>
      <c r="J302" s="56">
        <f t="shared" si="229"/>
        <v>0.3663746478121428</v>
      </c>
      <c r="K302" s="56">
        <f t="shared" si="229"/>
        <v>0.40682462191289481</v>
      </c>
      <c r="L302" s="56">
        <f t="shared" si="229"/>
        <v>1.4240840548660199</v>
      </c>
      <c r="M302" s="56">
        <f t="shared" si="229"/>
        <v>5.6278102667337686</v>
      </c>
      <c r="N302" s="56">
        <f t="shared" si="229"/>
        <v>2.7462143935581267</v>
      </c>
      <c r="O302" s="56">
        <f t="shared" si="229"/>
        <v>2.9915928535480631</v>
      </c>
      <c r="P302" s="56">
        <f t="shared" si="229"/>
        <v>3.0848902868646206</v>
      </c>
      <c r="Q302" s="56">
        <f t="shared" si="229"/>
        <v>4.404132360342226</v>
      </c>
      <c r="R302" s="56">
        <f t="shared" si="229"/>
        <v>9.5750000000000028</v>
      </c>
      <c r="S302" s="56">
        <f t="shared" si="229"/>
        <v>9.4920000000000009</v>
      </c>
      <c r="T302" s="56">
        <f t="shared" si="229"/>
        <v>3.7290000000000063</v>
      </c>
      <c r="U302" s="56">
        <f t="shared" si="229"/>
        <v>13.836000000000006</v>
      </c>
      <c r="V302" s="56">
        <f t="shared" si="229"/>
        <v>12.031999999999996</v>
      </c>
      <c r="W302" s="56">
        <f t="shared" si="229"/>
        <v>21.197999999999979</v>
      </c>
      <c r="X302" s="56">
        <f t="shared" si="229"/>
        <v>-10.702999999999989</v>
      </c>
      <c r="Y302" s="56">
        <f t="shared" si="229"/>
        <v>24.663999999999987</v>
      </c>
      <c r="Z302" s="56">
        <f t="shared" si="229"/>
        <v>23.960999999999984</v>
      </c>
      <c r="AA302" s="56">
        <f t="shared" si="229"/>
        <v>10.088000000000008</v>
      </c>
      <c r="AB302" s="56">
        <f t="shared" si="229"/>
        <v>-166.21500000000003</v>
      </c>
      <c r="AC302" s="56">
        <f t="shared" si="229"/>
        <v>15.560999999999993</v>
      </c>
      <c r="AD302" s="56">
        <f t="shared" si="229"/>
        <v>43.067999999999998</v>
      </c>
      <c r="AE302" s="59">
        <f t="shared" si="229"/>
        <v>28.908999999999963</v>
      </c>
      <c r="AF302" s="59">
        <f t="shared" si="229"/>
        <v>14.909999999999968</v>
      </c>
      <c r="AG302" s="59">
        <f t="shared" si="229"/>
        <v>11.719000000000008</v>
      </c>
      <c r="AH302" s="59">
        <f t="shared" si="229"/>
        <v>-7.7769999999999868</v>
      </c>
      <c r="AI302" s="59">
        <f t="shared" si="229"/>
        <v>29.432000000000016</v>
      </c>
      <c r="AJ302" s="59">
        <f t="shared" si="229"/>
        <v>42.932000000000016</v>
      </c>
      <c r="AK302" s="59">
        <f t="shared" si="229"/>
        <v>4.4189999999999543</v>
      </c>
      <c r="AL302" s="59">
        <f t="shared" si="229"/>
        <v>-7.0500000000000682</v>
      </c>
      <c r="AM302" s="59">
        <f t="shared" si="229"/>
        <v>14.650000000000006</v>
      </c>
      <c r="AN302" s="59">
        <f t="shared" si="229"/>
        <v>14.191000000000088</v>
      </c>
      <c r="AO302" s="59">
        <f t="shared" si="229"/>
        <v>5.5249999999999773</v>
      </c>
      <c r="AP302" s="59">
        <f t="shared" si="229"/>
        <v>27.66700000000003</v>
      </c>
      <c r="AQ302" s="59">
        <f t="shared" si="229"/>
        <v>56.170999999999935</v>
      </c>
      <c r="AR302" s="59">
        <f t="shared" si="229"/>
        <v>71.392999999999944</v>
      </c>
      <c r="AS302" s="59">
        <f t="shared" si="229"/>
        <v>43.373000000000019</v>
      </c>
      <c r="AT302" s="59">
        <f t="shared" si="229"/>
        <v>119.80700000000007</v>
      </c>
      <c r="AU302" s="59">
        <f t="shared" si="229"/>
        <v>145.79000000000002</v>
      </c>
      <c r="AV302" s="59">
        <f t="shared" si="229"/>
        <v>169.42500000000007</v>
      </c>
      <c r="AW302" s="59">
        <f t="shared" si="229"/>
        <v>289.93299999999999</v>
      </c>
      <c r="AX302" s="59">
        <f t="shared" si="229"/>
        <v>245.79200000000009</v>
      </c>
      <c r="AY302" s="59">
        <f t="shared" si="229"/>
        <v>214.24600000000009</v>
      </c>
      <c r="AZ302" s="59">
        <f t="shared" si="229"/>
        <v>274.41499999999996</v>
      </c>
      <c r="BA302" s="59">
        <f t="shared" si="229"/>
        <v>258.90899999999988</v>
      </c>
      <c r="BB302" s="59">
        <f t="shared" si="229"/>
        <v>352.82899999999989</v>
      </c>
      <c r="BC302" s="59">
        <f t="shared" si="229"/>
        <v>276.45301799999976</v>
      </c>
      <c r="BD302" s="59">
        <f t="shared" si="229"/>
        <v>275.96046800000011</v>
      </c>
      <c r="BE302" s="59">
        <f t="shared" si="229"/>
        <v>223.55356199999983</v>
      </c>
      <c r="BF302" s="59">
        <f t="shared" si="229"/>
        <v>186.99132300000008</v>
      </c>
      <c r="BG302" s="59">
        <f t="shared" si="229"/>
        <v>259.46822099999997</v>
      </c>
      <c r="BH302" s="59">
        <f t="shared" si="229"/>
        <v>276.87399999999997</v>
      </c>
      <c r="BI302" s="58">
        <f t="shared" si="226"/>
        <v>204.61667227438159</v>
      </c>
      <c r="BJ302" s="58">
        <f t="shared" si="227"/>
        <v>276.07735657374229</v>
      </c>
      <c r="BK302" s="58">
        <f t="shared" si="228"/>
        <v>265.09236305214148</v>
      </c>
      <c r="BL302" s="58">
        <f t="shared" si="228"/>
        <v>258.36608558809593</v>
      </c>
      <c r="BM302" s="58">
        <f t="shared" si="228"/>
        <v>246.95417943071092</v>
      </c>
      <c r="BN302" s="58">
        <f t="shared" si="228"/>
        <v>249.84919731482123</v>
      </c>
      <c r="BO302" s="58">
        <f t="shared" si="228"/>
        <v>262.73462008164319</v>
      </c>
      <c r="BP302" s="58">
        <f t="shared" si="230"/>
        <v>268.71259846036492</v>
      </c>
      <c r="BQ302" s="58">
        <f t="shared" si="230"/>
        <v>273.48621291563978</v>
      </c>
      <c r="BR302" s="58">
        <f t="shared" si="230"/>
        <v>282.32584163825948</v>
      </c>
      <c r="BS302" s="58">
        <f t="shared" si="230"/>
        <v>289.78915656879394</v>
      </c>
      <c r="BT302" s="58">
        <f t="shared" si="230"/>
        <v>297.23496390246464</v>
      </c>
      <c r="BU302" s="58">
        <f t="shared" si="230"/>
        <v>303.49496108108019</v>
      </c>
    </row>
    <row r="303" spans="1:73" s="111" customFormat="1" ht="14.25">
      <c r="A303" s="4" t="s">
        <v>105</v>
      </c>
      <c r="B303" s="56"/>
      <c r="C303" s="56">
        <f t="shared" si="229"/>
        <v>0.10246169800372834</v>
      </c>
      <c r="D303" s="56">
        <f t="shared" si="229"/>
        <v>0.10246169800372834</v>
      </c>
      <c r="E303" s="56">
        <f t="shared" si="229"/>
        <v>-3.8974793476185265E-3</v>
      </c>
      <c r="F303" s="56">
        <f t="shared" si="229"/>
        <v>0.20492339600745668</v>
      </c>
      <c r="G303" s="56">
        <f t="shared" si="229"/>
        <v>0.20102591665983804</v>
      </c>
      <c r="H303" s="56">
        <f t="shared" si="229"/>
        <v>0.40984679201491336</v>
      </c>
      <c r="I303" s="56">
        <f t="shared" si="229"/>
        <v>0.61477018802237005</v>
      </c>
      <c r="J303" s="56">
        <f t="shared" si="229"/>
        <v>0.71333440667847969</v>
      </c>
      <c r="K303" s="56">
        <f t="shared" si="229"/>
        <v>0.16250295313410135</v>
      </c>
      <c r="L303" s="56">
        <f t="shared" si="229"/>
        <v>0.76190913874122046</v>
      </c>
      <c r="M303" s="56">
        <f t="shared" si="229"/>
        <v>8.9945374937091103</v>
      </c>
      <c r="N303" s="56">
        <f t="shared" si="229"/>
        <v>0.30040060392551382</v>
      </c>
      <c r="O303" s="56">
        <f t="shared" si="229"/>
        <v>-0.66208002013084943</v>
      </c>
      <c r="P303" s="56">
        <f t="shared" si="229"/>
        <v>2.7287856064418721</v>
      </c>
      <c r="Q303" s="56">
        <f t="shared" si="229"/>
        <v>0.65334121791645394</v>
      </c>
      <c r="R303" s="56">
        <f t="shared" si="229"/>
        <v>1.3560000000000016</v>
      </c>
      <c r="S303" s="56">
        <f t="shared" si="229"/>
        <v>2.445999999999998</v>
      </c>
      <c r="T303" s="56">
        <f t="shared" si="229"/>
        <v>12.901999999999994</v>
      </c>
      <c r="U303" s="56">
        <f t="shared" si="229"/>
        <v>4.2630000000000123</v>
      </c>
      <c r="V303" s="56">
        <f t="shared" si="229"/>
        <v>1.936000000000007</v>
      </c>
      <c r="W303" s="56">
        <f t="shared" si="229"/>
        <v>6.6859999999999928</v>
      </c>
      <c r="X303" s="56">
        <f t="shared" si="229"/>
        <v>21.63900000000001</v>
      </c>
      <c r="Y303" s="56">
        <f t="shared" si="229"/>
        <v>26.033999999999992</v>
      </c>
      <c r="Z303" s="56">
        <f t="shared" si="229"/>
        <v>13.816999999999979</v>
      </c>
      <c r="AA303" s="56">
        <f t="shared" si="229"/>
        <v>34.556000000000019</v>
      </c>
      <c r="AB303" s="56">
        <f t="shared" si="229"/>
        <v>17.72699999999999</v>
      </c>
      <c r="AC303" s="56">
        <f t="shared" si="229"/>
        <v>10.65900000000002</v>
      </c>
      <c r="AD303" s="56">
        <f t="shared" si="229"/>
        <v>43.230999999999995</v>
      </c>
      <c r="AE303" s="59">
        <f t="shared" si="229"/>
        <v>36.265000000000043</v>
      </c>
      <c r="AF303" s="59">
        <f t="shared" si="229"/>
        <v>2.5690000000000026</v>
      </c>
      <c r="AG303" s="59">
        <f t="shared" si="229"/>
        <v>16.547999999999973</v>
      </c>
      <c r="AH303" s="59">
        <f t="shared" si="229"/>
        <v>26.090000000000003</v>
      </c>
      <c r="AI303" s="59">
        <f t="shared" si="229"/>
        <v>5.0690000000000026</v>
      </c>
      <c r="AJ303" s="59">
        <f t="shared" si="229"/>
        <v>69.674000000000007</v>
      </c>
      <c r="AK303" s="59">
        <f t="shared" si="229"/>
        <v>13.448000000000008</v>
      </c>
      <c r="AL303" s="59">
        <f t="shared" si="229"/>
        <v>7.4489999999999554</v>
      </c>
      <c r="AM303" s="59">
        <f t="shared" si="229"/>
        <v>-36.457999999999942</v>
      </c>
      <c r="AN303" s="59">
        <f t="shared" si="229"/>
        <v>40.183999999999997</v>
      </c>
      <c r="AO303" s="59">
        <f t="shared" si="229"/>
        <v>68.438000000000073</v>
      </c>
      <c r="AP303" s="59">
        <f t="shared" si="229"/>
        <v>39.876999999999981</v>
      </c>
      <c r="AQ303" s="59">
        <f t="shared" si="229"/>
        <v>-10.006000000000029</v>
      </c>
      <c r="AR303" s="59">
        <f t="shared" si="229"/>
        <v>-9.7179799999998977</v>
      </c>
      <c r="AS303" s="59">
        <f t="shared" si="229"/>
        <v>-13.930000000000007</v>
      </c>
      <c r="AT303" s="59">
        <f t="shared" si="229"/>
        <v>141.53900000000016</v>
      </c>
      <c r="AU303" s="59">
        <f t="shared" si="229"/>
        <v>129.58300000000008</v>
      </c>
      <c r="AV303" s="59">
        <f t="shared" si="229"/>
        <v>206.53500000000003</v>
      </c>
      <c r="AW303" s="59">
        <f t="shared" si="229"/>
        <v>204.12500000000011</v>
      </c>
      <c r="AX303" s="59">
        <f t="shared" si="229"/>
        <v>218.95900000000006</v>
      </c>
      <c r="AY303" s="59">
        <f t="shared" si="229"/>
        <v>272.08200000000022</v>
      </c>
      <c r="AZ303" s="59">
        <f t="shared" si="229"/>
        <v>318.54400000000004</v>
      </c>
      <c r="BA303" s="59">
        <f t="shared" si="229"/>
        <v>284.17600000000004</v>
      </c>
      <c r="BB303" s="59">
        <f t="shared" si="229"/>
        <v>235.32999999999993</v>
      </c>
      <c r="BC303" s="59">
        <f t="shared" si="229"/>
        <v>212.96979499999992</v>
      </c>
      <c r="BD303" s="59">
        <f t="shared" si="229"/>
        <v>178.09398800000002</v>
      </c>
      <c r="BE303" s="59">
        <f t="shared" si="229"/>
        <v>213.22763099999997</v>
      </c>
      <c r="BF303" s="59">
        <f t="shared" si="229"/>
        <v>165.78426100000007</v>
      </c>
      <c r="BG303" s="59">
        <f t="shared" si="229"/>
        <v>259.00509300000016</v>
      </c>
      <c r="BH303" s="59">
        <f t="shared" si="229"/>
        <v>221.53399999999988</v>
      </c>
      <c r="BI303" s="58">
        <f t="shared" si="226"/>
        <v>173.62708639392579</v>
      </c>
      <c r="BJ303" s="58">
        <f t="shared" si="227"/>
        <v>247.70832384748428</v>
      </c>
      <c r="BK303" s="58">
        <f t="shared" si="228"/>
        <v>235.0678598469155</v>
      </c>
      <c r="BL303" s="58">
        <f t="shared" si="228"/>
        <v>229.10911193685413</v>
      </c>
      <c r="BM303" s="58">
        <f t="shared" si="228"/>
        <v>213.4145825001103</v>
      </c>
      <c r="BN303" s="58">
        <f t="shared" si="228"/>
        <v>219.45852376039036</v>
      </c>
      <c r="BO303" s="58">
        <f t="shared" si="228"/>
        <v>232.01309348041673</v>
      </c>
      <c r="BP303" s="58">
        <f t="shared" si="230"/>
        <v>236.47259485256723</v>
      </c>
      <c r="BQ303" s="58">
        <f t="shared" si="230"/>
        <v>240.29486884100004</v>
      </c>
      <c r="BR303" s="58">
        <f t="shared" si="230"/>
        <v>247.60637431267477</v>
      </c>
      <c r="BS303" s="58">
        <f t="shared" si="230"/>
        <v>254.83890819016528</v>
      </c>
      <c r="BT303" s="58">
        <f t="shared" si="230"/>
        <v>261.44227100403037</v>
      </c>
      <c r="BU303" s="58">
        <f t="shared" si="230"/>
        <v>266.75135371378332</v>
      </c>
    </row>
    <row r="304" spans="1:73" s="111" customFormat="1" ht="14.25">
      <c r="A304" s="4" t="s">
        <v>106</v>
      </c>
      <c r="B304" s="56"/>
      <c r="C304" s="56">
        <f t="shared" si="229"/>
        <v>9.3422714945906024E-2</v>
      </c>
      <c r="D304" s="56">
        <f t="shared" si="229"/>
        <v>9.3422714945906024E-2</v>
      </c>
      <c r="E304" s="56">
        <f t="shared" si="229"/>
        <v>-0.18103731431147274</v>
      </c>
      <c r="F304" s="56">
        <f t="shared" si="229"/>
        <v>0.18684542989181205</v>
      </c>
      <c r="G304" s="56">
        <f t="shared" si="229"/>
        <v>5.8081155803391127E-3</v>
      </c>
      <c r="H304" s="56">
        <f t="shared" si="229"/>
        <v>0.3736908597836241</v>
      </c>
      <c r="I304" s="56">
        <f t="shared" si="229"/>
        <v>0.56053628967543612</v>
      </c>
      <c r="J304" s="56">
        <f t="shared" si="229"/>
        <v>0.47292169030986919</v>
      </c>
      <c r="K304" s="56">
        <f t="shared" si="229"/>
        <v>-4.2027745885905965E-2</v>
      </c>
      <c r="L304" s="56">
        <f t="shared" si="229"/>
        <v>0.67562792736788246</v>
      </c>
      <c r="M304" s="56">
        <f t="shared" si="229"/>
        <v>6.0123578258681425</v>
      </c>
      <c r="N304" s="56">
        <f t="shared" si="229"/>
        <v>0.41364871665827785</v>
      </c>
      <c r="O304" s="56">
        <f t="shared" si="229"/>
        <v>4.8655450427780584</v>
      </c>
      <c r="P304" s="56">
        <f t="shared" si="229"/>
        <v>2.7557055863110218</v>
      </c>
      <c r="Q304" s="56">
        <f t="shared" si="229"/>
        <v>-2.3634750880724749</v>
      </c>
      <c r="R304" s="56">
        <f t="shared" si="229"/>
        <v>4.6479999999999997</v>
      </c>
      <c r="S304" s="56">
        <f t="shared" si="229"/>
        <v>9.9560000000000031</v>
      </c>
      <c r="T304" s="56">
        <f t="shared" si="229"/>
        <v>11.361999999999988</v>
      </c>
      <c r="U304" s="56">
        <f t="shared" si="229"/>
        <v>4.2130000000000081</v>
      </c>
      <c r="V304" s="56">
        <f t="shared" si="229"/>
        <v>18.981000000000016</v>
      </c>
      <c r="W304" s="56">
        <f t="shared" si="229"/>
        <v>9.0649999999999977</v>
      </c>
      <c r="X304" s="56">
        <f t="shared" si="229"/>
        <v>23.223000000000027</v>
      </c>
      <c r="Y304" s="56">
        <f t="shared" si="229"/>
        <v>14.974999999999994</v>
      </c>
      <c r="Z304" s="56">
        <f t="shared" ref="Z304:BH309" si="231">Z351+Z224+Z272-Z289-Z352</f>
        <v>-5.5599999999999881</v>
      </c>
      <c r="AA304" s="56">
        <f t="shared" si="231"/>
        <v>9.11099999999999</v>
      </c>
      <c r="AB304" s="56">
        <f t="shared" si="231"/>
        <v>-27.683000000000007</v>
      </c>
      <c r="AC304" s="56">
        <f t="shared" si="231"/>
        <v>-17.343000000000004</v>
      </c>
      <c r="AD304" s="56">
        <f t="shared" si="231"/>
        <v>37.526999999999987</v>
      </c>
      <c r="AE304" s="59">
        <f t="shared" si="231"/>
        <v>24.38300000000001</v>
      </c>
      <c r="AF304" s="59">
        <f t="shared" si="231"/>
        <v>19.604000000000013</v>
      </c>
      <c r="AG304" s="59">
        <f t="shared" si="231"/>
        <v>6.7870000000000203</v>
      </c>
      <c r="AH304" s="59">
        <f t="shared" si="231"/>
        <v>4.3900000000000148</v>
      </c>
      <c r="AI304" s="59">
        <f t="shared" si="231"/>
        <v>-14.211999999999989</v>
      </c>
      <c r="AJ304" s="59">
        <f t="shared" si="231"/>
        <v>87.473000000000042</v>
      </c>
      <c r="AK304" s="59">
        <f t="shared" si="231"/>
        <v>-16.942000000000007</v>
      </c>
      <c r="AL304" s="59">
        <f t="shared" si="231"/>
        <v>31.837999999999994</v>
      </c>
      <c r="AM304" s="59">
        <f t="shared" si="231"/>
        <v>33.180000000000035</v>
      </c>
      <c r="AN304" s="59">
        <f t="shared" si="231"/>
        <v>36.820999999999998</v>
      </c>
      <c r="AO304" s="59">
        <f t="shared" si="231"/>
        <v>40.67900000000003</v>
      </c>
      <c r="AP304" s="59">
        <f t="shared" si="231"/>
        <v>50.764999999999986</v>
      </c>
      <c r="AQ304" s="59">
        <f t="shared" si="231"/>
        <v>58.492999999999995</v>
      </c>
      <c r="AR304" s="59">
        <f t="shared" si="231"/>
        <v>50.012999999999977</v>
      </c>
      <c r="AS304" s="59">
        <f t="shared" si="231"/>
        <v>85.241000000000042</v>
      </c>
      <c r="AT304" s="59">
        <f t="shared" si="231"/>
        <v>70.836999999999847</v>
      </c>
      <c r="AU304" s="59">
        <f t="shared" si="231"/>
        <v>137.25600000000003</v>
      </c>
      <c r="AV304" s="59">
        <f t="shared" si="231"/>
        <v>178.00099999999992</v>
      </c>
      <c r="AW304" s="59">
        <f t="shared" si="231"/>
        <v>288.50099999999998</v>
      </c>
      <c r="AX304" s="59">
        <f t="shared" si="231"/>
        <v>213.91800000000006</v>
      </c>
      <c r="AY304" s="59">
        <f t="shared" si="231"/>
        <v>214.92499999999995</v>
      </c>
      <c r="AZ304" s="59">
        <f t="shared" si="231"/>
        <v>329.22399999999982</v>
      </c>
      <c r="BA304" s="59">
        <f t="shared" si="231"/>
        <v>163.94900000000007</v>
      </c>
      <c r="BB304" s="59">
        <f t="shared" si="231"/>
        <v>347.09500000000003</v>
      </c>
      <c r="BC304" s="59">
        <f t="shared" si="231"/>
        <v>246.76737499999996</v>
      </c>
      <c r="BD304" s="59">
        <f t="shared" si="231"/>
        <v>208.09067999999999</v>
      </c>
      <c r="BE304" s="59">
        <f t="shared" si="231"/>
        <v>246.45575700000006</v>
      </c>
      <c r="BF304" s="59">
        <f t="shared" si="231"/>
        <v>146.488879</v>
      </c>
      <c r="BG304" s="59">
        <f t="shared" si="231"/>
        <v>253.45501599999997</v>
      </c>
      <c r="BH304" s="59">
        <f t="shared" si="231"/>
        <v>170.11900000000003</v>
      </c>
      <c r="BI304" s="58">
        <f t="shared" si="226"/>
        <v>171.44585830050232</v>
      </c>
      <c r="BJ304" s="58">
        <f t="shared" si="227"/>
        <v>236.8682027263329</v>
      </c>
      <c r="BK304" s="58">
        <f t="shared" si="228"/>
        <v>215.41056457320065</v>
      </c>
      <c r="BL304" s="58">
        <f t="shared" si="228"/>
        <v>211.04470156066932</v>
      </c>
      <c r="BM304" s="58">
        <f t="shared" si="228"/>
        <v>193.72072054281674</v>
      </c>
      <c r="BN304" s="58">
        <f t="shared" si="228"/>
        <v>205.39209142872389</v>
      </c>
      <c r="BO304" s="58">
        <f t="shared" si="228"/>
        <v>215.32851624784135</v>
      </c>
      <c r="BP304" s="58">
        <f t="shared" si="230"/>
        <v>218.00686165993824</v>
      </c>
      <c r="BQ304" s="58">
        <f t="shared" si="230"/>
        <v>221.8072587789637</v>
      </c>
      <c r="BR304" s="58">
        <f t="shared" si="230"/>
        <v>228.65110287156716</v>
      </c>
      <c r="BS304" s="58">
        <f t="shared" si="230"/>
        <v>236.05732092285541</v>
      </c>
      <c r="BT304" s="58">
        <f t="shared" si="230"/>
        <v>241.71908726500217</v>
      </c>
      <c r="BU304" s="58">
        <f t="shared" si="230"/>
        <v>246.45167483804735</v>
      </c>
    </row>
    <row r="305" spans="1:74" s="111" customFormat="1" ht="14.25">
      <c r="A305" s="4" t="s">
        <v>107</v>
      </c>
      <c r="B305" s="56"/>
      <c r="C305" s="56">
        <f t="shared" ref="C305:AH309" si="232">C352+C225+C273-C290-C353</f>
        <v>0.11061591832199599</v>
      </c>
      <c r="D305" s="56">
        <f t="shared" si="232"/>
        <v>0.11061591832199599</v>
      </c>
      <c r="E305" s="56">
        <f t="shared" si="232"/>
        <v>9.8697838982868102E-2</v>
      </c>
      <c r="F305" s="56">
        <f t="shared" si="232"/>
        <v>0.22123183664399199</v>
      </c>
      <c r="G305" s="56">
        <f t="shared" si="232"/>
        <v>0.31992967562686037</v>
      </c>
      <c r="H305" s="56">
        <f t="shared" si="232"/>
        <v>0.44246367328798397</v>
      </c>
      <c r="I305" s="56">
        <f t="shared" si="232"/>
        <v>0.6636955099319759</v>
      </c>
      <c r="J305" s="56">
        <f t="shared" si="232"/>
        <v>0.87300926723684036</v>
      </c>
      <c r="K305" s="56">
        <f t="shared" si="232"/>
        <v>0.81654624586202029</v>
      </c>
      <c r="L305" s="56">
        <f t="shared" si="232"/>
        <v>1.6298522019287063</v>
      </c>
      <c r="M305" s="56">
        <f t="shared" si="232"/>
        <v>8.4345807750377428</v>
      </c>
      <c r="N305" s="56">
        <f t="shared" si="232"/>
        <v>1.494245596376448</v>
      </c>
      <c r="O305" s="56">
        <f t="shared" si="232"/>
        <v>8.4458480120787272E-2</v>
      </c>
      <c r="P305" s="56">
        <f t="shared" si="232"/>
        <v>5.5348132863613451</v>
      </c>
      <c r="Q305" s="56">
        <f t="shared" si="232"/>
        <v>4.5287619526924985</v>
      </c>
      <c r="R305" s="56">
        <f t="shared" si="232"/>
        <v>-4.9480000000000004</v>
      </c>
      <c r="S305" s="56">
        <f t="shared" si="232"/>
        <v>24.101000000000006</v>
      </c>
      <c r="T305" s="56">
        <f t="shared" si="232"/>
        <v>-5.2029999999999959</v>
      </c>
      <c r="U305" s="56">
        <f t="shared" si="232"/>
        <v>9.1890000000000001</v>
      </c>
      <c r="V305" s="56">
        <f t="shared" si="232"/>
        <v>-5.3420000000000059</v>
      </c>
      <c r="W305" s="56">
        <f t="shared" si="232"/>
        <v>16.168999999999997</v>
      </c>
      <c r="X305" s="56">
        <f t="shared" si="232"/>
        <v>2.1799999999999784</v>
      </c>
      <c r="Y305" s="56">
        <f t="shared" si="232"/>
        <v>6.394999999999996</v>
      </c>
      <c r="Z305" s="56">
        <f t="shared" si="232"/>
        <v>33.329000000000008</v>
      </c>
      <c r="AA305" s="56">
        <f t="shared" si="232"/>
        <v>22.751999999999967</v>
      </c>
      <c r="AB305" s="56">
        <f t="shared" si="232"/>
        <v>-82.601000000000028</v>
      </c>
      <c r="AC305" s="56">
        <f t="shared" si="232"/>
        <v>57.928999999999974</v>
      </c>
      <c r="AD305" s="56">
        <f t="shared" si="232"/>
        <v>51.066000000000003</v>
      </c>
      <c r="AE305" s="59">
        <f t="shared" si="232"/>
        <v>27.461000000000041</v>
      </c>
      <c r="AF305" s="59">
        <f t="shared" si="232"/>
        <v>11.803000000000026</v>
      </c>
      <c r="AG305" s="59">
        <f t="shared" si="232"/>
        <v>20.169999999999987</v>
      </c>
      <c r="AH305" s="59">
        <f t="shared" si="232"/>
        <v>23.159999999999997</v>
      </c>
      <c r="AI305" s="59">
        <f t="shared" si="231"/>
        <v>2.2619999999999436</v>
      </c>
      <c r="AJ305" s="59">
        <f t="shared" si="231"/>
        <v>14.357999999999976</v>
      </c>
      <c r="AK305" s="59">
        <f t="shared" si="231"/>
        <v>5.4369999999999834</v>
      </c>
      <c r="AL305" s="59">
        <f t="shared" si="231"/>
        <v>14.796000000000049</v>
      </c>
      <c r="AM305" s="59">
        <f t="shared" si="231"/>
        <v>38.615999999999929</v>
      </c>
      <c r="AN305" s="59">
        <f t="shared" si="231"/>
        <v>65.640999999999991</v>
      </c>
      <c r="AO305" s="59">
        <f t="shared" si="231"/>
        <v>37.498000000000019</v>
      </c>
      <c r="AP305" s="59">
        <f t="shared" si="231"/>
        <v>18.363999999999919</v>
      </c>
      <c r="AQ305" s="59">
        <f t="shared" si="231"/>
        <v>35.873999999999967</v>
      </c>
      <c r="AR305" s="59">
        <f t="shared" si="231"/>
        <v>21.431599999999946</v>
      </c>
      <c r="AS305" s="59">
        <f t="shared" si="231"/>
        <v>36.375000000000085</v>
      </c>
      <c r="AT305" s="59">
        <f t="shared" si="231"/>
        <v>119.96700000000001</v>
      </c>
      <c r="AU305" s="59">
        <f t="shared" si="231"/>
        <v>159.25100000000009</v>
      </c>
      <c r="AV305" s="59">
        <f t="shared" si="231"/>
        <v>207.01900000000006</v>
      </c>
      <c r="AW305" s="59">
        <f t="shared" si="231"/>
        <v>243.85400000000001</v>
      </c>
      <c r="AX305" s="59">
        <f t="shared" si="231"/>
        <v>155.017</v>
      </c>
      <c r="AY305" s="59">
        <f t="shared" si="231"/>
        <v>297.32699999999988</v>
      </c>
      <c r="AZ305" s="59">
        <f t="shared" si="231"/>
        <v>359.85899999999992</v>
      </c>
      <c r="BA305" s="59">
        <f t="shared" si="231"/>
        <v>216.46199999999993</v>
      </c>
      <c r="BB305" s="59">
        <f t="shared" si="231"/>
        <v>304.64300000000014</v>
      </c>
      <c r="BC305" s="59">
        <f t="shared" si="231"/>
        <v>285.768866</v>
      </c>
      <c r="BD305" s="59">
        <f t="shared" si="231"/>
        <v>208.16099400000002</v>
      </c>
      <c r="BE305" s="59">
        <f t="shared" si="231"/>
        <v>240.27283200000005</v>
      </c>
      <c r="BF305" s="59">
        <f t="shared" si="231"/>
        <v>57.293907000000047</v>
      </c>
      <c r="BG305" s="59">
        <f t="shared" si="231"/>
        <v>163.88834899999995</v>
      </c>
      <c r="BH305" s="59">
        <f t="shared" si="231"/>
        <v>247.94000000000005</v>
      </c>
      <c r="BI305" s="58">
        <f t="shared" si="226"/>
        <v>153.53284915946492</v>
      </c>
      <c r="BJ305" s="58">
        <f t="shared" si="227"/>
        <v>206.8902146040989</v>
      </c>
      <c r="BK305" s="58">
        <f t="shared" si="228"/>
        <v>182.64210391360069</v>
      </c>
      <c r="BL305" s="58">
        <f t="shared" si="228"/>
        <v>192.42383141208435</v>
      </c>
      <c r="BM305" s="58">
        <f t="shared" si="228"/>
        <v>189.58382653777534</v>
      </c>
      <c r="BN305" s="58">
        <f t="shared" si="228"/>
        <v>184.73940783740562</v>
      </c>
      <c r="BO305" s="58">
        <f t="shared" si="228"/>
        <v>193.8132428794548</v>
      </c>
      <c r="BP305" s="58">
        <f t="shared" si="230"/>
        <v>197.54565342245189</v>
      </c>
      <c r="BQ305" s="58">
        <f t="shared" si="230"/>
        <v>203.65721588914391</v>
      </c>
      <c r="BR305" s="58">
        <f t="shared" si="230"/>
        <v>210.23416187343179</v>
      </c>
      <c r="BS305" s="58">
        <f t="shared" si="230"/>
        <v>214.55871477803996</v>
      </c>
      <c r="BT305" s="58">
        <f t="shared" si="230"/>
        <v>220.12507436635605</v>
      </c>
      <c r="BU305" s="58">
        <f t="shared" si="230"/>
        <v>224.92485106838032</v>
      </c>
    </row>
    <row r="306" spans="1:74" s="111" customFormat="1" ht="14.25">
      <c r="A306" s="4" t="s">
        <v>108</v>
      </c>
      <c r="B306" s="56"/>
      <c r="C306" s="56">
        <f t="shared" si="232"/>
        <v>9.7358880343041021E-2</v>
      </c>
      <c r="D306" s="56">
        <f t="shared" si="232"/>
        <v>9.7358880343041021E-2</v>
      </c>
      <c r="E306" s="56">
        <f t="shared" si="232"/>
        <v>-0.18665282260851201</v>
      </c>
      <c r="F306" s="56">
        <f t="shared" si="232"/>
        <v>0.19471776068608204</v>
      </c>
      <c r="G306" s="56">
        <f t="shared" si="232"/>
        <v>8.0649380775699164E-3</v>
      </c>
      <c r="H306" s="56">
        <f t="shared" si="232"/>
        <v>0.38943552137216408</v>
      </c>
      <c r="I306" s="56">
        <f t="shared" si="232"/>
        <v>0.58415328205824613</v>
      </c>
      <c r="J306" s="56">
        <f t="shared" si="232"/>
        <v>0.49485933979277519</v>
      </c>
      <c r="K306" s="56">
        <f t="shared" si="232"/>
        <v>-0.36066079480984214</v>
      </c>
      <c r="L306" s="56">
        <f t="shared" si="232"/>
        <v>0.22578244341321163</v>
      </c>
      <c r="M306" s="56">
        <f t="shared" si="232"/>
        <v>6.6559698037242079</v>
      </c>
      <c r="N306" s="56">
        <f t="shared" si="232"/>
        <v>3.3688988424760948</v>
      </c>
      <c r="O306" s="56">
        <f t="shared" si="232"/>
        <v>7.8903371917460774E-2</v>
      </c>
      <c r="P306" s="56">
        <f t="shared" si="232"/>
        <v>4.9389109209864106</v>
      </c>
      <c r="Q306" s="56">
        <f t="shared" si="232"/>
        <v>-7.3991540010065435</v>
      </c>
      <c r="R306" s="56">
        <f t="shared" si="232"/>
        <v>-1.0289999999999999</v>
      </c>
      <c r="S306" s="56">
        <f t="shared" si="232"/>
        <v>-9.3819999999999979</v>
      </c>
      <c r="T306" s="56">
        <f t="shared" si="232"/>
        <v>27.094000000000008</v>
      </c>
      <c r="U306" s="56">
        <f t="shared" si="232"/>
        <v>15.068999999999988</v>
      </c>
      <c r="V306" s="56">
        <f t="shared" si="232"/>
        <v>4.7610000000000028</v>
      </c>
      <c r="W306" s="56">
        <f t="shared" si="232"/>
        <v>-15.795999999999978</v>
      </c>
      <c r="X306" s="56">
        <f t="shared" si="232"/>
        <v>-1.998999999999981</v>
      </c>
      <c r="Y306" s="56">
        <f t="shared" si="232"/>
        <v>14.365000000000023</v>
      </c>
      <c r="Z306" s="56">
        <f t="shared" si="232"/>
        <v>21.605000000000004</v>
      </c>
      <c r="AA306" s="56">
        <f t="shared" si="232"/>
        <v>-2.5449999999999875</v>
      </c>
      <c r="AB306" s="56">
        <f t="shared" si="232"/>
        <v>13.991000000000014</v>
      </c>
      <c r="AC306" s="56">
        <f t="shared" si="232"/>
        <v>18.679999999999978</v>
      </c>
      <c r="AD306" s="56">
        <f t="shared" si="232"/>
        <v>71.888999999999982</v>
      </c>
      <c r="AE306" s="59">
        <f t="shared" si="232"/>
        <v>35.895000000000039</v>
      </c>
      <c r="AF306" s="59">
        <f t="shared" si="232"/>
        <v>2.958999999999989</v>
      </c>
      <c r="AG306" s="59">
        <f t="shared" si="232"/>
        <v>0.90699999999998226</v>
      </c>
      <c r="AH306" s="59">
        <f t="shared" si="232"/>
        <v>-0.71600000000003661</v>
      </c>
      <c r="AI306" s="59">
        <f t="shared" si="231"/>
        <v>7.9550000000000409</v>
      </c>
      <c r="AJ306" s="59">
        <f t="shared" si="231"/>
        <v>17.089000000000084</v>
      </c>
      <c r="AK306" s="59">
        <f t="shared" si="231"/>
        <v>31.705000000000041</v>
      </c>
      <c r="AL306" s="59">
        <f t="shared" si="231"/>
        <v>22.007999999999981</v>
      </c>
      <c r="AM306" s="59">
        <f t="shared" si="231"/>
        <v>6.3360000000000127</v>
      </c>
      <c r="AN306" s="59">
        <f t="shared" si="231"/>
        <v>24.757999999999981</v>
      </c>
      <c r="AO306" s="59">
        <f t="shared" si="231"/>
        <v>-4.1729999999999734</v>
      </c>
      <c r="AP306" s="59">
        <f t="shared" si="231"/>
        <v>-34.909999999999968</v>
      </c>
      <c r="AQ306" s="59">
        <f t="shared" si="231"/>
        <v>90.274000000000001</v>
      </c>
      <c r="AR306" s="59">
        <f t="shared" si="231"/>
        <v>67.616000000000014</v>
      </c>
      <c r="AS306" s="59">
        <f t="shared" si="231"/>
        <v>41.574999999999989</v>
      </c>
      <c r="AT306" s="59">
        <f t="shared" si="231"/>
        <v>106.88099999999997</v>
      </c>
      <c r="AU306" s="59">
        <f t="shared" si="231"/>
        <v>138.26499999999999</v>
      </c>
      <c r="AV306" s="59">
        <f t="shared" si="231"/>
        <v>220.96499999999997</v>
      </c>
      <c r="AW306" s="59">
        <f t="shared" si="231"/>
        <v>231.25999999999988</v>
      </c>
      <c r="AX306" s="59">
        <f t="shared" si="231"/>
        <v>161.83200000000005</v>
      </c>
      <c r="AY306" s="59">
        <f t="shared" si="231"/>
        <v>195.5100000000001</v>
      </c>
      <c r="AZ306" s="59">
        <f t="shared" si="231"/>
        <v>263.03200000000004</v>
      </c>
      <c r="BA306" s="59">
        <f t="shared" si="231"/>
        <v>169.78500000000003</v>
      </c>
      <c r="BB306" s="59">
        <f t="shared" si="231"/>
        <v>334.80000000000013</v>
      </c>
      <c r="BC306" s="59">
        <f t="shared" si="231"/>
        <v>376.22626599999995</v>
      </c>
      <c r="BD306" s="59">
        <f t="shared" si="231"/>
        <v>290.45688800000005</v>
      </c>
      <c r="BE306" s="59">
        <f t="shared" si="231"/>
        <v>187.934819</v>
      </c>
      <c r="BF306" s="59">
        <f t="shared" si="231"/>
        <v>115.25865599999986</v>
      </c>
      <c r="BG306" s="59">
        <f t="shared" si="231"/>
        <v>147.45700000000008</v>
      </c>
      <c r="BH306" s="59">
        <f t="shared" si="231"/>
        <v>253.72600000000023</v>
      </c>
      <c r="BI306" s="58">
        <f t="shared" si="226"/>
        <v>166.4635041460956</v>
      </c>
      <c r="BJ306" s="58">
        <f t="shared" si="227"/>
        <v>208.78715639272497</v>
      </c>
      <c r="BK306" s="58">
        <f t="shared" si="228"/>
        <v>196.32509141593485</v>
      </c>
      <c r="BL306" s="58">
        <f t="shared" si="228"/>
        <v>196.02391556927384</v>
      </c>
      <c r="BM306" s="58">
        <f t="shared" si="228"/>
        <v>196.88948400928845</v>
      </c>
      <c r="BN306" s="58">
        <f t="shared" si="228"/>
        <v>192.61094887215523</v>
      </c>
      <c r="BO306" s="58">
        <f t="shared" si="228"/>
        <v>200.77656633332307</v>
      </c>
      <c r="BP306" s="58">
        <f t="shared" si="230"/>
        <v>205.80258688443314</v>
      </c>
      <c r="BQ306" s="58">
        <f t="shared" si="230"/>
        <v>210.8838114138226</v>
      </c>
      <c r="BR306" s="58">
        <f t="shared" si="230"/>
        <v>218.39421525938133</v>
      </c>
      <c r="BS306" s="58">
        <f t="shared" si="230"/>
        <v>222.89808058773153</v>
      </c>
      <c r="BT306" s="58">
        <f t="shared" si="230"/>
        <v>228.53160052370481</v>
      </c>
      <c r="BU306" s="58">
        <f t="shared" si="230"/>
        <v>233.60893069286882</v>
      </c>
    </row>
    <row r="307" spans="1:74" s="111" customFormat="1" ht="14.25">
      <c r="A307" s="4" t="s">
        <v>109</v>
      </c>
      <c r="B307" s="56"/>
      <c r="C307" s="56">
        <f t="shared" si="232"/>
        <v>8.7838421747879647E-2</v>
      </c>
      <c r="D307" s="56">
        <f t="shared" si="232"/>
        <v>8.7838421747879647E-2</v>
      </c>
      <c r="E307" s="56">
        <f t="shared" si="232"/>
        <v>8.5730169446012638E-2</v>
      </c>
      <c r="F307" s="56">
        <f t="shared" si="232"/>
        <v>0.17567684349575929</v>
      </c>
      <c r="G307" s="56">
        <f t="shared" si="232"/>
        <v>0.26140701294177182</v>
      </c>
      <c r="H307" s="56">
        <f t="shared" si="232"/>
        <v>0.35135368699151859</v>
      </c>
      <c r="I307" s="56">
        <f t="shared" si="232"/>
        <v>0.52703053048727788</v>
      </c>
      <c r="J307" s="56">
        <f t="shared" si="232"/>
        <v>0.70059912168117</v>
      </c>
      <c r="K307" s="56">
        <f t="shared" si="232"/>
        <v>5.6716700758249416E-2</v>
      </c>
      <c r="L307" s="56">
        <f t="shared" si="232"/>
        <v>0.39567190570775246</v>
      </c>
      <c r="M307" s="56">
        <f t="shared" si="232"/>
        <v>5.7495702063412164</v>
      </c>
      <c r="N307" s="56">
        <f t="shared" si="232"/>
        <v>-2.2007398087569197</v>
      </c>
      <c r="O307" s="56">
        <f t="shared" si="232"/>
        <v>4.8470246602919005</v>
      </c>
      <c r="P307" s="56">
        <f t="shared" si="232"/>
        <v>-4.075367891293407</v>
      </c>
      <c r="Q307" s="56">
        <f t="shared" si="232"/>
        <v>3.0890080523402101</v>
      </c>
      <c r="R307" s="56">
        <f t="shared" si="232"/>
        <v>6.4029999999999987</v>
      </c>
      <c r="S307" s="56">
        <f t="shared" si="232"/>
        <v>17.939999999999998</v>
      </c>
      <c r="T307" s="56">
        <f t="shared" si="232"/>
        <v>18.779999999999994</v>
      </c>
      <c r="U307" s="56">
        <f t="shared" si="232"/>
        <v>1.2230000000000061</v>
      </c>
      <c r="V307" s="56">
        <f t="shared" si="232"/>
        <v>24.790000000000013</v>
      </c>
      <c r="W307" s="56">
        <f t="shared" si="232"/>
        <v>11.046999999999983</v>
      </c>
      <c r="X307" s="56">
        <f t="shared" si="232"/>
        <v>-15.295999999999992</v>
      </c>
      <c r="Y307" s="56">
        <f t="shared" si="232"/>
        <v>-21.747</v>
      </c>
      <c r="Z307" s="56">
        <f t="shared" si="232"/>
        <v>-7.8629999999999995</v>
      </c>
      <c r="AA307" s="56">
        <f t="shared" si="232"/>
        <v>13.850999999999999</v>
      </c>
      <c r="AB307" s="56">
        <f t="shared" si="232"/>
        <v>-27.773000000000025</v>
      </c>
      <c r="AC307" s="56">
        <f t="shared" si="232"/>
        <v>9.3810000000000286</v>
      </c>
      <c r="AD307" s="56">
        <f t="shared" si="232"/>
        <v>65.171999999999997</v>
      </c>
      <c r="AE307" s="59">
        <f t="shared" si="232"/>
        <v>-24.109000000000023</v>
      </c>
      <c r="AF307" s="59">
        <f t="shared" si="232"/>
        <v>14.427999999999997</v>
      </c>
      <c r="AG307" s="59">
        <f t="shared" si="232"/>
        <v>19.523999999999972</v>
      </c>
      <c r="AH307" s="59">
        <f t="shared" si="232"/>
        <v>7.3690000000000282</v>
      </c>
      <c r="AI307" s="59">
        <f t="shared" si="231"/>
        <v>18.354999999999976</v>
      </c>
      <c r="AJ307" s="59">
        <f t="shared" si="231"/>
        <v>23.70700000000005</v>
      </c>
      <c r="AK307" s="59">
        <f t="shared" si="231"/>
        <v>17.274999999999977</v>
      </c>
      <c r="AL307" s="59">
        <f t="shared" si="231"/>
        <v>28.287999999999982</v>
      </c>
      <c r="AM307" s="59">
        <f t="shared" si="231"/>
        <v>-51.726000000000042</v>
      </c>
      <c r="AN307" s="59">
        <f t="shared" si="231"/>
        <v>41.055000000000064</v>
      </c>
      <c r="AO307" s="59">
        <f t="shared" si="231"/>
        <v>69.424999999999983</v>
      </c>
      <c r="AP307" s="59">
        <f t="shared" si="231"/>
        <v>42.382999999999981</v>
      </c>
      <c r="AQ307" s="59">
        <f t="shared" si="231"/>
        <v>-32.785000000000082</v>
      </c>
      <c r="AR307" s="59">
        <f t="shared" si="231"/>
        <v>-46.84</v>
      </c>
      <c r="AS307" s="59">
        <f t="shared" si="231"/>
        <v>94.410000000000025</v>
      </c>
      <c r="AT307" s="59">
        <f t="shared" si="231"/>
        <v>53.441000000000088</v>
      </c>
      <c r="AU307" s="59">
        <f t="shared" si="231"/>
        <v>175.75699999999995</v>
      </c>
      <c r="AV307" s="59">
        <f t="shared" si="231"/>
        <v>198.36999999999992</v>
      </c>
      <c r="AW307" s="59">
        <f t="shared" si="231"/>
        <v>272.36700000000002</v>
      </c>
      <c r="AX307" s="59">
        <f t="shared" si="231"/>
        <v>184.54099999999997</v>
      </c>
      <c r="AY307" s="59">
        <f t="shared" si="231"/>
        <v>179.28300000000002</v>
      </c>
      <c r="AZ307" s="59">
        <f t="shared" si="231"/>
        <v>162.24600000000004</v>
      </c>
      <c r="BA307" s="59">
        <f t="shared" si="231"/>
        <v>157.41299999999995</v>
      </c>
      <c r="BB307" s="59">
        <f t="shared" si="231"/>
        <v>138.59079399999987</v>
      </c>
      <c r="BC307" s="59">
        <f t="shared" si="231"/>
        <v>215.39119499999998</v>
      </c>
      <c r="BD307" s="59">
        <f t="shared" si="231"/>
        <v>132.72126600000001</v>
      </c>
      <c r="BE307" s="59">
        <f t="shared" si="231"/>
        <v>205.88523799999996</v>
      </c>
      <c r="BF307" s="59">
        <f t="shared" si="231"/>
        <v>-11.696679000000017</v>
      </c>
      <c r="BG307" s="59">
        <f t="shared" si="231"/>
        <v>197.03700000000003</v>
      </c>
      <c r="BH307" s="59">
        <f t="shared" si="231"/>
        <v>145.505</v>
      </c>
      <c r="BI307" s="58">
        <f t="shared" si="226"/>
        <v>112.01805326516651</v>
      </c>
      <c r="BJ307" s="58">
        <f t="shared" si="227"/>
        <v>155.53991687587285</v>
      </c>
      <c r="BK307" s="58">
        <f t="shared" si="228"/>
        <v>131.75125394471888</v>
      </c>
      <c r="BL307" s="58">
        <f t="shared" si="228"/>
        <v>149.49295642205934</v>
      </c>
      <c r="BM307" s="58">
        <f t="shared" si="228"/>
        <v>133.84739741783864</v>
      </c>
      <c r="BN307" s="58">
        <f t="shared" si="228"/>
        <v>136.32686561834782</v>
      </c>
      <c r="BO307" s="58">
        <f t="shared" si="228"/>
        <v>143.28228805263535</v>
      </c>
      <c r="BP307" s="58">
        <f t="shared" si="230"/>
        <v>145.49911453193488</v>
      </c>
      <c r="BQ307" s="58">
        <f t="shared" si="230"/>
        <v>150.58947514649944</v>
      </c>
      <c r="BR307" s="58">
        <f t="shared" si="230"/>
        <v>153.88896417852979</v>
      </c>
      <c r="BS307" s="58">
        <f t="shared" si="230"/>
        <v>158.12203818691088</v>
      </c>
      <c r="BT307" s="58">
        <f t="shared" si="230"/>
        <v>162.18526610704086</v>
      </c>
      <c r="BU307" s="58">
        <f t="shared" si="230"/>
        <v>165.61777916365801</v>
      </c>
    </row>
    <row r="308" spans="1:74" s="111" customFormat="1" ht="14.25">
      <c r="A308" s="4" t="s">
        <v>110</v>
      </c>
      <c r="B308" s="56"/>
      <c r="C308" s="56">
        <f t="shared" si="232"/>
        <v>8.5122405896223496E-2</v>
      </c>
      <c r="D308" s="56">
        <f t="shared" si="232"/>
        <v>8.5122405896223496E-2</v>
      </c>
      <c r="E308" s="56">
        <f t="shared" si="232"/>
        <v>0.38057890705791353</v>
      </c>
      <c r="F308" s="56">
        <f t="shared" si="232"/>
        <v>0.17024481179244699</v>
      </c>
      <c r="G308" s="56">
        <f t="shared" si="232"/>
        <v>0.55082371885036041</v>
      </c>
      <c r="H308" s="56">
        <f t="shared" si="232"/>
        <v>0.34048962358489399</v>
      </c>
      <c r="I308" s="56">
        <f t="shared" si="232"/>
        <v>0.51073443537734098</v>
      </c>
      <c r="J308" s="56">
        <f t="shared" si="232"/>
        <v>0.97643574833147806</v>
      </c>
      <c r="K308" s="56">
        <f t="shared" si="232"/>
        <v>1.3107572211287977</v>
      </c>
      <c r="L308" s="56">
        <f t="shared" si="232"/>
        <v>1.8208795005874423</v>
      </c>
      <c r="M308" s="56">
        <f t="shared" si="232"/>
        <v>5.7706708605938601</v>
      </c>
      <c r="N308" s="56">
        <f t="shared" si="232"/>
        <v>0.37659738298943246</v>
      </c>
      <c r="O308" s="56">
        <f t="shared" si="232"/>
        <v>0.91134675390035014</v>
      </c>
      <c r="P308" s="56">
        <f t="shared" si="232"/>
        <v>6.6119290387518888</v>
      </c>
      <c r="Q308" s="56">
        <f t="shared" si="232"/>
        <v>5.5765213890286836</v>
      </c>
      <c r="R308" s="56">
        <f t="shared" si="232"/>
        <v>8.6980000000000004</v>
      </c>
      <c r="S308" s="56">
        <f t="shared" si="232"/>
        <v>6.5440000000000005</v>
      </c>
      <c r="T308" s="56">
        <f t="shared" si="232"/>
        <v>11.219000000000001</v>
      </c>
      <c r="U308" s="56">
        <f t="shared" si="232"/>
        <v>11.829999999999991</v>
      </c>
      <c r="V308" s="56">
        <f t="shared" si="232"/>
        <v>10.583999999999996</v>
      </c>
      <c r="W308" s="56">
        <f t="shared" si="232"/>
        <v>6.9099999999999966</v>
      </c>
      <c r="X308" s="56">
        <f t="shared" si="232"/>
        <v>2.5780000000000101</v>
      </c>
      <c r="Y308" s="56">
        <f t="shared" si="232"/>
        <v>5.6720000000000113</v>
      </c>
      <c r="Z308" s="56">
        <f t="shared" si="232"/>
        <v>12.317999999999984</v>
      </c>
      <c r="AA308" s="56">
        <f t="shared" si="232"/>
        <v>23.164999999999992</v>
      </c>
      <c r="AB308" s="56">
        <f t="shared" si="232"/>
        <v>-2.0709999999999695</v>
      </c>
      <c r="AC308" s="56">
        <f t="shared" si="232"/>
        <v>12.027000000000001</v>
      </c>
      <c r="AD308" s="56">
        <f t="shared" si="232"/>
        <v>41.11399999999999</v>
      </c>
      <c r="AE308" s="59">
        <f t="shared" si="232"/>
        <v>20.936000000000007</v>
      </c>
      <c r="AF308" s="59">
        <f t="shared" si="232"/>
        <v>8.2449999999999903</v>
      </c>
      <c r="AG308" s="59">
        <f t="shared" si="232"/>
        <v>-1.5279999999999916</v>
      </c>
      <c r="AH308" s="59">
        <f t="shared" si="232"/>
        <v>10.184999999999988</v>
      </c>
      <c r="AI308" s="59">
        <f t="shared" si="231"/>
        <v>-0.88300000000000267</v>
      </c>
      <c r="AJ308" s="59">
        <f t="shared" si="231"/>
        <v>11.245999999999981</v>
      </c>
      <c r="AK308" s="59">
        <f t="shared" si="231"/>
        <v>-11.032000000000011</v>
      </c>
      <c r="AL308" s="59">
        <f t="shared" si="231"/>
        <v>16.795999999999964</v>
      </c>
      <c r="AM308" s="59">
        <f t="shared" si="231"/>
        <v>-1.4769999999999754</v>
      </c>
      <c r="AN308" s="59">
        <f t="shared" si="231"/>
        <v>9.7330000000000041</v>
      </c>
      <c r="AO308" s="59">
        <f t="shared" si="231"/>
        <v>30.76400000000001</v>
      </c>
      <c r="AP308" s="59">
        <f t="shared" si="231"/>
        <v>7.0019999999999243</v>
      </c>
      <c r="AQ308" s="59">
        <f t="shared" si="231"/>
        <v>21.055680000000081</v>
      </c>
      <c r="AR308" s="59">
        <f t="shared" si="231"/>
        <v>114.28720000000004</v>
      </c>
      <c r="AS308" s="59">
        <f t="shared" si="231"/>
        <v>63.244000000000028</v>
      </c>
      <c r="AT308" s="59">
        <f t="shared" si="231"/>
        <v>-7.5349999999999113</v>
      </c>
      <c r="AU308" s="59">
        <f t="shared" si="231"/>
        <v>147.29200000000003</v>
      </c>
      <c r="AV308" s="59">
        <f t="shared" si="231"/>
        <v>159.48400000000007</v>
      </c>
      <c r="AW308" s="59">
        <f t="shared" si="231"/>
        <v>282.33999999999997</v>
      </c>
      <c r="AX308" s="59">
        <f t="shared" si="231"/>
        <v>188.97900000000001</v>
      </c>
      <c r="AY308" s="59">
        <f t="shared" si="231"/>
        <v>165.79300000000003</v>
      </c>
      <c r="AZ308" s="59">
        <f t="shared" si="231"/>
        <v>182.476</v>
      </c>
      <c r="BA308" s="59">
        <f t="shared" si="231"/>
        <v>134.43200000000007</v>
      </c>
      <c r="BB308" s="59">
        <f t="shared" si="231"/>
        <v>256.86018700000011</v>
      </c>
      <c r="BC308" s="59">
        <f t="shared" si="231"/>
        <v>317.13191699999993</v>
      </c>
      <c r="BD308" s="59">
        <f t="shared" si="231"/>
        <v>123.62627900000004</v>
      </c>
      <c r="BE308" s="59">
        <f t="shared" si="231"/>
        <v>156.41770300000002</v>
      </c>
      <c r="BF308" s="59">
        <f t="shared" si="231"/>
        <v>18.624198999999976</v>
      </c>
      <c r="BG308" s="59">
        <f t="shared" si="231"/>
        <v>256.97699999999998</v>
      </c>
      <c r="BH308" s="59">
        <f t="shared" si="231"/>
        <v>119.41099999999989</v>
      </c>
      <c r="BI308" s="58">
        <f t="shared" si="226"/>
        <v>112.95581909906345</v>
      </c>
      <c r="BJ308" s="58">
        <f t="shared" si="227"/>
        <v>159.28897246107258</v>
      </c>
      <c r="BK308" s="58">
        <f t="shared" si="228"/>
        <v>146.9108651492312</v>
      </c>
      <c r="BL308" s="58">
        <f t="shared" si="228"/>
        <v>160.31270063733291</v>
      </c>
      <c r="BM308" s="58">
        <f t="shared" si="228"/>
        <v>134.72881415613438</v>
      </c>
      <c r="BN308" s="58">
        <f t="shared" si="228"/>
        <v>142.62700069386764</v>
      </c>
      <c r="BO308" s="58">
        <f t="shared" si="228"/>
        <v>150.7629884691473</v>
      </c>
      <c r="BP308" s="58">
        <f t="shared" si="230"/>
        <v>154.01115058304802</v>
      </c>
      <c r="BQ308" s="58">
        <f t="shared" si="230"/>
        <v>157.8153251976043</v>
      </c>
      <c r="BR308" s="58">
        <f t="shared" si="230"/>
        <v>160.48226674673663</v>
      </c>
      <c r="BS308" s="58">
        <f t="shared" si="230"/>
        <v>165.94853338577508</v>
      </c>
      <c r="BT308" s="58">
        <f t="shared" si="230"/>
        <v>170.30948567226062</v>
      </c>
      <c r="BU308" s="58">
        <f t="shared" si="230"/>
        <v>173.84871316410121</v>
      </c>
    </row>
    <row r="309" spans="1:74" s="111" customFormat="1" ht="14.25">
      <c r="A309" s="4" t="s">
        <v>111</v>
      </c>
      <c r="B309" s="56"/>
      <c r="C309" s="56">
        <f t="shared" si="232"/>
        <v>7.1711048834788058E-2</v>
      </c>
      <c r="D309" s="56">
        <f t="shared" si="232"/>
        <v>7.1711048834788058E-2</v>
      </c>
      <c r="E309" s="56">
        <f t="shared" si="232"/>
        <v>0.48066896983986473</v>
      </c>
      <c r="F309" s="56">
        <f t="shared" si="232"/>
        <v>0.14342209766957612</v>
      </c>
      <c r="G309" s="56">
        <f t="shared" si="232"/>
        <v>0.62409106750944088</v>
      </c>
      <c r="H309" s="56">
        <f t="shared" si="232"/>
        <v>0.28684419533915223</v>
      </c>
      <c r="I309" s="56">
        <f t="shared" si="232"/>
        <v>0.43026629300872832</v>
      </c>
      <c r="J309" s="56">
        <f t="shared" si="232"/>
        <v>0.98264631168338146</v>
      </c>
      <c r="K309" s="56">
        <f t="shared" si="232"/>
        <v>1.6761469220524683</v>
      </c>
      <c r="L309" s="56">
        <f t="shared" si="232"/>
        <v>2.1517721724928469</v>
      </c>
      <c r="M309" s="56">
        <f t="shared" si="232"/>
        <v>3.4368661298439855</v>
      </c>
      <c r="N309" s="56">
        <f t="shared" si="232"/>
        <v>1.7488515349773515</v>
      </c>
      <c r="O309" s="56">
        <f t="shared" si="232"/>
        <v>10.402171615500752</v>
      </c>
      <c r="P309" s="56">
        <f t="shared" si="232"/>
        <v>8.6107050830397611</v>
      </c>
      <c r="Q309" s="56">
        <f t="shared" si="232"/>
        <v>-2.9628827377956739</v>
      </c>
      <c r="R309" s="56">
        <f t="shared" si="232"/>
        <v>8.3460000000000036</v>
      </c>
      <c r="S309" s="56">
        <f t="shared" si="232"/>
        <v>1.2290000000000028</v>
      </c>
      <c r="T309" s="56">
        <f t="shared" si="232"/>
        <v>14.420999999999999</v>
      </c>
      <c r="U309" s="56">
        <f t="shared" si="232"/>
        <v>9.5519999999999925</v>
      </c>
      <c r="V309" s="56">
        <f t="shared" si="232"/>
        <v>16.560000000000002</v>
      </c>
      <c r="W309" s="56">
        <f t="shared" si="232"/>
        <v>-6.1560000000000059</v>
      </c>
      <c r="X309" s="56">
        <f t="shared" si="232"/>
        <v>7.1490000000000009</v>
      </c>
      <c r="Y309" s="56">
        <f t="shared" si="232"/>
        <v>9.9819999999999958</v>
      </c>
      <c r="Z309" s="56">
        <f t="shared" si="232"/>
        <v>22.582999999999984</v>
      </c>
      <c r="AA309" s="56">
        <f t="shared" si="232"/>
        <v>16.114999999999995</v>
      </c>
      <c r="AB309" s="56">
        <f t="shared" si="232"/>
        <v>27.876000000000019</v>
      </c>
      <c r="AC309" s="56">
        <f t="shared" si="232"/>
        <v>10.169000000000025</v>
      </c>
      <c r="AD309" s="56">
        <f t="shared" si="232"/>
        <v>26.325000000000017</v>
      </c>
      <c r="AE309" s="59">
        <f t="shared" si="232"/>
        <v>9.11</v>
      </c>
      <c r="AF309" s="59">
        <f t="shared" si="232"/>
        <v>10.52300000000001</v>
      </c>
      <c r="AG309" s="59">
        <f t="shared" si="232"/>
        <v>0.13099999999997181</v>
      </c>
      <c r="AH309" s="59">
        <f t="shared" si="232"/>
        <v>-8.2650000000000006</v>
      </c>
      <c r="AI309" s="59">
        <f t="shared" si="231"/>
        <v>-13.753000000000007</v>
      </c>
      <c r="AJ309" s="59">
        <f t="shared" si="231"/>
        <v>30.465000000000032</v>
      </c>
      <c r="AK309" s="59">
        <f t="shared" si="231"/>
        <v>8.5810000000000315</v>
      </c>
      <c r="AL309" s="59">
        <f t="shared" si="231"/>
        <v>-28.433999999999997</v>
      </c>
      <c r="AM309" s="59">
        <f t="shared" si="231"/>
        <v>42.242000000000004</v>
      </c>
      <c r="AN309" s="59">
        <f t="shared" si="231"/>
        <v>28.022999999999996</v>
      </c>
      <c r="AO309" s="59">
        <f t="shared" si="231"/>
        <v>3.4090000000000202</v>
      </c>
      <c r="AP309" s="59">
        <f t="shared" si="231"/>
        <v>74.544999999999987</v>
      </c>
      <c r="AQ309" s="59">
        <f t="shared" si="231"/>
        <v>34.680000000000035</v>
      </c>
      <c r="AR309" s="59">
        <f t="shared" si="231"/>
        <v>-32.025999999999925</v>
      </c>
      <c r="AS309" s="59">
        <f t="shared" si="231"/>
        <v>76.043000000000006</v>
      </c>
      <c r="AT309" s="59">
        <f t="shared" si="231"/>
        <v>37.734999999999985</v>
      </c>
      <c r="AU309" s="59">
        <f t="shared" si="231"/>
        <v>113.88899999999995</v>
      </c>
      <c r="AV309" s="59">
        <f t="shared" si="231"/>
        <v>159.48399999999998</v>
      </c>
      <c r="AW309" s="59">
        <f t="shared" si="231"/>
        <v>198.11199999999999</v>
      </c>
      <c r="AX309" s="59">
        <f t="shared" si="231"/>
        <v>107.16600000000003</v>
      </c>
      <c r="AY309" s="59">
        <f t="shared" si="231"/>
        <v>127.63499999999999</v>
      </c>
      <c r="AZ309" s="59">
        <f t="shared" si="231"/>
        <v>133.31999999999994</v>
      </c>
      <c r="BA309" s="59">
        <f t="shared" si="231"/>
        <v>170.15599999999995</v>
      </c>
      <c r="BB309" s="59">
        <f t="shared" si="231"/>
        <v>186.53843499999999</v>
      </c>
      <c r="BC309" s="59">
        <f t="shared" si="231"/>
        <v>166.67031800000004</v>
      </c>
      <c r="BD309" s="59">
        <f t="shared" si="231"/>
        <v>121.45771300000004</v>
      </c>
      <c r="BE309" s="59">
        <f t="shared" si="231"/>
        <v>203.44549100000006</v>
      </c>
      <c r="BF309" s="59">
        <f t="shared" si="231"/>
        <v>221.42375800000005</v>
      </c>
      <c r="BG309" s="59">
        <f t="shared" si="231"/>
        <v>250.68999999999997</v>
      </c>
      <c r="BH309" s="59">
        <f t="shared" si="231"/>
        <v>49.249999999999972</v>
      </c>
      <c r="BI309" s="58">
        <f t="shared" si="226"/>
        <v>141.60418134025801</v>
      </c>
      <c r="BJ309" s="58">
        <f t="shared" si="227"/>
        <v>207.7258746877776</v>
      </c>
      <c r="BK309" s="58">
        <f t="shared" si="228"/>
        <v>191.70182299860727</v>
      </c>
      <c r="BL309" s="58">
        <f t="shared" si="228"/>
        <v>169.46709580272133</v>
      </c>
      <c r="BM309" s="58">
        <f t="shared" si="228"/>
        <v>146.4631589974409</v>
      </c>
      <c r="BN309" s="58">
        <f t="shared" si="228"/>
        <v>171.13752858855861</v>
      </c>
      <c r="BO309" s="58">
        <f t="shared" si="228"/>
        <v>179.66984001231552</v>
      </c>
      <c r="BP309" s="58">
        <f t="shared" si="230"/>
        <v>179.79277735168469</v>
      </c>
      <c r="BQ309" s="58">
        <f t="shared" si="230"/>
        <v>179.94045690613785</v>
      </c>
      <c r="BR309" s="58">
        <f t="shared" si="230"/>
        <v>185.87037473970187</v>
      </c>
      <c r="BS309" s="58">
        <f t="shared" si="230"/>
        <v>194.27756751660743</v>
      </c>
      <c r="BT309" s="58">
        <f t="shared" si="230"/>
        <v>198.48445945380791</v>
      </c>
      <c r="BU309" s="58">
        <f t="shared" si="230"/>
        <v>201.75657229660288</v>
      </c>
    </row>
    <row r="310" spans="1:74" s="111" customFormat="1" ht="14.25">
      <c r="A310" s="4" t="s">
        <v>112</v>
      </c>
      <c r="B310" s="56"/>
      <c r="C310" s="56">
        <f t="shared" ref="C310:BG310" si="233">C357+C230+C278-D283-C358</f>
        <v>5.1789484080443447E-2</v>
      </c>
      <c r="D310" s="56">
        <f t="shared" si="233"/>
        <v>5.1789484080443447E-2</v>
      </c>
      <c r="E310" s="56">
        <f t="shared" si="233"/>
        <v>0.85365679326209731</v>
      </c>
      <c r="F310" s="56">
        <f t="shared" si="233"/>
        <v>0.10357896816088689</v>
      </c>
      <c r="G310" s="56">
        <f t="shared" si="233"/>
        <v>0.95723576142298428</v>
      </c>
      <c r="H310" s="56">
        <f t="shared" si="233"/>
        <v>0.20715793632177379</v>
      </c>
      <c r="I310" s="56">
        <f t="shared" si="233"/>
        <v>0.31073690448266067</v>
      </c>
      <c r="J310" s="56">
        <f t="shared" si="233"/>
        <v>-0.27991646588491403</v>
      </c>
      <c r="K310" s="56">
        <f t="shared" si="233"/>
        <v>1.6633474943126476</v>
      </c>
      <c r="L310" s="56">
        <f t="shared" si="233"/>
        <v>3.4796170904984258</v>
      </c>
      <c r="M310" s="56">
        <f t="shared" si="233"/>
        <v>0.88769652742828242</v>
      </c>
      <c r="N310" s="56">
        <f t="shared" si="233"/>
        <v>1.7347101157523896</v>
      </c>
      <c r="O310" s="56">
        <f t="shared" si="233"/>
        <v>5.9317327629592338</v>
      </c>
      <c r="P310" s="56">
        <f t="shared" si="233"/>
        <v>10.122537996980373</v>
      </c>
      <c r="Q310" s="56">
        <f t="shared" si="233"/>
        <v>0.63962166722915992</v>
      </c>
      <c r="R310" s="56">
        <f t="shared" si="233"/>
        <v>-7.3010000000000002</v>
      </c>
      <c r="S310" s="56">
        <f t="shared" si="233"/>
        <v>2.152000000000001</v>
      </c>
      <c r="T310" s="56">
        <f t="shared" si="233"/>
        <v>-14.079000000000001</v>
      </c>
      <c r="U310" s="56">
        <f t="shared" si="233"/>
        <v>-7.5030000000000001</v>
      </c>
      <c r="V310" s="56">
        <f t="shared" si="233"/>
        <v>14.925999999999995</v>
      </c>
      <c r="W310" s="56">
        <f t="shared" si="233"/>
        <v>11.399000000000001</v>
      </c>
      <c r="X310" s="56">
        <f t="shared" si="233"/>
        <v>2.5569999999999951</v>
      </c>
      <c r="Y310" s="56">
        <f t="shared" si="233"/>
        <v>-2.5310000000000024</v>
      </c>
      <c r="Z310" s="56">
        <f t="shared" si="233"/>
        <v>16.335000000000001</v>
      </c>
      <c r="AA310" s="56">
        <f t="shared" si="233"/>
        <v>9.5740000000000123</v>
      </c>
      <c r="AB310" s="56">
        <f t="shared" si="233"/>
        <v>10.620000000000005</v>
      </c>
      <c r="AC310" s="56">
        <f t="shared" si="233"/>
        <v>33.450999999999986</v>
      </c>
      <c r="AD310" s="56">
        <f t="shared" si="233"/>
        <v>8.2209999999999965</v>
      </c>
      <c r="AE310" s="59">
        <f t="shared" si="233"/>
        <v>27.07200000000001</v>
      </c>
      <c r="AF310" s="59">
        <f t="shared" si="233"/>
        <v>-7.1899999999999906</v>
      </c>
      <c r="AG310" s="59">
        <f t="shared" si="233"/>
        <v>4.5200000000000031</v>
      </c>
      <c r="AH310" s="59">
        <f t="shared" si="233"/>
        <v>-17.283000000000008</v>
      </c>
      <c r="AI310" s="59">
        <f t="shared" si="233"/>
        <v>3.400999999999982</v>
      </c>
      <c r="AJ310" s="59">
        <f t="shared" si="233"/>
        <v>-19.543000000000006</v>
      </c>
      <c r="AK310" s="59">
        <f t="shared" si="233"/>
        <v>2.2459999999999951</v>
      </c>
      <c r="AL310" s="59">
        <f t="shared" si="233"/>
        <v>23.62700000000001</v>
      </c>
      <c r="AM310" s="59">
        <f t="shared" si="233"/>
        <v>12.731000000000023</v>
      </c>
      <c r="AN310" s="59">
        <f t="shared" si="233"/>
        <v>32.325000000000045</v>
      </c>
      <c r="AO310" s="59">
        <f t="shared" si="233"/>
        <v>59.958000000000027</v>
      </c>
      <c r="AP310" s="59">
        <f t="shared" si="233"/>
        <v>27.868000000000023</v>
      </c>
      <c r="AQ310" s="59">
        <f t="shared" si="233"/>
        <v>43.215999999999951</v>
      </c>
      <c r="AR310" s="59">
        <f t="shared" si="233"/>
        <v>-1.625060000000019</v>
      </c>
      <c r="AS310" s="59">
        <f t="shared" si="233"/>
        <v>44.959000000000003</v>
      </c>
      <c r="AT310" s="59">
        <f t="shared" si="233"/>
        <v>37.023000000000053</v>
      </c>
      <c r="AU310" s="59">
        <f t="shared" si="233"/>
        <v>145.16900000000001</v>
      </c>
      <c r="AV310" s="59">
        <f t="shared" si="233"/>
        <v>219.2820000000001</v>
      </c>
      <c r="AW310" s="59">
        <f t="shared" si="233"/>
        <v>247.66000000000003</v>
      </c>
      <c r="AX310" s="59">
        <f t="shared" si="233"/>
        <v>133.88899999999998</v>
      </c>
      <c r="AY310" s="59">
        <f t="shared" si="233"/>
        <v>151.73499999999999</v>
      </c>
      <c r="AZ310" s="59">
        <f t="shared" si="233"/>
        <v>128.66600000000003</v>
      </c>
      <c r="BA310" s="59">
        <f t="shared" si="233"/>
        <v>183.80799999999999</v>
      </c>
      <c r="BB310" s="59">
        <f t="shared" si="233"/>
        <v>137.58595500000007</v>
      </c>
      <c r="BC310" s="59">
        <f t="shared" si="233"/>
        <v>88.778610000000072</v>
      </c>
      <c r="BD310" s="59">
        <f t="shared" si="233"/>
        <v>225.56755499999991</v>
      </c>
      <c r="BE310" s="59">
        <f t="shared" si="233"/>
        <v>246.37345099999999</v>
      </c>
      <c r="BF310" s="59">
        <f t="shared" si="233"/>
        <v>172.20020300000002</v>
      </c>
      <c r="BG310" s="59">
        <f t="shared" si="233"/>
        <v>210.31900000000007</v>
      </c>
      <c r="BH310" s="58">
        <f t="shared" ref="BH310:BO310" si="234">BH311-SUM(BH299:BH309)</f>
        <v>-3.2929999999992106</v>
      </c>
      <c r="BI310" s="58">
        <f t="shared" si="234"/>
        <v>142.42413000416491</v>
      </c>
      <c r="BJ310" s="58">
        <f t="shared" si="234"/>
        <v>184.13658736872094</v>
      </c>
      <c r="BK310" s="58">
        <f t="shared" si="234"/>
        <v>155.39405139232849</v>
      </c>
      <c r="BL310" s="58">
        <f t="shared" si="234"/>
        <v>138.83885164115964</v>
      </c>
      <c r="BM310" s="58">
        <f t="shared" si="234"/>
        <v>119.04075496503265</v>
      </c>
      <c r="BN310" s="58">
        <f t="shared" si="234"/>
        <v>147.74681583715301</v>
      </c>
      <c r="BO310" s="58">
        <f t="shared" si="234"/>
        <v>151.02417646649928</v>
      </c>
      <c r="BP310" s="58">
        <f t="shared" ref="BP310:BU310" si="235">BP311-SUM(BP299:BP309)</f>
        <v>149.13164325470325</v>
      </c>
      <c r="BQ310" s="58">
        <f t="shared" si="235"/>
        <v>150.02270328201166</v>
      </c>
      <c r="BR310" s="58">
        <f t="shared" si="235"/>
        <v>155.49844990486827</v>
      </c>
      <c r="BS310" s="58">
        <f t="shared" si="235"/>
        <v>163.28820668698609</v>
      </c>
      <c r="BT310" s="58">
        <f t="shared" si="235"/>
        <v>165.98060930569136</v>
      </c>
      <c r="BU310" s="58">
        <f t="shared" si="235"/>
        <v>168.54979702108994</v>
      </c>
    </row>
    <row r="311" spans="1:74" s="111" customFormat="1" thickBot="1">
      <c r="A311" s="4" t="s">
        <v>113</v>
      </c>
      <c r="B311" s="56"/>
      <c r="C311" s="56">
        <f t="shared" ref="C311:AH311" si="236">SUM(C299:C310)</f>
        <v>0.99999999999999989</v>
      </c>
      <c r="D311" s="56">
        <f t="shared" si="236"/>
        <v>0.99999999999999989</v>
      </c>
      <c r="E311" s="56">
        <f t="shared" si="236"/>
        <v>0</v>
      </c>
      <c r="F311" s="56">
        <f t="shared" si="236"/>
        <v>2.9999999999999996</v>
      </c>
      <c r="G311" s="56">
        <f t="shared" si="236"/>
        <v>1.9999999999999993</v>
      </c>
      <c r="H311" s="56">
        <f t="shared" si="236"/>
        <v>4.9999999999999991</v>
      </c>
      <c r="I311" s="56">
        <f t="shared" si="236"/>
        <v>5.9999999999999982</v>
      </c>
      <c r="J311" s="56">
        <f t="shared" si="236"/>
        <v>5.5039003522898842</v>
      </c>
      <c r="K311" s="56">
        <f t="shared" si="236"/>
        <v>4.2519501761449385</v>
      </c>
      <c r="L311" s="56">
        <f t="shared" si="236"/>
        <v>14.88405888273779</v>
      </c>
      <c r="M311" s="56">
        <f t="shared" si="236"/>
        <v>64.485787116255665</v>
      </c>
      <c r="N311" s="56">
        <f t="shared" si="236"/>
        <v>16.949013588324103</v>
      </c>
      <c r="O311" s="56">
        <f t="shared" si="236"/>
        <v>34.171022647206847</v>
      </c>
      <c r="P311" s="56">
        <f t="shared" si="236"/>
        <v>47.90480523402114</v>
      </c>
      <c r="Q311" s="56">
        <f t="shared" si="236"/>
        <v>5.8030836702487738</v>
      </c>
      <c r="R311" s="56">
        <f t="shared" si="236"/>
        <v>35.105000000000004</v>
      </c>
      <c r="S311" s="56">
        <f t="shared" si="236"/>
        <v>89.738000000000014</v>
      </c>
      <c r="T311" s="56">
        <f t="shared" si="236"/>
        <v>84.668999999999983</v>
      </c>
      <c r="U311" s="56">
        <f t="shared" si="236"/>
        <v>77.917999999999992</v>
      </c>
      <c r="V311" s="56">
        <f t="shared" si="236"/>
        <v>126.01900000000001</v>
      </c>
      <c r="W311" s="56">
        <f t="shared" si="236"/>
        <v>62.664999999999978</v>
      </c>
      <c r="X311" s="56">
        <f t="shared" si="236"/>
        <v>85.33200000000005</v>
      </c>
      <c r="Y311" s="56">
        <f t="shared" si="236"/>
        <v>113.006</v>
      </c>
      <c r="Z311" s="56">
        <f t="shared" si="236"/>
        <v>176.27099999999999</v>
      </c>
      <c r="AA311" s="56">
        <f t="shared" si="236"/>
        <v>142.74200000000002</v>
      </c>
      <c r="AB311" s="56">
        <f t="shared" si="236"/>
        <v>-160.86400000000003</v>
      </c>
      <c r="AC311" s="56">
        <f t="shared" si="236"/>
        <v>260.714</v>
      </c>
      <c r="AD311" s="56">
        <f t="shared" si="236"/>
        <v>480.53300000000002</v>
      </c>
      <c r="AE311" s="59">
        <f t="shared" si="236"/>
        <v>239.18500000000012</v>
      </c>
      <c r="AF311" s="59">
        <f t="shared" si="236"/>
        <v>98.079000000000008</v>
      </c>
      <c r="AG311" s="59">
        <f t="shared" si="236"/>
        <v>109.90499999999992</v>
      </c>
      <c r="AH311" s="59">
        <f t="shared" si="236"/>
        <v>71.32099999999997</v>
      </c>
      <c r="AI311" s="59">
        <f t="shared" ref="AI311:BG311" si="237">SUM(AI299:AI310)</f>
        <v>43.293999999999969</v>
      </c>
      <c r="AJ311" s="59">
        <f t="shared" si="237"/>
        <v>332.93200000000019</v>
      </c>
      <c r="AK311" s="59">
        <f t="shared" si="237"/>
        <v>91.350999999999885</v>
      </c>
      <c r="AL311" s="59">
        <f t="shared" si="237"/>
        <v>162.88299999999984</v>
      </c>
      <c r="AM311" s="59">
        <f t="shared" si="237"/>
        <v>119.32699999999997</v>
      </c>
      <c r="AN311" s="59">
        <f t="shared" si="237"/>
        <v>429.26900000000023</v>
      </c>
      <c r="AO311" s="59">
        <f t="shared" si="237"/>
        <v>419.41600000000022</v>
      </c>
      <c r="AP311" s="59">
        <f t="shared" si="237"/>
        <v>336.79599999999994</v>
      </c>
      <c r="AQ311" s="59">
        <f t="shared" si="237"/>
        <v>429.46567999999985</v>
      </c>
      <c r="AR311" s="59">
        <f t="shared" si="237"/>
        <v>422.39676000000014</v>
      </c>
      <c r="AS311" s="59">
        <f t="shared" si="237"/>
        <v>577.68700000000013</v>
      </c>
      <c r="AT311" s="59">
        <f t="shared" si="237"/>
        <v>961.08500000000049</v>
      </c>
      <c r="AU311" s="59">
        <f t="shared" si="237"/>
        <v>1688.049</v>
      </c>
      <c r="AV311" s="59">
        <f t="shared" si="237"/>
        <v>2290.4790000000003</v>
      </c>
      <c r="AW311" s="59">
        <f t="shared" si="237"/>
        <v>2951.6980000000003</v>
      </c>
      <c r="AX311" s="59">
        <f t="shared" si="237"/>
        <v>2432.5440000000008</v>
      </c>
      <c r="AY311" s="59">
        <f t="shared" si="237"/>
        <v>2378.7000000000003</v>
      </c>
      <c r="AZ311" s="59">
        <f t="shared" si="237"/>
        <v>2932.7080000000005</v>
      </c>
      <c r="BA311" s="59">
        <f t="shared" si="237"/>
        <v>2307.0410000000002</v>
      </c>
      <c r="BB311" s="59">
        <f t="shared" si="237"/>
        <v>3073.1923710000001</v>
      </c>
      <c r="BC311" s="59">
        <f t="shared" si="237"/>
        <v>3156.5305239999998</v>
      </c>
      <c r="BD311" s="59">
        <f t="shared" si="237"/>
        <v>2768.6765580000006</v>
      </c>
      <c r="BE311" s="59">
        <f t="shared" si="237"/>
        <v>2784.468875</v>
      </c>
      <c r="BF311" s="59">
        <f t="shared" si="237"/>
        <v>1492.8718859999999</v>
      </c>
      <c r="BG311" s="59">
        <f t="shared" si="237"/>
        <v>2643.4766709999999</v>
      </c>
      <c r="BH311" s="58">
        <f t="shared" ref="BH311:BU311" si="238">BH34</f>
        <v>2232.1430000000009</v>
      </c>
      <c r="BI311" s="58">
        <f t="shared" si="238"/>
        <v>1994.8239999999996</v>
      </c>
      <c r="BJ311" s="58">
        <f t="shared" si="238"/>
        <v>2672.7231952747716</v>
      </c>
      <c r="BK311" s="58">
        <f t="shared" si="238"/>
        <v>2429.8194306755777</v>
      </c>
      <c r="BL311" s="58">
        <f t="shared" si="238"/>
        <v>2412.717079408636</v>
      </c>
      <c r="BM311" s="58">
        <f t="shared" si="238"/>
        <v>2263.6471701949304</v>
      </c>
      <c r="BN311" s="58">
        <f t="shared" si="238"/>
        <v>2351.2441504402886</v>
      </c>
      <c r="BO311" s="58">
        <f t="shared" si="238"/>
        <v>2458.4697166447913</v>
      </c>
      <c r="BP311" s="58">
        <f t="shared" si="238"/>
        <v>2495.6825128016753</v>
      </c>
      <c r="BQ311" s="58">
        <f t="shared" si="238"/>
        <v>2546.8707093016146</v>
      </c>
      <c r="BR311" s="58">
        <f t="shared" si="238"/>
        <v>2627.7475361697489</v>
      </c>
      <c r="BS311" s="58">
        <f t="shared" si="238"/>
        <v>2704.7715217433451</v>
      </c>
      <c r="BT311" s="58">
        <f t="shared" si="238"/>
        <v>2770.111282903219</v>
      </c>
      <c r="BU311" s="58">
        <f t="shared" si="238"/>
        <v>2826.3259823326662</v>
      </c>
    </row>
    <row r="312" spans="1:74">
      <c r="A312" s="60"/>
      <c r="B312" s="61"/>
      <c r="C312" s="62">
        <f t="shared" ref="C312:AD312" si="239">C34</f>
        <v>1</v>
      </c>
      <c r="D312" s="62">
        <f t="shared" si="239"/>
        <v>1</v>
      </c>
      <c r="E312" s="62">
        <f t="shared" si="239"/>
        <v>0</v>
      </c>
      <c r="F312" s="62">
        <f t="shared" si="239"/>
        <v>3</v>
      </c>
      <c r="G312" s="62">
        <f t="shared" si="239"/>
        <v>2</v>
      </c>
      <c r="H312" s="62">
        <f t="shared" si="239"/>
        <v>5</v>
      </c>
      <c r="I312" s="62">
        <f t="shared" si="239"/>
        <v>6</v>
      </c>
      <c r="J312" s="62">
        <f t="shared" si="239"/>
        <v>7</v>
      </c>
      <c r="K312" s="62">
        <f t="shared" si="239"/>
        <v>5</v>
      </c>
      <c r="L312" s="62">
        <f t="shared" si="239"/>
        <v>14</v>
      </c>
      <c r="M312" s="62">
        <f t="shared" si="239"/>
        <v>67.682000000000002</v>
      </c>
      <c r="N312" s="62">
        <f t="shared" si="239"/>
        <v>16.745000000000005</v>
      </c>
      <c r="O312" s="62">
        <f t="shared" si="239"/>
        <v>33.830999999999989</v>
      </c>
      <c r="P312" s="62">
        <f t="shared" si="239"/>
        <v>50.829000000000022</v>
      </c>
      <c r="Q312" s="62">
        <f t="shared" si="239"/>
        <v>3.5000000000000142</v>
      </c>
      <c r="R312" s="62">
        <f t="shared" si="239"/>
        <v>43.571621667229138</v>
      </c>
      <c r="S312" s="62">
        <f t="shared" si="239"/>
        <v>90.538000000000025</v>
      </c>
      <c r="T312" s="62">
        <f t="shared" si="239"/>
        <v>98.869000000000113</v>
      </c>
      <c r="U312" s="62">
        <f t="shared" si="239"/>
        <v>79.91799999999995</v>
      </c>
      <c r="V312" s="62">
        <f t="shared" si="239"/>
        <v>118.81900000000002</v>
      </c>
      <c r="W312" s="62">
        <f t="shared" si="239"/>
        <v>65.764999999999986</v>
      </c>
      <c r="X312" s="62">
        <f t="shared" si="239"/>
        <v>70.632000000000176</v>
      </c>
      <c r="Y312" s="62">
        <f t="shared" si="239"/>
        <v>120.40600000000006</v>
      </c>
      <c r="Z312" s="62">
        <f t="shared" si="239"/>
        <v>202.87099999999987</v>
      </c>
      <c r="AA312" s="62">
        <f t="shared" si="239"/>
        <v>176.74199999999996</v>
      </c>
      <c r="AB312" s="62">
        <f t="shared" si="239"/>
        <v>-174.76400000000035</v>
      </c>
      <c r="AC312" s="62">
        <f t="shared" si="239"/>
        <v>286.39400000000001</v>
      </c>
      <c r="AD312" s="62">
        <f t="shared" si="239"/>
        <v>456.5559999999997</v>
      </c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>
        <f t="shared" ref="AU312:BH312" si="240">AU34</f>
        <v>1371.8580000000006</v>
      </c>
      <c r="AV312" s="62">
        <f t="shared" si="240"/>
        <v>2506.0939999999991</v>
      </c>
      <c r="AW312" s="62">
        <f t="shared" si="240"/>
        <v>2902.2199999999993</v>
      </c>
      <c r="AX312" s="62">
        <f t="shared" si="240"/>
        <v>2315.2180000000008</v>
      </c>
      <c r="AY312" s="62">
        <f t="shared" si="240"/>
        <v>2468.326</v>
      </c>
      <c r="AZ312" s="62">
        <f t="shared" si="240"/>
        <v>3005.2939999999999</v>
      </c>
      <c r="BA312" s="62">
        <f t="shared" si="240"/>
        <v>2494.7489999999971</v>
      </c>
      <c r="BB312" s="62">
        <f t="shared" si="240"/>
        <v>3134.5594159999991</v>
      </c>
      <c r="BC312" s="62">
        <f t="shared" si="240"/>
        <v>3036.533868999999</v>
      </c>
      <c r="BD312" s="62">
        <f t="shared" si="240"/>
        <v>2691.4126130000013</v>
      </c>
      <c r="BE312" s="62">
        <f t="shared" si="240"/>
        <v>2626.4229790000009</v>
      </c>
      <c r="BF312" s="62">
        <f t="shared" si="240"/>
        <v>1785.5071340000013</v>
      </c>
      <c r="BG312" s="62">
        <f t="shared" si="240"/>
        <v>2556.4648739999984</v>
      </c>
      <c r="BH312" s="62">
        <f t="shared" si="240"/>
        <v>2232.1430000000009</v>
      </c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</row>
    <row r="313" spans="1:74" ht="15.75" thickBot="1">
      <c r="A313" s="53" t="s">
        <v>153</v>
      </c>
    </row>
    <row r="314" spans="1:74" s="4" customFormat="1" ht="15.75" thickBot="1">
      <c r="A314" s="54"/>
      <c r="B314" s="63" t="s">
        <v>1</v>
      </c>
      <c r="C314" s="63" t="s">
        <v>2</v>
      </c>
      <c r="D314" s="63" t="s">
        <v>3</v>
      </c>
      <c r="E314" s="63" t="s">
        <v>4</v>
      </c>
      <c r="F314" s="63" t="s">
        <v>5</v>
      </c>
      <c r="G314" s="63" t="s">
        <v>6</v>
      </c>
      <c r="H314" s="63" t="s">
        <v>7</v>
      </c>
      <c r="I314" s="63" t="s">
        <v>8</v>
      </c>
      <c r="J314" s="63" t="s">
        <v>9</v>
      </c>
      <c r="K314" s="63" t="s">
        <v>10</v>
      </c>
      <c r="L314" s="63" t="s">
        <v>11</v>
      </c>
      <c r="M314" s="55" t="s">
        <v>12</v>
      </c>
      <c r="N314" s="55" t="s">
        <v>13</v>
      </c>
      <c r="O314" s="55" t="s">
        <v>14</v>
      </c>
      <c r="P314" s="55" t="s">
        <v>15</v>
      </c>
      <c r="Q314" s="55" t="s">
        <v>16</v>
      </c>
      <c r="R314" s="55" t="s">
        <v>17</v>
      </c>
      <c r="S314" s="55" t="s">
        <v>18</v>
      </c>
      <c r="T314" s="55" t="s">
        <v>19</v>
      </c>
      <c r="U314" s="55" t="s">
        <v>20</v>
      </c>
      <c r="V314" s="55" t="s">
        <v>21</v>
      </c>
      <c r="W314" s="55" t="s">
        <v>22</v>
      </c>
      <c r="X314" s="55" t="s">
        <v>23</v>
      </c>
      <c r="Y314" s="55" t="s">
        <v>24</v>
      </c>
      <c r="Z314" s="55" t="s">
        <v>25</v>
      </c>
      <c r="AA314" s="55" t="s">
        <v>26</v>
      </c>
      <c r="AB314" s="55" t="s">
        <v>27</v>
      </c>
      <c r="AC314" s="55" t="s">
        <v>28</v>
      </c>
      <c r="AD314" s="55" t="s">
        <v>29</v>
      </c>
      <c r="AE314" s="55" t="s">
        <v>30</v>
      </c>
      <c r="AF314" s="55" t="s">
        <v>31</v>
      </c>
      <c r="AG314" s="55" t="s">
        <v>32</v>
      </c>
      <c r="AH314" s="55" t="s">
        <v>33</v>
      </c>
      <c r="AI314" s="55" t="s">
        <v>34</v>
      </c>
      <c r="AJ314" s="55" t="s">
        <v>35</v>
      </c>
      <c r="AK314" s="55" t="s">
        <v>36</v>
      </c>
      <c r="AL314" s="55" t="s">
        <v>37</v>
      </c>
      <c r="AM314" s="55" t="s">
        <v>38</v>
      </c>
      <c r="AN314" s="55" t="s">
        <v>39</v>
      </c>
      <c r="AO314" s="55" t="s">
        <v>40</v>
      </c>
      <c r="AP314" s="55" t="s">
        <v>41</v>
      </c>
      <c r="AQ314" s="55" t="s">
        <v>42</v>
      </c>
      <c r="AR314" s="55" t="s">
        <v>43</v>
      </c>
      <c r="AS314" s="55" t="s">
        <v>44</v>
      </c>
      <c r="AT314" s="55" t="s">
        <v>45</v>
      </c>
      <c r="AU314" s="55" t="s">
        <v>46</v>
      </c>
      <c r="AV314" s="55" t="s">
        <v>47</v>
      </c>
      <c r="AW314" s="55" t="s">
        <v>48</v>
      </c>
      <c r="AX314" s="55" t="s">
        <v>49</v>
      </c>
      <c r="AY314" s="55" t="s">
        <v>50</v>
      </c>
      <c r="AZ314" s="55" t="s">
        <v>51</v>
      </c>
      <c r="BA314" s="55" t="s">
        <v>52</v>
      </c>
      <c r="BB314" s="55" t="s">
        <v>53</v>
      </c>
      <c r="BC314" s="55" t="s">
        <v>54</v>
      </c>
      <c r="BD314" s="55" t="s">
        <v>55</v>
      </c>
      <c r="BE314" s="55" t="s">
        <v>56</v>
      </c>
      <c r="BF314" s="55" t="s">
        <v>57</v>
      </c>
      <c r="BG314" s="55" t="str">
        <f t="shared" ref="BG314:BU314" si="241">BH2</f>
        <v>22/23</v>
      </c>
      <c r="BH314" s="55" t="str">
        <f t="shared" si="241"/>
        <v>23/24</v>
      </c>
      <c r="BI314" s="55" t="str">
        <f t="shared" si="241"/>
        <v>24/25</v>
      </c>
      <c r="BJ314" s="55" t="str">
        <f t="shared" si="241"/>
        <v>25/26</v>
      </c>
      <c r="BK314" s="55" t="str">
        <f t="shared" si="241"/>
        <v>26/27</v>
      </c>
      <c r="BL314" s="55" t="str">
        <f t="shared" si="241"/>
        <v>27/28</v>
      </c>
      <c r="BM314" s="55" t="str">
        <f t="shared" si="241"/>
        <v>28/29</v>
      </c>
      <c r="BN314" s="55" t="str">
        <f t="shared" si="241"/>
        <v>29/30</v>
      </c>
      <c r="BO314" s="55" t="str">
        <f t="shared" si="241"/>
        <v>30/31</v>
      </c>
      <c r="BP314" s="55" t="str">
        <f t="shared" si="241"/>
        <v>31/32</v>
      </c>
      <c r="BQ314" s="55" t="str">
        <f t="shared" si="241"/>
        <v>32/33</v>
      </c>
      <c r="BR314" s="55" t="str">
        <f t="shared" si="241"/>
        <v>33/34</v>
      </c>
      <c r="BS314" s="55" t="str">
        <f t="shared" si="241"/>
        <v>34/35</v>
      </c>
      <c r="BT314" s="55" t="str">
        <f t="shared" si="241"/>
        <v>34/35</v>
      </c>
      <c r="BU314" s="55">
        <f t="shared" si="241"/>
        <v>0</v>
      </c>
      <c r="BV314" s="67"/>
    </row>
    <row r="315" spans="1:74">
      <c r="A315" s="4" t="s">
        <v>100</v>
      </c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2"/>
      <c r="AF315" s="112"/>
      <c r="AG315" s="112"/>
      <c r="AH315" s="112"/>
      <c r="AI315" s="112"/>
      <c r="AJ315" s="112"/>
      <c r="AK315" s="112"/>
      <c r="AL315" s="112"/>
      <c r="AM315" s="112"/>
      <c r="AN315" s="112"/>
      <c r="AO315" s="112"/>
      <c r="AP315" s="112"/>
      <c r="AQ315" s="112"/>
      <c r="AR315" s="112"/>
      <c r="AS315" s="113">
        <f t="shared" ref="AS315:AY326" si="242">AS362/0.985</f>
        <v>0</v>
      </c>
      <c r="AT315" s="113">
        <f t="shared" si="242"/>
        <v>44.548223350253814</v>
      </c>
      <c r="AU315" s="113">
        <f t="shared" si="242"/>
        <v>81.812182741116743</v>
      </c>
      <c r="AV315" s="113">
        <f t="shared" si="242"/>
        <v>143.89137055837563</v>
      </c>
      <c r="AW315" s="113">
        <f t="shared" si="242"/>
        <v>204.43553299492385</v>
      </c>
      <c r="AX315" s="113">
        <f t="shared" si="242"/>
        <v>240</v>
      </c>
      <c r="AY315" s="113">
        <f t="shared" si="242"/>
        <v>162.76243654822335</v>
      </c>
      <c r="AZ315" s="112">
        <v>147.477</v>
      </c>
      <c r="BA315" s="112">
        <v>133.36199999999999</v>
      </c>
      <c r="BB315" s="112">
        <v>198.178</v>
      </c>
      <c r="BC315" s="112">
        <v>258.00200000000001</v>
      </c>
      <c r="BD315" s="112">
        <v>234.5</v>
      </c>
      <c r="BE315" s="112">
        <v>284.30700000000002</v>
      </c>
      <c r="BF315" s="113">
        <f>'[2]Argentina Soy Complex'!BF315</f>
        <v>87.814823637872067</v>
      </c>
      <c r="BG315" s="113">
        <f>'[2]Argentina Soy Complex'!BG315</f>
        <v>208.012</v>
      </c>
      <c r="BH315" s="112">
        <v>208.012</v>
      </c>
      <c r="BI315" s="112">
        <v>101.57599999999999</v>
      </c>
      <c r="BJ315" s="114">
        <f>'[2]Argentina Soy Complex'!BJ315</f>
        <v>94.047963607216928</v>
      </c>
      <c r="BK315" s="114">
        <f>'[2]Argentina Soy Complex'!BK315</f>
        <v>105.36119109729765</v>
      </c>
      <c r="BL315" s="114">
        <f>'[2]Argentina Soy Complex'!BL315</f>
        <v>129.81104161374776</v>
      </c>
      <c r="BM315" s="114">
        <f>'[2]Argentina Soy Complex'!BM315</f>
        <v>124.49509799266794</v>
      </c>
      <c r="BN315" s="114">
        <f>'[2]Argentina Soy Complex'!BN315</f>
        <v>111.67037808910901</v>
      </c>
      <c r="BO315" s="114">
        <f>'[2]Argentina Soy Complex'!BO315</f>
        <v>113.07712343368279</v>
      </c>
      <c r="BP315" s="114">
        <f>'[2]Argentina Soy Complex'!BP315</f>
        <v>116.88306224843996</v>
      </c>
      <c r="BQ315" s="114">
        <f>'[2]Argentina Soy Complex'!BQ315</f>
        <v>119.1874240039043</v>
      </c>
      <c r="BR315" s="114">
        <f>'[2]Argentina Soy Complex'!BR315</f>
        <v>117.06260972896939</v>
      </c>
      <c r="BS315" s="114">
        <f>'[2]Argentina Soy Complex'!BS315</f>
        <v>115.57613152078579</v>
      </c>
      <c r="BT315" s="114">
        <f>'[2]Argentina Soy Complex'!BT315</f>
        <v>116.3572678951215</v>
      </c>
      <c r="BU315" s="114">
        <f>'[2]Argentina Soy Complex'!BU315</f>
        <v>117.01330249262691</v>
      </c>
    </row>
    <row r="316" spans="1:74">
      <c r="A316" s="4" t="s">
        <v>102</v>
      </c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2"/>
      <c r="AF316" s="112"/>
      <c r="AG316" s="112"/>
      <c r="AH316" s="112"/>
      <c r="AI316" s="112"/>
      <c r="AJ316" s="112"/>
      <c r="AK316" s="112"/>
      <c r="AL316" s="112"/>
      <c r="AM316" s="112"/>
      <c r="AN316" s="112"/>
      <c r="AO316" s="112"/>
      <c r="AP316" s="112"/>
      <c r="AQ316" s="112"/>
      <c r="AR316" s="112"/>
      <c r="AS316" s="113">
        <f t="shared" si="242"/>
        <v>4.0609137055837561</v>
      </c>
      <c r="AT316" s="113">
        <f t="shared" si="242"/>
        <v>52.46598984771574</v>
      </c>
      <c r="AU316" s="113">
        <f t="shared" si="242"/>
        <v>91.692385786802021</v>
      </c>
      <c r="AV316" s="113">
        <f t="shared" si="242"/>
        <v>161.52791878172587</v>
      </c>
      <c r="AW316" s="113">
        <f t="shared" si="242"/>
        <v>223.04873096446701</v>
      </c>
      <c r="AX316" s="113">
        <f t="shared" si="242"/>
        <v>242.4751269035533</v>
      </c>
      <c r="AY316" s="113">
        <f t="shared" si="242"/>
        <v>122.53096446700508</v>
      </c>
      <c r="AZ316" s="112">
        <v>237.136</v>
      </c>
      <c r="BA316" s="112">
        <v>136.005</v>
      </c>
      <c r="BB316" s="112">
        <v>260.06799999999998</v>
      </c>
      <c r="BC316" s="112">
        <v>306.93099999999998</v>
      </c>
      <c r="BD316" s="112">
        <v>300.35899999999998</v>
      </c>
      <c r="BE316" s="112">
        <v>282.584</v>
      </c>
      <c r="BF316" s="113">
        <f>'[2]Argentina Soy Complex'!BF316</f>
        <v>194.50235479598098</v>
      </c>
      <c r="BG316" s="113">
        <f>'[2]Argentina Soy Complex'!BG316</f>
        <v>175.38200000000001</v>
      </c>
      <c r="BH316" s="112">
        <v>175.38200000000001</v>
      </c>
      <c r="BI316" s="112">
        <v>88.903999999999996</v>
      </c>
      <c r="BJ316" s="114">
        <f>'[2]Argentina Soy Complex'!BJ316</f>
        <v>112.1437270454179</v>
      </c>
      <c r="BK316" s="114">
        <f>'[2]Argentina Soy Complex'!BK316</f>
        <v>119.0566432270454</v>
      </c>
      <c r="BL316" s="114">
        <f>'[2]Argentina Soy Complex'!BL316</f>
        <v>125.09437202426317</v>
      </c>
      <c r="BM316" s="114">
        <f>'[2]Argentina Soy Complex'!BM316</f>
        <v>117.06090166252675</v>
      </c>
      <c r="BN316" s="114">
        <f>'[2]Argentina Soy Complex'!BN316</f>
        <v>119.05807327850965</v>
      </c>
      <c r="BO316" s="114">
        <f>'[2]Argentina Soy Complex'!BO316</f>
        <v>118.48280150368468</v>
      </c>
      <c r="BP316" s="114">
        <f>'[2]Argentina Soy Complex'!BP316</f>
        <v>119.75061244404246</v>
      </c>
      <c r="BQ316" s="114">
        <f>'[2]Argentina Soy Complex'!BQ316</f>
        <v>119.8893553388267</v>
      </c>
      <c r="BR316" s="114">
        <f>'[2]Argentina Soy Complex'!BR316</f>
        <v>118.84834525738545</v>
      </c>
      <c r="BS316" s="114">
        <f>'[2]Argentina Soy Complex'!BS316</f>
        <v>119.2058382536259</v>
      </c>
      <c r="BT316" s="114">
        <f>'[2]Argentina Soy Complex'!BT316</f>
        <v>119.23539258733818</v>
      </c>
      <c r="BU316" s="114">
        <f>'[2]Argentina Soy Complex'!BU316</f>
        <v>119.38591085262226</v>
      </c>
    </row>
    <row r="317" spans="1:74">
      <c r="A317" s="4" t="s">
        <v>103</v>
      </c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2"/>
      <c r="AF317" s="112"/>
      <c r="AG317" s="112"/>
      <c r="AH317" s="112"/>
      <c r="AI317" s="112"/>
      <c r="AJ317" s="112"/>
      <c r="AK317" s="112"/>
      <c r="AL317" s="112"/>
      <c r="AM317" s="112"/>
      <c r="AN317" s="112"/>
      <c r="AO317" s="112"/>
      <c r="AP317" s="112"/>
      <c r="AQ317" s="112"/>
      <c r="AR317" s="112"/>
      <c r="AS317" s="113">
        <f t="shared" si="242"/>
        <v>4.0609137055837561</v>
      </c>
      <c r="AT317" s="113">
        <f t="shared" si="242"/>
        <v>51.498477157360405</v>
      </c>
      <c r="AU317" s="113">
        <f t="shared" si="242"/>
        <v>104.56852791878173</v>
      </c>
      <c r="AV317" s="113">
        <f t="shared" si="242"/>
        <v>162.45583756345178</v>
      </c>
      <c r="AW317" s="113">
        <f t="shared" si="242"/>
        <v>213.2791878172589</v>
      </c>
      <c r="AX317" s="113">
        <f t="shared" si="242"/>
        <v>234.55736040609136</v>
      </c>
      <c r="AY317" s="113">
        <f t="shared" si="242"/>
        <v>147.01827411167511</v>
      </c>
      <c r="AZ317" s="112">
        <v>258.45699999999999</v>
      </c>
      <c r="BA317" s="112">
        <v>197.17699999999999</v>
      </c>
      <c r="BB317" s="112">
        <v>270.68799999999999</v>
      </c>
      <c r="BC317" s="112">
        <v>292.435</v>
      </c>
      <c r="BD317" s="112">
        <v>274.57100000000003</v>
      </c>
      <c r="BE317" s="113">
        <f>'[2]Argentina Soy Complex'!BE317</f>
        <v>137.71382167443804</v>
      </c>
      <c r="BF317" s="113">
        <f>'[2]Argentina Soy Complex'!BF317</f>
        <v>176.23605283132994</v>
      </c>
      <c r="BG317" s="113">
        <f>'[2]Argentina Soy Complex'!BG317</f>
        <v>192.95599999999999</v>
      </c>
      <c r="BH317" s="112">
        <v>192.95599999999999</v>
      </c>
      <c r="BI317" s="112">
        <v>66.266000000000005</v>
      </c>
      <c r="BJ317" s="114">
        <f>'[2]Argentina Soy Complex'!BJ317</f>
        <v>132.19523348402501</v>
      </c>
      <c r="BK317" s="114">
        <f>'[2]Argentina Soy Complex'!BK317</f>
        <v>119.71673945312078</v>
      </c>
      <c r="BL317" s="114">
        <f>'[2]Argentina Soy Complex'!BL317</f>
        <v>121.4763994236497</v>
      </c>
      <c r="BM317" s="114">
        <f>'[2]Argentina Soy Complex'!BM317</f>
        <v>109.28600014334231</v>
      </c>
      <c r="BN317" s="114">
        <f>'[2]Argentina Soy Complex'!BN317</f>
        <v>112.4018565004814</v>
      </c>
      <c r="BO317" s="114">
        <f>'[2]Argentina Soy Complex'!BO317</f>
        <v>119.01524045556964</v>
      </c>
      <c r="BP317" s="114">
        <f>'[2]Argentina Soy Complex'!BP317</f>
        <v>116.37925453339011</v>
      </c>
      <c r="BQ317" s="114">
        <f>'[2]Argentina Soy Complex'!BQ317</f>
        <v>115.71174830553828</v>
      </c>
      <c r="BR317" s="114">
        <f>'[2]Argentina Soy Complex'!BR317</f>
        <v>114.55882178397775</v>
      </c>
      <c r="BS317" s="114">
        <f>'[2]Argentina Soy Complex'!BS317</f>
        <v>115.61338587856399</v>
      </c>
      <c r="BT317" s="114">
        <f>'[2]Argentina Soy Complex'!BT317</f>
        <v>116.25568997635845</v>
      </c>
      <c r="BU317" s="114">
        <f>'[2]Argentina Soy Complex'!BU317</f>
        <v>115.7037803690648</v>
      </c>
    </row>
    <row r="318" spans="1:74">
      <c r="A318" s="4" t="s">
        <v>104</v>
      </c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2"/>
      <c r="AF318" s="112"/>
      <c r="AG318" s="112"/>
      <c r="AH318" s="112"/>
      <c r="AI318" s="112"/>
      <c r="AJ318" s="112"/>
      <c r="AK318" s="112"/>
      <c r="AL318" s="112"/>
      <c r="AM318" s="112"/>
      <c r="AN318" s="112"/>
      <c r="AO318" s="112"/>
      <c r="AP318" s="112"/>
      <c r="AQ318" s="112"/>
      <c r="AR318" s="112"/>
      <c r="AS318" s="113">
        <f t="shared" si="242"/>
        <v>0</v>
      </c>
      <c r="AT318" s="113">
        <f t="shared" si="242"/>
        <v>72.982741116751271</v>
      </c>
      <c r="AU318" s="113">
        <f t="shared" si="242"/>
        <v>127.78883248730965</v>
      </c>
      <c r="AV318" s="113">
        <f t="shared" si="242"/>
        <v>167.61218274111675</v>
      </c>
      <c r="AW318" s="113">
        <f t="shared" si="242"/>
        <v>225.70050761421319</v>
      </c>
      <c r="AX318" s="113">
        <f t="shared" si="242"/>
        <v>250.12284263959393</v>
      </c>
      <c r="AY318" s="113">
        <f t="shared" si="242"/>
        <v>193.8771573604061</v>
      </c>
      <c r="AZ318" s="112">
        <v>284.32100000000003</v>
      </c>
      <c r="BA318" s="112">
        <v>183.131</v>
      </c>
      <c r="BB318" s="112">
        <v>257.09500000000003</v>
      </c>
      <c r="BC318" s="112">
        <v>282.43400000000003</v>
      </c>
      <c r="BD318" s="112">
        <v>269.03399999999999</v>
      </c>
      <c r="BE318" s="113">
        <f>'[2]Argentina Soy Complex'!BE318</f>
        <v>175.68789551638872</v>
      </c>
      <c r="BF318" s="113">
        <f>'[2]Argentina Soy Complex'!BF318</f>
        <v>225.74351958605928</v>
      </c>
      <c r="BG318" s="113">
        <f>'[2]Argentina Soy Complex'!BG318</f>
        <v>124.55500000000001</v>
      </c>
      <c r="BH318" s="112">
        <v>124.55500000000001</v>
      </c>
      <c r="BI318" s="112">
        <v>89.662000000000006</v>
      </c>
      <c r="BJ318" s="114">
        <f>'[2]Argentina Soy Complex'!BJ318</f>
        <v>154.40241027744028</v>
      </c>
      <c r="BK318" s="114">
        <f>'[2]Argentina Soy Complex'!BK318</f>
        <v>138.34447395523503</v>
      </c>
      <c r="BL318" s="114">
        <f>'[2]Argentina Soy Complex'!BL318</f>
        <v>127.43439956788154</v>
      </c>
      <c r="BM318" s="114">
        <f>'[2]Argentina Soy Complex'!BM318</f>
        <v>140.21731680448212</v>
      </c>
      <c r="BN318" s="114">
        <f>'[2]Argentina Soy Complex'!BN318</f>
        <v>142.10447432396739</v>
      </c>
      <c r="BO318" s="114">
        <f>'[2]Argentina Soy Complex'!BO318</f>
        <v>140.50057230469258</v>
      </c>
      <c r="BP318" s="114">
        <f>'[2]Argentina Soy Complex'!BP318</f>
        <v>137.72025120318807</v>
      </c>
      <c r="BQ318" s="114">
        <f>'[2]Argentina Soy Complex'!BQ318</f>
        <v>137.59539338665653</v>
      </c>
      <c r="BR318" s="114">
        <f>'[2]Argentina Soy Complex'!BR318</f>
        <v>139.62759946920761</v>
      </c>
      <c r="BS318" s="114">
        <f>'[2]Argentina Soy Complex'!BS318</f>
        <v>139.50965647123334</v>
      </c>
      <c r="BT318" s="114">
        <f>'[2]Argentina Soy Complex'!BT318</f>
        <v>138.99069190106118</v>
      </c>
      <c r="BU318" s="114">
        <f>'[2]Argentina Soy Complex'!BU318</f>
        <v>138.68871840247451</v>
      </c>
    </row>
    <row r="319" spans="1:74">
      <c r="A319" s="4" t="s">
        <v>105</v>
      </c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2"/>
      <c r="AF319" s="112"/>
      <c r="AG319" s="112"/>
      <c r="AH319" s="112"/>
      <c r="AI319" s="112"/>
      <c r="AJ319" s="112"/>
      <c r="AK319" s="112"/>
      <c r="AL319" s="112"/>
      <c r="AM319" s="112"/>
      <c r="AN319" s="112"/>
      <c r="AO319" s="112"/>
      <c r="AP319" s="112"/>
      <c r="AQ319" s="112"/>
      <c r="AR319" s="112"/>
      <c r="AS319" s="113">
        <f t="shared" si="242"/>
        <v>19.289340101522843</v>
      </c>
      <c r="AT319" s="113">
        <f t="shared" si="242"/>
        <v>92.989847715736047</v>
      </c>
      <c r="AU319" s="113">
        <f t="shared" si="242"/>
        <v>125.81522842639593</v>
      </c>
      <c r="AV319" s="113">
        <f t="shared" si="242"/>
        <v>166.88527918781728</v>
      </c>
      <c r="AW319" s="113">
        <f t="shared" si="242"/>
        <v>227.21624365482234</v>
      </c>
      <c r="AX319" s="113">
        <f t="shared" si="242"/>
        <v>237.42030456852794</v>
      </c>
      <c r="AY319" s="113">
        <f t="shared" si="242"/>
        <v>196.26802030456855</v>
      </c>
      <c r="AZ319" s="112">
        <v>287.68200000000002</v>
      </c>
      <c r="BA319" s="112">
        <v>215.779</v>
      </c>
      <c r="BB319" s="112">
        <v>295.01299999999998</v>
      </c>
      <c r="BC319" s="112">
        <v>176.18700000000001</v>
      </c>
      <c r="BD319" s="112">
        <v>140.03899999999999</v>
      </c>
      <c r="BE319" s="113">
        <f>'[2]Argentina Soy Complex'!BE319</f>
        <v>110.57368988044614</v>
      </c>
      <c r="BF319" s="113">
        <f>'[2]Argentina Soy Complex'!BF319</f>
        <v>189.0876731321994</v>
      </c>
      <c r="BG319" s="113">
        <f>'[2]Argentina Soy Complex'!BG319</f>
        <v>118.468</v>
      </c>
      <c r="BH319" s="112">
        <v>118.468</v>
      </c>
      <c r="BI319" s="112">
        <v>95.436999999999998</v>
      </c>
      <c r="BJ319" s="114">
        <f>'[2]Argentina Soy Complex'!BJ319</f>
        <v>97.037974817822416</v>
      </c>
      <c r="BK319" s="114">
        <f>'[2]Argentina Soy Complex'!BK319</f>
        <v>103.07343857896196</v>
      </c>
      <c r="BL319" s="114">
        <f>'[2]Argentina Soy Complex'!BL319</f>
        <v>95.024167521512311</v>
      </c>
      <c r="BM319" s="114">
        <f>'[2]Argentina Soy Complex'!BM319</f>
        <v>100.75058473400858</v>
      </c>
      <c r="BN319" s="114">
        <f>'[2]Argentina Soy Complex'!BN319</f>
        <v>96.009953259042135</v>
      </c>
      <c r="BO319" s="114">
        <f>'[2]Argentina Soy Complex'!BO319</f>
        <v>98.379307099102974</v>
      </c>
      <c r="BP319" s="114">
        <f>'[2]Argentina Soy Complex'!BP319</f>
        <v>98.64743809472651</v>
      </c>
      <c r="BQ319" s="114">
        <f>'[2]Argentina Soy Complex'!BQ319</f>
        <v>97.762290575742256</v>
      </c>
      <c r="BR319" s="114">
        <f>'[2]Argentina Soy Complex'!BR319</f>
        <v>98.309950304401241</v>
      </c>
      <c r="BS319" s="114">
        <f>'[2]Argentina Soy Complex'!BS319</f>
        <v>97.821827706763699</v>
      </c>
      <c r="BT319" s="114">
        <f>'[2]Argentina Soy Complex'!BT319</f>
        <v>98.184147433114347</v>
      </c>
      <c r="BU319" s="114">
        <f>'[2]Argentina Soy Complex'!BU319</f>
        <v>98.14511653543164</v>
      </c>
    </row>
    <row r="320" spans="1:74">
      <c r="A320" s="4" t="s">
        <v>106</v>
      </c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2"/>
      <c r="AF320" s="112"/>
      <c r="AG320" s="112"/>
      <c r="AH320" s="112"/>
      <c r="AI320" s="112"/>
      <c r="AJ320" s="112"/>
      <c r="AK320" s="112"/>
      <c r="AL320" s="112"/>
      <c r="AM320" s="112"/>
      <c r="AN320" s="112"/>
      <c r="AO320" s="112"/>
      <c r="AP320" s="112"/>
      <c r="AQ320" s="112"/>
      <c r="AR320" s="112"/>
      <c r="AS320" s="113">
        <f t="shared" si="242"/>
        <v>26.937055837563452</v>
      </c>
      <c r="AT320" s="113">
        <f t="shared" si="242"/>
        <v>85.202030456852796</v>
      </c>
      <c r="AU320" s="113">
        <f t="shared" si="242"/>
        <v>139.59492385786803</v>
      </c>
      <c r="AV320" s="113">
        <f t="shared" si="242"/>
        <v>160.23857868020306</v>
      </c>
      <c r="AW320" s="113">
        <f t="shared" si="242"/>
        <v>211.60812182741117</v>
      </c>
      <c r="AX320" s="113">
        <f t="shared" si="242"/>
        <v>135.10761421319796</v>
      </c>
      <c r="AY320" s="113">
        <f t="shared" si="242"/>
        <v>227.98984771573603</v>
      </c>
      <c r="AZ320" s="112">
        <v>305.38099999999997</v>
      </c>
      <c r="BA320" s="112">
        <v>189.39</v>
      </c>
      <c r="BB320" s="112">
        <v>302.40100000000001</v>
      </c>
      <c r="BC320" s="112">
        <v>221.637</v>
      </c>
      <c r="BD320" s="112">
        <v>180.43100000000001</v>
      </c>
      <c r="BE320" s="113">
        <f>'[2]Argentina Soy Complex'!BE320</f>
        <v>109.70405612947468</v>
      </c>
      <c r="BF320" s="113">
        <f>'[2]Argentina Soy Complex'!BF320</f>
        <v>176.66699471072806</v>
      </c>
      <c r="BG320" s="113">
        <f>'[2]Argentina Soy Complex'!BG320</f>
        <v>118.056</v>
      </c>
      <c r="BH320" s="112">
        <v>118.056</v>
      </c>
      <c r="BI320" s="112">
        <v>92.710999999999999</v>
      </c>
      <c r="BJ320" s="114">
        <f>'[2]Argentina Soy Complex'!BJ320</f>
        <v>104.36709732894143</v>
      </c>
      <c r="BK320" s="114">
        <f>'[2]Argentina Soy Complex'!BK320</f>
        <v>99.763270740476898</v>
      </c>
      <c r="BL320" s="114">
        <f>'[2]Argentina Soy Complex'!BL320</f>
        <v>96.35895363847473</v>
      </c>
      <c r="BM320" s="114">
        <f>'[2]Argentina Soy Complex'!BM320</f>
        <v>106.92568472195509</v>
      </c>
      <c r="BN320" s="114">
        <f>'[2]Argentina Soy Complex'!BN320</f>
        <v>103.82027710925935</v>
      </c>
      <c r="BO320" s="114">
        <f>'[2]Argentina Soy Complex'!BO320</f>
        <v>102.24701205572221</v>
      </c>
      <c r="BP320" s="114">
        <f>'[2]Argentina Soy Complex'!BP320</f>
        <v>101.82298666302698</v>
      </c>
      <c r="BQ320" s="114">
        <f>'[2]Argentina Soy Complex'!BQ320</f>
        <v>102.23493270012456</v>
      </c>
      <c r="BR320" s="114">
        <f>'[2]Argentina Soy Complex'!BR320</f>
        <v>103.41017556992476</v>
      </c>
      <c r="BS320" s="114">
        <f>'[2]Argentina Soy Complex'!BS320</f>
        <v>102.70708047387457</v>
      </c>
      <c r="BT320" s="114">
        <f>'[2]Argentina Soy Complex'!BT320</f>
        <v>102.4844369088048</v>
      </c>
      <c r="BU320" s="114">
        <f>'[2]Argentina Soy Complex'!BU320</f>
        <v>102.53192048486534</v>
      </c>
    </row>
    <row r="321" spans="1:83">
      <c r="A321" s="4" t="s">
        <v>107</v>
      </c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2"/>
      <c r="AF321" s="112"/>
      <c r="AG321" s="112"/>
      <c r="AH321" s="112"/>
      <c r="AI321" s="112"/>
      <c r="AJ321" s="112"/>
      <c r="AK321" s="112"/>
      <c r="AL321" s="112"/>
      <c r="AM321" s="112"/>
      <c r="AN321" s="112"/>
      <c r="AO321" s="112"/>
      <c r="AP321" s="112"/>
      <c r="AQ321" s="112"/>
      <c r="AR321" s="112"/>
      <c r="AS321" s="113">
        <f t="shared" si="242"/>
        <v>25.380710659898476</v>
      </c>
      <c r="AT321" s="113">
        <f t="shared" si="242"/>
        <v>98.912690355329957</v>
      </c>
      <c r="AU321" s="113">
        <f t="shared" si="242"/>
        <v>132.6030456852792</v>
      </c>
      <c r="AV321" s="113">
        <f t="shared" si="242"/>
        <v>183.34314720812182</v>
      </c>
      <c r="AW321" s="113">
        <f t="shared" si="242"/>
        <v>238.56751269035533</v>
      </c>
      <c r="AX321" s="113">
        <f t="shared" si="242"/>
        <v>140.10964467005078</v>
      </c>
      <c r="AY321" s="113">
        <f t="shared" si="242"/>
        <v>249.1756345177665</v>
      </c>
      <c r="AZ321" s="112">
        <v>319.24400000000003</v>
      </c>
      <c r="BA321" s="112">
        <v>206.73099999999999</v>
      </c>
      <c r="BB321" s="112">
        <v>303.649</v>
      </c>
      <c r="BC321" s="112">
        <v>303.17099999999999</v>
      </c>
      <c r="BD321" s="112">
        <v>137.56399999999999</v>
      </c>
      <c r="BE321" s="113">
        <f>'[2]Argentina Soy Complex'!BE321</f>
        <v>12.715342211800877</v>
      </c>
      <c r="BF321" s="113">
        <f>'[2]Argentina Soy Complex'!BF321</f>
        <v>152.71717653081743</v>
      </c>
      <c r="BG321" s="113">
        <f>'[2]Argentina Soy Complex'!BG321</f>
        <v>207.33600000000001</v>
      </c>
      <c r="BH321" s="112">
        <v>207.33600000000001</v>
      </c>
      <c r="BI321" s="112">
        <v>59.948999999999998</v>
      </c>
      <c r="BJ321" s="114">
        <f>'[2]Argentina Soy Complex'!BJ321</f>
        <v>113.99765307342734</v>
      </c>
      <c r="BK321" s="114">
        <f>'[2]Argentina Soy Complex'!BK321</f>
        <v>122.52791572968708</v>
      </c>
      <c r="BL321" s="114">
        <f>'[2]Argentina Soy Complex'!BL321</f>
        <v>119.52230439191878</v>
      </c>
      <c r="BM321" s="114">
        <f>'[2]Argentina Soy Complex'!BM321</f>
        <v>109.46646083071343</v>
      </c>
      <c r="BN321" s="114">
        <f>'[2]Argentina Soy Complex'!BN321</f>
        <v>112.529764532315</v>
      </c>
      <c r="BO321" s="114">
        <f>'[2]Argentina Soy Complex'!BO321</f>
        <v>115.60872868338785</v>
      </c>
      <c r="BP321" s="114">
        <f>'[2]Argentina Soy Complex'!BP321</f>
        <v>115.93104962251932</v>
      </c>
      <c r="BQ321" s="114">
        <f>'[2]Argentina Soy Complex'!BQ321</f>
        <v>114.61163414735537</v>
      </c>
      <c r="BR321" s="114">
        <f>'[2]Argentina Soy Complex'!BR321</f>
        <v>113.62950381253911</v>
      </c>
      <c r="BS321" s="114">
        <f>'[2]Argentina Soy Complex'!BS321</f>
        <v>114.46213499302945</v>
      </c>
      <c r="BT321" s="114">
        <f>'[2]Argentina Soy Complex'!BT321</f>
        <v>114.84860558612392</v>
      </c>
      <c r="BU321" s="114">
        <f>'[2]Argentina Soy Complex'!BU321</f>
        <v>114.69658581197798</v>
      </c>
    </row>
    <row r="322" spans="1:83">
      <c r="A322" s="4" t="s">
        <v>108</v>
      </c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2"/>
      <c r="AF322" s="112"/>
      <c r="AG322" s="112"/>
      <c r="AH322" s="112"/>
      <c r="AI322" s="112"/>
      <c r="AJ322" s="112"/>
      <c r="AK322" s="112"/>
      <c r="AL322" s="112"/>
      <c r="AM322" s="112"/>
      <c r="AN322" s="112"/>
      <c r="AO322" s="112"/>
      <c r="AP322" s="112"/>
      <c r="AQ322" s="112"/>
      <c r="AR322" s="112"/>
      <c r="AS322" s="113">
        <f t="shared" si="242"/>
        <v>23.350253807106601</v>
      </c>
      <c r="AT322" s="113">
        <f t="shared" si="242"/>
        <v>80.741116751269033</v>
      </c>
      <c r="AU322" s="113">
        <f t="shared" si="242"/>
        <v>133.45989847715737</v>
      </c>
      <c r="AV322" s="113">
        <f t="shared" si="242"/>
        <v>180.28324873096449</v>
      </c>
      <c r="AW322" s="113">
        <f t="shared" si="242"/>
        <v>213.09644670050761</v>
      </c>
      <c r="AX322" s="113">
        <f t="shared" si="242"/>
        <v>155.58172588832485</v>
      </c>
      <c r="AY322" s="113">
        <f t="shared" si="242"/>
        <v>221.36649746192893</v>
      </c>
      <c r="AZ322" s="112">
        <v>251.8</v>
      </c>
      <c r="BA322" s="112">
        <v>189.14099999999999</v>
      </c>
      <c r="BB322" s="112">
        <v>290.33600000000001</v>
      </c>
      <c r="BC322" s="112">
        <v>312.959</v>
      </c>
      <c r="BD322" s="112">
        <v>268.61200000000002</v>
      </c>
      <c r="BE322" s="113">
        <f>'[2]Argentina Soy Complex'!BE322</f>
        <v>29.288969693803484</v>
      </c>
      <c r="BF322" s="113">
        <f>'[2]Argentina Soy Complex'!BF322</f>
        <v>103.34946262702745</v>
      </c>
      <c r="BG322" s="113">
        <f>'[2]Argentina Soy Complex'!BG322</f>
        <v>170.25</v>
      </c>
      <c r="BH322" s="112">
        <v>170.25</v>
      </c>
      <c r="BI322" s="112">
        <v>32.445999999999998</v>
      </c>
      <c r="BJ322" s="114">
        <f>'[2]Argentina Soy Complex'!BJ322</f>
        <v>81.407389249270423</v>
      </c>
      <c r="BK322" s="114">
        <f>'[2]Argentina Soy Complex'!BK322</f>
        <v>89.006521643634898</v>
      </c>
      <c r="BL322" s="114">
        <f>'[2]Argentina Soy Complex'!BL322</f>
        <v>105.5295683077305</v>
      </c>
      <c r="BM322" s="114">
        <f>'[2]Argentina Soy Complex'!BM322</f>
        <v>88.023804028594725</v>
      </c>
      <c r="BN322" s="114">
        <f>'[2]Argentina Soy Complex'!BN322</f>
        <v>88.877062917012466</v>
      </c>
      <c r="BO322" s="114">
        <f>'[2]Argentina Soy Complex'!BO322</f>
        <v>90.568898596349101</v>
      </c>
      <c r="BP322" s="114">
        <f>'[2]Argentina Soy Complex'!BP322</f>
        <v>92.401197436989065</v>
      </c>
      <c r="BQ322" s="114">
        <f>'[2]Argentina Soy Complex'!BQ322</f>
        <v>93.080107550748892</v>
      </c>
      <c r="BR322" s="114">
        <f>'[2]Argentina Soy Complex'!BR322</f>
        <v>90.590211764236457</v>
      </c>
      <c r="BS322" s="114">
        <f>'[2]Argentina Soy Complex'!BS322</f>
        <v>91.103496049142379</v>
      </c>
      <c r="BT322" s="114">
        <f>'[2]Argentina Soy Complex'!BT322</f>
        <v>91.54878324632287</v>
      </c>
      <c r="BU322" s="114">
        <f>'[2]Argentina Soy Complex'!BU322</f>
        <v>91.744760189949091</v>
      </c>
    </row>
    <row r="323" spans="1:83">
      <c r="A323" s="4" t="s">
        <v>109</v>
      </c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2"/>
      <c r="AF323" s="112"/>
      <c r="AG323" s="112"/>
      <c r="AH323" s="112"/>
      <c r="AI323" s="112"/>
      <c r="AJ323" s="112"/>
      <c r="AK323" s="112"/>
      <c r="AL323" s="112"/>
      <c r="AM323" s="112"/>
      <c r="AN323" s="112"/>
      <c r="AO323" s="112"/>
      <c r="AP323" s="112"/>
      <c r="AQ323" s="112"/>
      <c r="AR323" s="112"/>
      <c r="AS323" s="113">
        <f t="shared" si="242"/>
        <v>67.335025380710661</v>
      </c>
      <c r="AT323" s="113">
        <f t="shared" si="242"/>
        <v>13.35228426395939</v>
      </c>
      <c r="AU323" s="113">
        <f t="shared" si="242"/>
        <v>114.90558375634518</v>
      </c>
      <c r="AV323" s="113">
        <f t="shared" si="242"/>
        <v>155.69340101522843</v>
      </c>
      <c r="AW323" s="113">
        <f t="shared" si="242"/>
        <v>222.68223350253808</v>
      </c>
      <c r="AX323" s="113">
        <f t="shared" si="242"/>
        <v>137.35939086294417</v>
      </c>
      <c r="AY323" s="113">
        <f t="shared" si="242"/>
        <v>111.39796954314721</v>
      </c>
      <c r="AZ323" s="112">
        <v>173.08699999999999</v>
      </c>
      <c r="BA323" s="112">
        <v>82.311999999999998</v>
      </c>
      <c r="BB323" s="112">
        <v>160.00800000000001</v>
      </c>
      <c r="BC323" s="112">
        <v>274.93099999999998</v>
      </c>
      <c r="BD323" s="112">
        <v>110.908</v>
      </c>
      <c r="BE323" s="113">
        <f>'[2]Argentina Soy Complex'!BE323</f>
        <v>9.3976672028478045</v>
      </c>
      <c r="BF323" s="113">
        <f>'[2]Argentina Soy Complex'!BF323</f>
        <v>148.00934149363081</v>
      </c>
      <c r="BG323" s="113">
        <f>'[2]Argentina Soy Complex'!BG323</f>
        <v>102.494</v>
      </c>
      <c r="BH323" s="112">
        <v>102.494</v>
      </c>
      <c r="BI323" s="112">
        <v>22.414000000000001</v>
      </c>
      <c r="BJ323" s="114">
        <f>'[2]Argentina Soy Complex'!BJ323</f>
        <v>61.956570345384478</v>
      </c>
      <c r="BK323" s="114">
        <f>'[2]Argentina Soy Complex'!BK323</f>
        <v>62.887642944006096</v>
      </c>
      <c r="BL323" s="114">
        <f>'[2]Argentina Soy Complex'!BL323</f>
        <v>69.192005571113086</v>
      </c>
      <c r="BM323" s="114">
        <f>'[2]Argentina Soy Complex'!BM323</f>
        <v>63.060121333186572</v>
      </c>
      <c r="BN323" s="114">
        <f>'[2]Argentina Soy Complex'!BN323</f>
        <v>69.233787872832082</v>
      </c>
      <c r="BO323" s="114">
        <f>'[2]Argentina Soy Complex'!BO323</f>
        <v>65.26594649837844</v>
      </c>
      <c r="BP323" s="114">
        <f>'[2]Argentina Soy Complex'!BP323</f>
        <v>65.927817196924067</v>
      </c>
      <c r="BQ323" s="114">
        <f>'[2]Argentina Soy Complex'!BQ323</f>
        <v>66.536052926939476</v>
      </c>
      <c r="BR323" s="114">
        <f>'[2]Argentina Soy Complex'!BR323</f>
        <v>66.004743835521438</v>
      </c>
      <c r="BS323" s="114">
        <f>'[2]Argentina Soy Complex'!BS323</f>
        <v>66.593699515346955</v>
      </c>
      <c r="BT323" s="114">
        <f>'[2]Argentina Soy Complex'!BT323</f>
        <v>66.0656569644445</v>
      </c>
      <c r="BU323" s="114">
        <f>'[2]Argentina Soy Complex'!BU323</f>
        <v>66.225599018155506</v>
      </c>
    </row>
    <row r="324" spans="1:83">
      <c r="A324" s="4" t="s">
        <v>110</v>
      </c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2"/>
      <c r="AF324" s="112"/>
      <c r="AG324" s="112"/>
      <c r="AH324" s="112"/>
      <c r="AI324" s="112"/>
      <c r="AJ324" s="112"/>
      <c r="AK324" s="112"/>
      <c r="AL324" s="112"/>
      <c r="AM324" s="112"/>
      <c r="AN324" s="112"/>
      <c r="AO324" s="112"/>
      <c r="AP324" s="112"/>
      <c r="AQ324" s="112"/>
      <c r="AR324" s="112"/>
      <c r="AS324" s="113">
        <f t="shared" si="242"/>
        <v>48.143045685279191</v>
      </c>
      <c r="AT324" s="113">
        <f t="shared" si="242"/>
        <v>18.634517766497463</v>
      </c>
      <c r="AU324" s="113">
        <f t="shared" si="242"/>
        <v>142.38274111675128</v>
      </c>
      <c r="AV324" s="113">
        <f t="shared" si="242"/>
        <v>154.16040609137056</v>
      </c>
      <c r="AW324" s="113">
        <f t="shared" si="242"/>
        <v>261.86091370558376</v>
      </c>
      <c r="AX324" s="113">
        <f t="shared" si="242"/>
        <v>160.91269035532994</v>
      </c>
      <c r="AY324" s="112">
        <v>145.809</v>
      </c>
      <c r="AZ324" s="112">
        <v>139.48599999999999</v>
      </c>
      <c r="BA324" s="112">
        <v>106.28400000000001</v>
      </c>
      <c r="BB324" s="112">
        <v>196.50899999999999</v>
      </c>
      <c r="BC324" s="112">
        <v>252.654</v>
      </c>
      <c r="BD324" s="112">
        <v>87.147000000000006</v>
      </c>
      <c r="BE324" s="113">
        <f>'[2]Argentina Soy Complex'!BE324</f>
        <v>29.071408128199522</v>
      </c>
      <c r="BF324" s="113">
        <f>'[2]Argentina Soy Complex'!BF324</f>
        <v>195.47300000000001</v>
      </c>
      <c r="BG324" s="112">
        <v>195.47300000000001</v>
      </c>
      <c r="BH324" s="112">
        <v>63.1</v>
      </c>
      <c r="BI324" s="114">
        <f>'[2]Argentina Soy Complex'!BI324</f>
        <v>99.94512607978146</v>
      </c>
      <c r="BJ324" s="114">
        <f>'[2]Argentina Soy Complex'!BJ324</f>
        <v>93.431588562034165</v>
      </c>
      <c r="BK324" s="114">
        <f>'[2]Argentina Soy Complex'!BK324</f>
        <v>97.674846387025184</v>
      </c>
      <c r="BL324" s="114">
        <f>'[2]Argentina Soy Complex'!BL324</f>
        <v>85.092492230871741</v>
      </c>
      <c r="BM324" s="114">
        <f>'[2]Argentina Soy Complex'!BM324</f>
        <v>90.002717896849603</v>
      </c>
      <c r="BN324" s="114">
        <f>'[2]Argentina Soy Complex'!BN324</f>
        <v>89.777287506930776</v>
      </c>
      <c r="BO324" s="114">
        <f>'[2]Argentina Soy Complex'!BO324</f>
        <v>91.196048395494444</v>
      </c>
      <c r="BP324" s="114">
        <f>'[2]Argentina Soy Complex'!BP324</f>
        <v>90.748722220829777</v>
      </c>
      <c r="BQ324" s="114">
        <f>'[2]Argentina Soy Complex'!BQ324</f>
        <v>89.363457928779383</v>
      </c>
      <c r="BR324" s="114">
        <f>'[2]Argentina Soy Complex'!BR324</f>
        <v>90.217639842338258</v>
      </c>
      <c r="BS324" s="114">
        <f>'[2]Argentina Soy Complex'!BS324</f>
        <v>90.260637192884943</v>
      </c>
      <c r="BT324" s="114">
        <f>'[2]Argentina Soy Complex'!BT324</f>
        <v>90.357309632548237</v>
      </c>
      <c r="BU324" s="114">
        <f>'[2]Argentina Soy Complex'!BU324</f>
        <v>90.189549815930889</v>
      </c>
    </row>
    <row r="325" spans="1:83">
      <c r="A325" s="4" t="s">
        <v>111</v>
      </c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2"/>
      <c r="AF325" s="112"/>
      <c r="AG325" s="112"/>
      <c r="AH325" s="112"/>
      <c r="AI325" s="112"/>
      <c r="AJ325" s="112"/>
      <c r="AK325" s="112"/>
      <c r="AL325" s="112"/>
      <c r="AM325" s="112"/>
      <c r="AN325" s="112"/>
      <c r="AO325" s="112"/>
      <c r="AP325" s="112"/>
      <c r="AQ325" s="112"/>
      <c r="AR325" s="112"/>
      <c r="AS325" s="113">
        <f t="shared" si="242"/>
        <v>39.337055837563454</v>
      </c>
      <c r="AT325" s="113">
        <f t="shared" si="242"/>
        <v>48.398984771573609</v>
      </c>
      <c r="AU325" s="113">
        <f t="shared" si="242"/>
        <v>114.22131979695432</v>
      </c>
      <c r="AV325" s="113">
        <f t="shared" si="242"/>
        <v>142.50050761421321</v>
      </c>
      <c r="AW325" s="113">
        <f t="shared" si="242"/>
        <v>243.65786802030456</v>
      </c>
      <c r="AX325" s="113">
        <f t="shared" si="242"/>
        <v>115.4771573604061</v>
      </c>
      <c r="AY325" s="112">
        <v>136.94</v>
      </c>
      <c r="AZ325" s="112">
        <v>103.029</v>
      </c>
      <c r="BA325" s="112">
        <v>156.55199999999999</v>
      </c>
      <c r="BB325" s="112">
        <v>168.16200000000001</v>
      </c>
      <c r="BC325" s="112">
        <v>162.863</v>
      </c>
      <c r="BD325" s="112">
        <v>97.007999999999996</v>
      </c>
      <c r="BE325" s="113">
        <f>'[2]Argentina Soy Complex'!BE325</f>
        <v>170.55312280159106</v>
      </c>
      <c r="BF325" s="113">
        <f>'[2]Argentina Soy Complex'!BF325</f>
        <v>183.16800000000001</v>
      </c>
      <c r="BG325" s="112">
        <v>183.16800000000001</v>
      </c>
      <c r="BH325" s="112">
        <v>46.451999999999998</v>
      </c>
      <c r="BI325" s="114">
        <f>'[2]Argentina Soy Complex'!BI325</f>
        <v>109.00760361504682</v>
      </c>
      <c r="BJ325" s="114">
        <f>'[2]Argentina Soy Complex'!BJ325</f>
        <v>96.388917470306964</v>
      </c>
      <c r="BK325" s="114">
        <f>'[2]Argentina Soy Complex'!BK325</f>
        <v>92.308809491482279</v>
      </c>
      <c r="BL325" s="114">
        <f>'[2]Argentina Soy Complex'!BL325</f>
        <v>76.056660527999583</v>
      </c>
      <c r="BM325" s="114">
        <f>'[2]Argentina Soy Complex'!BM325</f>
        <v>87.018450287722175</v>
      </c>
      <c r="BN325" s="114">
        <f>'[2]Argentina Soy Complex'!BN325</f>
        <v>88.687738981842969</v>
      </c>
      <c r="BO325" s="114">
        <f>'[2]Argentina Soy Complex'!BO325</f>
        <v>88.092500278592965</v>
      </c>
      <c r="BP325" s="114">
        <f>'[2]Argentina Soy Complex'!BP325</f>
        <v>86.432882170084184</v>
      </c>
      <c r="BQ325" s="114">
        <f>'[2]Argentina Soy Complex'!BQ325</f>
        <v>85.25764742980563</v>
      </c>
      <c r="BR325" s="114">
        <f>'[2]Argentina Soy Complex'!BR325</f>
        <v>87.097839284544591</v>
      </c>
      <c r="BS325" s="114">
        <f>'[2]Argentina Soy Complex'!BS325</f>
        <v>87.113731158360778</v>
      </c>
      <c r="BT325" s="114">
        <f>'[2]Argentina Soy Complex'!BT325</f>
        <v>86.798932017796531</v>
      </c>
      <c r="BU325" s="114">
        <f>'[2]Argentina Soy Complex'!BU325</f>
        <v>86.540201842961778</v>
      </c>
    </row>
    <row r="326" spans="1:83">
      <c r="A326" s="4" t="s">
        <v>112</v>
      </c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2"/>
      <c r="AF326" s="112"/>
      <c r="AG326" s="112"/>
      <c r="AH326" s="112"/>
      <c r="AI326" s="112"/>
      <c r="AJ326" s="112"/>
      <c r="AK326" s="112"/>
      <c r="AL326" s="112"/>
      <c r="AM326" s="112"/>
      <c r="AN326" s="112"/>
      <c r="AO326" s="112"/>
      <c r="AP326" s="112"/>
      <c r="AQ326" s="112"/>
      <c r="AR326" s="112"/>
      <c r="AS326" s="113">
        <f t="shared" si="242"/>
        <v>42.736040609137056</v>
      </c>
      <c r="AT326" s="113">
        <f t="shared" si="242"/>
        <v>77.830456852791869</v>
      </c>
      <c r="AU326" s="113">
        <f t="shared" si="242"/>
        <v>109.57258883248731</v>
      </c>
      <c r="AV326" s="113">
        <f t="shared" si="242"/>
        <v>190.6730964467005</v>
      </c>
      <c r="AW326" s="113">
        <f t="shared" si="242"/>
        <v>215.73502538071065</v>
      </c>
      <c r="AX326" s="113">
        <f t="shared" si="242"/>
        <v>119.45583756345178</v>
      </c>
      <c r="AY326" s="112">
        <v>125.41500000000001</v>
      </c>
      <c r="AZ326" s="112">
        <v>100.61199999999999</v>
      </c>
      <c r="BA326" s="112">
        <v>151.44200000000001</v>
      </c>
      <c r="BB326" s="112">
        <v>178.465</v>
      </c>
      <c r="BC326" s="112">
        <v>184.501</v>
      </c>
      <c r="BD326" s="112">
        <v>205.91800000000001</v>
      </c>
      <c r="BE326" s="113">
        <f>'[2]Argentina Soy Complex'!BE326</f>
        <v>131.07880342237269</v>
      </c>
      <c r="BF326" s="113">
        <f>'[2]Argentina Soy Complex'!BF326</f>
        <v>178.65799999999999</v>
      </c>
      <c r="BG326" s="112">
        <v>178.65799999999999</v>
      </c>
      <c r="BH326" s="112">
        <v>104.11199999999999</v>
      </c>
      <c r="BI326" s="114">
        <f>'[2]Argentina Soy Complex'!BI326</f>
        <v>172.63421653063213</v>
      </c>
      <c r="BJ326" s="114">
        <f>'[2]Argentina Soy Complex'!BJ326</f>
        <v>101.05274254574969</v>
      </c>
      <c r="BK326" s="114">
        <f>'[2]Argentina Soy Complex'!BK326</f>
        <v>92.697649250304266</v>
      </c>
      <c r="BL326" s="114">
        <f>'[2]Argentina Soy Complex'!BL326</f>
        <v>91.769465418068421</v>
      </c>
      <c r="BM326" s="114">
        <f>'[2]Argentina Soy Complex'!BM326</f>
        <v>106.12802433623303</v>
      </c>
      <c r="BN326" s="114">
        <f>'[2]Argentina Soy Complex'!BN326</f>
        <v>108.27502656584426</v>
      </c>
      <c r="BO326" s="114">
        <f>'[2]Argentina Soy Complex'!BO326</f>
        <v>99.984631343983068</v>
      </c>
      <c r="BP326" s="114">
        <f>'[2]Argentina Soy Complex'!BP326</f>
        <v>99.77100186395154</v>
      </c>
      <c r="BQ326" s="114">
        <f>'[2]Argentina Soy Complex'!BQ326</f>
        <v>101.18563339396182</v>
      </c>
      <c r="BR326" s="114">
        <f>'[2]Argentina Soy Complex'!BR326</f>
        <v>103.06887235688274</v>
      </c>
      <c r="BS326" s="114">
        <f>'[2]Argentina Soy Complex'!BS326</f>
        <v>102.45703260450406</v>
      </c>
      <c r="BT326" s="114">
        <f>'[2]Argentina Soy Complex'!BT326</f>
        <v>101.29343658797313</v>
      </c>
      <c r="BU326" s="114">
        <f>'[2]Argentina Soy Complex'!BU326</f>
        <v>101.55519761466051</v>
      </c>
    </row>
    <row r="327" spans="1:83" ht="15.75" thickBot="1">
      <c r="A327" s="4" t="s">
        <v>113</v>
      </c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2"/>
      <c r="AF327" s="112"/>
      <c r="AG327" s="112"/>
      <c r="AH327" s="112"/>
      <c r="AI327" s="112"/>
      <c r="AJ327" s="112"/>
      <c r="AK327" s="112"/>
      <c r="AL327" s="112"/>
      <c r="AM327" s="112"/>
      <c r="AN327" s="112"/>
      <c r="AO327" s="112"/>
      <c r="AP327" s="112"/>
      <c r="AQ327" s="112"/>
      <c r="AR327" s="112"/>
      <c r="AS327" s="114">
        <f t="shared" ref="AS327:BO327" si="243">SUM(AS315:AS326)</f>
        <v>300.63035532994923</v>
      </c>
      <c r="AT327" s="114">
        <f t="shared" si="243"/>
        <v>737.55736040609133</v>
      </c>
      <c r="AU327" s="114">
        <f t="shared" si="243"/>
        <v>1418.4172588832487</v>
      </c>
      <c r="AV327" s="114">
        <f t="shared" si="243"/>
        <v>1969.2649746192892</v>
      </c>
      <c r="AW327" s="114">
        <f t="shared" si="243"/>
        <v>2700.8883248730972</v>
      </c>
      <c r="AX327" s="114">
        <f t="shared" si="243"/>
        <v>2168.5796954314719</v>
      </c>
      <c r="AY327" s="114">
        <f t="shared" si="243"/>
        <v>2040.5508020304567</v>
      </c>
      <c r="AZ327" s="112">
        <f t="shared" si="243"/>
        <v>2607.712</v>
      </c>
      <c r="BA327" s="112">
        <f t="shared" si="243"/>
        <v>1947.306</v>
      </c>
      <c r="BB327" s="112">
        <f t="shared" si="243"/>
        <v>2880.5719999999997</v>
      </c>
      <c r="BC327" s="112">
        <f t="shared" si="243"/>
        <v>3028.7049999999999</v>
      </c>
      <c r="BD327" s="112">
        <f t="shared" si="243"/>
        <v>2306.0909999999999</v>
      </c>
      <c r="BE327" s="113">
        <f t="shared" si="243"/>
        <v>1482.675776661363</v>
      </c>
      <c r="BF327" s="113">
        <f t="shared" si="243"/>
        <v>2011.4263993456452</v>
      </c>
      <c r="BG327" s="112">
        <f t="shared" si="243"/>
        <v>1974.8079999999995</v>
      </c>
      <c r="BH327" s="112">
        <f t="shared" si="243"/>
        <v>1631.1729999999998</v>
      </c>
      <c r="BI327" s="114">
        <f t="shared" si="243"/>
        <v>1030.9519462254605</v>
      </c>
      <c r="BJ327" s="114">
        <f t="shared" si="243"/>
        <v>1242.4292678070371</v>
      </c>
      <c r="BK327" s="114">
        <f t="shared" si="243"/>
        <v>1242.4191424982773</v>
      </c>
      <c r="BL327" s="114">
        <f t="shared" si="243"/>
        <v>1242.3618302372313</v>
      </c>
      <c r="BM327" s="114">
        <f t="shared" si="243"/>
        <v>1242.4351647722824</v>
      </c>
      <c r="BN327" s="114">
        <f t="shared" si="243"/>
        <v>1242.4456809371466</v>
      </c>
      <c r="BO327" s="114">
        <f t="shared" si="243"/>
        <v>1242.4188106486406</v>
      </c>
      <c r="BP327" s="114">
        <f t="shared" ref="BP327:BU327" si="244">SUM(BP315:BP326)</f>
        <v>1242.416275698112</v>
      </c>
      <c r="BQ327" s="114">
        <f t="shared" si="244"/>
        <v>1242.4156776883831</v>
      </c>
      <c r="BR327" s="114">
        <f t="shared" si="244"/>
        <v>1242.4263130099289</v>
      </c>
      <c r="BS327" s="114">
        <f t="shared" si="244"/>
        <v>1242.4246518181158</v>
      </c>
      <c r="BT327" s="114">
        <f t="shared" si="244"/>
        <v>1242.4203507370075</v>
      </c>
      <c r="BU327" s="114">
        <f t="shared" si="244"/>
        <v>1242.4206434307214</v>
      </c>
    </row>
    <row r="328" spans="1:83">
      <c r="A328" s="60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2"/>
      <c r="AT328" s="62"/>
      <c r="AU328" s="62"/>
      <c r="AV328" s="62"/>
      <c r="AW328" s="62"/>
      <c r="AX328" s="62"/>
      <c r="AY328" s="62"/>
      <c r="AZ328" s="62"/>
      <c r="BA328" s="62"/>
      <c r="BB328" s="62"/>
      <c r="BC328" s="62"/>
      <c r="BD328" s="62"/>
      <c r="BE328" s="62"/>
      <c r="BF328" s="62"/>
      <c r="BG328" s="62"/>
      <c r="BH328" s="62"/>
      <c r="BI328" s="62"/>
      <c r="BJ328" s="62"/>
      <c r="BK328" s="62"/>
      <c r="BL328" s="62"/>
      <c r="BM328" s="62"/>
      <c r="BN328" s="62"/>
      <c r="BO328" s="62"/>
      <c r="BP328" s="62"/>
      <c r="BQ328" s="62"/>
      <c r="BR328" s="62"/>
      <c r="BS328" s="62"/>
      <c r="BT328" s="62"/>
      <c r="BU328" s="62"/>
    </row>
    <row r="329" spans="1:83" ht="15.75" thickBot="1">
      <c r="A329" s="53" t="s">
        <v>154</v>
      </c>
    </row>
    <row r="330" spans="1:83" s="4" customFormat="1" ht="15.75" thickBot="1">
      <c r="A330" s="54"/>
      <c r="B330" s="63" t="s">
        <v>1</v>
      </c>
      <c r="C330" s="63" t="s">
        <v>2</v>
      </c>
      <c r="D330" s="63" t="s">
        <v>3</v>
      </c>
      <c r="E330" s="63" t="s">
        <v>4</v>
      </c>
      <c r="F330" s="63" t="s">
        <v>5</v>
      </c>
      <c r="G330" s="63" t="s">
        <v>6</v>
      </c>
      <c r="H330" s="63" t="s">
        <v>7</v>
      </c>
      <c r="I330" s="63" t="s">
        <v>8</v>
      </c>
      <c r="J330" s="63" t="s">
        <v>9</v>
      </c>
      <c r="K330" s="63" t="s">
        <v>10</v>
      </c>
      <c r="L330" s="63" t="s">
        <v>11</v>
      </c>
      <c r="M330" s="55" t="s">
        <v>12</v>
      </c>
      <c r="N330" s="55" t="s">
        <v>13</v>
      </c>
      <c r="O330" s="55" t="s">
        <v>14</v>
      </c>
      <c r="P330" s="55" t="s">
        <v>15</v>
      </c>
      <c r="Q330" s="55" t="s">
        <v>16</v>
      </c>
      <c r="R330" s="55" t="s">
        <v>17</v>
      </c>
      <c r="S330" s="55" t="s">
        <v>18</v>
      </c>
      <c r="T330" s="55" t="s">
        <v>19</v>
      </c>
      <c r="U330" s="55" t="s">
        <v>20</v>
      </c>
      <c r="V330" s="55" t="s">
        <v>21</v>
      </c>
      <c r="W330" s="55" t="s">
        <v>22</v>
      </c>
      <c r="X330" s="55" t="s">
        <v>23</v>
      </c>
      <c r="Y330" s="55" t="s">
        <v>24</v>
      </c>
      <c r="Z330" s="55" t="s">
        <v>25</v>
      </c>
      <c r="AA330" s="55" t="s">
        <v>26</v>
      </c>
      <c r="AB330" s="55" t="s">
        <v>27</v>
      </c>
      <c r="AC330" s="55" t="s">
        <v>28</v>
      </c>
      <c r="AD330" s="55" t="s">
        <v>29</v>
      </c>
      <c r="AE330" s="55" t="s">
        <v>30</v>
      </c>
      <c r="AF330" s="55" t="s">
        <v>31</v>
      </c>
      <c r="AG330" s="55" t="s">
        <v>32</v>
      </c>
      <c r="AH330" s="55" t="s">
        <v>33</v>
      </c>
      <c r="AI330" s="55" t="s">
        <v>34</v>
      </c>
      <c r="AJ330" s="55" t="s">
        <v>35</v>
      </c>
      <c r="AK330" s="55" t="s">
        <v>36</v>
      </c>
      <c r="AL330" s="55" t="s">
        <v>37</v>
      </c>
      <c r="AM330" s="55" t="s">
        <v>38</v>
      </c>
      <c r="AN330" s="55" t="s">
        <v>39</v>
      </c>
      <c r="AO330" s="55" t="s">
        <v>40</v>
      </c>
      <c r="AP330" s="55" t="s">
        <v>41</v>
      </c>
      <c r="AQ330" s="55" t="s">
        <v>42</v>
      </c>
      <c r="AR330" s="55" t="s">
        <v>43</v>
      </c>
      <c r="AS330" s="55" t="s">
        <v>44</v>
      </c>
      <c r="AT330" s="55" t="s">
        <v>45</v>
      </c>
      <c r="AU330" s="55" t="s">
        <v>46</v>
      </c>
      <c r="AV330" s="55" t="s">
        <v>47</v>
      </c>
      <c r="AW330" s="55" t="s">
        <v>48</v>
      </c>
      <c r="AX330" s="55" t="s">
        <v>49</v>
      </c>
      <c r="AY330" s="55" t="s">
        <v>50</v>
      </c>
      <c r="AZ330" s="55" t="s">
        <v>51</v>
      </c>
      <c r="BA330" s="55" t="s">
        <v>52</v>
      </c>
      <c r="BB330" s="55" t="s">
        <v>53</v>
      </c>
      <c r="BC330" s="55" t="s">
        <v>54</v>
      </c>
      <c r="BD330" s="55" t="s">
        <v>55</v>
      </c>
      <c r="BE330" s="55" t="s">
        <v>56</v>
      </c>
      <c r="BF330" s="55" t="s">
        <v>57</v>
      </c>
      <c r="BG330" s="55" t="str">
        <f t="shared" ref="BG330:BU330" si="245">BH2</f>
        <v>22/23</v>
      </c>
      <c r="BH330" s="55" t="str">
        <f t="shared" si="245"/>
        <v>23/24</v>
      </c>
      <c r="BI330" s="55" t="str">
        <f t="shared" si="245"/>
        <v>24/25</v>
      </c>
      <c r="BJ330" s="55" t="str">
        <f t="shared" si="245"/>
        <v>25/26</v>
      </c>
      <c r="BK330" s="55" t="str">
        <f t="shared" si="245"/>
        <v>26/27</v>
      </c>
      <c r="BL330" s="55" t="str">
        <f t="shared" si="245"/>
        <v>27/28</v>
      </c>
      <c r="BM330" s="55" t="str">
        <f t="shared" si="245"/>
        <v>28/29</v>
      </c>
      <c r="BN330" s="55" t="str">
        <f t="shared" si="245"/>
        <v>29/30</v>
      </c>
      <c r="BO330" s="55" t="str">
        <f t="shared" si="245"/>
        <v>30/31</v>
      </c>
      <c r="BP330" s="55" t="str">
        <f t="shared" si="245"/>
        <v>31/32</v>
      </c>
      <c r="BQ330" s="55" t="str">
        <f t="shared" si="245"/>
        <v>32/33</v>
      </c>
      <c r="BR330" s="55" t="str">
        <f t="shared" si="245"/>
        <v>33/34</v>
      </c>
      <c r="BS330" s="55" t="str">
        <f t="shared" si="245"/>
        <v>34/35</v>
      </c>
      <c r="BT330" s="55" t="str">
        <f t="shared" si="245"/>
        <v>34/35</v>
      </c>
      <c r="BU330" s="55">
        <f t="shared" si="245"/>
        <v>0</v>
      </c>
    </row>
    <row r="331" spans="1:83">
      <c r="A331" s="4" t="s">
        <v>100</v>
      </c>
      <c r="B331" s="56"/>
      <c r="C331" s="56">
        <f t="shared" ref="C331:BN334" si="246">C299-C315</f>
        <v>4.6888310020863938E-2</v>
      </c>
      <c r="D331" s="56">
        <f t="shared" si="246"/>
        <v>4.6888310020863938E-2</v>
      </c>
      <c r="E331" s="56">
        <f t="shared" si="246"/>
        <v>-1.0092170165431151</v>
      </c>
      <c r="F331" s="56">
        <f t="shared" si="246"/>
        <v>1.0937766200417278</v>
      </c>
      <c r="G331" s="56">
        <f t="shared" si="246"/>
        <v>-0.9154403965013872</v>
      </c>
      <c r="H331" s="56">
        <f t="shared" si="246"/>
        <v>1.1875532400834556</v>
      </c>
      <c r="I331" s="56">
        <f t="shared" si="246"/>
        <v>0.28132986012518363</v>
      </c>
      <c r="J331" s="56">
        <f t="shared" si="246"/>
        <v>-0.68099884639706754</v>
      </c>
      <c r="K331" s="56">
        <f t="shared" si="246"/>
        <v>-1.9254397399676071</v>
      </c>
      <c r="L331" s="56">
        <f t="shared" si="246"/>
        <v>0.36010746496758061</v>
      </c>
      <c r="M331" s="56">
        <f t="shared" si="246"/>
        <v>4.9706502264720687</v>
      </c>
      <c r="N331" s="56">
        <f t="shared" si="246"/>
        <v>1.7255782586814306</v>
      </c>
      <c r="O331" s="56">
        <f t="shared" si="246"/>
        <v>1.3658807247106193</v>
      </c>
      <c r="P331" s="56">
        <f t="shared" si="246"/>
        <v>0.93771816809260233</v>
      </c>
      <c r="Q331" s="56">
        <f t="shared" si="246"/>
        <v>-4.7742838449924498</v>
      </c>
      <c r="R331" s="56">
        <f t="shared" si="246"/>
        <v>2.7439999999999989</v>
      </c>
      <c r="S331" s="56">
        <f t="shared" si="246"/>
        <v>2.958000000000002</v>
      </c>
      <c r="T331" s="56">
        <f t="shared" si="246"/>
        <v>-0.51699999999999946</v>
      </c>
      <c r="U331" s="56">
        <f t="shared" si="246"/>
        <v>3.1380000000000017</v>
      </c>
      <c r="V331" s="56">
        <f t="shared" si="246"/>
        <v>6.9409999999999918</v>
      </c>
      <c r="W331" s="56">
        <f t="shared" si="246"/>
        <v>-13.388999999999996</v>
      </c>
      <c r="X331" s="56">
        <f t="shared" si="246"/>
        <v>13.914000000000001</v>
      </c>
      <c r="Y331" s="56">
        <f t="shared" si="246"/>
        <v>8.9359999999999999</v>
      </c>
      <c r="Z331" s="56">
        <f t="shared" si="246"/>
        <v>6.2310000000000052</v>
      </c>
      <c r="AA331" s="56">
        <f t="shared" si="246"/>
        <v>7.6980000000000075</v>
      </c>
      <c r="AB331" s="56">
        <f t="shared" si="246"/>
        <v>9.7019999999999911</v>
      </c>
      <c r="AC331" s="56">
        <f t="shared" si="246"/>
        <v>85.424000000000007</v>
      </c>
      <c r="AD331" s="56">
        <f t="shared" si="246"/>
        <v>39.213999999999999</v>
      </c>
      <c r="AE331" s="59">
        <f t="shared" si="246"/>
        <v>-9.5589999999999975</v>
      </c>
      <c r="AF331" s="59">
        <f t="shared" si="246"/>
        <v>-1.8560000000000088</v>
      </c>
      <c r="AG331" s="59">
        <f t="shared" si="246"/>
        <v>6.1220000000000141</v>
      </c>
      <c r="AH331" s="59">
        <f t="shared" si="246"/>
        <v>12.859999999999985</v>
      </c>
      <c r="AI331" s="59">
        <f t="shared" si="246"/>
        <v>1.967000000000013</v>
      </c>
      <c r="AJ331" s="59">
        <f t="shared" si="246"/>
        <v>1.5779999999999745</v>
      </c>
      <c r="AK331" s="59">
        <f t="shared" si="246"/>
        <v>19.828000000000003</v>
      </c>
      <c r="AL331" s="59">
        <f t="shared" si="246"/>
        <v>13.245999999999981</v>
      </c>
      <c r="AM331" s="59">
        <f t="shared" si="246"/>
        <v>35.150999999999982</v>
      </c>
      <c r="AN331" s="59">
        <f t="shared" si="246"/>
        <v>36.396999999999991</v>
      </c>
      <c r="AO331" s="59">
        <f t="shared" si="246"/>
        <v>47.439000000000021</v>
      </c>
      <c r="AP331" s="59">
        <f t="shared" si="246"/>
        <v>8.3149999999999977</v>
      </c>
      <c r="AQ331" s="59">
        <f t="shared" si="246"/>
        <v>4.9889999999999759</v>
      </c>
      <c r="AR331" s="59">
        <f t="shared" si="246"/>
        <v>41.554000000000059</v>
      </c>
      <c r="AS331" s="58">
        <f t="shared" si="246"/>
        <v>59.993999999999971</v>
      </c>
      <c r="AT331" s="58">
        <f t="shared" si="246"/>
        <v>31.918776649746256</v>
      </c>
      <c r="AU331" s="58">
        <f t="shared" si="246"/>
        <v>2.9998172588831551</v>
      </c>
      <c r="AV331" s="58">
        <f t="shared" si="246"/>
        <v>24.295629441624385</v>
      </c>
      <c r="AW331" s="58">
        <f t="shared" si="246"/>
        <v>87.676467005076233</v>
      </c>
      <c r="AX331" s="58">
        <f t="shared" si="246"/>
        <v>61.017000000000053</v>
      </c>
      <c r="AY331" s="58">
        <f t="shared" si="246"/>
        <v>50.482563451776656</v>
      </c>
      <c r="AZ331" s="58">
        <f t="shared" si="246"/>
        <v>36.364999999999981</v>
      </c>
      <c r="BA331" s="58">
        <f t="shared" si="246"/>
        <v>39.628999999999991</v>
      </c>
      <c r="BB331" s="58">
        <f t="shared" si="246"/>
        <v>-14.379000000000019</v>
      </c>
      <c r="BC331" s="58">
        <f t="shared" si="246"/>
        <v>70.133556000000112</v>
      </c>
      <c r="BD331" s="58">
        <f t="shared" si="246"/>
        <v>117.82424499999985</v>
      </c>
      <c r="BE331" s="58">
        <f t="shared" si="246"/>
        <v>59.317393000000152</v>
      </c>
      <c r="BF331" s="58">
        <f t="shared" si="246"/>
        <v>19.278323362127864</v>
      </c>
      <c r="BG331" s="58">
        <f t="shared" si="246"/>
        <v>-42.015968000000044</v>
      </c>
      <c r="BH331" s="58">
        <f t="shared" si="246"/>
        <v>45.183999999999997</v>
      </c>
      <c r="BI331" s="58">
        <f t="shared" si="246"/>
        <v>102.93797352631574</v>
      </c>
      <c r="BJ331" s="58">
        <f t="shared" si="246"/>
        <v>163.54911760601831</v>
      </c>
      <c r="BK331" s="58">
        <f t="shared" si="246"/>
        <v>112.25533126693313</v>
      </c>
      <c r="BL331" s="58">
        <f t="shared" si="246"/>
        <v>91.635976199769004</v>
      </c>
      <c r="BM331" s="58">
        <f t="shared" si="246"/>
        <v>98.042568508712506</v>
      </c>
      <c r="BN331" s="58">
        <f t="shared" si="246"/>
        <v>112.73783281408051</v>
      </c>
      <c r="BO331" s="58">
        <f t="shared" ref="BO331:BU342" si="247">BO299-BO315</f>
        <v>118.70250890742467</v>
      </c>
      <c r="BP331" s="58">
        <f t="shared" si="247"/>
        <v>117.22826455733269</v>
      </c>
      <c r="BQ331" s="58">
        <f t="shared" si="247"/>
        <v>121.91857152112557</v>
      </c>
      <c r="BR331" s="58">
        <f t="shared" si="247"/>
        <v>133.20908821750109</v>
      </c>
      <c r="BS331" s="58">
        <f t="shared" si="247"/>
        <v>140.52660748256892</v>
      </c>
      <c r="BT331" s="58">
        <f t="shared" si="247"/>
        <v>145.5481190321824</v>
      </c>
      <c r="BU331" s="58">
        <f t="shared" si="247"/>
        <v>150.34913306878315</v>
      </c>
    </row>
    <row r="332" spans="1:83">
      <c r="A332" s="4" t="s">
        <v>102</v>
      </c>
      <c r="B332" s="56"/>
      <c r="C332" s="56">
        <f t="shared" si="246"/>
        <v>6.8867462541614702E-2</v>
      </c>
      <c r="D332" s="56">
        <f t="shared" si="246"/>
        <v>6.8867462541614702E-2</v>
      </c>
      <c r="E332" s="56">
        <f t="shared" si="246"/>
        <v>-9.9104312692874563E-2</v>
      </c>
      <c r="F332" s="56">
        <f t="shared" si="246"/>
        <v>0.1377349250832294</v>
      </c>
      <c r="G332" s="56">
        <f t="shared" si="246"/>
        <v>3.8630612390354813E-2</v>
      </c>
      <c r="H332" s="56">
        <f t="shared" si="246"/>
        <v>0.27546985016645881</v>
      </c>
      <c r="I332" s="56">
        <f t="shared" si="246"/>
        <v>0.41320477524968824</v>
      </c>
      <c r="J332" s="56">
        <f t="shared" si="246"/>
        <v>0.38296792509842814</v>
      </c>
      <c r="K332" s="56">
        <f t="shared" si="246"/>
        <v>0.18813288468176825</v>
      </c>
      <c r="L332" s="56">
        <f t="shared" si="246"/>
        <v>0.77519310877003811</v>
      </c>
      <c r="M332" s="56">
        <f t="shared" si="246"/>
        <v>1.3615379969803731</v>
      </c>
      <c r="N332" s="56">
        <f t="shared" si="246"/>
        <v>2.3433522898842476</v>
      </c>
      <c r="O332" s="56">
        <f t="shared" si="246"/>
        <v>1.4673215903371926</v>
      </c>
      <c r="P332" s="56">
        <f t="shared" si="246"/>
        <v>2.844937091092099</v>
      </c>
      <c r="Q332" s="56">
        <f t="shared" si="246"/>
        <v>3.0400437845999022</v>
      </c>
      <c r="R332" s="56">
        <f t="shared" si="246"/>
        <v>5.1339999999999968</v>
      </c>
      <c r="S332" s="56">
        <f t="shared" si="246"/>
        <v>9.7520000000000024</v>
      </c>
      <c r="T332" s="56">
        <f t="shared" si="246"/>
        <v>-3.652000000000001</v>
      </c>
      <c r="U332" s="56">
        <f t="shared" si="246"/>
        <v>7.8759999999999977</v>
      </c>
      <c r="V332" s="56">
        <f t="shared" si="246"/>
        <v>3.6610000000000014</v>
      </c>
      <c r="W332" s="56">
        <f t="shared" si="246"/>
        <v>0.26100000000000279</v>
      </c>
      <c r="X332" s="56">
        <f t="shared" si="246"/>
        <v>20.998999999999995</v>
      </c>
      <c r="Y332" s="56">
        <f t="shared" si="246"/>
        <v>7.970000000000006</v>
      </c>
      <c r="Z332" s="56">
        <f t="shared" si="246"/>
        <v>30.309000000000012</v>
      </c>
      <c r="AA332" s="56">
        <f t="shared" si="246"/>
        <v>-17.181999999999995</v>
      </c>
      <c r="AB332" s="56">
        <f t="shared" si="246"/>
        <v>26.175999999999995</v>
      </c>
      <c r="AC332" s="56">
        <f t="shared" si="246"/>
        <v>3.6029999999999944</v>
      </c>
      <c r="AD332" s="56">
        <f t="shared" si="246"/>
        <v>23.033999999999978</v>
      </c>
      <c r="AE332" s="59">
        <f t="shared" si="246"/>
        <v>25.434000000000012</v>
      </c>
      <c r="AF332" s="59">
        <f t="shared" si="246"/>
        <v>15.404999999999987</v>
      </c>
      <c r="AG332" s="59">
        <f t="shared" si="246"/>
        <v>7.6300000000000097</v>
      </c>
      <c r="AH332" s="59">
        <f t="shared" si="246"/>
        <v>7.1620000000000346</v>
      </c>
      <c r="AI332" s="59">
        <f t="shared" si="246"/>
        <v>-1.4549999999999983</v>
      </c>
      <c r="AJ332" s="59">
        <f t="shared" si="246"/>
        <v>30.830000000000041</v>
      </c>
      <c r="AK332" s="59">
        <f t="shared" si="246"/>
        <v>-13.927000000000049</v>
      </c>
      <c r="AL332" s="59">
        <f t="shared" si="246"/>
        <v>13.88300000000001</v>
      </c>
      <c r="AM332" s="59">
        <f t="shared" si="246"/>
        <v>29.293999999999983</v>
      </c>
      <c r="AN332" s="59">
        <f t="shared" si="246"/>
        <v>40.54400000000004</v>
      </c>
      <c r="AO332" s="59">
        <f t="shared" si="246"/>
        <v>48.524000000000001</v>
      </c>
      <c r="AP332" s="59">
        <f t="shared" si="246"/>
        <v>16.134000000000015</v>
      </c>
      <c r="AQ332" s="59">
        <f t="shared" si="246"/>
        <v>98.681000000000012</v>
      </c>
      <c r="AR332" s="59">
        <f t="shared" si="246"/>
        <v>21.140999999999991</v>
      </c>
      <c r="AS332" s="58">
        <f t="shared" si="246"/>
        <v>37.363086294416163</v>
      </c>
      <c r="AT332" s="58">
        <f t="shared" si="246"/>
        <v>93.671010152284254</v>
      </c>
      <c r="AU332" s="58">
        <f t="shared" si="246"/>
        <v>59.451614213198042</v>
      </c>
      <c r="AV332" s="58">
        <f t="shared" si="246"/>
        <v>56.840081218274065</v>
      </c>
      <c r="AW332" s="58">
        <f t="shared" si="246"/>
        <v>43.192269035533144</v>
      </c>
      <c r="AX332" s="58">
        <f t="shared" si="246"/>
        <v>17.871873096446791</v>
      </c>
      <c r="AY332" s="58">
        <f t="shared" si="246"/>
        <v>12.481035532994923</v>
      </c>
      <c r="AZ332" s="58">
        <f t="shared" si="246"/>
        <v>29.311999999999927</v>
      </c>
      <c r="BA332" s="58">
        <f t="shared" si="246"/>
        <v>33.625000000000114</v>
      </c>
      <c r="BB332" s="58">
        <f t="shared" si="246"/>
        <v>43.990999999999985</v>
      </c>
      <c r="BC332" s="58">
        <f t="shared" si="246"/>
        <v>19.56516500000015</v>
      </c>
      <c r="BD332" s="58">
        <f t="shared" si="246"/>
        <v>37.000102000000027</v>
      </c>
      <c r="BE332" s="58">
        <f t="shared" si="246"/>
        <v>13.807750999999882</v>
      </c>
      <c r="BF332" s="58">
        <f t="shared" si="246"/>
        <v>-89.473918795980978</v>
      </c>
      <c r="BG332" s="58">
        <f t="shared" si="246"/>
        <v>54.270096999999907</v>
      </c>
      <c r="BH332" s="58">
        <f t="shared" si="246"/>
        <v>48.516999999999882</v>
      </c>
      <c r="BI332" s="58">
        <f t="shared" si="246"/>
        <v>110.60629140689028</v>
      </c>
      <c r="BJ332" s="58">
        <f t="shared" si="246"/>
        <v>140.67219191779495</v>
      </c>
      <c r="BK332" s="58">
        <f t="shared" si="246"/>
        <v>103.51582801549291</v>
      </c>
      <c r="BL332" s="58">
        <f t="shared" si="246"/>
        <v>102.30337040922622</v>
      </c>
      <c r="BM332" s="58">
        <f t="shared" si="246"/>
        <v>100.04520169392053</v>
      </c>
      <c r="BN332" s="58">
        <f t="shared" si="246"/>
        <v>104.48947272564172</v>
      </c>
      <c r="BO332" s="58">
        <f t="shared" si="247"/>
        <v>113.26304162963474</v>
      </c>
      <c r="BP332" s="58">
        <f t="shared" si="247"/>
        <v>115.32009351434188</v>
      </c>
      <c r="BQ332" s="58">
        <f t="shared" si="247"/>
        <v>121.34079496592108</v>
      </c>
      <c r="BR332" s="58">
        <f t="shared" si="247"/>
        <v>130.28634211513071</v>
      </c>
      <c r="BS332" s="58">
        <f t="shared" si="247"/>
        <v>136.69145739329355</v>
      </c>
      <c r="BT332" s="58">
        <f t="shared" si="247"/>
        <v>142.60681325761601</v>
      </c>
      <c r="BU332" s="58">
        <f t="shared" si="247"/>
        <v>147.90727024397631</v>
      </c>
    </row>
    <row r="333" spans="1:83">
      <c r="A333" s="4" t="s">
        <v>103</v>
      </c>
      <c r="B333" s="56"/>
      <c r="C333" s="56">
        <f t="shared" si="246"/>
        <v>9.5961778249651228E-2</v>
      </c>
      <c r="D333" s="56">
        <f t="shared" si="246"/>
        <v>9.5961778249651228E-2</v>
      </c>
      <c r="E333" s="56">
        <f t="shared" si="246"/>
        <v>-0.17006524180025839</v>
      </c>
      <c r="F333" s="56">
        <f t="shared" si="246"/>
        <v>0.19192355649930246</v>
      </c>
      <c r="G333" s="56">
        <f t="shared" si="246"/>
        <v>2.185831469904409E-2</v>
      </c>
      <c r="H333" s="56">
        <f t="shared" si="246"/>
        <v>0.38384711299860491</v>
      </c>
      <c r="I333" s="56">
        <f t="shared" si="246"/>
        <v>0.57577066949790734</v>
      </c>
      <c r="J333" s="56">
        <f t="shared" si="246"/>
        <v>0.50166720594730019</v>
      </c>
      <c r="K333" s="56">
        <f t="shared" si="246"/>
        <v>0.29910341296534604</v>
      </c>
      <c r="L333" s="56">
        <f t="shared" si="246"/>
        <v>1.1835618733966617</v>
      </c>
      <c r="M333" s="56">
        <f t="shared" si="246"/>
        <v>6.5835390035228967</v>
      </c>
      <c r="N333" s="56">
        <f t="shared" si="246"/>
        <v>2.8972556618017125</v>
      </c>
      <c r="O333" s="56">
        <f t="shared" si="246"/>
        <v>1.8871248112732752</v>
      </c>
      <c r="P333" s="56">
        <f t="shared" si="246"/>
        <v>3.8092400603925514</v>
      </c>
      <c r="Q333" s="56">
        <f t="shared" si="246"/>
        <v>1.3714489179667808</v>
      </c>
      <c r="R333" s="56">
        <f t="shared" si="246"/>
        <v>1.4790000000000028</v>
      </c>
      <c r="S333" s="56">
        <f t="shared" si="246"/>
        <v>12.550000000000002</v>
      </c>
      <c r="T333" s="56">
        <f t="shared" si="246"/>
        <v>8.6129999999999995</v>
      </c>
      <c r="U333" s="56">
        <f t="shared" si="246"/>
        <v>5.2319999999999922</v>
      </c>
      <c r="V333" s="56">
        <f t="shared" si="246"/>
        <v>16.189000000000007</v>
      </c>
      <c r="W333" s="56">
        <f t="shared" si="246"/>
        <v>15.271000000000008</v>
      </c>
      <c r="X333" s="56">
        <f t="shared" si="246"/>
        <v>19.091000000000008</v>
      </c>
      <c r="Y333" s="56">
        <f t="shared" si="246"/>
        <v>18.290999999999997</v>
      </c>
      <c r="Z333" s="56">
        <f t="shared" si="246"/>
        <v>9.2059999999999889</v>
      </c>
      <c r="AA333" s="56">
        <f t="shared" si="246"/>
        <v>15.559000000000005</v>
      </c>
      <c r="AB333" s="56">
        <f t="shared" si="246"/>
        <v>39.387</v>
      </c>
      <c r="AC333" s="56">
        <f t="shared" si="246"/>
        <v>21.172999999999988</v>
      </c>
      <c r="AD333" s="56">
        <f t="shared" si="246"/>
        <v>30.672000000000011</v>
      </c>
      <c r="AE333" s="59">
        <f t="shared" si="246"/>
        <v>37.388000000000048</v>
      </c>
      <c r="AF333" s="59">
        <f t="shared" si="246"/>
        <v>6.6790000000000163</v>
      </c>
      <c r="AG333" s="59">
        <f t="shared" si="246"/>
        <v>17.374999999999972</v>
      </c>
      <c r="AH333" s="59">
        <f t="shared" si="246"/>
        <v>14.145999999999958</v>
      </c>
      <c r="AI333" s="59">
        <f t="shared" si="246"/>
        <v>5.1559999999999917</v>
      </c>
      <c r="AJ333" s="59">
        <f t="shared" si="246"/>
        <v>23.12299999999999</v>
      </c>
      <c r="AK333" s="59">
        <f t="shared" si="246"/>
        <v>30.31299999999996</v>
      </c>
      <c r="AL333" s="59">
        <f t="shared" si="246"/>
        <v>26.435999999999979</v>
      </c>
      <c r="AM333" s="59">
        <f t="shared" si="246"/>
        <v>-3.2120000000000459</v>
      </c>
      <c r="AN333" s="59">
        <f t="shared" si="246"/>
        <v>59.59699999999998</v>
      </c>
      <c r="AO333" s="59">
        <f t="shared" si="246"/>
        <v>11.929999999999978</v>
      </c>
      <c r="AP333" s="59">
        <f t="shared" si="246"/>
        <v>58.786000000000058</v>
      </c>
      <c r="AQ333" s="59">
        <f t="shared" si="246"/>
        <v>28.822999999999951</v>
      </c>
      <c r="AR333" s="59">
        <f t="shared" si="246"/>
        <v>125.16999999999999</v>
      </c>
      <c r="AS333" s="58">
        <f t="shared" si="246"/>
        <v>0.91808629441628575</v>
      </c>
      <c r="AT333" s="58">
        <f t="shared" si="246"/>
        <v>7.2875228426395964</v>
      </c>
      <c r="AU333" s="58">
        <f t="shared" si="246"/>
        <v>55.272472081218169</v>
      </c>
      <c r="AV333" s="58">
        <f t="shared" si="246"/>
        <v>22.903162436548257</v>
      </c>
      <c r="AW333" s="58">
        <f t="shared" si="246"/>
        <v>-78.086187817258889</v>
      </c>
      <c r="AX333" s="58">
        <f t="shared" si="246"/>
        <v>26.529639593908627</v>
      </c>
      <c r="AY333" s="58">
        <f t="shared" si="246"/>
        <v>64.888725888324814</v>
      </c>
      <c r="AZ333" s="58">
        <f t="shared" si="246"/>
        <v>72.179000000000201</v>
      </c>
      <c r="BA333" s="58">
        <f t="shared" si="246"/>
        <v>28.152999999999878</v>
      </c>
      <c r="BB333" s="58">
        <f t="shared" si="246"/>
        <v>20.374000000000137</v>
      </c>
      <c r="BC333" s="58">
        <f t="shared" si="246"/>
        <v>23.306443000000058</v>
      </c>
      <c r="BD333" s="58">
        <f t="shared" si="246"/>
        <v>40.286379999999895</v>
      </c>
      <c r="BE333" s="58">
        <f t="shared" si="246"/>
        <v>83.172425325561989</v>
      </c>
      <c r="BF333" s="58">
        <f t="shared" si="246"/>
        <v>32.145743168670009</v>
      </c>
      <c r="BG333" s="58">
        <f t="shared" si="246"/>
        <v>56.575862999999941</v>
      </c>
      <c r="BH333" s="58">
        <f t="shared" si="246"/>
        <v>81.025999999999982</v>
      </c>
      <c r="BI333" s="58">
        <f t="shared" si="246"/>
        <v>145.84558108377047</v>
      </c>
      <c r="BJ333" s="58">
        <f t="shared" si="246"/>
        <v>147.09235607647119</v>
      </c>
      <c r="BK333" s="58">
        <f t="shared" si="246"/>
        <v>149.61772132900853</v>
      </c>
      <c r="BL333" s="58">
        <f t="shared" si="246"/>
        <v>137.31666916772923</v>
      </c>
      <c r="BM333" s="58">
        <f t="shared" si="246"/>
        <v>140.07448163661175</v>
      </c>
      <c r="BN333" s="58">
        <f t="shared" si="246"/>
        <v>140.99815708104279</v>
      </c>
      <c r="BO333" s="58">
        <f t="shared" si="247"/>
        <v>146.52366869151825</v>
      </c>
      <c r="BP333" s="58">
        <f t="shared" si="247"/>
        <v>155.14624450300158</v>
      </c>
      <c r="BQ333" s="58">
        <f t="shared" si="247"/>
        <v>160.32548679547597</v>
      </c>
      <c r="BR333" s="58">
        <f t="shared" si="247"/>
        <v>170.8305775416336</v>
      </c>
      <c r="BS333" s="58">
        <f t="shared" si="247"/>
        <v>177.37957439064127</v>
      </c>
      <c r="BT333" s="58">
        <f t="shared" si="247"/>
        <v>184.09518255424393</v>
      </c>
      <c r="BU333" s="58">
        <f t="shared" si="247"/>
        <v>190.96195226598064</v>
      </c>
    </row>
    <row r="334" spans="1:83">
      <c r="A334" s="4" t="s">
        <v>104</v>
      </c>
      <c r="B334" s="56"/>
      <c r="C334" s="56">
        <f t="shared" si="246"/>
        <v>8.7961877013864015E-2</v>
      </c>
      <c r="D334" s="56">
        <f t="shared" si="246"/>
        <v>8.7961877013864015E-2</v>
      </c>
      <c r="E334" s="56">
        <f t="shared" si="246"/>
        <v>-0.24935849128490539</v>
      </c>
      <c r="F334" s="56">
        <f t="shared" si="246"/>
        <v>0.17592375402772803</v>
      </c>
      <c r="G334" s="56">
        <f t="shared" si="246"/>
        <v>-7.3434737257177307E-2</v>
      </c>
      <c r="H334" s="56">
        <f t="shared" si="246"/>
        <v>0.35184750805545606</v>
      </c>
      <c r="I334" s="56">
        <f t="shared" si="246"/>
        <v>0.52777126208318403</v>
      </c>
      <c r="J334" s="56">
        <f t="shared" si="246"/>
        <v>0.3663746478121428</v>
      </c>
      <c r="K334" s="56">
        <f t="shared" si="246"/>
        <v>0.40682462191289481</v>
      </c>
      <c r="L334" s="56">
        <f t="shared" si="246"/>
        <v>1.4240840548660199</v>
      </c>
      <c r="M334" s="56">
        <f t="shared" si="246"/>
        <v>5.6278102667337686</v>
      </c>
      <c r="N334" s="56">
        <f t="shared" si="246"/>
        <v>2.7462143935581267</v>
      </c>
      <c r="O334" s="56">
        <f t="shared" si="246"/>
        <v>2.9915928535480631</v>
      </c>
      <c r="P334" s="56">
        <f t="shared" si="246"/>
        <v>3.0848902868646206</v>
      </c>
      <c r="Q334" s="56">
        <f t="shared" si="246"/>
        <v>4.404132360342226</v>
      </c>
      <c r="R334" s="56">
        <f t="shared" si="246"/>
        <v>9.5750000000000028</v>
      </c>
      <c r="S334" s="56">
        <f t="shared" si="246"/>
        <v>9.4920000000000009</v>
      </c>
      <c r="T334" s="56">
        <f t="shared" si="246"/>
        <v>3.7290000000000063</v>
      </c>
      <c r="U334" s="56">
        <f t="shared" si="246"/>
        <v>13.836000000000006</v>
      </c>
      <c r="V334" s="56">
        <f t="shared" si="246"/>
        <v>12.031999999999996</v>
      </c>
      <c r="W334" s="56">
        <f t="shared" si="246"/>
        <v>21.197999999999979</v>
      </c>
      <c r="X334" s="56">
        <f t="shared" si="246"/>
        <v>-10.702999999999989</v>
      </c>
      <c r="Y334" s="56">
        <f t="shared" si="246"/>
        <v>24.663999999999987</v>
      </c>
      <c r="Z334" s="56">
        <f t="shared" si="246"/>
        <v>23.960999999999984</v>
      </c>
      <c r="AA334" s="56">
        <f t="shared" si="246"/>
        <v>10.088000000000008</v>
      </c>
      <c r="AB334" s="56">
        <f t="shared" si="246"/>
        <v>-166.21500000000003</v>
      </c>
      <c r="AC334" s="56">
        <f t="shared" si="246"/>
        <v>15.560999999999993</v>
      </c>
      <c r="AD334" s="56">
        <f t="shared" si="246"/>
        <v>43.067999999999998</v>
      </c>
      <c r="AE334" s="59">
        <f t="shared" si="246"/>
        <v>28.908999999999963</v>
      </c>
      <c r="AF334" s="59">
        <f t="shared" si="246"/>
        <v>14.909999999999968</v>
      </c>
      <c r="AG334" s="59">
        <f t="shared" si="246"/>
        <v>11.719000000000008</v>
      </c>
      <c r="AH334" s="59">
        <f t="shared" si="246"/>
        <v>-7.7769999999999868</v>
      </c>
      <c r="AI334" s="59">
        <f t="shared" si="246"/>
        <v>29.432000000000016</v>
      </c>
      <c r="AJ334" s="59">
        <f t="shared" si="246"/>
        <v>42.932000000000016</v>
      </c>
      <c r="AK334" s="59">
        <f t="shared" si="246"/>
        <v>4.4189999999999543</v>
      </c>
      <c r="AL334" s="59">
        <f t="shared" si="246"/>
        <v>-7.0500000000000682</v>
      </c>
      <c r="AM334" s="59">
        <f t="shared" si="246"/>
        <v>14.650000000000006</v>
      </c>
      <c r="AN334" s="59">
        <f t="shared" si="246"/>
        <v>14.191000000000088</v>
      </c>
      <c r="AO334" s="59">
        <f t="shared" si="246"/>
        <v>5.5249999999999773</v>
      </c>
      <c r="AP334" s="59">
        <f t="shared" si="246"/>
        <v>27.66700000000003</v>
      </c>
      <c r="AQ334" s="59">
        <f t="shared" si="246"/>
        <v>56.170999999999935</v>
      </c>
      <c r="AR334" s="59">
        <f t="shared" si="246"/>
        <v>71.392999999999944</v>
      </c>
      <c r="AS334" s="58">
        <f t="shared" si="246"/>
        <v>43.373000000000019</v>
      </c>
      <c r="AT334" s="58">
        <f t="shared" si="246"/>
        <v>46.824258883248802</v>
      </c>
      <c r="AU334" s="58">
        <f t="shared" si="246"/>
        <v>18.001167512690373</v>
      </c>
      <c r="AV334" s="58">
        <f t="shared" si="246"/>
        <v>1.8128172588833138</v>
      </c>
      <c r="AW334" s="58">
        <f t="shared" si="246"/>
        <v>64.232492385786799</v>
      </c>
      <c r="AX334" s="58">
        <f t="shared" si="246"/>
        <v>-4.3308426395938397</v>
      </c>
      <c r="AY334" s="58">
        <f t="shared" si="246"/>
        <v>20.368842639593993</v>
      </c>
      <c r="AZ334" s="58">
        <f t="shared" si="246"/>
        <v>-9.9060000000000628</v>
      </c>
      <c r="BA334" s="58">
        <f t="shared" si="246"/>
        <v>75.777999999999878</v>
      </c>
      <c r="BB334" s="58">
        <f t="shared" si="246"/>
        <v>95.733999999999867</v>
      </c>
      <c r="BC334" s="58">
        <f t="shared" si="246"/>
        <v>-5.9809820000002674</v>
      </c>
      <c r="BD334" s="58">
        <f t="shared" si="246"/>
        <v>6.9264680000001135</v>
      </c>
      <c r="BE334" s="58">
        <f t="shared" si="246"/>
        <v>47.865666483611108</v>
      </c>
      <c r="BF334" s="58">
        <f t="shared" si="246"/>
        <v>-38.752196586059199</v>
      </c>
      <c r="BG334" s="58">
        <f t="shared" si="246"/>
        <v>134.91322099999996</v>
      </c>
      <c r="BH334" s="58">
        <f t="shared" si="246"/>
        <v>152.31899999999996</v>
      </c>
      <c r="BI334" s="58">
        <f t="shared" si="246"/>
        <v>114.95467227438158</v>
      </c>
      <c r="BJ334" s="58">
        <f t="shared" si="246"/>
        <v>121.67494629630201</v>
      </c>
      <c r="BK334" s="58">
        <f t="shared" si="246"/>
        <v>126.74788909690645</v>
      </c>
      <c r="BL334" s="58">
        <f t="shared" si="246"/>
        <v>130.93168602021439</v>
      </c>
      <c r="BM334" s="58">
        <f t="shared" si="246"/>
        <v>106.7368626262288</v>
      </c>
      <c r="BN334" s="58">
        <f t="shared" ref="BN334:BO337" si="248">BN302-BN318</f>
        <v>107.74472299085383</v>
      </c>
      <c r="BO334" s="58">
        <f t="shared" si="248"/>
        <v>122.2340477769506</v>
      </c>
      <c r="BP334" s="58">
        <f t="shared" si="247"/>
        <v>130.99234725717685</v>
      </c>
      <c r="BQ334" s="58">
        <f t="shared" si="247"/>
        <v>135.89081952898326</v>
      </c>
      <c r="BR334" s="58">
        <f t="shared" si="247"/>
        <v>142.69824216905187</v>
      </c>
      <c r="BS334" s="58">
        <f t="shared" si="247"/>
        <v>150.2795000975606</v>
      </c>
      <c r="BT334" s="58">
        <f t="shared" si="247"/>
        <v>158.24427200140346</v>
      </c>
      <c r="BU334" s="58">
        <f t="shared" si="247"/>
        <v>164.80624267860568</v>
      </c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</row>
    <row r="335" spans="1:83">
      <c r="A335" s="4" t="s">
        <v>105</v>
      </c>
      <c r="B335" s="56"/>
      <c r="C335" s="56">
        <f t="shared" ref="C335:BN338" si="249">C303-C319</f>
        <v>0.10246169800372834</v>
      </c>
      <c r="D335" s="56">
        <f t="shared" si="249"/>
        <v>0.10246169800372834</v>
      </c>
      <c r="E335" s="56">
        <f t="shared" si="249"/>
        <v>-3.8974793476185265E-3</v>
      </c>
      <c r="F335" s="56">
        <f t="shared" si="249"/>
        <v>0.20492339600745668</v>
      </c>
      <c r="G335" s="56">
        <f t="shared" si="249"/>
        <v>0.20102591665983804</v>
      </c>
      <c r="H335" s="56">
        <f t="shared" si="249"/>
        <v>0.40984679201491336</v>
      </c>
      <c r="I335" s="56">
        <f t="shared" si="249"/>
        <v>0.61477018802237005</v>
      </c>
      <c r="J335" s="56">
        <f t="shared" si="249"/>
        <v>0.71333440667847969</v>
      </c>
      <c r="K335" s="56">
        <f t="shared" si="249"/>
        <v>0.16250295313410135</v>
      </c>
      <c r="L335" s="56">
        <f t="shared" si="249"/>
        <v>0.76190913874122046</v>
      </c>
      <c r="M335" s="56">
        <f t="shared" si="249"/>
        <v>8.9945374937091103</v>
      </c>
      <c r="N335" s="56">
        <f t="shared" si="249"/>
        <v>0.30040060392551382</v>
      </c>
      <c r="O335" s="56">
        <f t="shared" si="249"/>
        <v>-0.66208002013084943</v>
      </c>
      <c r="P335" s="56">
        <f t="shared" si="249"/>
        <v>2.7287856064418721</v>
      </c>
      <c r="Q335" s="56">
        <f t="shared" si="249"/>
        <v>0.65334121791645394</v>
      </c>
      <c r="R335" s="56">
        <f t="shared" si="249"/>
        <v>1.3560000000000016</v>
      </c>
      <c r="S335" s="56">
        <f t="shared" si="249"/>
        <v>2.445999999999998</v>
      </c>
      <c r="T335" s="56">
        <f t="shared" si="249"/>
        <v>12.901999999999994</v>
      </c>
      <c r="U335" s="56">
        <f t="shared" si="249"/>
        <v>4.2630000000000123</v>
      </c>
      <c r="V335" s="56">
        <f t="shared" si="249"/>
        <v>1.936000000000007</v>
      </c>
      <c r="W335" s="56">
        <f t="shared" si="249"/>
        <v>6.6859999999999928</v>
      </c>
      <c r="X335" s="56">
        <f t="shared" si="249"/>
        <v>21.63900000000001</v>
      </c>
      <c r="Y335" s="56">
        <f t="shared" si="249"/>
        <v>26.033999999999992</v>
      </c>
      <c r="Z335" s="56">
        <f t="shared" si="249"/>
        <v>13.816999999999979</v>
      </c>
      <c r="AA335" s="56">
        <f t="shared" si="249"/>
        <v>34.556000000000019</v>
      </c>
      <c r="AB335" s="56">
        <f t="shared" si="249"/>
        <v>17.72699999999999</v>
      </c>
      <c r="AC335" s="56">
        <f t="shared" si="249"/>
        <v>10.65900000000002</v>
      </c>
      <c r="AD335" s="56">
        <f t="shared" si="249"/>
        <v>43.230999999999995</v>
      </c>
      <c r="AE335" s="59">
        <f t="shared" si="249"/>
        <v>36.265000000000043</v>
      </c>
      <c r="AF335" s="59">
        <f t="shared" si="249"/>
        <v>2.5690000000000026</v>
      </c>
      <c r="AG335" s="59">
        <f t="shared" si="249"/>
        <v>16.547999999999973</v>
      </c>
      <c r="AH335" s="59">
        <f t="shared" si="249"/>
        <v>26.090000000000003</v>
      </c>
      <c r="AI335" s="59">
        <f t="shared" si="249"/>
        <v>5.0690000000000026</v>
      </c>
      <c r="AJ335" s="59">
        <f t="shared" si="249"/>
        <v>69.674000000000007</v>
      </c>
      <c r="AK335" s="59">
        <f t="shared" si="249"/>
        <v>13.448000000000008</v>
      </c>
      <c r="AL335" s="59">
        <f t="shared" si="249"/>
        <v>7.4489999999999554</v>
      </c>
      <c r="AM335" s="59">
        <f t="shared" si="249"/>
        <v>-36.457999999999942</v>
      </c>
      <c r="AN335" s="59">
        <f t="shared" si="249"/>
        <v>40.183999999999997</v>
      </c>
      <c r="AO335" s="59">
        <f t="shared" si="249"/>
        <v>68.438000000000073</v>
      </c>
      <c r="AP335" s="59">
        <f t="shared" si="249"/>
        <v>39.876999999999981</v>
      </c>
      <c r="AQ335" s="59">
        <f t="shared" si="249"/>
        <v>-10.006000000000029</v>
      </c>
      <c r="AR335" s="59">
        <f t="shared" si="249"/>
        <v>-9.7179799999998977</v>
      </c>
      <c r="AS335" s="58">
        <f t="shared" si="249"/>
        <v>-33.219340101522846</v>
      </c>
      <c r="AT335" s="58">
        <f t="shared" si="249"/>
        <v>48.54915228426411</v>
      </c>
      <c r="AU335" s="58">
        <f t="shared" si="249"/>
        <v>3.7677715736041506</v>
      </c>
      <c r="AV335" s="58">
        <f t="shared" si="249"/>
        <v>39.64972081218275</v>
      </c>
      <c r="AW335" s="58">
        <f t="shared" si="249"/>
        <v>-23.091243654822222</v>
      </c>
      <c r="AX335" s="58">
        <f t="shared" si="249"/>
        <v>-18.461304568527879</v>
      </c>
      <c r="AY335" s="58">
        <f t="shared" si="249"/>
        <v>75.813979695431669</v>
      </c>
      <c r="AZ335" s="58">
        <f t="shared" si="249"/>
        <v>30.862000000000023</v>
      </c>
      <c r="BA335" s="58">
        <f t="shared" si="249"/>
        <v>68.397000000000048</v>
      </c>
      <c r="BB335" s="58">
        <f t="shared" si="249"/>
        <v>-59.68300000000005</v>
      </c>
      <c r="BC335" s="58">
        <f t="shared" si="249"/>
        <v>36.782794999999908</v>
      </c>
      <c r="BD335" s="58">
        <f t="shared" si="249"/>
        <v>38.054988000000037</v>
      </c>
      <c r="BE335" s="58">
        <f t="shared" si="249"/>
        <v>102.65394111955383</v>
      </c>
      <c r="BF335" s="58">
        <f t="shared" si="249"/>
        <v>-23.303412132199327</v>
      </c>
      <c r="BG335" s="58">
        <f t="shared" si="249"/>
        <v>140.53709300000014</v>
      </c>
      <c r="BH335" s="58">
        <f t="shared" si="249"/>
        <v>103.06599999999987</v>
      </c>
      <c r="BI335" s="58">
        <f t="shared" si="249"/>
        <v>78.190086393925796</v>
      </c>
      <c r="BJ335" s="58">
        <f t="shared" si="249"/>
        <v>150.67034902966185</v>
      </c>
      <c r="BK335" s="58">
        <f t="shared" si="249"/>
        <v>131.99442126795356</v>
      </c>
      <c r="BL335" s="58">
        <f t="shared" si="249"/>
        <v>134.08494441534182</v>
      </c>
      <c r="BM335" s="58">
        <f t="shared" si="249"/>
        <v>112.66399776610172</v>
      </c>
      <c r="BN335" s="58">
        <f t="shared" si="249"/>
        <v>123.44857050134823</v>
      </c>
      <c r="BO335" s="58">
        <f t="shared" si="248"/>
        <v>133.63378638131377</v>
      </c>
      <c r="BP335" s="58">
        <f t="shared" si="247"/>
        <v>137.82515675784072</v>
      </c>
      <c r="BQ335" s="58">
        <f t="shared" si="247"/>
        <v>142.53257826525777</v>
      </c>
      <c r="BR335" s="58">
        <f t="shared" si="247"/>
        <v>149.29642400827353</v>
      </c>
      <c r="BS335" s="58">
        <f t="shared" si="247"/>
        <v>157.01708048340157</v>
      </c>
      <c r="BT335" s="58">
        <f t="shared" si="247"/>
        <v>163.25812357091604</v>
      </c>
      <c r="BU335" s="58">
        <f t="shared" si="247"/>
        <v>168.60623717835168</v>
      </c>
      <c r="BV335" s="115"/>
      <c r="BW335" s="115"/>
      <c r="BX335" s="115"/>
      <c r="BY335" s="115"/>
      <c r="BZ335" s="115"/>
      <c r="CA335" s="115"/>
      <c r="CB335" s="115"/>
      <c r="CC335" s="115"/>
      <c r="CD335" s="115"/>
      <c r="CE335" s="115"/>
    </row>
    <row r="336" spans="1:83">
      <c r="A336" s="4" t="s">
        <v>106</v>
      </c>
      <c r="B336" s="56"/>
      <c r="C336" s="56">
        <f t="shared" si="249"/>
        <v>9.3422714945906024E-2</v>
      </c>
      <c r="D336" s="56">
        <f t="shared" si="249"/>
        <v>9.3422714945906024E-2</v>
      </c>
      <c r="E336" s="56">
        <f t="shared" si="249"/>
        <v>-0.18103731431147274</v>
      </c>
      <c r="F336" s="56">
        <f t="shared" si="249"/>
        <v>0.18684542989181205</v>
      </c>
      <c r="G336" s="56">
        <f t="shared" si="249"/>
        <v>5.8081155803391127E-3</v>
      </c>
      <c r="H336" s="56">
        <f t="shared" si="249"/>
        <v>0.3736908597836241</v>
      </c>
      <c r="I336" s="56">
        <f t="shared" si="249"/>
        <v>0.56053628967543612</v>
      </c>
      <c r="J336" s="56">
        <f t="shared" si="249"/>
        <v>0.47292169030986919</v>
      </c>
      <c r="K336" s="56">
        <f t="shared" si="249"/>
        <v>-4.2027745885905965E-2</v>
      </c>
      <c r="L336" s="56">
        <f t="shared" si="249"/>
        <v>0.67562792736788246</v>
      </c>
      <c r="M336" s="56">
        <f t="shared" si="249"/>
        <v>6.0123578258681425</v>
      </c>
      <c r="N336" s="56">
        <f t="shared" si="249"/>
        <v>0.41364871665827785</v>
      </c>
      <c r="O336" s="56">
        <f t="shared" si="249"/>
        <v>4.8655450427780584</v>
      </c>
      <c r="P336" s="56">
        <f t="shared" si="249"/>
        <v>2.7557055863110218</v>
      </c>
      <c r="Q336" s="56">
        <f t="shared" si="249"/>
        <v>-2.3634750880724749</v>
      </c>
      <c r="R336" s="56">
        <f t="shared" si="249"/>
        <v>4.6479999999999997</v>
      </c>
      <c r="S336" s="56">
        <f t="shared" si="249"/>
        <v>9.9560000000000031</v>
      </c>
      <c r="T336" s="56">
        <f t="shared" si="249"/>
        <v>11.361999999999988</v>
      </c>
      <c r="U336" s="56">
        <f t="shared" si="249"/>
        <v>4.2130000000000081</v>
      </c>
      <c r="V336" s="56">
        <f t="shared" si="249"/>
        <v>18.981000000000016</v>
      </c>
      <c r="W336" s="56">
        <f t="shared" si="249"/>
        <v>9.0649999999999977</v>
      </c>
      <c r="X336" s="56">
        <f t="shared" si="249"/>
        <v>23.223000000000027</v>
      </c>
      <c r="Y336" s="56">
        <f t="shared" si="249"/>
        <v>14.974999999999994</v>
      </c>
      <c r="Z336" s="56">
        <f t="shared" si="249"/>
        <v>-5.5599999999999881</v>
      </c>
      <c r="AA336" s="56">
        <f t="shared" si="249"/>
        <v>9.11099999999999</v>
      </c>
      <c r="AB336" s="56">
        <f t="shared" si="249"/>
        <v>-27.683000000000007</v>
      </c>
      <c r="AC336" s="56">
        <f t="shared" si="249"/>
        <v>-17.343000000000004</v>
      </c>
      <c r="AD336" s="56">
        <f t="shared" si="249"/>
        <v>37.526999999999987</v>
      </c>
      <c r="AE336" s="59">
        <f t="shared" si="249"/>
        <v>24.38300000000001</v>
      </c>
      <c r="AF336" s="59">
        <f t="shared" si="249"/>
        <v>19.604000000000013</v>
      </c>
      <c r="AG336" s="59">
        <f t="shared" si="249"/>
        <v>6.7870000000000203</v>
      </c>
      <c r="AH336" s="59">
        <f t="shared" si="249"/>
        <v>4.3900000000000148</v>
      </c>
      <c r="AI336" s="59">
        <f t="shared" si="249"/>
        <v>-14.211999999999989</v>
      </c>
      <c r="AJ336" s="59">
        <f t="shared" si="249"/>
        <v>87.473000000000042</v>
      </c>
      <c r="AK336" s="59">
        <f t="shared" si="249"/>
        <v>-16.942000000000007</v>
      </c>
      <c r="AL336" s="59">
        <f t="shared" si="249"/>
        <v>31.837999999999994</v>
      </c>
      <c r="AM336" s="59">
        <f t="shared" si="249"/>
        <v>33.180000000000035</v>
      </c>
      <c r="AN336" s="59">
        <f t="shared" si="249"/>
        <v>36.820999999999998</v>
      </c>
      <c r="AO336" s="59">
        <f t="shared" si="249"/>
        <v>40.67900000000003</v>
      </c>
      <c r="AP336" s="59">
        <f t="shared" si="249"/>
        <v>50.764999999999986</v>
      </c>
      <c r="AQ336" s="59">
        <f t="shared" si="249"/>
        <v>58.492999999999995</v>
      </c>
      <c r="AR336" s="59">
        <f t="shared" si="249"/>
        <v>50.012999999999977</v>
      </c>
      <c r="AS336" s="58">
        <f t="shared" si="249"/>
        <v>58.303944162436594</v>
      </c>
      <c r="AT336" s="58">
        <f t="shared" si="249"/>
        <v>-14.365030456852949</v>
      </c>
      <c r="AU336" s="58">
        <f t="shared" si="249"/>
        <v>-2.3389238578679965</v>
      </c>
      <c r="AV336" s="58">
        <f t="shared" si="249"/>
        <v>17.762421319796857</v>
      </c>
      <c r="AW336" s="58">
        <f t="shared" si="249"/>
        <v>76.892878172588809</v>
      </c>
      <c r="AX336" s="58">
        <f t="shared" si="249"/>
        <v>78.810385786802101</v>
      </c>
      <c r="AY336" s="58">
        <f t="shared" si="249"/>
        <v>-13.064847715736079</v>
      </c>
      <c r="AZ336" s="58">
        <f t="shared" si="249"/>
        <v>23.842999999999847</v>
      </c>
      <c r="BA336" s="58">
        <f t="shared" si="249"/>
        <v>-25.440999999999917</v>
      </c>
      <c r="BB336" s="58">
        <f t="shared" si="249"/>
        <v>44.694000000000017</v>
      </c>
      <c r="BC336" s="58">
        <f t="shared" si="249"/>
        <v>25.130374999999958</v>
      </c>
      <c r="BD336" s="58">
        <f t="shared" si="249"/>
        <v>27.65967999999998</v>
      </c>
      <c r="BE336" s="58">
        <f t="shared" si="249"/>
        <v>136.75170087052538</v>
      </c>
      <c r="BF336" s="58">
        <f t="shared" si="249"/>
        <v>-30.178115710728065</v>
      </c>
      <c r="BG336" s="58">
        <f t="shared" si="249"/>
        <v>135.39901599999996</v>
      </c>
      <c r="BH336" s="58">
        <f t="shared" si="249"/>
        <v>52.063000000000031</v>
      </c>
      <c r="BI336" s="58">
        <f t="shared" si="249"/>
        <v>78.734858300502324</v>
      </c>
      <c r="BJ336" s="58">
        <f t="shared" si="249"/>
        <v>132.50110539739148</v>
      </c>
      <c r="BK336" s="58">
        <f t="shared" si="249"/>
        <v>115.64729383272375</v>
      </c>
      <c r="BL336" s="58">
        <f t="shared" si="249"/>
        <v>114.68574792219459</v>
      </c>
      <c r="BM336" s="58">
        <f t="shared" si="249"/>
        <v>86.795035820861642</v>
      </c>
      <c r="BN336" s="58">
        <f t="shared" si="249"/>
        <v>101.57181431946454</v>
      </c>
      <c r="BO336" s="58">
        <f t="shared" si="248"/>
        <v>113.08150419211914</v>
      </c>
      <c r="BP336" s="58">
        <f t="shared" si="247"/>
        <v>116.18387499691126</v>
      </c>
      <c r="BQ336" s="58">
        <f t="shared" si="247"/>
        <v>119.57232607883914</v>
      </c>
      <c r="BR336" s="58">
        <f t="shared" si="247"/>
        <v>125.2409273016424</v>
      </c>
      <c r="BS336" s="58">
        <f t="shared" si="247"/>
        <v>133.35024044898086</v>
      </c>
      <c r="BT336" s="58">
        <f t="shared" si="247"/>
        <v>139.23465035619739</v>
      </c>
      <c r="BU336" s="58">
        <f t="shared" si="247"/>
        <v>143.91975435318201</v>
      </c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</row>
    <row r="337" spans="1:83">
      <c r="A337" s="4" t="s">
        <v>107</v>
      </c>
      <c r="B337" s="56"/>
      <c r="C337" s="56">
        <f t="shared" si="249"/>
        <v>0.11061591832199599</v>
      </c>
      <c r="D337" s="56">
        <f t="shared" si="249"/>
        <v>0.11061591832199599</v>
      </c>
      <c r="E337" s="56">
        <f t="shared" si="249"/>
        <v>9.8697838982868102E-2</v>
      </c>
      <c r="F337" s="56">
        <f t="shared" si="249"/>
        <v>0.22123183664399199</v>
      </c>
      <c r="G337" s="56">
        <f t="shared" si="249"/>
        <v>0.31992967562686037</v>
      </c>
      <c r="H337" s="56">
        <f t="shared" si="249"/>
        <v>0.44246367328798397</v>
      </c>
      <c r="I337" s="56">
        <f t="shared" si="249"/>
        <v>0.6636955099319759</v>
      </c>
      <c r="J337" s="56">
        <f t="shared" si="249"/>
        <v>0.87300926723684036</v>
      </c>
      <c r="K337" s="56">
        <f t="shared" si="249"/>
        <v>0.81654624586202029</v>
      </c>
      <c r="L337" s="56">
        <f t="shared" si="249"/>
        <v>1.6298522019287063</v>
      </c>
      <c r="M337" s="56">
        <f t="shared" si="249"/>
        <v>8.4345807750377428</v>
      </c>
      <c r="N337" s="56">
        <f t="shared" si="249"/>
        <v>1.494245596376448</v>
      </c>
      <c r="O337" s="56">
        <f t="shared" si="249"/>
        <v>8.4458480120787272E-2</v>
      </c>
      <c r="P337" s="56">
        <f t="shared" si="249"/>
        <v>5.5348132863613451</v>
      </c>
      <c r="Q337" s="56">
        <f t="shared" si="249"/>
        <v>4.5287619526924985</v>
      </c>
      <c r="R337" s="56">
        <f t="shared" si="249"/>
        <v>-4.9480000000000004</v>
      </c>
      <c r="S337" s="56">
        <f t="shared" si="249"/>
        <v>24.101000000000006</v>
      </c>
      <c r="T337" s="56">
        <f t="shared" si="249"/>
        <v>-5.2029999999999959</v>
      </c>
      <c r="U337" s="56">
        <f t="shared" si="249"/>
        <v>9.1890000000000001</v>
      </c>
      <c r="V337" s="56">
        <f t="shared" si="249"/>
        <v>-5.3420000000000059</v>
      </c>
      <c r="W337" s="56">
        <f t="shared" si="249"/>
        <v>16.168999999999997</v>
      </c>
      <c r="X337" s="56">
        <f t="shared" si="249"/>
        <v>2.1799999999999784</v>
      </c>
      <c r="Y337" s="56">
        <f t="shared" si="249"/>
        <v>6.394999999999996</v>
      </c>
      <c r="Z337" s="56">
        <f t="shared" si="249"/>
        <v>33.329000000000008</v>
      </c>
      <c r="AA337" s="56">
        <f t="shared" si="249"/>
        <v>22.751999999999967</v>
      </c>
      <c r="AB337" s="56">
        <f t="shared" si="249"/>
        <v>-82.601000000000028</v>
      </c>
      <c r="AC337" s="56">
        <f t="shared" si="249"/>
        <v>57.928999999999974</v>
      </c>
      <c r="AD337" s="56">
        <f t="shared" si="249"/>
        <v>51.066000000000003</v>
      </c>
      <c r="AE337" s="59">
        <f t="shared" si="249"/>
        <v>27.461000000000041</v>
      </c>
      <c r="AF337" s="59">
        <f t="shared" si="249"/>
        <v>11.803000000000026</v>
      </c>
      <c r="AG337" s="59">
        <f t="shared" si="249"/>
        <v>20.169999999999987</v>
      </c>
      <c r="AH337" s="59">
        <f t="shared" si="249"/>
        <v>23.159999999999997</v>
      </c>
      <c r="AI337" s="59">
        <f t="shared" si="249"/>
        <v>2.2619999999999436</v>
      </c>
      <c r="AJ337" s="59">
        <f t="shared" si="249"/>
        <v>14.357999999999976</v>
      </c>
      <c r="AK337" s="59">
        <f t="shared" si="249"/>
        <v>5.4369999999999834</v>
      </c>
      <c r="AL337" s="59">
        <f t="shared" si="249"/>
        <v>14.796000000000049</v>
      </c>
      <c r="AM337" s="59">
        <f t="shared" si="249"/>
        <v>38.615999999999929</v>
      </c>
      <c r="AN337" s="59">
        <f t="shared" si="249"/>
        <v>65.640999999999991</v>
      </c>
      <c r="AO337" s="59">
        <f t="shared" si="249"/>
        <v>37.498000000000019</v>
      </c>
      <c r="AP337" s="59">
        <f t="shared" si="249"/>
        <v>18.363999999999919</v>
      </c>
      <c r="AQ337" s="59">
        <f t="shared" si="249"/>
        <v>35.873999999999967</v>
      </c>
      <c r="AR337" s="59">
        <f t="shared" si="249"/>
        <v>21.431599999999946</v>
      </c>
      <c r="AS337" s="58">
        <f t="shared" si="249"/>
        <v>10.994289340101609</v>
      </c>
      <c r="AT337" s="58">
        <f t="shared" si="249"/>
        <v>21.054309644670056</v>
      </c>
      <c r="AU337" s="58">
        <f t="shared" si="249"/>
        <v>26.647954314720891</v>
      </c>
      <c r="AV337" s="58">
        <f t="shared" si="249"/>
        <v>23.675852791878242</v>
      </c>
      <c r="AW337" s="58">
        <f t="shared" si="249"/>
        <v>5.2864873096446843</v>
      </c>
      <c r="AX337" s="58">
        <f t="shared" si="249"/>
        <v>14.907355329949212</v>
      </c>
      <c r="AY337" s="58">
        <f t="shared" si="249"/>
        <v>48.151365482233388</v>
      </c>
      <c r="AZ337" s="58">
        <f t="shared" si="249"/>
        <v>40.614999999999895</v>
      </c>
      <c r="BA337" s="58">
        <f t="shared" si="249"/>
        <v>9.7309999999999377</v>
      </c>
      <c r="BB337" s="58">
        <f t="shared" si="249"/>
        <v>0.99400000000014188</v>
      </c>
      <c r="BC337" s="58">
        <f t="shared" si="249"/>
        <v>-17.40213399999999</v>
      </c>
      <c r="BD337" s="58">
        <f t="shared" si="249"/>
        <v>70.596994000000024</v>
      </c>
      <c r="BE337" s="58">
        <f t="shared" si="249"/>
        <v>227.55748978819918</v>
      </c>
      <c r="BF337" s="58">
        <f t="shared" si="249"/>
        <v>-95.423269530817379</v>
      </c>
      <c r="BG337" s="58">
        <f t="shared" si="249"/>
        <v>-43.447651000000064</v>
      </c>
      <c r="BH337" s="58">
        <f t="shared" si="249"/>
        <v>40.604000000000042</v>
      </c>
      <c r="BI337" s="58">
        <f t="shared" si="249"/>
        <v>93.583849159464918</v>
      </c>
      <c r="BJ337" s="58">
        <f t="shared" si="249"/>
        <v>92.892561530671557</v>
      </c>
      <c r="BK337" s="58">
        <f t="shared" si="249"/>
        <v>60.114188183913612</v>
      </c>
      <c r="BL337" s="58">
        <f t="shared" si="249"/>
        <v>72.901527020165574</v>
      </c>
      <c r="BM337" s="58">
        <f t="shared" si="249"/>
        <v>80.117365707061907</v>
      </c>
      <c r="BN337" s="58">
        <f t="shared" si="249"/>
        <v>72.209643305090623</v>
      </c>
      <c r="BO337" s="58">
        <f t="shared" si="248"/>
        <v>78.204514196066953</v>
      </c>
      <c r="BP337" s="58">
        <f t="shared" si="247"/>
        <v>81.614603799932567</v>
      </c>
      <c r="BQ337" s="58">
        <f t="shared" si="247"/>
        <v>89.045581741788538</v>
      </c>
      <c r="BR337" s="58">
        <f t="shared" si="247"/>
        <v>96.604658060892675</v>
      </c>
      <c r="BS337" s="58">
        <f t="shared" si="247"/>
        <v>100.0965797850105</v>
      </c>
      <c r="BT337" s="58">
        <f t="shared" si="247"/>
        <v>105.27646878023212</v>
      </c>
      <c r="BU337" s="58">
        <f t="shared" si="247"/>
        <v>110.22826525640234</v>
      </c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</row>
    <row r="338" spans="1:83">
      <c r="A338" s="4" t="s">
        <v>108</v>
      </c>
      <c r="B338" s="56"/>
      <c r="C338" s="56">
        <f t="shared" si="249"/>
        <v>9.7358880343041021E-2</v>
      </c>
      <c r="D338" s="56">
        <f t="shared" si="249"/>
        <v>9.7358880343041021E-2</v>
      </c>
      <c r="E338" s="56">
        <f t="shared" si="249"/>
        <v>-0.18665282260851201</v>
      </c>
      <c r="F338" s="56">
        <f t="shared" si="249"/>
        <v>0.19471776068608204</v>
      </c>
      <c r="G338" s="56">
        <f t="shared" si="249"/>
        <v>8.0649380775699164E-3</v>
      </c>
      <c r="H338" s="56">
        <f t="shared" si="249"/>
        <v>0.38943552137216408</v>
      </c>
      <c r="I338" s="56">
        <f t="shared" si="249"/>
        <v>0.58415328205824613</v>
      </c>
      <c r="J338" s="56">
        <f t="shared" si="249"/>
        <v>0.49485933979277519</v>
      </c>
      <c r="K338" s="56">
        <f t="shared" si="249"/>
        <v>-0.36066079480984214</v>
      </c>
      <c r="L338" s="56">
        <f t="shared" si="249"/>
        <v>0.22578244341321163</v>
      </c>
      <c r="M338" s="56">
        <f t="shared" si="249"/>
        <v>6.6559698037242079</v>
      </c>
      <c r="N338" s="56">
        <f t="shared" si="249"/>
        <v>3.3688988424760948</v>
      </c>
      <c r="O338" s="56">
        <f t="shared" si="249"/>
        <v>7.8903371917460774E-2</v>
      </c>
      <c r="P338" s="56">
        <f t="shared" si="249"/>
        <v>4.9389109209864106</v>
      </c>
      <c r="Q338" s="56">
        <f t="shared" si="249"/>
        <v>-7.3991540010065435</v>
      </c>
      <c r="R338" s="56">
        <f t="shared" si="249"/>
        <v>-1.0289999999999999</v>
      </c>
      <c r="S338" s="56">
        <f t="shared" si="249"/>
        <v>-9.3819999999999979</v>
      </c>
      <c r="T338" s="56">
        <f t="shared" si="249"/>
        <v>27.094000000000008</v>
      </c>
      <c r="U338" s="56">
        <f t="shared" si="249"/>
        <v>15.068999999999988</v>
      </c>
      <c r="V338" s="56">
        <f t="shared" si="249"/>
        <v>4.7610000000000028</v>
      </c>
      <c r="W338" s="56">
        <f t="shared" si="249"/>
        <v>-15.795999999999978</v>
      </c>
      <c r="X338" s="56">
        <f t="shared" si="249"/>
        <v>-1.998999999999981</v>
      </c>
      <c r="Y338" s="56">
        <f t="shared" si="249"/>
        <v>14.365000000000023</v>
      </c>
      <c r="Z338" s="56">
        <f t="shared" si="249"/>
        <v>21.605000000000004</v>
      </c>
      <c r="AA338" s="56">
        <f t="shared" si="249"/>
        <v>-2.5449999999999875</v>
      </c>
      <c r="AB338" s="56">
        <f t="shared" si="249"/>
        <v>13.991000000000014</v>
      </c>
      <c r="AC338" s="56">
        <f t="shared" si="249"/>
        <v>18.679999999999978</v>
      </c>
      <c r="AD338" s="56">
        <f t="shared" si="249"/>
        <v>71.888999999999982</v>
      </c>
      <c r="AE338" s="59">
        <f t="shared" si="249"/>
        <v>35.895000000000039</v>
      </c>
      <c r="AF338" s="59">
        <f t="shared" si="249"/>
        <v>2.958999999999989</v>
      </c>
      <c r="AG338" s="59">
        <f t="shared" si="249"/>
        <v>0.90699999999998226</v>
      </c>
      <c r="AH338" s="59">
        <f t="shared" si="249"/>
        <v>-0.71600000000003661</v>
      </c>
      <c r="AI338" s="59">
        <f t="shared" si="249"/>
        <v>7.9550000000000409</v>
      </c>
      <c r="AJ338" s="59">
        <f t="shared" si="249"/>
        <v>17.089000000000084</v>
      </c>
      <c r="AK338" s="59">
        <f t="shared" si="249"/>
        <v>31.705000000000041</v>
      </c>
      <c r="AL338" s="59">
        <f t="shared" si="249"/>
        <v>22.007999999999981</v>
      </c>
      <c r="AM338" s="59">
        <f t="shared" si="249"/>
        <v>6.3360000000000127</v>
      </c>
      <c r="AN338" s="59">
        <f t="shared" si="249"/>
        <v>24.757999999999981</v>
      </c>
      <c r="AO338" s="59">
        <f t="shared" si="249"/>
        <v>-4.1729999999999734</v>
      </c>
      <c r="AP338" s="59">
        <f t="shared" si="249"/>
        <v>-34.909999999999968</v>
      </c>
      <c r="AQ338" s="59">
        <f t="shared" si="249"/>
        <v>90.274000000000001</v>
      </c>
      <c r="AR338" s="59">
        <f t="shared" si="249"/>
        <v>67.616000000000014</v>
      </c>
      <c r="AS338" s="58">
        <f t="shared" si="249"/>
        <v>18.224746192893388</v>
      </c>
      <c r="AT338" s="58">
        <f t="shared" si="249"/>
        <v>26.139883248730939</v>
      </c>
      <c r="AU338" s="58">
        <f t="shared" si="249"/>
        <v>4.8051015228426195</v>
      </c>
      <c r="AV338" s="58">
        <f t="shared" si="249"/>
        <v>40.681751269035487</v>
      </c>
      <c r="AW338" s="58">
        <f t="shared" si="249"/>
        <v>18.163553299492264</v>
      </c>
      <c r="AX338" s="58">
        <f t="shared" si="249"/>
        <v>6.2502741116751963</v>
      </c>
      <c r="AY338" s="58">
        <f t="shared" si="249"/>
        <v>-25.856497461928825</v>
      </c>
      <c r="AZ338" s="58">
        <f t="shared" si="249"/>
        <v>11.232000000000028</v>
      </c>
      <c r="BA338" s="58">
        <f t="shared" si="249"/>
        <v>-19.355999999999966</v>
      </c>
      <c r="BB338" s="58">
        <f t="shared" si="249"/>
        <v>44.464000000000112</v>
      </c>
      <c r="BC338" s="58">
        <f t="shared" si="249"/>
        <v>63.26726599999995</v>
      </c>
      <c r="BD338" s="58">
        <f t="shared" si="249"/>
        <v>21.844888000000026</v>
      </c>
      <c r="BE338" s="58">
        <f t="shared" si="249"/>
        <v>158.64584930619651</v>
      </c>
      <c r="BF338" s="58">
        <f t="shared" si="249"/>
        <v>11.90919337297241</v>
      </c>
      <c r="BG338" s="58">
        <f t="shared" si="249"/>
        <v>-22.792999999999921</v>
      </c>
      <c r="BH338" s="58">
        <f t="shared" si="249"/>
        <v>83.476000000000226</v>
      </c>
      <c r="BI338" s="58">
        <f t="shared" si="249"/>
        <v>134.0175041460956</v>
      </c>
      <c r="BJ338" s="58">
        <f t="shared" si="249"/>
        <v>127.37976714345454</v>
      </c>
      <c r="BK338" s="58">
        <f t="shared" si="249"/>
        <v>107.31856977229995</v>
      </c>
      <c r="BL338" s="58">
        <f t="shared" si="249"/>
        <v>90.494347261543339</v>
      </c>
      <c r="BM338" s="58">
        <f t="shared" si="249"/>
        <v>108.86567998069373</v>
      </c>
      <c r="BN338" s="58">
        <f t="shared" ref="BN338:BO341" si="250">BN306-BN322</f>
        <v>103.73388595514277</v>
      </c>
      <c r="BO338" s="58">
        <f t="shared" si="250"/>
        <v>110.20766773697397</v>
      </c>
      <c r="BP338" s="58">
        <f t="shared" si="247"/>
        <v>113.40138944744407</v>
      </c>
      <c r="BQ338" s="58">
        <f t="shared" si="247"/>
        <v>117.80370386307371</v>
      </c>
      <c r="BR338" s="58">
        <f t="shared" si="247"/>
        <v>127.80400349514487</v>
      </c>
      <c r="BS338" s="58">
        <f t="shared" si="247"/>
        <v>131.79458453858916</v>
      </c>
      <c r="BT338" s="58">
        <f t="shared" si="247"/>
        <v>136.98281727738194</v>
      </c>
      <c r="BU338" s="58">
        <f t="shared" si="247"/>
        <v>141.86417050291973</v>
      </c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</row>
    <row r="339" spans="1:83">
      <c r="A339" s="4" t="s">
        <v>109</v>
      </c>
      <c r="B339" s="56"/>
      <c r="C339" s="56">
        <f t="shared" ref="C339:BN342" si="251">C307-C323</f>
        <v>8.7838421747879647E-2</v>
      </c>
      <c r="D339" s="56">
        <f t="shared" si="251"/>
        <v>8.7838421747879647E-2</v>
      </c>
      <c r="E339" s="56">
        <f t="shared" si="251"/>
        <v>8.5730169446012638E-2</v>
      </c>
      <c r="F339" s="56">
        <f t="shared" si="251"/>
        <v>0.17567684349575929</v>
      </c>
      <c r="G339" s="56">
        <f t="shared" si="251"/>
        <v>0.26140701294177182</v>
      </c>
      <c r="H339" s="56">
        <f t="shared" si="251"/>
        <v>0.35135368699151859</v>
      </c>
      <c r="I339" s="56">
        <f t="shared" si="251"/>
        <v>0.52703053048727788</v>
      </c>
      <c r="J339" s="56">
        <f t="shared" si="251"/>
        <v>0.70059912168117</v>
      </c>
      <c r="K339" s="56">
        <f t="shared" si="251"/>
        <v>5.6716700758249416E-2</v>
      </c>
      <c r="L339" s="56">
        <f t="shared" si="251"/>
        <v>0.39567190570775246</v>
      </c>
      <c r="M339" s="56">
        <f t="shared" si="251"/>
        <v>5.7495702063412164</v>
      </c>
      <c r="N339" s="56">
        <f t="shared" si="251"/>
        <v>-2.2007398087569197</v>
      </c>
      <c r="O339" s="56">
        <f t="shared" si="251"/>
        <v>4.8470246602919005</v>
      </c>
      <c r="P339" s="56">
        <f t="shared" si="251"/>
        <v>-4.075367891293407</v>
      </c>
      <c r="Q339" s="56">
        <f t="shared" si="251"/>
        <v>3.0890080523402101</v>
      </c>
      <c r="R339" s="56">
        <f t="shared" si="251"/>
        <v>6.4029999999999987</v>
      </c>
      <c r="S339" s="56">
        <f t="shared" si="251"/>
        <v>17.939999999999998</v>
      </c>
      <c r="T339" s="56">
        <f t="shared" si="251"/>
        <v>18.779999999999994</v>
      </c>
      <c r="U339" s="56">
        <f t="shared" si="251"/>
        <v>1.2230000000000061</v>
      </c>
      <c r="V339" s="56">
        <f t="shared" si="251"/>
        <v>24.790000000000013</v>
      </c>
      <c r="W339" s="56">
        <f t="shared" si="251"/>
        <v>11.046999999999983</v>
      </c>
      <c r="X339" s="56">
        <f t="shared" si="251"/>
        <v>-15.295999999999992</v>
      </c>
      <c r="Y339" s="56">
        <f t="shared" si="251"/>
        <v>-21.747</v>
      </c>
      <c r="Z339" s="56">
        <f t="shared" si="251"/>
        <v>-7.8629999999999995</v>
      </c>
      <c r="AA339" s="56">
        <f t="shared" si="251"/>
        <v>13.850999999999999</v>
      </c>
      <c r="AB339" s="56">
        <f t="shared" si="251"/>
        <v>-27.773000000000025</v>
      </c>
      <c r="AC339" s="56">
        <f t="shared" si="251"/>
        <v>9.3810000000000286</v>
      </c>
      <c r="AD339" s="56">
        <f t="shared" si="251"/>
        <v>65.171999999999997</v>
      </c>
      <c r="AE339" s="59">
        <f t="shared" si="251"/>
        <v>-24.109000000000023</v>
      </c>
      <c r="AF339" s="59">
        <f t="shared" si="251"/>
        <v>14.427999999999997</v>
      </c>
      <c r="AG339" s="59">
        <f t="shared" si="251"/>
        <v>19.523999999999972</v>
      </c>
      <c r="AH339" s="59">
        <f t="shared" si="251"/>
        <v>7.3690000000000282</v>
      </c>
      <c r="AI339" s="59">
        <f t="shared" si="251"/>
        <v>18.354999999999976</v>
      </c>
      <c r="AJ339" s="59">
        <f t="shared" si="251"/>
        <v>23.70700000000005</v>
      </c>
      <c r="AK339" s="59">
        <f t="shared" si="251"/>
        <v>17.274999999999977</v>
      </c>
      <c r="AL339" s="59">
        <f t="shared" si="251"/>
        <v>28.287999999999982</v>
      </c>
      <c r="AM339" s="59">
        <f t="shared" si="251"/>
        <v>-51.726000000000042</v>
      </c>
      <c r="AN339" s="59">
        <f t="shared" si="251"/>
        <v>41.055000000000064</v>
      </c>
      <c r="AO339" s="59">
        <f t="shared" si="251"/>
        <v>69.424999999999983</v>
      </c>
      <c r="AP339" s="59">
        <f t="shared" si="251"/>
        <v>42.382999999999981</v>
      </c>
      <c r="AQ339" s="59">
        <f t="shared" si="251"/>
        <v>-32.785000000000082</v>
      </c>
      <c r="AR339" s="59">
        <f t="shared" si="251"/>
        <v>-46.84</v>
      </c>
      <c r="AS339" s="58">
        <f t="shared" si="251"/>
        <v>27.074974619289364</v>
      </c>
      <c r="AT339" s="58">
        <f t="shared" si="251"/>
        <v>40.088715736040697</v>
      </c>
      <c r="AU339" s="58">
        <f t="shared" si="251"/>
        <v>60.851416243654768</v>
      </c>
      <c r="AV339" s="58">
        <f t="shared" si="251"/>
        <v>42.676598984771488</v>
      </c>
      <c r="AW339" s="58">
        <f t="shared" si="251"/>
        <v>49.684766497461936</v>
      </c>
      <c r="AX339" s="58">
        <f t="shared" si="251"/>
        <v>47.181609137055801</v>
      </c>
      <c r="AY339" s="58">
        <f t="shared" si="251"/>
        <v>67.885030456852803</v>
      </c>
      <c r="AZ339" s="58">
        <f t="shared" si="251"/>
        <v>-10.840999999999951</v>
      </c>
      <c r="BA339" s="58">
        <f t="shared" si="251"/>
        <v>75.100999999999956</v>
      </c>
      <c r="BB339" s="58">
        <f t="shared" si="251"/>
        <v>-21.417206000000135</v>
      </c>
      <c r="BC339" s="58">
        <f t="shared" si="251"/>
        <v>-59.539805000000001</v>
      </c>
      <c r="BD339" s="58">
        <f t="shared" si="251"/>
        <v>21.813266000000013</v>
      </c>
      <c r="BE339" s="58">
        <f t="shared" si="251"/>
        <v>196.48757079715216</v>
      </c>
      <c r="BF339" s="58">
        <f t="shared" si="251"/>
        <v>-159.70602049363083</v>
      </c>
      <c r="BG339" s="58">
        <f t="shared" si="251"/>
        <v>94.543000000000035</v>
      </c>
      <c r="BH339" s="58">
        <f t="shared" si="251"/>
        <v>43.010999999999996</v>
      </c>
      <c r="BI339" s="58">
        <f t="shared" si="251"/>
        <v>89.604053265166513</v>
      </c>
      <c r="BJ339" s="58">
        <f t="shared" si="251"/>
        <v>93.58334653048837</v>
      </c>
      <c r="BK339" s="58">
        <f t="shared" si="251"/>
        <v>68.86361100071278</v>
      </c>
      <c r="BL339" s="58">
        <f t="shared" si="251"/>
        <v>80.300950850946251</v>
      </c>
      <c r="BM339" s="58">
        <f t="shared" si="251"/>
        <v>70.787276084652063</v>
      </c>
      <c r="BN339" s="58">
        <f t="shared" si="251"/>
        <v>67.093077745515743</v>
      </c>
      <c r="BO339" s="58">
        <f t="shared" si="250"/>
        <v>78.016341554256911</v>
      </c>
      <c r="BP339" s="58">
        <f t="shared" si="247"/>
        <v>79.571297335010811</v>
      </c>
      <c r="BQ339" s="58">
        <f t="shared" si="247"/>
        <v>84.053422219559963</v>
      </c>
      <c r="BR339" s="58">
        <f t="shared" si="247"/>
        <v>87.884220343008352</v>
      </c>
      <c r="BS339" s="58">
        <f t="shared" si="247"/>
        <v>91.52833867156393</v>
      </c>
      <c r="BT339" s="58">
        <f t="shared" si="247"/>
        <v>96.11960914259636</v>
      </c>
      <c r="BU339" s="58">
        <f t="shared" si="247"/>
        <v>99.392180145502508</v>
      </c>
    </row>
    <row r="340" spans="1:83">
      <c r="A340" s="4" t="s">
        <v>110</v>
      </c>
      <c r="B340" s="56"/>
      <c r="C340" s="56">
        <f t="shared" si="251"/>
        <v>8.5122405896223496E-2</v>
      </c>
      <c r="D340" s="56">
        <f t="shared" si="251"/>
        <v>8.5122405896223496E-2</v>
      </c>
      <c r="E340" s="56">
        <f t="shared" si="251"/>
        <v>0.38057890705791353</v>
      </c>
      <c r="F340" s="56">
        <f t="shared" si="251"/>
        <v>0.17024481179244699</v>
      </c>
      <c r="G340" s="56">
        <f t="shared" si="251"/>
        <v>0.55082371885036041</v>
      </c>
      <c r="H340" s="56">
        <f t="shared" si="251"/>
        <v>0.34048962358489399</v>
      </c>
      <c r="I340" s="56">
        <f t="shared" si="251"/>
        <v>0.51073443537734098</v>
      </c>
      <c r="J340" s="56">
        <f t="shared" si="251"/>
        <v>0.97643574833147806</v>
      </c>
      <c r="K340" s="56">
        <f t="shared" si="251"/>
        <v>1.3107572211287977</v>
      </c>
      <c r="L340" s="56">
        <f t="shared" si="251"/>
        <v>1.8208795005874423</v>
      </c>
      <c r="M340" s="56">
        <f t="shared" si="251"/>
        <v>5.7706708605938601</v>
      </c>
      <c r="N340" s="56">
        <f t="shared" si="251"/>
        <v>0.37659738298943246</v>
      </c>
      <c r="O340" s="56">
        <f t="shared" si="251"/>
        <v>0.91134675390035014</v>
      </c>
      <c r="P340" s="56">
        <f t="shared" si="251"/>
        <v>6.6119290387518888</v>
      </c>
      <c r="Q340" s="56">
        <f t="shared" si="251"/>
        <v>5.5765213890286836</v>
      </c>
      <c r="R340" s="56">
        <f t="shared" si="251"/>
        <v>8.6980000000000004</v>
      </c>
      <c r="S340" s="56">
        <f t="shared" si="251"/>
        <v>6.5440000000000005</v>
      </c>
      <c r="T340" s="56">
        <f t="shared" si="251"/>
        <v>11.219000000000001</v>
      </c>
      <c r="U340" s="56">
        <f t="shared" si="251"/>
        <v>11.829999999999991</v>
      </c>
      <c r="V340" s="56">
        <f t="shared" si="251"/>
        <v>10.583999999999996</v>
      </c>
      <c r="W340" s="56">
        <f t="shared" si="251"/>
        <v>6.9099999999999966</v>
      </c>
      <c r="X340" s="56">
        <f t="shared" si="251"/>
        <v>2.5780000000000101</v>
      </c>
      <c r="Y340" s="56">
        <f t="shared" si="251"/>
        <v>5.6720000000000113</v>
      </c>
      <c r="Z340" s="56">
        <f t="shared" si="251"/>
        <v>12.317999999999984</v>
      </c>
      <c r="AA340" s="56">
        <f t="shared" si="251"/>
        <v>23.164999999999992</v>
      </c>
      <c r="AB340" s="56">
        <f t="shared" si="251"/>
        <v>-2.0709999999999695</v>
      </c>
      <c r="AC340" s="56">
        <f t="shared" si="251"/>
        <v>12.027000000000001</v>
      </c>
      <c r="AD340" s="56">
        <f t="shared" si="251"/>
        <v>41.11399999999999</v>
      </c>
      <c r="AE340" s="59">
        <f t="shared" si="251"/>
        <v>20.936000000000007</v>
      </c>
      <c r="AF340" s="59">
        <f t="shared" si="251"/>
        <v>8.2449999999999903</v>
      </c>
      <c r="AG340" s="59">
        <f t="shared" si="251"/>
        <v>-1.5279999999999916</v>
      </c>
      <c r="AH340" s="59">
        <f t="shared" si="251"/>
        <v>10.184999999999988</v>
      </c>
      <c r="AI340" s="59">
        <f t="shared" si="251"/>
        <v>-0.88300000000000267</v>
      </c>
      <c r="AJ340" s="59">
        <f t="shared" si="251"/>
        <v>11.245999999999981</v>
      </c>
      <c r="AK340" s="59">
        <f t="shared" si="251"/>
        <v>-11.032000000000011</v>
      </c>
      <c r="AL340" s="59">
        <f t="shared" si="251"/>
        <v>16.795999999999964</v>
      </c>
      <c r="AM340" s="59">
        <f t="shared" si="251"/>
        <v>-1.4769999999999754</v>
      </c>
      <c r="AN340" s="59">
        <f t="shared" si="251"/>
        <v>9.7330000000000041</v>
      </c>
      <c r="AO340" s="59">
        <f t="shared" si="251"/>
        <v>30.76400000000001</v>
      </c>
      <c r="AP340" s="59">
        <f t="shared" si="251"/>
        <v>7.0019999999999243</v>
      </c>
      <c r="AQ340" s="59">
        <f t="shared" si="251"/>
        <v>21.055680000000081</v>
      </c>
      <c r="AR340" s="59">
        <f t="shared" si="251"/>
        <v>114.28720000000004</v>
      </c>
      <c r="AS340" s="58">
        <f t="shared" si="251"/>
        <v>15.100954314720838</v>
      </c>
      <c r="AT340" s="58">
        <f t="shared" si="251"/>
        <v>-26.169517766497375</v>
      </c>
      <c r="AU340" s="58">
        <f t="shared" si="251"/>
        <v>4.9092588832487536</v>
      </c>
      <c r="AV340" s="58">
        <f t="shared" si="251"/>
        <v>5.3235939086295048</v>
      </c>
      <c r="AW340" s="58">
        <f t="shared" si="251"/>
        <v>20.47908629441622</v>
      </c>
      <c r="AX340" s="58">
        <f t="shared" si="251"/>
        <v>28.066309644670071</v>
      </c>
      <c r="AY340" s="58">
        <f t="shared" si="251"/>
        <v>19.984000000000037</v>
      </c>
      <c r="AZ340" s="58">
        <f t="shared" si="251"/>
        <v>42.990000000000009</v>
      </c>
      <c r="BA340" s="58">
        <f t="shared" si="251"/>
        <v>28.148000000000067</v>
      </c>
      <c r="BB340" s="58">
        <f t="shared" si="251"/>
        <v>60.351187000000124</v>
      </c>
      <c r="BC340" s="58">
        <f t="shared" si="251"/>
        <v>64.477916999999934</v>
      </c>
      <c r="BD340" s="58">
        <f t="shared" si="251"/>
        <v>36.479279000000034</v>
      </c>
      <c r="BE340" s="58">
        <f t="shared" si="251"/>
        <v>127.3462948718005</v>
      </c>
      <c r="BF340" s="58">
        <f t="shared" si="251"/>
        <v>-176.84880100000004</v>
      </c>
      <c r="BG340" s="58">
        <f t="shared" si="251"/>
        <v>61.503999999999962</v>
      </c>
      <c r="BH340" s="58">
        <f t="shared" si="251"/>
        <v>56.310999999999886</v>
      </c>
      <c r="BI340" s="58">
        <f t="shared" si="251"/>
        <v>13.010693019281987</v>
      </c>
      <c r="BJ340" s="58">
        <f t="shared" si="251"/>
        <v>65.85738389903841</v>
      </c>
      <c r="BK340" s="58">
        <f t="shared" si="251"/>
        <v>49.236018762206015</v>
      </c>
      <c r="BL340" s="58">
        <f t="shared" si="251"/>
        <v>75.220208406461168</v>
      </c>
      <c r="BM340" s="58">
        <f t="shared" si="251"/>
        <v>44.726096259284773</v>
      </c>
      <c r="BN340" s="58">
        <f t="shared" si="251"/>
        <v>52.849713186936867</v>
      </c>
      <c r="BO340" s="58">
        <f t="shared" si="250"/>
        <v>59.566940073652859</v>
      </c>
      <c r="BP340" s="58">
        <f t="shared" si="247"/>
        <v>63.262428362218245</v>
      </c>
      <c r="BQ340" s="58">
        <f t="shared" si="247"/>
        <v>68.451867268824913</v>
      </c>
      <c r="BR340" s="58">
        <f t="shared" si="247"/>
        <v>70.264626904398369</v>
      </c>
      <c r="BS340" s="58">
        <f t="shared" si="247"/>
        <v>75.687896192890136</v>
      </c>
      <c r="BT340" s="58">
        <f t="shared" si="247"/>
        <v>79.952176039712384</v>
      </c>
      <c r="BU340" s="58">
        <f t="shared" si="247"/>
        <v>83.659163348170324</v>
      </c>
      <c r="BV340" s="115"/>
      <c r="BW340" s="115"/>
      <c r="BX340" s="115"/>
      <c r="BY340" s="115"/>
      <c r="BZ340" s="115"/>
      <c r="CA340" s="115"/>
      <c r="CB340" s="115"/>
      <c r="CC340" s="115"/>
      <c r="CD340" s="115"/>
      <c r="CE340" s="115"/>
    </row>
    <row r="341" spans="1:83">
      <c r="A341" s="4" t="s">
        <v>111</v>
      </c>
      <c r="B341" s="56"/>
      <c r="C341" s="56">
        <f t="shared" si="251"/>
        <v>7.1711048834788058E-2</v>
      </c>
      <c r="D341" s="56">
        <f t="shared" si="251"/>
        <v>7.1711048834788058E-2</v>
      </c>
      <c r="E341" s="56">
        <f t="shared" si="251"/>
        <v>0.48066896983986473</v>
      </c>
      <c r="F341" s="56">
        <f t="shared" si="251"/>
        <v>0.14342209766957612</v>
      </c>
      <c r="G341" s="56">
        <f t="shared" si="251"/>
        <v>0.62409106750944088</v>
      </c>
      <c r="H341" s="56">
        <f t="shared" si="251"/>
        <v>0.28684419533915223</v>
      </c>
      <c r="I341" s="56">
        <f t="shared" si="251"/>
        <v>0.43026629300872832</v>
      </c>
      <c r="J341" s="56">
        <f t="shared" si="251"/>
        <v>0.98264631168338146</v>
      </c>
      <c r="K341" s="56">
        <f t="shared" si="251"/>
        <v>1.6761469220524683</v>
      </c>
      <c r="L341" s="56">
        <f t="shared" si="251"/>
        <v>2.1517721724928469</v>
      </c>
      <c r="M341" s="56">
        <f t="shared" si="251"/>
        <v>3.4368661298439855</v>
      </c>
      <c r="N341" s="56">
        <f t="shared" si="251"/>
        <v>1.7488515349773515</v>
      </c>
      <c r="O341" s="56">
        <f t="shared" si="251"/>
        <v>10.402171615500752</v>
      </c>
      <c r="P341" s="56">
        <f t="shared" si="251"/>
        <v>8.6107050830397611</v>
      </c>
      <c r="Q341" s="56">
        <f t="shared" si="251"/>
        <v>-2.9628827377956739</v>
      </c>
      <c r="R341" s="56">
        <f t="shared" si="251"/>
        <v>8.3460000000000036</v>
      </c>
      <c r="S341" s="56">
        <f t="shared" si="251"/>
        <v>1.2290000000000028</v>
      </c>
      <c r="T341" s="56">
        <f t="shared" si="251"/>
        <v>14.420999999999999</v>
      </c>
      <c r="U341" s="56">
        <f t="shared" si="251"/>
        <v>9.5519999999999925</v>
      </c>
      <c r="V341" s="56">
        <f t="shared" si="251"/>
        <v>16.560000000000002</v>
      </c>
      <c r="W341" s="56">
        <f t="shared" si="251"/>
        <v>-6.1560000000000059</v>
      </c>
      <c r="X341" s="56">
        <f t="shared" si="251"/>
        <v>7.1490000000000009</v>
      </c>
      <c r="Y341" s="56">
        <f t="shared" si="251"/>
        <v>9.9819999999999958</v>
      </c>
      <c r="Z341" s="56">
        <f t="shared" si="251"/>
        <v>22.582999999999984</v>
      </c>
      <c r="AA341" s="56">
        <f t="shared" si="251"/>
        <v>16.114999999999995</v>
      </c>
      <c r="AB341" s="56">
        <f t="shared" si="251"/>
        <v>27.876000000000019</v>
      </c>
      <c r="AC341" s="56">
        <f t="shared" si="251"/>
        <v>10.169000000000025</v>
      </c>
      <c r="AD341" s="56">
        <f t="shared" si="251"/>
        <v>26.325000000000017</v>
      </c>
      <c r="AE341" s="59">
        <f t="shared" si="251"/>
        <v>9.11</v>
      </c>
      <c r="AF341" s="59">
        <f t="shared" si="251"/>
        <v>10.52300000000001</v>
      </c>
      <c r="AG341" s="59">
        <f t="shared" si="251"/>
        <v>0.13099999999997181</v>
      </c>
      <c r="AH341" s="59">
        <f t="shared" si="251"/>
        <v>-8.2650000000000006</v>
      </c>
      <c r="AI341" s="59">
        <f t="shared" si="251"/>
        <v>-13.753000000000007</v>
      </c>
      <c r="AJ341" s="59">
        <f t="shared" si="251"/>
        <v>30.465000000000032</v>
      </c>
      <c r="AK341" s="59">
        <f t="shared" si="251"/>
        <v>8.5810000000000315</v>
      </c>
      <c r="AL341" s="59">
        <f t="shared" si="251"/>
        <v>-28.433999999999997</v>
      </c>
      <c r="AM341" s="59">
        <f t="shared" si="251"/>
        <v>42.242000000000004</v>
      </c>
      <c r="AN341" s="59">
        <f t="shared" si="251"/>
        <v>28.022999999999996</v>
      </c>
      <c r="AO341" s="59">
        <f t="shared" si="251"/>
        <v>3.4090000000000202</v>
      </c>
      <c r="AP341" s="59">
        <f t="shared" si="251"/>
        <v>74.544999999999987</v>
      </c>
      <c r="AQ341" s="59">
        <f t="shared" si="251"/>
        <v>34.680000000000035</v>
      </c>
      <c r="AR341" s="59">
        <f t="shared" si="251"/>
        <v>-32.025999999999925</v>
      </c>
      <c r="AS341" s="58">
        <f t="shared" si="251"/>
        <v>36.705944162436552</v>
      </c>
      <c r="AT341" s="58">
        <f t="shared" si="251"/>
        <v>-10.663984771573624</v>
      </c>
      <c r="AU341" s="58">
        <f t="shared" si="251"/>
        <v>-0.33231979695436564</v>
      </c>
      <c r="AV341" s="58">
        <f t="shared" si="251"/>
        <v>16.983492385786775</v>
      </c>
      <c r="AW341" s="58">
        <f t="shared" si="251"/>
        <v>-45.545868020304567</v>
      </c>
      <c r="AX341" s="58">
        <f t="shared" si="251"/>
        <v>-8.3111573604060709</v>
      </c>
      <c r="AY341" s="58">
        <f t="shared" si="251"/>
        <v>-9.3050000000000068</v>
      </c>
      <c r="AZ341" s="58">
        <f t="shared" si="251"/>
        <v>30.29099999999994</v>
      </c>
      <c r="BA341" s="58">
        <f t="shared" si="251"/>
        <v>13.603999999999957</v>
      </c>
      <c r="BB341" s="58">
        <f t="shared" si="251"/>
        <v>18.376434999999987</v>
      </c>
      <c r="BC341" s="58">
        <f t="shared" si="251"/>
        <v>3.8073180000000377</v>
      </c>
      <c r="BD341" s="58">
        <f t="shared" si="251"/>
        <v>24.449713000000045</v>
      </c>
      <c r="BE341" s="58">
        <f t="shared" si="251"/>
        <v>32.892368198409002</v>
      </c>
      <c r="BF341" s="58">
        <f t="shared" si="251"/>
        <v>38.255758000000043</v>
      </c>
      <c r="BG341" s="58">
        <f t="shared" si="251"/>
        <v>67.521999999999963</v>
      </c>
      <c r="BH341" s="58">
        <f t="shared" si="251"/>
        <v>2.7979999999999734</v>
      </c>
      <c r="BI341" s="58">
        <f t="shared" si="251"/>
        <v>32.596577725211191</v>
      </c>
      <c r="BJ341" s="58">
        <f t="shared" si="251"/>
        <v>111.33695721747064</v>
      </c>
      <c r="BK341" s="58">
        <f t="shared" si="251"/>
        <v>99.393013507124991</v>
      </c>
      <c r="BL341" s="58">
        <f t="shared" si="251"/>
        <v>93.410435274721749</v>
      </c>
      <c r="BM341" s="58">
        <f t="shared" si="251"/>
        <v>59.444708709718725</v>
      </c>
      <c r="BN341" s="58">
        <f t="shared" si="251"/>
        <v>82.44978960671564</v>
      </c>
      <c r="BO341" s="58">
        <f t="shared" si="250"/>
        <v>91.577339733722553</v>
      </c>
      <c r="BP341" s="58">
        <f t="shared" si="247"/>
        <v>93.359895181600507</v>
      </c>
      <c r="BQ341" s="58">
        <f t="shared" si="247"/>
        <v>94.682809476332224</v>
      </c>
      <c r="BR341" s="58">
        <f t="shared" si="247"/>
        <v>98.772535455157282</v>
      </c>
      <c r="BS341" s="58">
        <f t="shared" si="247"/>
        <v>107.16383635824666</v>
      </c>
      <c r="BT341" s="58">
        <f t="shared" si="247"/>
        <v>111.68552743601138</v>
      </c>
      <c r="BU341" s="58">
        <f t="shared" si="247"/>
        <v>115.2163704536411</v>
      </c>
      <c r="BV341" s="115"/>
      <c r="BW341" s="115"/>
      <c r="BX341" s="115"/>
      <c r="BY341" s="115"/>
      <c r="BZ341" s="115"/>
      <c r="CA341" s="115"/>
      <c r="CB341" s="115"/>
      <c r="CC341" s="115"/>
      <c r="CD341" s="115"/>
      <c r="CE341" s="115"/>
    </row>
    <row r="342" spans="1:83">
      <c r="A342" s="4" t="s">
        <v>112</v>
      </c>
      <c r="B342" s="56"/>
      <c r="C342" s="56">
        <f t="shared" si="251"/>
        <v>5.1789484080443447E-2</v>
      </c>
      <c r="D342" s="56">
        <f t="shared" si="251"/>
        <v>5.1789484080443447E-2</v>
      </c>
      <c r="E342" s="56">
        <f t="shared" si="251"/>
        <v>0.85365679326209731</v>
      </c>
      <c r="F342" s="56">
        <f t="shared" si="251"/>
        <v>0.10357896816088689</v>
      </c>
      <c r="G342" s="56">
        <f t="shared" si="251"/>
        <v>0.95723576142298428</v>
      </c>
      <c r="H342" s="56">
        <f t="shared" si="251"/>
        <v>0.20715793632177379</v>
      </c>
      <c r="I342" s="56">
        <f t="shared" si="251"/>
        <v>0.31073690448266067</v>
      </c>
      <c r="J342" s="56">
        <f t="shared" si="251"/>
        <v>-0.27991646588491403</v>
      </c>
      <c r="K342" s="56">
        <f t="shared" si="251"/>
        <v>1.6633474943126476</v>
      </c>
      <c r="L342" s="56">
        <f t="shared" si="251"/>
        <v>3.4796170904984258</v>
      </c>
      <c r="M342" s="56">
        <f t="shared" si="251"/>
        <v>0.88769652742828242</v>
      </c>
      <c r="N342" s="56">
        <f t="shared" si="251"/>
        <v>1.7347101157523896</v>
      </c>
      <c r="O342" s="56">
        <f t="shared" si="251"/>
        <v>5.9317327629592338</v>
      </c>
      <c r="P342" s="56">
        <f t="shared" si="251"/>
        <v>10.122537996980373</v>
      </c>
      <c r="Q342" s="56">
        <f t="shared" si="251"/>
        <v>0.63962166722915992</v>
      </c>
      <c r="R342" s="56">
        <f t="shared" si="251"/>
        <v>-7.3010000000000002</v>
      </c>
      <c r="S342" s="56">
        <f t="shared" si="251"/>
        <v>2.152000000000001</v>
      </c>
      <c r="T342" s="56">
        <f t="shared" si="251"/>
        <v>-14.079000000000001</v>
      </c>
      <c r="U342" s="56">
        <f t="shared" si="251"/>
        <v>-7.5030000000000001</v>
      </c>
      <c r="V342" s="56">
        <f t="shared" si="251"/>
        <v>14.925999999999995</v>
      </c>
      <c r="W342" s="56">
        <f t="shared" si="251"/>
        <v>11.399000000000001</v>
      </c>
      <c r="X342" s="56">
        <f t="shared" si="251"/>
        <v>2.5569999999999951</v>
      </c>
      <c r="Y342" s="56">
        <f t="shared" si="251"/>
        <v>-2.5310000000000024</v>
      </c>
      <c r="Z342" s="56">
        <f t="shared" si="251"/>
        <v>16.335000000000001</v>
      </c>
      <c r="AA342" s="56">
        <f t="shared" si="251"/>
        <v>9.5740000000000123</v>
      </c>
      <c r="AB342" s="56">
        <f t="shared" si="251"/>
        <v>10.620000000000005</v>
      </c>
      <c r="AC342" s="56">
        <f t="shared" si="251"/>
        <v>33.450999999999986</v>
      </c>
      <c r="AD342" s="56">
        <f t="shared" si="251"/>
        <v>8.2209999999999965</v>
      </c>
      <c r="AE342" s="59">
        <f t="shared" si="251"/>
        <v>27.07200000000001</v>
      </c>
      <c r="AF342" s="59">
        <f t="shared" si="251"/>
        <v>-7.1899999999999906</v>
      </c>
      <c r="AG342" s="59">
        <f t="shared" si="251"/>
        <v>4.5200000000000031</v>
      </c>
      <c r="AH342" s="59">
        <f t="shared" si="251"/>
        <v>-17.283000000000008</v>
      </c>
      <c r="AI342" s="59">
        <f t="shared" si="251"/>
        <v>3.400999999999982</v>
      </c>
      <c r="AJ342" s="59">
        <f t="shared" si="251"/>
        <v>-19.543000000000006</v>
      </c>
      <c r="AK342" s="59">
        <f t="shared" si="251"/>
        <v>2.2459999999999951</v>
      </c>
      <c r="AL342" s="59">
        <f t="shared" si="251"/>
        <v>23.62700000000001</v>
      </c>
      <c r="AM342" s="59">
        <f t="shared" si="251"/>
        <v>12.731000000000023</v>
      </c>
      <c r="AN342" s="59">
        <f t="shared" si="251"/>
        <v>32.325000000000045</v>
      </c>
      <c r="AO342" s="59">
        <f t="shared" si="251"/>
        <v>59.958000000000027</v>
      </c>
      <c r="AP342" s="59">
        <f t="shared" si="251"/>
        <v>27.868000000000023</v>
      </c>
      <c r="AQ342" s="59">
        <f t="shared" si="251"/>
        <v>43.215999999999951</v>
      </c>
      <c r="AR342" s="59">
        <f t="shared" si="251"/>
        <v>-1.625060000000019</v>
      </c>
      <c r="AS342" s="58">
        <f t="shared" si="251"/>
        <v>2.2229593908629468</v>
      </c>
      <c r="AT342" s="58">
        <f t="shared" si="251"/>
        <v>-40.807456852791816</v>
      </c>
      <c r="AU342" s="58">
        <f t="shared" si="251"/>
        <v>35.596411167512699</v>
      </c>
      <c r="AV342" s="58">
        <f t="shared" si="251"/>
        <v>28.608903553299598</v>
      </c>
      <c r="AW342" s="58">
        <f t="shared" si="251"/>
        <v>31.924974619289372</v>
      </c>
      <c r="AX342" s="58">
        <f t="shared" si="251"/>
        <v>14.433162436548201</v>
      </c>
      <c r="AY342" s="58">
        <f t="shared" si="251"/>
        <v>26.319999999999979</v>
      </c>
      <c r="AZ342" s="58">
        <f t="shared" si="251"/>
        <v>28.05400000000003</v>
      </c>
      <c r="BA342" s="58">
        <f t="shared" si="251"/>
        <v>32.365999999999985</v>
      </c>
      <c r="BB342" s="58">
        <f t="shared" si="251"/>
        <v>-40.879044999999934</v>
      </c>
      <c r="BC342" s="58">
        <f t="shared" si="251"/>
        <v>-95.722389999999933</v>
      </c>
      <c r="BD342" s="58">
        <f t="shared" si="251"/>
        <v>19.649554999999907</v>
      </c>
      <c r="BE342" s="58">
        <f t="shared" si="251"/>
        <v>115.2946475776273</v>
      </c>
      <c r="BF342" s="58">
        <f t="shared" si="251"/>
        <v>-6.4577969999999709</v>
      </c>
      <c r="BG342" s="58">
        <f t="shared" si="251"/>
        <v>31.661000000000087</v>
      </c>
      <c r="BH342" s="58">
        <f t="shared" si="251"/>
        <v>-107.40499999999921</v>
      </c>
      <c r="BI342" s="58">
        <f t="shared" si="251"/>
        <v>-30.210086526467222</v>
      </c>
      <c r="BJ342" s="58">
        <f t="shared" si="251"/>
        <v>83.083844822971244</v>
      </c>
      <c r="BK342" s="58">
        <f t="shared" si="251"/>
        <v>62.696402142024226</v>
      </c>
      <c r="BL342" s="58">
        <f t="shared" si="251"/>
        <v>47.069386223091215</v>
      </c>
      <c r="BM342" s="58">
        <f t="shared" si="251"/>
        <v>12.912730628799622</v>
      </c>
      <c r="BN342" s="58">
        <f t="shared" ref="BN342:BO342" si="252">BN310-BN326</f>
        <v>39.471789271308751</v>
      </c>
      <c r="BO342" s="58">
        <f t="shared" si="252"/>
        <v>51.039545122516216</v>
      </c>
      <c r="BP342" s="58">
        <f t="shared" si="247"/>
        <v>49.360641390751709</v>
      </c>
      <c r="BQ342" s="58">
        <f t="shared" si="247"/>
        <v>48.83706988804984</v>
      </c>
      <c r="BR342" s="58">
        <f t="shared" si="247"/>
        <v>52.429577547985531</v>
      </c>
      <c r="BS342" s="58">
        <f t="shared" si="247"/>
        <v>60.831174082482022</v>
      </c>
      <c r="BT342" s="58">
        <f t="shared" si="247"/>
        <v>64.687172717718227</v>
      </c>
      <c r="BU342" s="58">
        <f t="shared" si="247"/>
        <v>66.99459940642943</v>
      </c>
    </row>
    <row r="343" spans="1:83" ht="15.75" thickBot="1">
      <c r="A343" s="4" t="s">
        <v>113</v>
      </c>
      <c r="B343" s="56"/>
      <c r="C343" s="56">
        <f t="shared" ref="C343:BN343" si="253">SUM(C331:C342)</f>
        <v>0.99999999999999989</v>
      </c>
      <c r="D343" s="56">
        <f t="shared" si="253"/>
        <v>0.99999999999999989</v>
      </c>
      <c r="E343" s="56">
        <f t="shared" si="253"/>
        <v>0</v>
      </c>
      <c r="F343" s="56">
        <f t="shared" si="253"/>
        <v>2.9999999999999996</v>
      </c>
      <c r="G343" s="56">
        <f t="shared" si="253"/>
        <v>1.9999999999999993</v>
      </c>
      <c r="H343" s="56">
        <f t="shared" si="253"/>
        <v>4.9999999999999991</v>
      </c>
      <c r="I343" s="56">
        <f t="shared" si="253"/>
        <v>5.9999999999999982</v>
      </c>
      <c r="J343" s="56">
        <f t="shared" si="253"/>
        <v>5.5039003522898842</v>
      </c>
      <c r="K343" s="56">
        <f t="shared" si="253"/>
        <v>4.2519501761449385</v>
      </c>
      <c r="L343" s="56">
        <f t="shared" si="253"/>
        <v>14.88405888273779</v>
      </c>
      <c r="M343" s="56">
        <f t="shared" si="253"/>
        <v>64.485787116255665</v>
      </c>
      <c r="N343" s="56">
        <f t="shared" si="253"/>
        <v>16.949013588324103</v>
      </c>
      <c r="O343" s="56">
        <f t="shared" si="253"/>
        <v>34.171022647206847</v>
      </c>
      <c r="P343" s="56">
        <f t="shared" si="253"/>
        <v>47.90480523402114</v>
      </c>
      <c r="Q343" s="56">
        <f t="shared" si="253"/>
        <v>5.8030836702487738</v>
      </c>
      <c r="R343" s="56">
        <f t="shared" si="253"/>
        <v>35.105000000000004</v>
      </c>
      <c r="S343" s="56">
        <f t="shared" si="253"/>
        <v>89.738000000000014</v>
      </c>
      <c r="T343" s="56">
        <f t="shared" si="253"/>
        <v>84.668999999999983</v>
      </c>
      <c r="U343" s="56">
        <f t="shared" si="253"/>
        <v>77.917999999999992</v>
      </c>
      <c r="V343" s="56">
        <f t="shared" si="253"/>
        <v>126.01900000000001</v>
      </c>
      <c r="W343" s="56">
        <f t="shared" si="253"/>
        <v>62.664999999999978</v>
      </c>
      <c r="X343" s="56">
        <f t="shared" si="253"/>
        <v>85.33200000000005</v>
      </c>
      <c r="Y343" s="56">
        <f t="shared" si="253"/>
        <v>113.006</v>
      </c>
      <c r="Z343" s="56">
        <f t="shared" si="253"/>
        <v>176.27099999999999</v>
      </c>
      <c r="AA343" s="56">
        <f t="shared" si="253"/>
        <v>142.74200000000002</v>
      </c>
      <c r="AB343" s="56">
        <f t="shared" si="253"/>
        <v>-160.86400000000003</v>
      </c>
      <c r="AC343" s="56">
        <f t="shared" si="253"/>
        <v>260.714</v>
      </c>
      <c r="AD343" s="56">
        <f t="shared" si="253"/>
        <v>480.53300000000002</v>
      </c>
      <c r="AE343" s="59">
        <f t="shared" si="253"/>
        <v>239.18500000000012</v>
      </c>
      <c r="AF343" s="59">
        <f t="shared" si="253"/>
        <v>98.079000000000008</v>
      </c>
      <c r="AG343" s="59">
        <f t="shared" si="253"/>
        <v>109.90499999999992</v>
      </c>
      <c r="AH343" s="59">
        <f t="shared" si="253"/>
        <v>71.32099999999997</v>
      </c>
      <c r="AI343" s="59">
        <f t="shared" si="253"/>
        <v>43.293999999999969</v>
      </c>
      <c r="AJ343" s="59">
        <f t="shared" si="253"/>
        <v>332.93200000000019</v>
      </c>
      <c r="AK343" s="59">
        <f t="shared" si="253"/>
        <v>91.350999999999885</v>
      </c>
      <c r="AL343" s="59">
        <f t="shared" si="253"/>
        <v>162.88299999999984</v>
      </c>
      <c r="AM343" s="59">
        <f t="shared" si="253"/>
        <v>119.32699999999997</v>
      </c>
      <c r="AN343" s="59">
        <f t="shared" si="253"/>
        <v>429.26900000000023</v>
      </c>
      <c r="AO343" s="59">
        <f t="shared" si="253"/>
        <v>419.41600000000022</v>
      </c>
      <c r="AP343" s="59">
        <f t="shared" si="253"/>
        <v>336.79599999999994</v>
      </c>
      <c r="AQ343" s="59">
        <f t="shared" si="253"/>
        <v>429.46567999999985</v>
      </c>
      <c r="AR343" s="59">
        <f t="shared" si="253"/>
        <v>422.39676000000014</v>
      </c>
      <c r="AS343" s="58">
        <f t="shared" si="253"/>
        <v>277.0566446700509</v>
      </c>
      <c r="AT343" s="58">
        <f t="shared" si="253"/>
        <v>223.52763959390899</v>
      </c>
      <c r="AU343" s="58">
        <f t="shared" si="253"/>
        <v>269.6317411167513</v>
      </c>
      <c r="AV343" s="58">
        <f t="shared" si="253"/>
        <v>321.21402538071072</v>
      </c>
      <c r="AW343" s="58">
        <f t="shared" si="253"/>
        <v>250.80967512690378</v>
      </c>
      <c r="AX343" s="58">
        <f t="shared" si="253"/>
        <v>263.96430456852829</v>
      </c>
      <c r="AY343" s="58">
        <f t="shared" si="253"/>
        <v>338.14919796954337</v>
      </c>
      <c r="AZ343" s="58">
        <f t="shared" si="253"/>
        <v>324.99599999999987</v>
      </c>
      <c r="BA343" s="58">
        <f t="shared" si="253"/>
        <v>359.7349999999999</v>
      </c>
      <c r="BB343" s="58">
        <f t="shared" si="253"/>
        <v>192.62037100000023</v>
      </c>
      <c r="BC343" s="58">
        <f t="shared" si="253"/>
        <v>127.82552399999992</v>
      </c>
      <c r="BD343" s="58">
        <f t="shared" si="253"/>
        <v>462.58555799999993</v>
      </c>
      <c r="BE343" s="58">
        <f t="shared" si="253"/>
        <v>1301.793098338637</v>
      </c>
      <c r="BF343" s="58">
        <f t="shared" si="253"/>
        <v>-518.55451334564555</v>
      </c>
      <c r="BG343" s="58">
        <f t="shared" si="253"/>
        <v>668.6686709999999</v>
      </c>
      <c r="BH343" s="58">
        <f t="shared" si="253"/>
        <v>600.97000000000071</v>
      </c>
      <c r="BI343" s="58">
        <f t="shared" si="253"/>
        <v>963.87205377453915</v>
      </c>
      <c r="BJ343" s="58">
        <f t="shared" si="253"/>
        <v>1430.2939274677346</v>
      </c>
      <c r="BK343" s="58">
        <f t="shared" si="253"/>
        <v>1187.4002881773001</v>
      </c>
      <c r="BL343" s="58">
        <f t="shared" si="253"/>
        <v>1170.3552491714045</v>
      </c>
      <c r="BM343" s="58">
        <f t="shared" si="253"/>
        <v>1021.2120054226477</v>
      </c>
      <c r="BN343" s="58">
        <f t="shared" si="253"/>
        <v>1108.7984695031421</v>
      </c>
      <c r="BO343" s="58">
        <f t="shared" ref="BO343:BU343" si="254">SUM(BO331:BO342)</f>
        <v>1216.0509059961505</v>
      </c>
      <c r="BP343" s="58">
        <f t="shared" si="254"/>
        <v>1253.2662371035628</v>
      </c>
      <c r="BQ343" s="58">
        <f t="shared" si="254"/>
        <v>1304.4550316132322</v>
      </c>
      <c r="BR343" s="58">
        <f t="shared" si="254"/>
        <v>1385.3212231598202</v>
      </c>
      <c r="BS343" s="58">
        <f t="shared" si="254"/>
        <v>1462.3468699252292</v>
      </c>
      <c r="BT343" s="58">
        <f t="shared" si="254"/>
        <v>1527.6909321662115</v>
      </c>
      <c r="BU343" s="58">
        <f t="shared" si="254"/>
        <v>1583.905338901945</v>
      </c>
    </row>
    <row r="344" spans="1:83">
      <c r="A344" s="60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2">
        <f t="shared" ref="AU344:BU344" si="255">AU36</f>
        <v>269.6317411167513</v>
      </c>
      <c r="AV344" s="62">
        <f t="shared" si="255"/>
        <v>321.21402538071072</v>
      </c>
      <c r="AW344" s="62">
        <f t="shared" si="255"/>
        <v>250.80967512690378</v>
      </c>
      <c r="AX344" s="62">
        <f t="shared" si="255"/>
        <v>263.96430456852829</v>
      </c>
      <c r="AY344" s="62">
        <f t="shared" si="255"/>
        <v>338.14919796954337</v>
      </c>
      <c r="AZ344" s="62">
        <f t="shared" si="255"/>
        <v>324.99599999999987</v>
      </c>
      <c r="BA344" s="62">
        <f t="shared" si="255"/>
        <v>359.7349999999999</v>
      </c>
      <c r="BB344" s="62">
        <f t="shared" si="255"/>
        <v>192.62037100000023</v>
      </c>
      <c r="BC344" s="62">
        <f t="shared" si="255"/>
        <v>127.82552399999992</v>
      </c>
      <c r="BD344" s="62">
        <f t="shared" si="255"/>
        <v>462.58555799999993</v>
      </c>
      <c r="BE344" s="62">
        <f t="shared" si="255"/>
        <v>1301.793098338637</v>
      </c>
      <c r="BF344" s="62">
        <f t="shared" si="255"/>
        <v>-518.55451334564555</v>
      </c>
      <c r="BG344" s="62">
        <f t="shared" si="255"/>
        <v>668.6686709999999</v>
      </c>
      <c r="BH344" s="62">
        <f t="shared" si="255"/>
        <v>600.97000000000071</v>
      </c>
      <c r="BI344" s="62">
        <f t="shared" si="255"/>
        <v>963.87205377453915</v>
      </c>
      <c r="BJ344" s="62">
        <f t="shared" si="255"/>
        <v>1430.2939274677346</v>
      </c>
      <c r="BK344" s="62">
        <f t="shared" si="255"/>
        <v>1187.4002881773001</v>
      </c>
      <c r="BL344" s="62">
        <f t="shared" si="255"/>
        <v>1170.3552491714045</v>
      </c>
      <c r="BM344" s="62">
        <f t="shared" si="255"/>
        <v>1021.2120054226477</v>
      </c>
      <c r="BN344" s="62">
        <f t="shared" si="255"/>
        <v>1108.7984695031421</v>
      </c>
      <c r="BO344" s="62">
        <f t="shared" si="255"/>
        <v>1216.0509059961505</v>
      </c>
      <c r="BP344" s="62">
        <f t="shared" si="255"/>
        <v>1253.2662371035628</v>
      </c>
      <c r="BQ344" s="62">
        <f t="shared" si="255"/>
        <v>1304.4550316132322</v>
      </c>
      <c r="BR344" s="62">
        <f t="shared" si="255"/>
        <v>1385.3212231598202</v>
      </c>
      <c r="BS344" s="62">
        <f t="shared" si="255"/>
        <v>1462.3468699252292</v>
      </c>
      <c r="BT344" s="62">
        <f t="shared" si="255"/>
        <v>1527.6909321662115</v>
      </c>
      <c r="BU344" s="62">
        <f t="shared" si="255"/>
        <v>1583.905338901945</v>
      </c>
    </row>
    <row r="345" spans="1:83" ht="15.75" thickBot="1">
      <c r="A345" s="53" t="s">
        <v>155</v>
      </c>
    </row>
    <row r="346" spans="1:83" s="4" customFormat="1" ht="15.75" thickBot="1">
      <c r="A346" s="54"/>
      <c r="B346" s="63" t="s">
        <v>1</v>
      </c>
      <c r="C346" s="63" t="s">
        <v>2</v>
      </c>
      <c r="D346" s="63" t="s">
        <v>3</v>
      </c>
      <c r="E346" s="63" t="s">
        <v>4</v>
      </c>
      <c r="F346" s="63" t="s">
        <v>5</v>
      </c>
      <c r="G346" s="63" t="s">
        <v>6</v>
      </c>
      <c r="H346" s="63" t="s">
        <v>7</v>
      </c>
      <c r="I346" s="63" t="s">
        <v>8</v>
      </c>
      <c r="J346" s="63" t="s">
        <v>9</v>
      </c>
      <c r="K346" s="63" t="s">
        <v>10</v>
      </c>
      <c r="L346" s="63" t="s">
        <v>11</v>
      </c>
      <c r="M346" s="55" t="s">
        <v>12</v>
      </c>
      <c r="N346" s="55" t="s">
        <v>13</v>
      </c>
      <c r="O346" s="55" t="s">
        <v>14</v>
      </c>
      <c r="P346" s="55" t="s">
        <v>15</v>
      </c>
      <c r="Q346" s="55" t="s">
        <v>16</v>
      </c>
      <c r="R346" s="55" t="s">
        <v>17</v>
      </c>
      <c r="S346" s="55" t="s">
        <v>18</v>
      </c>
      <c r="T346" s="55" t="s">
        <v>19</v>
      </c>
      <c r="U346" s="55" t="s">
        <v>20</v>
      </c>
      <c r="V346" s="55" t="s">
        <v>21</v>
      </c>
      <c r="W346" s="55" t="s">
        <v>22</v>
      </c>
      <c r="X346" s="55" t="s">
        <v>23</v>
      </c>
      <c r="Y346" s="55" t="s">
        <v>24</v>
      </c>
      <c r="Z346" s="55" t="s">
        <v>25</v>
      </c>
      <c r="AA346" s="55" t="s">
        <v>26</v>
      </c>
      <c r="AB346" s="55" t="s">
        <v>27</v>
      </c>
      <c r="AC346" s="55" t="s">
        <v>28</v>
      </c>
      <c r="AD346" s="55" t="s">
        <v>29</v>
      </c>
      <c r="AE346" s="55" t="s">
        <v>30</v>
      </c>
      <c r="AF346" s="55" t="s">
        <v>31</v>
      </c>
      <c r="AG346" s="55" t="s">
        <v>32</v>
      </c>
      <c r="AH346" s="55" t="s">
        <v>33</v>
      </c>
      <c r="AI346" s="55" t="s">
        <v>34</v>
      </c>
      <c r="AJ346" s="55" t="s">
        <v>35</v>
      </c>
      <c r="AK346" s="55" t="s">
        <v>36</v>
      </c>
      <c r="AL346" s="55" t="s">
        <v>37</v>
      </c>
      <c r="AM346" s="55" t="s">
        <v>38</v>
      </c>
      <c r="AN346" s="55" t="s">
        <v>39</v>
      </c>
      <c r="AO346" s="55" t="s">
        <v>40</v>
      </c>
      <c r="AP346" s="55" t="s">
        <v>41</v>
      </c>
      <c r="AQ346" s="55" t="s">
        <v>42</v>
      </c>
      <c r="AR346" s="55" t="s">
        <v>43</v>
      </c>
      <c r="AS346" s="55" t="s">
        <v>44</v>
      </c>
      <c r="AT346" s="55" t="s">
        <v>45</v>
      </c>
      <c r="AU346" s="55" t="s">
        <v>46</v>
      </c>
      <c r="AV346" s="55" t="s">
        <v>47</v>
      </c>
      <c r="AW346" s="55" t="s">
        <v>48</v>
      </c>
      <c r="AX346" s="55" t="s">
        <v>49</v>
      </c>
      <c r="AY346" s="55" t="s">
        <v>50</v>
      </c>
      <c r="AZ346" s="55" t="s">
        <v>51</v>
      </c>
      <c r="BA346" s="55" t="s">
        <v>52</v>
      </c>
      <c r="BB346" s="55" t="s">
        <v>53</v>
      </c>
      <c r="BC346" s="55" t="s">
        <v>54</v>
      </c>
      <c r="BD346" s="55" t="s">
        <v>55</v>
      </c>
      <c r="BE346" s="55" t="s">
        <v>56</v>
      </c>
      <c r="BF346" s="55" t="s">
        <v>57</v>
      </c>
      <c r="BG346" s="55" t="str">
        <f t="shared" ref="BG346:BU346" si="256">BH2</f>
        <v>22/23</v>
      </c>
      <c r="BH346" s="55" t="str">
        <f t="shared" si="256"/>
        <v>23/24</v>
      </c>
      <c r="BI346" s="55" t="str">
        <f t="shared" si="256"/>
        <v>24/25</v>
      </c>
      <c r="BJ346" s="55" t="str">
        <f t="shared" si="256"/>
        <v>25/26</v>
      </c>
      <c r="BK346" s="55" t="str">
        <f t="shared" si="256"/>
        <v>26/27</v>
      </c>
      <c r="BL346" s="55" t="str">
        <f t="shared" si="256"/>
        <v>27/28</v>
      </c>
      <c r="BM346" s="55" t="str">
        <f t="shared" si="256"/>
        <v>28/29</v>
      </c>
      <c r="BN346" s="55" t="str">
        <f t="shared" si="256"/>
        <v>29/30</v>
      </c>
      <c r="BO346" s="55" t="str">
        <f t="shared" si="256"/>
        <v>30/31</v>
      </c>
      <c r="BP346" s="55" t="str">
        <f t="shared" si="256"/>
        <v>31/32</v>
      </c>
      <c r="BQ346" s="55" t="str">
        <f t="shared" si="256"/>
        <v>32/33</v>
      </c>
      <c r="BR346" s="55" t="str">
        <f t="shared" si="256"/>
        <v>33/34</v>
      </c>
      <c r="BS346" s="55" t="str">
        <f t="shared" si="256"/>
        <v>34/35</v>
      </c>
      <c r="BT346" s="55" t="str">
        <f t="shared" si="256"/>
        <v>34/35</v>
      </c>
      <c r="BU346" s="55">
        <f t="shared" si="256"/>
        <v>0</v>
      </c>
    </row>
    <row r="347" spans="1:83" s="56" customFormat="1" ht="14.25">
      <c r="A347" s="4" t="s">
        <v>100</v>
      </c>
      <c r="C347" s="57">
        <f t="shared" ref="C347:L357" si="257">(SUM($M347:$Q347)/SUM($M$358:$Q$358))*C$358</f>
        <v>0</v>
      </c>
      <c r="D347" s="57">
        <f t="shared" si="257"/>
        <v>0</v>
      </c>
      <c r="E347" s="57">
        <f t="shared" si="257"/>
        <v>1.056105326563979</v>
      </c>
      <c r="F347" s="57">
        <f t="shared" si="257"/>
        <v>0</v>
      </c>
      <c r="G347" s="57">
        <f t="shared" si="257"/>
        <v>1.056105326563979</v>
      </c>
      <c r="H347" s="57">
        <f t="shared" si="257"/>
        <v>0</v>
      </c>
      <c r="I347" s="57">
        <f t="shared" si="257"/>
        <v>0</v>
      </c>
      <c r="J347" s="57">
        <f t="shared" si="257"/>
        <v>1.056105326563979</v>
      </c>
      <c r="K347" s="57">
        <f t="shared" si="257"/>
        <v>3.1683159796919371</v>
      </c>
      <c r="L347" s="57">
        <f t="shared" si="257"/>
        <v>3.1683159796919371</v>
      </c>
      <c r="M347" s="56">
        <v>1.5049999999999999</v>
      </c>
      <c r="N347" s="56">
        <v>8.24</v>
      </c>
      <c r="O347" s="56">
        <v>5.0259999999999998</v>
      </c>
      <c r="P347" s="56">
        <v>4.7119999999999997</v>
      </c>
      <c r="Q347" s="56">
        <v>5.0629999999999997</v>
      </c>
      <c r="R347" s="56">
        <v>7.1070000000000002</v>
      </c>
      <c r="S347" s="56">
        <v>14.677</v>
      </c>
      <c r="T347" s="56">
        <v>14.055</v>
      </c>
      <c r="U347" s="56">
        <v>26.209</v>
      </c>
      <c r="V347" s="56">
        <v>29.876999999999999</v>
      </c>
      <c r="W347" s="56">
        <v>45.192999999999998</v>
      </c>
      <c r="X347" s="56">
        <v>44.459000000000003</v>
      </c>
      <c r="Y347" s="56">
        <v>45.53</v>
      </c>
      <c r="Z347" s="56">
        <v>28.523</v>
      </c>
      <c r="AA347" s="56">
        <v>45.384999999999998</v>
      </c>
      <c r="AB347" s="56">
        <v>49.448</v>
      </c>
      <c r="AC347" s="56">
        <v>51.334000000000003</v>
      </c>
      <c r="AD347" s="56">
        <v>39.22</v>
      </c>
      <c r="AE347" s="59">
        <v>56.588999999999999</v>
      </c>
      <c r="AF347" s="59">
        <v>80.594999999999999</v>
      </c>
      <c r="AG347" s="59">
        <v>68.361999999999995</v>
      </c>
      <c r="AH347" s="59">
        <v>91.209000000000003</v>
      </c>
      <c r="AI347" s="59">
        <v>79.971000000000004</v>
      </c>
      <c r="AJ347" s="59">
        <v>152.91999999999999</v>
      </c>
      <c r="AK347" s="59">
        <v>179.72</v>
      </c>
      <c r="AL347" s="59">
        <v>149.33500000000001</v>
      </c>
      <c r="AM347" s="59">
        <v>178.655</v>
      </c>
      <c r="AN347" s="59">
        <v>130.536</v>
      </c>
      <c r="AO347" s="59">
        <v>238.14699999999999</v>
      </c>
      <c r="AP347" s="59">
        <v>261.01</v>
      </c>
      <c r="AQ347" s="59">
        <v>175.524</v>
      </c>
      <c r="AR347" s="59">
        <v>242.24199999999999</v>
      </c>
      <c r="AS347" s="59">
        <v>367.125</v>
      </c>
      <c r="AT347" s="59">
        <v>239.184</v>
      </c>
      <c r="AU347" s="59">
        <v>282.64600000000002</v>
      </c>
      <c r="AV347" s="59">
        <v>260.935</v>
      </c>
      <c r="AW347" s="59">
        <v>359.96600000000001</v>
      </c>
      <c r="AX347" s="59">
        <v>292.47000000000003</v>
      </c>
      <c r="AY347" s="59">
        <v>282.904</v>
      </c>
      <c r="AZ347" s="59">
        <v>271.28399999999999</v>
      </c>
      <c r="BA347" s="103">
        <v>285.89800000000002</v>
      </c>
      <c r="BB347" s="59">
        <v>331.673</v>
      </c>
      <c r="BC347" s="59">
        <v>215.45400000000001</v>
      </c>
      <c r="BD347" s="59">
        <v>184.8</v>
      </c>
      <c r="BE347" s="59">
        <v>239.58199999999999</v>
      </c>
      <c r="BF347" s="59">
        <v>392.83699999999999</v>
      </c>
      <c r="BG347" s="59">
        <v>267.49200000000002</v>
      </c>
      <c r="BH347" s="59">
        <v>244.03</v>
      </c>
      <c r="BI347" s="59">
        <v>236.79599999999999</v>
      </c>
      <c r="BJ347" s="58">
        <f t="shared" ref="BJ347:BU347" si="258">BI358+BJ219+BJ267-BJ283-BJ299</f>
        <v>374.44688663577324</v>
      </c>
      <c r="BK347" s="58">
        <f t="shared" si="258"/>
        <v>418.45964282607036</v>
      </c>
      <c r="BL347" s="58">
        <f t="shared" si="258"/>
        <v>468.34741254935767</v>
      </c>
      <c r="BM347" s="58">
        <f t="shared" si="258"/>
        <v>367.15872529855977</v>
      </c>
      <c r="BN347" s="58">
        <f t="shared" si="258"/>
        <v>408.02681944276429</v>
      </c>
      <c r="BO347" s="116">
        <f t="shared" si="258"/>
        <v>434.21746456110918</v>
      </c>
      <c r="BP347" s="116">
        <f t="shared" si="258"/>
        <v>411.29443169971825</v>
      </c>
      <c r="BQ347" s="116">
        <f t="shared" si="258"/>
        <v>423.33911610239744</v>
      </c>
      <c r="BR347" s="116">
        <f t="shared" si="258"/>
        <v>415.7581013381772</v>
      </c>
      <c r="BS347" s="116">
        <f t="shared" si="258"/>
        <v>408.02463731777186</v>
      </c>
      <c r="BT347" s="116">
        <f t="shared" si="258"/>
        <v>419.14727319609165</v>
      </c>
      <c r="BU347" s="116">
        <f t="shared" si="258"/>
        <v>418.23808661169471</v>
      </c>
    </row>
    <row r="348" spans="1:83" s="56" customFormat="1" ht="14.25">
      <c r="A348" s="4" t="s">
        <v>102</v>
      </c>
      <c r="C348" s="57">
        <f t="shared" si="257"/>
        <v>0</v>
      </c>
      <c r="D348" s="57">
        <f t="shared" si="257"/>
        <v>0</v>
      </c>
      <c r="E348" s="57">
        <f t="shared" si="257"/>
        <v>1.2240771017984684</v>
      </c>
      <c r="F348" s="57">
        <f t="shared" si="257"/>
        <v>0</v>
      </c>
      <c r="G348" s="57">
        <f t="shared" si="257"/>
        <v>1.2240771017984684</v>
      </c>
      <c r="H348" s="57">
        <f t="shared" si="257"/>
        <v>0</v>
      </c>
      <c r="I348" s="57">
        <f t="shared" si="257"/>
        <v>0</v>
      </c>
      <c r="J348" s="57">
        <f t="shared" si="257"/>
        <v>1.2240771017984684</v>
      </c>
      <c r="K348" s="57">
        <f t="shared" si="257"/>
        <v>3.672231305395405</v>
      </c>
      <c r="L348" s="57">
        <f t="shared" si="257"/>
        <v>3.672231305395405</v>
      </c>
      <c r="M348" s="56">
        <v>3.5979999999999999</v>
      </c>
      <c r="N348" s="56">
        <v>8.5660000000000007</v>
      </c>
      <c r="O348" s="56">
        <v>5.7069999999999999</v>
      </c>
      <c r="P348" s="56">
        <v>4.7130000000000001</v>
      </c>
      <c r="Q348" s="56">
        <v>5.8659999999999997</v>
      </c>
      <c r="R348" s="56">
        <v>11.364000000000001</v>
      </c>
      <c r="S348" s="56">
        <v>18.43</v>
      </c>
      <c r="T348" s="56">
        <v>12.707000000000001</v>
      </c>
      <c r="U348" s="56">
        <v>25.707999999999998</v>
      </c>
      <c r="V348" s="56">
        <v>38.481000000000002</v>
      </c>
      <c r="W348" s="56">
        <v>57.337000000000003</v>
      </c>
      <c r="X348" s="56">
        <v>63.286000000000001</v>
      </c>
      <c r="Y348" s="56">
        <v>63.886000000000003</v>
      </c>
      <c r="Z348" s="56">
        <v>75.242999999999995</v>
      </c>
      <c r="AA348" s="56">
        <v>57.481000000000002</v>
      </c>
      <c r="AB348" s="56">
        <v>43.351999999999997</v>
      </c>
      <c r="AC348" s="56">
        <v>80.36</v>
      </c>
      <c r="AD348" s="56">
        <v>76.62</v>
      </c>
      <c r="AE348" s="59">
        <v>110.015</v>
      </c>
      <c r="AF348" s="59">
        <v>101.301</v>
      </c>
      <c r="AG348" s="59">
        <v>87.373999999999995</v>
      </c>
      <c r="AH348" s="59">
        <v>136.36099999999999</v>
      </c>
      <c r="AI348" s="59">
        <v>91.933000000000007</v>
      </c>
      <c r="AJ348" s="59">
        <v>144.06100000000001</v>
      </c>
      <c r="AK348" s="59">
        <v>159.58099999999999</v>
      </c>
      <c r="AL348" s="59">
        <v>212.351</v>
      </c>
      <c r="AM348" s="59">
        <v>195.42500000000001</v>
      </c>
      <c r="AN348" s="59">
        <v>181.613</v>
      </c>
      <c r="AO348" s="59">
        <v>185.161</v>
      </c>
      <c r="AP348" s="59">
        <v>248.274</v>
      </c>
      <c r="AQ348" s="59">
        <v>203.958</v>
      </c>
      <c r="AR348" s="59">
        <v>207.114</v>
      </c>
      <c r="AS348" s="59">
        <v>416.79500000000002</v>
      </c>
      <c r="AT348" s="59">
        <v>218.44200000000001</v>
      </c>
      <c r="AU348" s="59">
        <v>292.56599999999997</v>
      </c>
      <c r="AV348" s="59">
        <v>312.70100000000002</v>
      </c>
      <c r="AW348" s="59">
        <v>257.017</v>
      </c>
      <c r="AX348" s="59">
        <v>309.37900000000002</v>
      </c>
      <c r="AY348" s="59">
        <v>271.7</v>
      </c>
      <c r="AZ348" s="59">
        <v>288.90100000000001</v>
      </c>
      <c r="BA348" s="103">
        <v>404.13</v>
      </c>
      <c r="BB348" s="59">
        <v>358.99400000000003</v>
      </c>
      <c r="BC348" s="59">
        <v>227.25</v>
      </c>
      <c r="BD348" s="59">
        <v>286.98099999999999</v>
      </c>
      <c r="BE348" s="59">
        <v>166.63</v>
      </c>
      <c r="BF348" s="59">
        <v>464.113</v>
      </c>
      <c r="BG348" s="59">
        <v>283.548</v>
      </c>
      <c r="BH348" s="59">
        <v>288.50400000000002</v>
      </c>
      <c r="BI348" s="59">
        <v>354.024</v>
      </c>
      <c r="BJ348" s="58">
        <f t="shared" ref="BJ348:BU358" si="259">BJ347+BJ220+BJ268-BJ284-BJ300</f>
        <v>357.25673351425814</v>
      </c>
      <c r="BK348" s="58">
        <f t="shared" si="259"/>
        <v>363.49240576387967</v>
      </c>
      <c r="BL348" s="58">
        <f t="shared" si="259"/>
        <v>380.63969516465704</v>
      </c>
      <c r="BM348" s="58">
        <f t="shared" si="259"/>
        <v>257.78842134477486</v>
      </c>
      <c r="BN348" s="58">
        <f t="shared" si="259"/>
        <v>318.69978216378877</v>
      </c>
      <c r="BO348" s="58">
        <f t="shared" si="259"/>
        <v>344.18339414674529</v>
      </c>
      <c r="BP348" s="58">
        <f t="shared" si="259"/>
        <v>334.71142871087909</v>
      </c>
      <c r="BQ348" s="58">
        <f t="shared" si="259"/>
        <v>335.32720686056257</v>
      </c>
      <c r="BR348" s="58">
        <f t="shared" si="259"/>
        <v>322.87382152023577</v>
      </c>
      <c r="BS348" s="58">
        <f t="shared" si="259"/>
        <v>317.29098668273559</v>
      </c>
      <c r="BT348" s="58">
        <f t="shared" si="259"/>
        <v>330.05612491671701</v>
      </c>
      <c r="BU348" s="58">
        <f t="shared" si="259"/>
        <v>330.00512578035261</v>
      </c>
    </row>
    <row r="349" spans="1:83" s="56" customFormat="1" ht="14.25">
      <c r="A349" s="4" t="s">
        <v>103</v>
      </c>
      <c r="C349" s="57">
        <f t="shared" si="257"/>
        <v>0</v>
      </c>
      <c r="D349" s="57">
        <f t="shared" si="257"/>
        <v>0</v>
      </c>
      <c r="E349" s="57">
        <f t="shared" si="257"/>
        <v>1.4901041218483779</v>
      </c>
      <c r="F349" s="57">
        <f t="shared" si="257"/>
        <v>0</v>
      </c>
      <c r="G349" s="57">
        <f t="shared" si="257"/>
        <v>1.4901041218483779</v>
      </c>
      <c r="H349" s="57">
        <f t="shared" si="257"/>
        <v>0</v>
      </c>
      <c r="I349" s="57">
        <f t="shared" si="257"/>
        <v>0</v>
      </c>
      <c r="J349" s="57">
        <f t="shared" si="257"/>
        <v>1.4901041218483779</v>
      </c>
      <c r="K349" s="57">
        <f t="shared" si="257"/>
        <v>4.4703123655451336</v>
      </c>
      <c r="L349" s="57">
        <f t="shared" si="257"/>
        <v>4.4703123655451336</v>
      </c>
      <c r="M349" s="56">
        <v>4.5810000000000004</v>
      </c>
      <c r="N349" s="56">
        <v>7.5919999999999996</v>
      </c>
      <c r="O349" s="56">
        <v>6.7930000000000001</v>
      </c>
      <c r="P349" s="56">
        <v>3.7309999999999999</v>
      </c>
      <c r="Q349" s="56">
        <v>11.936</v>
      </c>
      <c r="R349" s="56">
        <v>18.135000000000002</v>
      </c>
      <c r="S349" s="56">
        <v>15.975</v>
      </c>
      <c r="T349" s="56">
        <v>20.077999999999999</v>
      </c>
      <c r="U349" s="56">
        <v>29.311</v>
      </c>
      <c r="V349" s="56">
        <v>39.247</v>
      </c>
      <c r="W349" s="56">
        <v>52.988999999999997</v>
      </c>
      <c r="X349" s="56">
        <v>97.182000000000002</v>
      </c>
      <c r="Y349" s="56">
        <v>96.381</v>
      </c>
      <c r="Z349" s="56">
        <v>135.977</v>
      </c>
      <c r="AA349" s="56">
        <v>53.914999999999999</v>
      </c>
      <c r="AB349" s="56">
        <v>81.555999999999997</v>
      </c>
      <c r="AC349" s="56">
        <v>70.873000000000005</v>
      </c>
      <c r="AD349" s="56">
        <v>109.11</v>
      </c>
      <c r="AE349" s="59">
        <v>108.84699999999999</v>
      </c>
      <c r="AF349" s="59">
        <v>113.39700000000001</v>
      </c>
      <c r="AG349" s="59">
        <v>85.096000000000004</v>
      </c>
      <c r="AH349" s="59">
        <v>169.85400000000001</v>
      </c>
      <c r="AI349" s="59">
        <v>110.032</v>
      </c>
      <c r="AJ349" s="59">
        <v>125.089</v>
      </c>
      <c r="AK349" s="59">
        <v>191.23</v>
      </c>
      <c r="AL349" s="59">
        <v>282.13400000000001</v>
      </c>
      <c r="AM349" s="59">
        <v>196.44</v>
      </c>
      <c r="AN349" s="59">
        <v>178.46600000000001</v>
      </c>
      <c r="AO349" s="59">
        <v>155.83500000000001</v>
      </c>
      <c r="AP349" s="59">
        <v>365.51100000000002</v>
      </c>
      <c r="AQ349" s="59">
        <v>234.08799999999999</v>
      </c>
      <c r="AR349" s="59">
        <v>254.21700000000001</v>
      </c>
      <c r="AS349" s="59">
        <v>394.16800000000001</v>
      </c>
      <c r="AT349" s="59">
        <v>246.47800000000001</v>
      </c>
      <c r="AU349" s="59">
        <v>315.00099999999998</v>
      </c>
      <c r="AV349" s="59">
        <v>310.52800000000002</v>
      </c>
      <c r="AW349" s="59">
        <v>217.00800000000001</v>
      </c>
      <c r="AX349" s="59">
        <v>286.49400000000003</v>
      </c>
      <c r="AY349" s="59">
        <v>283.94200000000001</v>
      </c>
      <c r="AZ349" s="59">
        <v>189.96799999999999</v>
      </c>
      <c r="BA349" s="103">
        <v>414.32</v>
      </c>
      <c r="BB349" s="59">
        <v>373.38400000000001</v>
      </c>
      <c r="BC349" s="59">
        <v>263.464</v>
      </c>
      <c r="BD349" s="59">
        <v>328.40300000000002</v>
      </c>
      <c r="BE349" s="59">
        <v>201.93799999999999</v>
      </c>
      <c r="BF349" s="59">
        <v>360.20400000000001</v>
      </c>
      <c r="BG349" s="59">
        <v>282.19600000000003</v>
      </c>
      <c r="BH349" s="59">
        <v>262.58199999999999</v>
      </c>
      <c r="BI349" s="59">
        <v>323.36</v>
      </c>
      <c r="BJ349" s="58">
        <f t="shared" si="259"/>
        <v>285.70202234507082</v>
      </c>
      <c r="BK349" s="58">
        <f t="shared" si="259"/>
        <v>204.64596429224946</v>
      </c>
      <c r="BL349" s="58">
        <f t="shared" si="259"/>
        <v>208.54028363907543</v>
      </c>
      <c r="BM349" s="58">
        <f t="shared" si="259"/>
        <v>78.97662302062588</v>
      </c>
      <c r="BN349" s="58">
        <f t="shared" si="259"/>
        <v>135.93830728126724</v>
      </c>
      <c r="BO349" s="58">
        <f t="shared" si="259"/>
        <v>155.97195539761049</v>
      </c>
      <c r="BP349" s="58">
        <f t="shared" si="259"/>
        <v>174.91473928445316</v>
      </c>
      <c r="BQ349" s="58">
        <f t="shared" si="259"/>
        <v>150.66822629433517</v>
      </c>
      <c r="BR349" s="58">
        <f t="shared" si="259"/>
        <v>139.53917190593478</v>
      </c>
      <c r="BS349" s="58">
        <f t="shared" si="259"/>
        <v>137.96409866463262</v>
      </c>
      <c r="BT349" s="58">
        <f t="shared" si="259"/>
        <v>144.88050627222503</v>
      </c>
      <c r="BU349" s="58">
        <f t="shared" si="259"/>
        <v>150.73074036227803</v>
      </c>
    </row>
    <row r="350" spans="1:83" s="56" customFormat="1" ht="14.25">
      <c r="A350" s="4" t="s">
        <v>104</v>
      </c>
      <c r="C350" s="57">
        <f t="shared" si="257"/>
        <v>0</v>
      </c>
      <c r="D350" s="57">
        <f t="shared" si="257"/>
        <v>0</v>
      </c>
      <c r="E350" s="57">
        <f t="shared" si="257"/>
        <v>1.8274244901471473</v>
      </c>
      <c r="F350" s="57">
        <f t="shared" si="257"/>
        <v>0</v>
      </c>
      <c r="G350" s="57">
        <f t="shared" si="257"/>
        <v>1.8274244901471473</v>
      </c>
      <c r="H350" s="57">
        <f t="shared" si="257"/>
        <v>0</v>
      </c>
      <c r="I350" s="57">
        <f t="shared" si="257"/>
        <v>0</v>
      </c>
      <c r="J350" s="57">
        <f t="shared" si="257"/>
        <v>1.8274244901471473</v>
      </c>
      <c r="K350" s="57">
        <f t="shared" si="257"/>
        <v>5.4822734704414415</v>
      </c>
      <c r="L350" s="57">
        <f t="shared" si="257"/>
        <v>5.4822734704414415</v>
      </c>
      <c r="M350" s="56">
        <v>6.2169999999999996</v>
      </c>
      <c r="N350" s="56">
        <v>8.7330000000000005</v>
      </c>
      <c r="O350" s="56">
        <v>8.5609999999999999</v>
      </c>
      <c r="P350" s="56">
        <v>4.7430000000000003</v>
      </c>
      <c r="Q350" s="56">
        <v>14.218999999999999</v>
      </c>
      <c r="R350" s="56">
        <v>20.352</v>
      </c>
      <c r="S350" s="56">
        <v>20.763999999999999</v>
      </c>
      <c r="T350" s="56">
        <v>35.177999999999997</v>
      </c>
      <c r="U350" s="56">
        <v>38.023000000000003</v>
      </c>
      <c r="V350" s="56">
        <v>68.149000000000001</v>
      </c>
      <c r="W350" s="56">
        <v>72.418000000000006</v>
      </c>
      <c r="X350" s="56">
        <v>87.046999999999997</v>
      </c>
      <c r="Y350" s="56">
        <v>91.524000000000001</v>
      </c>
      <c r="Z350" s="56">
        <v>110.24299999999999</v>
      </c>
      <c r="AA350" s="56">
        <v>90.781999999999996</v>
      </c>
      <c r="AB350" s="56">
        <v>105.649</v>
      </c>
      <c r="AC350" s="56">
        <v>97.643000000000001</v>
      </c>
      <c r="AD350" s="56">
        <v>119.288</v>
      </c>
      <c r="AE350" s="59">
        <v>184.852</v>
      </c>
      <c r="AF350" s="59">
        <v>140.74700000000001</v>
      </c>
      <c r="AG350" s="59">
        <v>94.620999999999995</v>
      </c>
      <c r="AH350" s="59">
        <v>181.75299999999999</v>
      </c>
      <c r="AI350" s="59">
        <v>120.38800000000001</v>
      </c>
      <c r="AJ350" s="59">
        <v>134.435</v>
      </c>
      <c r="AK350" s="59">
        <v>191.80600000000001</v>
      </c>
      <c r="AL350" s="59">
        <v>212.428</v>
      </c>
      <c r="AM350" s="59">
        <v>160.33099999999999</v>
      </c>
      <c r="AN350" s="59">
        <v>188.22399999999999</v>
      </c>
      <c r="AO350" s="59">
        <v>127.45699999999999</v>
      </c>
      <c r="AP350" s="59">
        <v>260.88499999999999</v>
      </c>
      <c r="AQ350" s="59">
        <v>292.23</v>
      </c>
      <c r="AR350" s="59">
        <v>249.68100000000001</v>
      </c>
      <c r="AS350" s="59">
        <v>229.953</v>
      </c>
      <c r="AT350" s="59">
        <v>438.815</v>
      </c>
      <c r="AU350" s="59">
        <v>287.95800000000003</v>
      </c>
      <c r="AV350" s="59">
        <v>223.995</v>
      </c>
      <c r="AW350" s="59">
        <v>237.09</v>
      </c>
      <c r="AX350" s="59">
        <v>305.762</v>
      </c>
      <c r="AY350" s="59">
        <v>388.73099999999999</v>
      </c>
      <c r="AZ350" s="59">
        <v>262.58699999999999</v>
      </c>
      <c r="BA350" s="103">
        <v>311.50099999999998</v>
      </c>
      <c r="BB350" s="59">
        <v>302.017</v>
      </c>
      <c r="BC350" s="59">
        <v>347.55500000000001</v>
      </c>
      <c r="BD350" s="59">
        <v>354.50599999999997</v>
      </c>
      <c r="BE350" s="59">
        <v>306.29700000000003</v>
      </c>
      <c r="BF350" s="59">
        <v>259.202</v>
      </c>
      <c r="BG350" s="59">
        <v>323.678</v>
      </c>
      <c r="BH350" s="59">
        <v>354.69400000000002</v>
      </c>
      <c r="BI350" s="59">
        <v>323.36</v>
      </c>
      <c r="BJ350" s="58">
        <f t="shared" si="259"/>
        <v>304.77112619224403</v>
      </c>
      <c r="BK350" s="58">
        <f t="shared" si="259"/>
        <v>-6.7055426245203194</v>
      </c>
      <c r="BL350" s="58">
        <f t="shared" si="259"/>
        <v>131.17242978292944</v>
      </c>
      <c r="BM350" s="58">
        <f t="shared" si="259"/>
        <v>-74.244337217077003</v>
      </c>
      <c r="BN350" s="58">
        <f t="shared" si="259"/>
        <v>-21.341204788683598</v>
      </c>
      <c r="BO350" s="58">
        <f t="shared" si="259"/>
        <v>22.90407695106768</v>
      </c>
      <c r="BP350" s="58">
        <f t="shared" si="259"/>
        <v>38.470231632932155</v>
      </c>
      <c r="BQ350" s="58">
        <f t="shared" si="259"/>
        <v>9.990299782338468</v>
      </c>
      <c r="BR350" s="58">
        <f t="shared" si="259"/>
        <v>2.8130506159795914</v>
      </c>
      <c r="BS350" s="58">
        <f t="shared" si="259"/>
        <v>-5.7301222650199861</v>
      </c>
      <c r="BT350" s="58">
        <f t="shared" si="259"/>
        <v>4.406829876281563</v>
      </c>
      <c r="BU350" s="58">
        <f t="shared" si="259"/>
        <v>11.301571081336078</v>
      </c>
    </row>
    <row r="351" spans="1:83" s="56" customFormat="1" ht="14.25">
      <c r="A351" s="4" t="s">
        <v>105</v>
      </c>
      <c r="C351" s="57">
        <f t="shared" si="257"/>
        <v>0</v>
      </c>
      <c r="D351" s="57">
        <f t="shared" si="257"/>
        <v>0</v>
      </c>
      <c r="E351" s="57">
        <f t="shared" si="257"/>
        <v>1.9337836674984941</v>
      </c>
      <c r="F351" s="57">
        <f t="shared" si="257"/>
        <v>0</v>
      </c>
      <c r="G351" s="57">
        <f t="shared" si="257"/>
        <v>1.9337836674984941</v>
      </c>
      <c r="H351" s="57">
        <f t="shared" si="257"/>
        <v>0</v>
      </c>
      <c r="I351" s="57">
        <f t="shared" si="257"/>
        <v>0</v>
      </c>
      <c r="J351" s="57">
        <f t="shared" si="257"/>
        <v>1.9337836674984941</v>
      </c>
      <c r="K351" s="57">
        <f t="shared" si="257"/>
        <v>5.8013510024954824</v>
      </c>
      <c r="L351" s="57">
        <f t="shared" si="257"/>
        <v>5.8013510024954824</v>
      </c>
      <c r="M351" s="56">
        <v>6.5449999999999999</v>
      </c>
      <c r="N351" s="56">
        <v>8.2789999999999999</v>
      </c>
      <c r="O351" s="56">
        <v>9.4640000000000004</v>
      </c>
      <c r="P351" s="56">
        <v>7.6459999999999999</v>
      </c>
      <c r="Q351" s="56">
        <v>13.010999999999999</v>
      </c>
      <c r="R351" s="56">
        <v>18.082999999999998</v>
      </c>
      <c r="S351" s="56">
        <v>25.515999999999998</v>
      </c>
      <c r="T351" s="56">
        <v>37.713999999999999</v>
      </c>
      <c r="U351" s="56">
        <v>37.844000000000001</v>
      </c>
      <c r="V351" s="56">
        <v>71.649000000000001</v>
      </c>
      <c r="W351" s="56">
        <v>74.802000000000007</v>
      </c>
      <c r="X351" s="56">
        <v>64.113</v>
      </c>
      <c r="Y351" s="56">
        <v>107.01300000000001</v>
      </c>
      <c r="Z351" s="56">
        <v>119.42400000000001</v>
      </c>
      <c r="AA351" s="56">
        <v>61.720999999999997</v>
      </c>
      <c r="AB351" s="56">
        <v>75.3</v>
      </c>
      <c r="AC351" s="56">
        <v>124.81399999999999</v>
      </c>
      <c r="AD351" s="56">
        <v>134.29400000000001</v>
      </c>
      <c r="AE351" s="59">
        <v>195.21799999999999</v>
      </c>
      <c r="AF351" s="59">
        <v>99.203999999999994</v>
      </c>
      <c r="AG351" s="59">
        <v>93.781000000000006</v>
      </c>
      <c r="AH351" s="59">
        <v>187.15299999999999</v>
      </c>
      <c r="AI351" s="59">
        <v>118.825</v>
      </c>
      <c r="AJ351" s="59">
        <v>139.465</v>
      </c>
      <c r="AK351" s="59">
        <v>140.05600000000001</v>
      </c>
      <c r="AL351" s="59">
        <v>227.56200000000001</v>
      </c>
      <c r="AM351" s="59">
        <v>189.48400000000001</v>
      </c>
      <c r="AN351" s="59">
        <v>219.17699999999999</v>
      </c>
      <c r="AO351" s="59">
        <v>233.54</v>
      </c>
      <c r="AP351" s="59">
        <v>239.07300000000001</v>
      </c>
      <c r="AQ351" s="59">
        <v>238.85300000000001</v>
      </c>
      <c r="AR351" s="59">
        <v>185.16800000000001</v>
      </c>
      <c r="AS351" s="59">
        <v>257.15699999999998</v>
      </c>
      <c r="AT351" s="59">
        <v>296.76799999999997</v>
      </c>
      <c r="AU351" s="59">
        <v>292.54500000000002</v>
      </c>
      <c r="AV351" s="59">
        <v>281.77699999999999</v>
      </c>
      <c r="AW351" s="59">
        <v>152.80799999999999</v>
      </c>
      <c r="AX351" s="59">
        <v>251.36099999999999</v>
      </c>
      <c r="AY351" s="59">
        <v>361.03899999999999</v>
      </c>
      <c r="AZ351" s="59">
        <v>224.47399999999999</v>
      </c>
      <c r="BA351" s="103">
        <v>409.40300000000002</v>
      </c>
      <c r="BB351" s="59">
        <v>274.916</v>
      </c>
      <c r="BC351" s="59">
        <v>339.72800000000001</v>
      </c>
      <c r="BD351" s="59">
        <v>280.18200000000002</v>
      </c>
      <c r="BE351" s="59">
        <v>360.82600000000002</v>
      </c>
      <c r="BF351" s="59">
        <v>394.21499999999997</v>
      </c>
      <c r="BG351" s="59">
        <v>278.32</v>
      </c>
      <c r="BH351" s="59">
        <v>291.27800000000002</v>
      </c>
      <c r="BI351" s="59">
        <v>347.92099999999999</v>
      </c>
      <c r="BJ351" s="58">
        <f t="shared" si="259"/>
        <v>176.54688491103695</v>
      </c>
      <c r="BK351" s="58">
        <f t="shared" si="259"/>
        <v>-27.991872839138921</v>
      </c>
      <c r="BL351" s="58">
        <f t="shared" si="259"/>
        <v>-7.4276135046085585</v>
      </c>
      <c r="BM351" s="58">
        <f t="shared" si="259"/>
        <v>-117.71040647710512</v>
      </c>
      <c r="BN351" s="58">
        <f t="shared" si="259"/>
        <v>-73.923100251629563</v>
      </c>
      <c r="BO351" s="58">
        <f t="shared" si="259"/>
        <v>-90.643732191793447</v>
      </c>
      <c r="BP351" s="58">
        <f t="shared" si="259"/>
        <v>-27.599734459576553</v>
      </c>
      <c r="BQ351" s="58">
        <f t="shared" si="259"/>
        <v>-73.141145844536254</v>
      </c>
      <c r="BR351" s="58">
        <f t="shared" si="259"/>
        <v>-76.980491130019089</v>
      </c>
      <c r="BS351" s="58">
        <f t="shared" si="259"/>
        <v>-75.507524462956098</v>
      </c>
      <c r="BT351" s="58">
        <f t="shared" si="259"/>
        <v>-81.03549761718233</v>
      </c>
      <c r="BU351" s="58">
        <f t="shared" si="259"/>
        <v>-70.309928684889485</v>
      </c>
    </row>
    <row r="352" spans="1:83" s="56" customFormat="1" ht="14.25">
      <c r="A352" s="4" t="s">
        <v>106</v>
      </c>
      <c r="C352" s="57">
        <f t="shared" si="257"/>
        <v>0</v>
      </c>
      <c r="D352" s="57">
        <f t="shared" si="257"/>
        <v>0</v>
      </c>
      <c r="E352" s="57">
        <f t="shared" si="257"/>
        <v>2.208243696755873</v>
      </c>
      <c r="F352" s="57">
        <f t="shared" si="257"/>
        <v>0</v>
      </c>
      <c r="G352" s="57">
        <f t="shared" si="257"/>
        <v>2.208243696755873</v>
      </c>
      <c r="H352" s="57">
        <f t="shared" si="257"/>
        <v>0</v>
      </c>
      <c r="I352" s="57">
        <f t="shared" si="257"/>
        <v>0</v>
      </c>
      <c r="J352" s="57">
        <f t="shared" si="257"/>
        <v>2.208243696755873</v>
      </c>
      <c r="K352" s="57">
        <f t="shared" si="257"/>
        <v>6.6247310902676189</v>
      </c>
      <c r="L352" s="57">
        <f t="shared" si="257"/>
        <v>6.6247310902676189</v>
      </c>
      <c r="M352" s="56">
        <v>7.867</v>
      </c>
      <c r="N352" s="56">
        <v>10.061</v>
      </c>
      <c r="O352" s="56">
        <v>7.0919999999999996</v>
      </c>
      <c r="P352" s="56">
        <v>10.523999999999999</v>
      </c>
      <c r="Q352" s="56">
        <v>15.78</v>
      </c>
      <c r="R352" s="56">
        <v>14.114000000000001</v>
      </c>
      <c r="S352" s="56">
        <v>41.884999999999998</v>
      </c>
      <c r="T352" s="56">
        <v>46.923000000000002</v>
      </c>
      <c r="U352" s="56">
        <v>46.621000000000002</v>
      </c>
      <c r="V352" s="56">
        <v>39.04</v>
      </c>
      <c r="W352" s="56">
        <v>98.888000000000005</v>
      </c>
      <c r="X352" s="56">
        <v>97.091999999999999</v>
      </c>
      <c r="Y352" s="56">
        <v>120.137</v>
      </c>
      <c r="Z352" s="56">
        <v>111.407</v>
      </c>
      <c r="AA352" s="56">
        <v>98.688999999999993</v>
      </c>
      <c r="AB352" s="56">
        <v>128.36799999999999</v>
      </c>
      <c r="AC352" s="56">
        <v>126.605</v>
      </c>
      <c r="AD352" s="56">
        <v>178.44900000000001</v>
      </c>
      <c r="AE352" s="59">
        <v>140.31800000000001</v>
      </c>
      <c r="AF352" s="59">
        <v>130.40799999999999</v>
      </c>
      <c r="AG352" s="59">
        <v>99.317999999999998</v>
      </c>
      <c r="AH352" s="59">
        <v>236.422</v>
      </c>
      <c r="AI352" s="59">
        <v>144.029</v>
      </c>
      <c r="AJ352" s="59">
        <v>186.22</v>
      </c>
      <c r="AK352" s="59">
        <v>102.024</v>
      </c>
      <c r="AL352" s="59">
        <v>239.54900000000001</v>
      </c>
      <c r="AM352" s="59">
        <v>200.00899999999999</v>
      </c>
      <c r="AN352" s="59">
        <v>172.239</v>
      </c>
      <c r="AO352" s="59">
        <v>221.32900000000001</v>
      </c>
      <c r="AP352" s="59">
        <v>311.55099999999999</v>
      </c>
      <c r="AQ352" s="59">
        <v>310.27100000000002</v>
      </c>
      <c r="AR352" s="59">
        <v>219.44</v>
      </c>
      <c r="AS352" s="59">
        <v>330.61200000000002</v>
      </c>
      <c r="AT352" s="59">
        <v>198.19300000000001</v>
      </c>
      <c r="AU352" s="59">
        <v>252.18799999999999</v>
      </c>
      <c r="AV352" s="59">
        <v>269.43900000000002</v>
      </c>
      <c r="AW352" s="59">
        <v>248.97900000000001</v>
      </c>
      <c r="AX352" s="59">
        <v>317.214</v>
      </c>
      <c r="AY352" s="59">
        <v>337.18799999999999</v>
      </c>
      <c r="AZ352" s="59">
        <v>223.74600000000001</v>
      </c>
      <c r="BA352" s="103">
        <v>334.87900000000002</v>
      </c>
      <c r="BB352" s="59">
        <v>325.89499999999998</v>
      </c>
      <c r="BC352" s="59">
        <v>269.36799999999999</v>
      </c>
      <c r="BD352" s="59">
        <v>232.46299999999999</v>
      </c>
      <c r="BE352" s="59">
        <v>272.976</v>
      </c>
      <c r="BF352" s="59">
        <v>402.452</v>
      </c>
      <c r="BG352" s="59">
        <v>215.9</v>
      </c>
      <c r="BH352" s="59">
        <v>337.57799999999997</v>
      </c>
      <c r="BI352" s="59">
        <v>321.76400000000001</v>
      </c>
      <c r="BJ352" s="58">
        <f t="shared" si="259"/>
        <v>222.10780802428567</v>
      </c>
      <c r="BK352" s="58">
        <f t="shared" si="259"/>
        <v>40.872305785768617</v>
      </c>
      <c r="BL352" s="58">
        <f t="shared" si="259"/>
        <v>73.718760698584077</v>
      </c>
      <c r="BM352" s="58">
        <f t="shared" si="259"/>
        <v>-58.199508682230913</v>
      </c>
      <c r="BN352" s="58">
        <f t="shared" si="259"/>
        <v>-12.028400492926579</v>
      </c>
      <c r="BO352" s="58">
        <f t="shared" si="259"/>
        <v>-21.174517018342868</v>
      </c>
      <c r="BP352" s="58">
        <f t="shared" si="259"/>
        <v>42.259753901779106</v>
      </c>
      <c r="BQ352" s="58">
        <f t="shared" si="259"/>
        <v>-2.6095191579725849</v>
      </c>
      <c r="BR352" s="58">
        <f t="shared" si="259"/>
        <v>-2.1950083339805246</v>
      </c>
      <c r="BS352" s="58">
        <f t="shared" si="259"/>
        <v>-3.429346318368971</v>
      </c>
      <c r="BT352" s="58">
        <f t="shared" si="259"/>
        <v>-6.964540872554295</v>
      </c>
      <c r="BU352" s="58">
        <f t="shared" si="259"/>
        <v>5.30892738862903</v>
      </c>
    </row>
    <row r="353" spans="1:92" s="56" customFormat="1" ht="14.25">
      <c r="A353" s="4" t="s">
        <v>107</v>
      </c>
      <c r="C353" s="57">
        <f t="shared" si="257"/>
        <v>0</v>
      </c>
      <c r="D353" s="57">
        <f t="shared" si="257"/>
        <v>0</v>
      </c>
      <c r="E353" s="57">
        <f t="shared" si="257"/>
        <v>2.2201617760950008</v>
      </c>
      <c r="F353" s="57">
        <f t="shared" si="257"/>
        <v>0</v>
      </c>
      <c r="G353" s="57">
        <f t="shared" si="257"/>
        <v>2.2201617760950008</v>
      </c>
      <c r="H353" s="57">
        <f t="shared" si="257"/>
        <v>0</v>
      </c>
      <c r="I353" s="57">
        <f t="shared" si="257"/>
        <v>0</v>
      </c>
      <c r="J353" s="57">
        <f t="shared" si="257"/>
        <v>2.2201617760950008</v>
      </c>
      <c r="K353" s="57">
        <f t="shared" si="257"/>
        <v>6.6604853282850023</v>
      </c>
      <c r="L353" s="57">
        <f t="shared" si="257"/>
        <v>6.6604853282850023</v>
      </c>
      <c r="M353" s="56">
        <v>9.7460000000000004</v>
      </c>
      <c r="N353" s="56">
        <v>9.7279999999999998</v>
      </c>
      <c r="O353" s="56">
        <v>10.295999999999999</v>
      </c>
      <c r="P353" s="56">
        <v>10.957000000000001</v>
      </c>
      <c r="Q353" s="56">
        <v>10.874000000000001</v>
      </c>
      <c r="R353" s="56">
        <v>13.826000000000001</v>
      </c>
      <c r="S353" s="56">
        <v>34.130000000000003</v>
      </c>
      <c r="T353" s="56">
        <v>65.710999999999999</v>
      </c>
      <c r="U353" s="56">
        <v>47.83</v>
      </c>
      <c r="V353" s="56">
        <v>47.173000000000002</v>
      </c>
      <c r="W353" s="56">
        <v>95.174000000000007</v>
      </c>
      <c r="X353" s="56">
        <v>100.858</v>
      </c>
      <c r="Y353" s="56">
        <v>93.478999999999999</v>
      </c>
      <c r="Z353" s="56">
        <v>129.755</v>
      </c>
      <c r="AA353" s="56">
        <v>66.353999999999999</v>
      </c>
      <c r="AB353" s="56">
        <v>147.97900000000001</v>
      </c>
      <c r="AC353" s="56">
        <v>117.464</v>
      </c>
      <c r="AD353" s="56">
        <v>179.53</v>
      </c>
      <c r="AE353" s="59">
        <v>186.23099999999999</v>
      </c>
      <c r="AF353" s="59">
        <v>106.25</v>
      </c>
      <c r="AG353" s="59">
        <v>136.654</v>
      </c>
      <c r="AH353" s="59">
        <v>191.405</v>
      </c>
      <c r="AI353" s="59">
        <v>132.239</v>
      </c>
      <c r="AJ353" s="59">
        <v>238.19900000000001</v>
      </c>
      <c r="AK353" s="59">
        <v>175.28700000000001</v>
      </c>
      <c r="AL353" s="59">
        <v>190.13</v>
      </c>
      <c r="AM353" s="59">
        <v>188.07400000000001</v>
      </c>
      <c r="AN353" s="59">
        <v>249.27799999999999</v>
      </c>
      <c r="AO353" s="59">
        <v>214.93199999999999</v>
      </c>
      <c r="AP353" s="59">
        <v>298.74299999999999</v>
      </c>
      <c r="AQ353" s="59">
        <v>322.83499999999998</v>
      </c>
      <c r="AR353" s="59">
        <v>135.041</v>
      </c>
      <c r="AS353" s="59">
        <v>255.21299999999999</v>
      </c>
      <c r="AT353" s="59">
        <v>231.14599999999999</v>
      </c>
      <c r="AU353" s="59">
        <v>343.57299999999998</v>
      </c>
      <c r="AV353" s="59">
        <v>325.36399999999998</v>
      </c>
      <c r="AW353" s="59">
        <v>220.9</v>
      </c>
      <c r="AX353" s="59">
        <v>317.279</v>
      </c>
      <c r="AY353" s="59">
        <v>294.55200000000002</v>
      </c>
      <c r="AZ353" s="59">
        <v>150.72900000000001</v>
      </c>
      <c r="BA353" s="103">
        <v>368.95499999999998</v>
      </c>
      <c r="BB353" s="59">
        <v>342.15800000000002</v>
      </c>
      <c r="BC353" s="59">
        <v>269.74599999999998</v>
      </c>
      <c r="BD353" s="59">
        <v>237.65199999999999</v>
      </c>
      <c r="BE353" s="59">
        <v>354.31599999999997</v>
      </c>
      <c r="BF353" s="59">
        <v>400.59899999999999</v>
      </c>
      <c r="BG353" s="59">
        <v>248.93</v>
      </c>
      <c r="BH353" s="59">
        <v>424.24900000000002</v>
      </c>
      <c r="BI353" s="59">
        <v>294.83999999999997</v>
      </c>
      <c r="BJ353" s="58">
        <f t="shared" si="259"/>
        <v>332.63221989652982</v>
      </c>
      <c r="BK353" s="58">
        <f t="shared" si="259"/>
        <v>137.8937153881912</v>
      </c>
      <c r="BL353" s="58">
        <f t="shared" si="259"/>
        <v>166.43801334028367</v>
      </c>
      <c r="BM353" s="58">
        <f t="shared" si="259"/>
        <v>21.111151622228874</v>
      </c>
      <c r="BN353" s="58">
        <f t="shared" si="259"/>
        <v>91.877499973744364</v>
      </c>
      <c r="BO353" s="58">
        <f t="shared" si="259"/>
        <v>69.290461580007928</v>
      </c>
      <c r="BP353" s="58">
        <f t="shared" si="259"/>
        <v>143.58855051426156</v>
      </c>
      <c r="BQ353" s="58">
        <f t="shared" si="259"/>
        <v>93.161771597080246</v>
      </c>
      <c r="BR353" s="58">
        <f t="shared" si="259"/>
        <v>95.505927197761991</v>
      </c>
      <c r="BS353" s="58">
        <f t="shared" si="259"/>
        <v>97.353974913921462</v>
      </c>
      <c r="BT353" s="58">
        <f t="shared" si="259"/>
        <v>95.41423270103445</v>
      </c>
      <c r="BU353" s="58">
        <f t="shared" si="259"/>
        <v>106.0874055738208</v>
      </c>
    </row>
    <row r="354" spans="1:92" s="56" customFormat="1" ht="14.25">
      <c r="A354" s="4" t="s">
        <v>108</v>
      </c>
      <c r="C354" s="57">
        <f t="shared" si="257"/>
        <v>0</v>
      </c>
      <c r="D354" s="57">
        <f t="shared" si="257"/>
        <v>0</v>
      </c>
      <c r="E354" s="57">
        <f t="shared" si="257"/>
        <v>2.5041734790465537</v>
      </c>
      <c r="F354" s="57">
        <f t="shared" si="257"/>
        <v>0</v>
      </c>
      <c r="G354" s="57">
        <f t="shared" si="257"/>
        <v>2.5041734790465537</v>
      </c>
      <c r="H354" s="57">
        <f t="shared" si="257"/>
        <v>0</v>
      </c>
      <c r="I354" s="57">
        <f t="shared" si="257"/>
        <v>0</v>
      </c>
      <c r="J354" s="57">
        <f t="shared" si="257"/>
        <v>2.5041734790465537</v>
      </c>
      <c r="K354" s="57">
        <f t="shared" si="257"/>
        <v>7.5125204371396617</v>
      </c>
      <c r="L354" s="57">
        <f t="shared" si="257"/>
        <v>7.5125204371396617</v>
      </c>
      <c r="M354" s="56">
        <v>10.076000000000001</v>
      </c>
      <c r="N354" s="56">
        <v>5.306</v>
      </c>
      <c r="O354" s="56">
        <v>13.72</v>
      </c>
      <c r="P354" s="56">
        <v>12.362</v>
      </c>
      <c r="Q354" s="56">
        <v>16.738</v>
      </c>
      <c r="R354" s="56">
        <v>29.602</v>
      </c>
      <c r="S354" s="56">
        <v>47.253</v>
      </c>
      <c r="T354" s="56">
        <v>71.991</v>
      </c>
      <c r="U354" s="56">
        <v>35.5</v>
      </c>
      <c r="V354" s="56">
        <v>57.573</v>
      </c>
      <c r="W354" s="56">
        <v>105.31699999999999</v>
      </c>
      <c r="X354" s="56">
        <v>57.44</v>
      </c>
      <c r="Y354" s="56">
        <v>114.836</v>
      </c>
      <c r="Z354" s="56">
        <v>88.918999999999997</v>
      </c>
      <c r="AA354" s="56">
        <v>68.697999999999993</v>
      </c>
      <c r="AB354" s="56">
        <v>136.68199999999999</v>
      </c>
      <c r="AC354" s="56">
        <v>136.369</v>
      </c>
      <c r="AD354" s="56">
        <v>148.15299999999999</v>
      </c>
      <c r="AE354" s="59">
        <v>151.32499999999999</v>
      </c>
      <c r="AF354" s="59">
        <v>111.04</v>
      </c>
      <c r="AG354" s="59">
        <v>123.143</v>
      </c>
      <c r="AH354" s="59">
        <v>179.24100000000001</v>
      </c>
      <c r="AI354" s="59">
        <v>103.44499999999999</v>
      </c>
      <c r="AJ354" s="59">
        <v>241.43100000000001</v>
      </c>
      <c r="AK354" s="59">
        <v>163.255</v>
      </c>
      <c r="AL354" s="59">
        <v>218.82499999999999</v>
      </c>
      <c r="AM354" s="59">
        <v>190.29300000000001</v>
      </c>
      <c r="AN354" s="59">
        <v>260.09899999999999</v>
      </c>
      <c r="AO354" s="59">
        <v>186.82599999999999</v>
      </c>
      <c r="AP354" s="59">
        <v>187.536</v>
      </c>
      <c r="AQ354" s="59">
        <v>300.89100000000002</v>
      </c>
      <c r="AR354" s="59">
        <v>170.643</v>
      </c>
      <c r="AS354" s="59">
        <v>364.267</v>
      </c>
      <c r="AT354" s="59">
        <v>276.82400000000001</v>
      </c>
      <c r="AU354" s="59">
        <v>343.30399999999997</v>
      </c>
      <c r="AV354" s="59">
        <v>239.55799999999999</v>
      </c>
      <c r="AW354" s="59">
        <v>308.40300000000002</v>
      </c>
      <c r="AX354" s="59">
        <v>260.78899999999999</v>
      </c>
      <c r="AY354" s="59">
        <v>230.654</v>
      </c>
      <c r="AZ354" s="59">
        <v>257.399</v>
      </c>
      <c r="BA354" s="103">
        <v>267.8</v>
      </c>
      <c r="BB354" s="59">
        <v>252.14699999999999</v>
      </c>
      <c r="BC354" s="59">
        <v>273.43900000000002</v>
      </c>
      <c r="BD354" s="59">
        <v>344.65899999999999</v>
      </c>
      <c r="BE354" s="59">
        <v>408.45400000000001</v>
      </c>
      <c r="BF354" s="59">
        <v>324.64400000000001</v>
      </c>
      <c r="BG354" s="59">
        <v>223.88300000000001</v>
      </c>
      <c r="BH354" s="59">
        <v>383.17700000000002</v>
      </c>
      <c r="BI354" s="59">
        <v>311.84699999999998</v>
      </c>
      <c r="BJ354" s="58">
        <f t="shared" si="259"/>
        <v>317.20157773732802</v>
      </c>
      <c r="BK354" s="58">
        <f t="shared" si="259"/>
        <v>60.479639554220256</v>
      </c>
      <c r="BL354" s="58">
        <f t="shared" si="259"/>
        <v>154.13429720532318</v>
      </c>
      <c r="BM354" s="58">
        <f t="shared" si="259"/>
        <v>-11.559395292894209</v>
      </c>
      <c r="BN354" s="58">
        <f t="shared" si="259"/>
        <v>79.879525247762388</v>
      </c>
      <c r="BO354" s="58">
        <f t="shared" si="259"/>
        <v>43.305359891947234</v>
      </c>
      <c r="BP354" s="58">
        <f t="shared" si="259"/>
        <v>105.39945735213485</v>
      </c>
      <c r="BQ354" s="58">
        <f t="shared" si="259"/>
        <v>67.606125056961247</v>
      </c>
      <c r="BR354" s="58">
        <f t="shared" si="259"/>
        <v>71.364153236573543</v>
      </c>
      <c r="BS354" s="58">
        <f t="shared" si="259"/>
        <v>71.749080127152098</v>
      </c>
      <c r="BT354" s="58">
        <f t="shared" si="259"/>
        <v>71.697717253662404</v>
      </c>
      <c r="BU354" s="58">
        <f t="shared" si="259"/>
        <v>78.041855509037902</v>
      </c>
    </row>
    <row r="355" spans="1:92" s="56" customFormat="1" ht="14.25">
      <c r="A355" s="4" t="s">
        <v>109</v>
      </c>
      <c r="C355" s="57">
        <f t="shared" si="257"/>
        <v>0</v>
      </c>
      <c r="D355" s="57">
        <f t="shared" si="257"/>
        <v>0</v>
      </c>
      <c r="E355" s="57">
        <f t="shared" si="257"/>
        <v>2.5062817313484209</v>
      </c>
      <c r="F355" s="57">
        <f t="shared" si="257"/>
        <v>0</v>
      </c>
      <c r="G355" s="57">
        <f t="shared" si="257"/>
        <v>2.5062817313484209</v>
      </c>
      <c r="H355" s="57">
        <f t="shared" si="257"/>
        <v>0</v>
      </c>
      <c r="I355" s="57">
        <f t="shared" si="257"/>
        <v>0</v>
      </c>
      <c r="J355" s="57">
        <f t="shared" si="257"/>
        <v>2.5062817313484209</v>
      </c>
      <c r="K355" s="57">
        <f t="shared" si="257"/>
        <v>7.5188451940452623</v>
      </c>
      <c r="L355" s="57">
        <f t="shared" si="257"/>
        <v>7.5188451940452623</v>
      </c>
      <c r="M355" s="56">
        <v>8.3610000000000007</v>
      </c>
      <c r="N355" s="56">
        <v>6.5960000000000001</v>
      </c>
      <c r="O355" s="56">
        <v>13.497</v>
      </c>
      <c r="P355" s="56">
        <v>19.126000000000001</v>
      </c>
      <c r="Q355" s="56">
        <v>10.670999999999999</v>
      </c>
      <c r="R355" s="56">
        <v>29.780999999999999</v>
      </c>
      <c r="S355" s="56">
        <v>37.768000000000001</v>
      </c>
      <c r="T355" s="56">
        <v>44.404000000000003</v>
      </c>
      <c r="U355" s="56">
        <v>40.595999999999997</v>
      </c>
      <c r="V355" s="56">
        <v>56.255000000000003</v>
      </c>
      <c r="W355" s="56">
        <v>54.509</v>
      </c>
      <c r="X355" s="56">
        <v>51.331000000000003</v>
      </c>
      <c r="Y355" s="56">
        <v>71.796000000000006</v>
      </c>
      <c r="Z355" s="56">
        <v>75.66</v>
      </c>
      <c r="AA355" s="56">
        <v>106.761</v>
      </c>
      <c r="AB355" s="56">
        <v>153.33000000000001</v>
      </c>
      <c r="AC355" s="56">
        <v>135.61099999999999</v>
      </c>
      <c r="AD355" s="56">
        <v>130.392</v>
      </c>
      <c r="AE355" s="59">
        <v>150.05000000000001</v>
      </c>
      <c r="AF355" s="59">
        <v>98.131</v>
      </c>
      <c r="AG355" s="59">
        <v>106.767</v>
      </c>
      <c r="AH355" s="59">
        <v>197.50399999999999</v>
      </c>
      <c r="AI355" s="59">
        <v>65.254000000000005</v>
      </c>
      <c r="AJ355" s="59">
        <v>201.08199999999999</v>
      </c>
      <c r="AK355" s="59">
        <v>154.91800000000001</v>
      </c>
      <c r="AL355" s="59">
        <v>140.304</v>
      </c>
      <c r="AM355" s="59">
        <v>112.367</v>
      </c>
      <c r="AN355" s="59">
        <v>273.52800000000002</v>
      </c>
      <c r="AO355" s="59">
        <v>242.32599999999999</v>
      </c>
      <c r="AP355" s="59">
        <v>134.024</v>
      </c>
      <c r="AQ355" s="59">
        <v>239</v>
      </c>
      <c r="AR355" s="59">
        <v>217.578</v>
      </c>
      <c r="AS355" s="59">
        <v>302.08300000000003</v>
      </c>
      <c r="AT355" s="59">
        <v>303.96800000000002</v>
      </c>
      <c r="AU355" s="59">
        <v>287.66800000000001</v>
      </c>
      <c r="AV355" s="59">
        <v>231.13800000000001</v>
      </c>
      <c r="AW355" s="59">
        <v>340.09800000000001</v>
      </c>
      <c r="AX355" s="59">
        <v>206.672</v>
      </c>
      <c r="AY355" s="59">
        <v>145.28100000000001</v>
      </c>
      <c r="AZ355" s="59">
        <v>273.60199999999998</v>
      </c>
      <c r="BA355" s="103">
        <v>318.69900000000001</v>
      </c>
      <c r="BB355" s="103">
        <v>245.38300000000001</v>
      </c>
      <c r="BC355" s="59">
        <v>173.47300000000001</v>
      </c>
      <c r="BD355" s="103">
        <v>315.53800000000001</v>
      </c>
      <c r="BE355" s="59">
        <v>354.90800000000002</v>
      </c>
      <c r="BF355" s="59">
        <v>356.26400000000001</v>
      </c>
      <c r="BG355" s="59">
        <v>248.19200000000001</v>
      </c>
      <c r="BH355" s="59">
        <v>363.98599999999999</v>
      </c>
      <c r="BI355" s="59">
        <v>358.32900000000001</v>
      </c>
      <c r="BJ355" s="58">
        <f t="shared" si="259"/>
        <v>425.71511311169382</v>
      </c>
      <c r="BK355" s="58">
        <f t="shared" si="259"/>
        <v>19.973601972964843</v>
      </c>
      <c r="BL355" s="58">
        <f t="shared" si="259"/>
        <v>225.29259255834418</v>
      </c>
      <c r="BM355" s="58">
        <f t="shared" si="259"/>
        <v>19.691697040469364</v>
      </c>
      <c r="BN355" s="58">
        <f t="shared" si="259"/>
        <v>115.4611030783376</v>
      </c>
      <c r="BO355" s="58">
        <f t="shared" si="259"/>
        <v>135.51914531134412</v>
      </c>
      <c r="BP355" s="58">
        <f t="shared" si="259"/>
        <v>131.02673547209838</v>
      </c>
      <c r="BQ355" s="58">
        <f t="shared" si="259"/>
        <v>119.24177315494038</v>
      </c>
      <c r="BR355" s="58">
        <f t="shared" si="259"/>
        <v>126.52409301990454</v>
      </c>
      <c r="BS355" s="58">
        <f t="shared" si="259"/>
        <v>121.60497136305005</v>
      </c>
      <c r="BT355" s="58">
        <f t="shared" si="259"/>
        <v>132.28792381677206</v>
      </c>
      <c r="BU355" s="58">
        <f t="shared" si="259"/>
        <v>134.97731038823238</v>
      </c>
    </row>
    <row r="356" spans="1:92" s="56" customFormat="1" ht="14.25">
      <c r="A356" s="4" t="s">
        <v>110</v>
      </c>
      <c r="C356" s="57">
        <f t="shared" si="257"/>
        <v>0</v>
      </c>
      <c r="D356" s="57">
        <f t="shared" si="257"/>
        <v>0</v>
      </c>
      <c r="E356" s="57">
        <f t="shared" si="257"/>
        <v>2.2108252301867308</v>
      </c>
      <c r="F356" s="57">
        <f t="shared" si="257"/>
        <v>0</v>
      </c>
      <c r="G356" s="57">
        <f t="shared" si="257"/>
        <v>2.2108252301867308</v>
      </c>
      <c r="H356" s="57">
        <f t="shared" si="257"/>
        <v>0</v>
      </c>
      <c r="I356" s="57">
        <f t="shared" si="257"/>
        <v>0</v>
      </c>
      <c r="J356" s="57">
        <f t="shared" si="257"/>
        <v>2.2108252301867308</v>
      </c>
      <c r="K356" s="57">
        <f t="shared" si="257"/>
        <v>6.6324756905601925</v>
      </c>
      <c r="L356" s="57">
        <f t="shared" si="257"/>
        <v>6.6324756905601925</v>
      </c>
      <c r="M356" s="56">
        <v>5.5250000000000004</v>
      </c>
      <c r="N356" s="56">
        <v>7.3029999999999999</v>
      </c>
      <c r="O356" s="56">
        <v>15.954000000000001</v>
      </c>
      <c r="P356" s="56">
        <v>18.033000000000001</v>
      </c>
      <c r="Q356" s="56">
        <v>4.569</v>
      </c>
      <c r="R356" s="56">
        <v>23.524000000000001</v>
      </c>
      <c r="S356" s="56">
        <v>25.751000000000001</v>
      </c>
      <c r="T356" s="56">
        <v>47.749000000000002</v>
      </c>
      <c r="U356" s="56">
        <v>39.872999999999998</v>
      </c>
      <c r="V356" s="56">
        <v>41.951999999999998</v>
      </c>
      <c r="W356" s="56">
        <v>41.25</v>
      </c>
      <c r="X356" s="56">
        <v>55.332000000000001</v>
      </c>
      <c r="Y356" s="56">
        <v>53.683999999999997</v>
      </c>
      <c r="Z356" s="56">
        <v>72.286000000000001</v>
      </c>
      <c r="AA356" s="56">
        <v>113.251</v>
      </c>
      <c r="AB356" s="56">
        <v>133.483</v>
      </c>
      <c r="AC356" s="56">
        <v>119.349</v>
      </c>
      <c r="AD356" s="56">
        <v>97.04</v>
      </c>
      <c r="AE356" s="59">
        <v>130.018</v>
      </c>
      <c r="AF356" s="59">
        <v>78.941000000000003</v>
      </c>
      <c r="AG356" s="59">
        <v>120.985</v>
      </c>
      <c r="AH356" s="59">
        <v>120.806</v>
      </c>
      <c r="AI356" s="59">
        <v>46.646999999999998</v>
      </c>
      <c r="AJ356" s="59">
        <v>182.95500000000001</v>
      </c>
      <c r="AK356" s="59">
        <v>141.066</v>
      </c>
      <c r="AL356" s="59">
        <v>184.751</v>
      </c>
      <c r="AM356" s="59">
        <v>154.93700000000001</v>
      </c>
      <c r="AN356" s="59">
        <v>220.245</v>
      </c>
      <c r="AO356" s="59">
        <v>320.96300000000002</v>
      </c>
      <c r="AP356" s="59">
        <v>212.131</v>
      </c>
      <c r="AQ356" s="59">
        <v>249.38800000000001</v>
      </c>
      <c r="AR356" s="59">
        <v>346.04500000000002</v>
      </c>
      <c r="AS356" s="59">
        <v>163.64400000000001</v>
      </c>
      <c r="AT356" s="59">
        <v>261.75400000000002</v>
      </c>
      <c r="AU356" s="59">
        <v>259.36500000000001</v>
      </c>
      <c r="AV356" s="59">
        <v>235.86699999999999</v>
      </c>
      <c r="AW356" s="59">
        <v>331.92</v>
      </c>
      <c r="AX356" s="59">
        <v>218.77</v>
      </c>
      <c r="AY356" s="59">
        <v>174.42699999999999</v>
      </c>
      <c r="AZ356" s="59">
        <v>176.875</v>
      </c>
      <c r="BA356" s="103">
        <v>408.94</v>
      </c>
      <c r="BB356" s="103">
        <v>242.46</v>
      </c>
      <c r="BC356" s="59">
        <v>176.28200000000001</v>
      </c>
      <c r="BD356" s="59">
        <v>231.58500000000001</v>
      </c>
      <c r="BE356" s="59">
        <v>222.96100000000001</v>
      </c>
      <c r="BF356" s="59">
        <v>318.77800000000002</v>
      </c>
      <c r="BG356" s="59">
        <v>205.64699999999999</v>
      </c>
      <c r="BH356" s="59">
        <v>288.45600000000002</v>
      </c>
      <c r="BI356" s="59">
        <v>364.36500000000001</v>
      </c>
      <c r="BJ356" s="58">
        <f t="shared" si="259"/>
        <v>469.28018891016086</v>
      </c>
      <c r="BK356" s="58">
        <f t="shared" si="259"/>
        <v>26.207613645052049</v>
      </c>
      <c r="BL356" s="58">
        <f t="shared" si="259"/>
        <v>322.90041753619033</v>
      </c>
      <c r="BM356" s="58">
        <f t="shared" si="259"/>
        <v>47.476722552554804</v>
      </c>
      <c r="BN356" s="58">
        <f t="shared" si="259"/>
        <v>162.71863652537203</v>
      </c>
      <c r="BO356" s="58">
        <f t="shared" si="259"/>
        <v>225.06617868794072</v>
      </c>
      <c r="BP356" s="58">
        <f t="shared" si="259"/>
        <v>167.70066627598837</v>
      </c>
      <c r="BQ356" s="58">
        <f t="shared" si="259"/>
        <v>181.2156425193154</v>
      </c>
      <c r="BR356" s="58">
        <f t="shared" si="259"/>
        <v>187.00199165913921</v>
      </c>
      <c r="BS356" s="58">
        <f t="shared" si="259"/>
        <v>172.77332088616953</v>
      </c>
      <c r="BT356" s="58">
        <f t="shared" si="259"/>
        <v>193.56994154966003</v>
      </c>
      <c r="BU356" s="58">
        <f t="shared" si="259"/>
        <v>196.28146277096332</v>
      </c>
    </row>
    <row r="357" spans="1:92" s="56" customFormat="1" ht="14.25">
      <c r="A357" s="4" t="s">
        <v>111</v>
      </c>
      <c r="C357" s="57">
        <f t="shared" si="257"/>
        <v>0</v>
      </c>
      <c r="D357" s="57">
        <f t="shared" si="257"/>
        <v>0</v>
      </c>
      <c r="E357" s="57">
        <f t="shared" si="257"/>
        <v>1.8018673091816539</v>
      </c>
      <c r="F357" s="57">
        <f t="shared" si="257"/>
        <v>0</v>
      </c>
      <c r="G357" s="57">
        <f t="shared" si="257"/>
        <v>1.8018673091816539</v>
      </c>
      <c r="H357" s="57">
        <f t="shared" si="257"/>
        <v>0</v>
      </c>
      <c r="I357" s="57">
        <f t="shared" si="257"/>
        <v>0</v>
      </c>
      <c r="J357" s="57">
        <f t="shared" si="257"/>
        <v>1.8018673091816539</v>
      </c>
      <c r="K357" s="57">
        <f t="shared" si="257"/>
        <v>5.4056019275449616</v>
      </c>
      <c r="L357" s="57">
        <f t="shared" si="257"/>
        <v>5.4056019275449616</v>
      </c>
      <c r="M357" s="56">
        <v>7.5750000000000002</v>
      </c>
      <c r="N357" s="56">
        <v>5.2939999999999996</v>
      </c>
      <c r="O357" s="56">
        <v>7.7359999999999998</v>
      </c>
      <c r="P357" s="56">
        <v>13.991</v>
      </c>
      <c r="Q357" s="56">
        <v>7.2830000000000004</v>
      </c>
      <c r="R357" s="56">
        <v>18.571999999999999</v>
      </c>
      <c r="S357" s="56">
        <v>16.934000000000001</v>
      </c>
      <c r="T357" s="56">
        <v>25.533999999999999</v>
      </c>
      <c r="U357" s="56">
        <v>33.207999999999998</v>
      </c>
      <c r="V357" s="56">
        <v>49.070999999999998</v>
      </c>
      <c r="W357" s="56">
        <v>48.616999999999997</v>
      </c>
      <c r="X357" s="56">
        <v>58.350999999999999</v>
      </c>
      <c r="Y357" s="56">
        <v>26.367000000000001</v>
      </c>
      <c r="Z357" s="56">
        <v>87.694000000000003</v>
      </c>
      <c r="AA357" s="56">
        <v>97.742000000000004</v>
      </c>
      <c r="AB357" s="56">
        <v>103.32299999999999</v>
      </c>
      <c r="AC357" s="56">
        <v>105.71599999999999</v>
      </c>
      <c r="AD357" s="56">
        <v>76.02</v>
      </c>
      <c r="AE357" s="59">
        <v>102.804</v>
      </c>
      <c r="AF357" s="59">
        <v>76.665000000000006</v>
      </c>
      <c r="AG357" s="59">
        <v>93.061000000000007</v>
      </c>
      <c r="AH357" s="59">
        <v>81.582999999999998</v>
      </c>
      <c r="AI357" s="59">
        <v>36.121000000000002</v>
      </c>
      <c r="AJ357" s="59">
        <v>190.75299999999999</v>
      </c>
      <c r="AK357" s="59">
        <v>84.67</v>
      </c>
      <c r="AL357" s="59">
        <v>105.679</v>
      </c>
      <c r="AM357" s="59">
        <v>124.664</v>
      </c>
      <c r="AN357" s="59">
        <v>204.4</v>
      </c>
      <c r="AO357" s="59">
        <v>168.792</v>
      </c>
      <c r="AP357" s="59">
        <v>220.08500000000001</v>
      </c>
      <c r="AQ357" s="59">
        <v>197.643</v>
      </c>
      <c r="AR357" s="59">
        <v>255.79400000000001</v>
      </c>
      <c r="AS357" s="59">
        <v>182.56</v>
      </c>
      <c r="AT357" s="59">
        <v>226.30699999999999</v>
      </c>
      <c r="AU357" s="59">
        <v>142.97800000000001</v>
      </c>
      <c r="AV357" s="59">
        <v>220.07400000000001</v>
      </c>
      <c r="AW357" s="59">
        <v>226.91499999999999</v>
      </c>
      <c r="AX357" s="59">
        <v>139.59299999999999</v>
      </c>
      <c r="AY357" s="59">
        <v>187.96600000000001</v>
      </c>
      <c r="AZ357" s="59">
        <v>197.04599999999999</v>
      </c>
      <c r="BA357" s="103">
        <v>380.6</v>
      </c>
      <c r="BB357" s="59">
        <v>300.721</v>
      </c>
      <c r="BC357" s="59">
        <v>231.59200000000001</v>
      </c>
      <c r="BD357" s="59">
        <v>168.535</v>
      </c>
      <c r="BE357" s="59">
        <v>213.077</v>
      </c>
      <c r="BF357" s="59">
        <v>214.19300000000001</v>
      </c>
      <c r="BG357" s="59">
        <v>235.071</v>
      </c>
      <c r="BH357" s="59">
        <v>191.04499999999999</v>
      </c>
      <c r="BI357" s="58">
        <f>BI356+BI229+BI277-BI293-BI309</f>
        <v>553.21952434374555</v>
      </c>
      <c r="BJ357" s="58">
        <f t="shared" si="259"/>
        <v>294.38367300802281</v>
      </c>
      <c r="BK357" s="58">
        <f t="shared" si="259"/>
        <v>-78.162051551874583</v>
      </c>
      <c r="BL357" s="58">
        <f t="shared" si="259"/>
        <v>207.37472573676692</v>
      </c>
      <c r="BM357" s="58">
        <f t="shared" si="259"/>
        <v>13.488059850936367</v>
      </c>
      <c r="BN357" s="58">
        <f t="shared" si="259"/>
        <v>71.185965246676687</v>
      </c>
      <c r="BO357" s="58">
        <f t="shared" si="259"/>
        <v>128.76054425745409</v>
      </c>
      <c r="BP357" s="58">
        <f t="shared" si="259"/>
        <v>63.846717938781893</v>
      </c>
      <c r="BQ357" s="58">
        <f t="shared" si="259"/>
        <v>94.218931710621519</v>
      </c>
      <c r="BR357" s="58">
        <f t="shared" si="259"/>
        <v>99.661613389256075</v>
      </c>
      <c r="BS357" s="58">
        <f t="shared" si="259"/>
        <v>85.715691415103294</v>
      </c>
      <c r="BT357" s="58">
        <f t="shared" si="259"/>
        <v>100.16111949116714</v>
      </c>
      <c r="BU357" s="58">
        <f t="shared" si="259"/>
        <v>103.43018677166299</v>
      </c>
    </row>
    <row r="358" spans="1:92" s="56" customFormat="1" thickBot="1">
      <c r="A358" s="4" t="s">
        <v>112</v>
      </c>
      <c r="C358" s="56">
        <v>0</v>
      </c>
      <c r="D358" s="56">
        <v>0</v>
      </c>
      <c r="E358" s="56">
        <v>1</v>
      </c>
      <c r="F358" s="56">
        <v>0</v>
      </c>
      <c r="G358" s="56">
        <v>1</v>
      </c>
      <c r="H358" s="56">
        <v>0</v>
      </c>
      <c r="I358" s="56">
        <v>0</v>
      </c>
      <c r="J358" s="56">
        <v>1</v>
      </c>
      <c r="K358" s="56">
        <v>3</v>
      </c>
      <c r="L358" s="56">
        <v>3</v>
      </c>
      <c r="M358" s="56">
        <v>7.5060000000000002</v>
      </c>
      <c r="N358" s="56">
        <v>4.476</v>
      </c>
      <c r="O358" s="56">
        <v>3.089</v>
      </c>
      <c r="P358" s="56">
        <v>3.7519999999999998</v>
      </c>
      <c r="Q358" s="56">
        <v>4.4189999999999996</v>
      </c>
      <c r="R358" s="56">
        <v>14</v>
      </c>
      <c r="S358" s="56">
        <v>8.4030000000000005</v>
      </c>
      <c r="T358" s="56">
        <v>24.445</v>
      </c>
      <c r="U358" s="56">
        <v>40.055999999999997</v>
      </c>
      <c r="V358" s="56">
        <v>50.87</v>
      </c>
      <c r="W358" s="56">
        <v>40.332999999999998</v>
      </c>
      <c r="X358" s="56">
        <v>58.341000000000001</v>
      </c>
      <c r="Y358" s="56">
        <v>18.268000000000001</v>
      </c>
      <c r="Z358" s="56">
        <v>61.573</v>
      </c>
      <c r="AA358" s="56">
        <v>76.918999999999997</v>
      </c>
      <c r="AB358" s="56">
        <v>100.124</v>
      </c>
      <c r="AC358" s="56">
        <v>35.71</v>
      </c>
      <c r="AD358" s="56">
        <v>30.353000000000002</v>
      </c>
      <c r="AE358" s="59">
        <v>52.93</v>
      </c>
      <c r="AF358" s="59">
        <v>38.104999999999997</v>
      </c>
      <c r="AG358" s="59">
        <v>47.996000000000002</v>
      </c>
      <c r="AH358" s="59">
        <v>54.107999999999997</v>
      </c>
      <c r="AI358" s="59">
        <v>57.816000000000003</v>
      </c>
      <c r="AJ358" s="59">
        <v>134.19900000000001</v>
      </c>
      <c r="AK358" s="59">
        <v>75.430999999999997</v>
      </c>
      <c r="AL358" s="59">
        <v>92.947000000000003</v>
      </c>
      <c r="AM358" s="59">
        <v>94.221000000000004</v>
      </c>
      <c r="AN358" s="59">
        <v>190.733</v>
      </c>
      <c r="AO358" s="59">
        <v>194.184</v>
      </c>
      <c r="AP358" s="59">
        <v>135.08799999999999</v>
      </c>
      <c r="AQ358" s="59">
        <v>182.37700000000001</v>
      </c>
      <c r="AR358" s="59">
        <v>262.27100000000002</v>
      </c>
      <c r="AS358" s="59">
        <v>88.463999999999999</v>
      </c>
      <c r="AT358" s="59">
        <v>178.11199999999999</v>
      </c>
      <c r="AU358" s="59">
        <v>228.82599999999999</v>
      </c>
      <c r="AV358" s="59">
        <v>218.22399999999999</v>
      </c>
      <c r="AW358" s="59">
        <v>187.524</v>
      </c>
      <c r="AX358" s="59">
        <v>191.215</v>
      </c>
      <c r="AY358" s="59">
        <v>206.91499999999999</v>
      </c>
      <c r="AZ358" s="59">
        <v>195.63399999999999</v>
      </c>
      <c r="BA358" s="59">
        <v>336.84199999999998</v>
      </c>
      <c r="BB358" s="59">
        <v>259.51600000000002</v>
      </c>
      <c r="BC358" s="59">
        <v>310.54199999999997</v>
      </c>
      <c r="BD358" s="59">
        <v>171.69900000000001</v>
      </c>
      <c r="BE358" s="59">
        <v>316.47800000000001</v>
      </c>
      <c r="BF358" s="59">
        <v>228.33099999999999</v>
      </c>
      <c r="BG358" s="59">
        <v>204.87</v>
      </c>
      <c r="BH358" s="59">
        <v>191.929</v>
      </c>
      <c r="BI358" s="58">
        <f>BI357+BI230+BI278-BI294-BI310</f>
        <v>290.66939120189477</v>
      </c>
      <c r="BJ358" s="58">
        <f t="shared" si="259"/>
        <v>365.66939120189477</v>
      </c>
      <c r="BK358" s="58">
        <f t="shared" si="259"/>
        <v>340.66939120189568</v>
      </c>
      <c r="BL358" s="58">
        <f t="shared" si="259"/>
        <v>340.66939120189818</v>
      </c>
      <c r="BM358" s="58">
        <f t="shared" si="259"/>
        <v>340.66939120189977</v>
      </c>
      <c r="BN358" s="58">
        <f t="shared" si="259"/>
        <v>340.66939120189954</v>
      </c>
      <c r="BO358" s="58">
        <f t="shared" si="259"/>
        <v>340.66939120190034</v>
      </c>
      <c r="BP358" s="58">
        <f t="shared" si="259"/>
        <v>340.66939120190045</v>
      </c>
      <c r="BQ358" s="58">
        <f t="shared" si="259"/>
        <v>340.66939120189932</v>
      </c>
      <c r="BR358" s="58">
        <f t="shared" si="259"/>
        <v>340.66939120189761</v>
      </c>
      <c r="BS358" s="58">
        <f t="shared" si="259"/>
        <v>340.66939120189966</v>
      </c>
      <c r="BT358" s="58">
        <f t="shared" si="259"/>
        <v>340.66939120190091</v>
      </c>
      <c r="BU358" s="58">
        <f t="shared" si="259"/>
        <v>340.6693912019025</v>
      </c>
    </row>
    <row r="359" spans="1:92">
      <c r="A359" s="60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</row>
    <row r="360" spans="1:92" ht="15.75" thickBot="1">
      <c r="A360" s="53" t="s">
        <v>156</v>
      </c>
      <c r="BB360" s="115"/>
    </row>
    <row r="361" spans="1:92" s="4" customFormat="1" ht="15.75" thickBot="1">
      <c r="A361" s="54"/>
      <c r="B361" s="63" t="s">
        <v>1</v>
      </c>
      <c r="C361" s="63" t="s">
        <v>2</v>
      </c>
      <c r="D361" s="63" t="s">
        <v>3</v>
      </c>
      <c r="E361" s="63" t="s">
        <v>4</v>
      </c>
      <c r="F361" s="63" t="s">
        <v>5</v>
      </c>
      <c r="G361" s="63" t="s">
        <v>6</v>
      </c>
      <c r="H361" s="63" t="s">
        <v>7</v>
      </c>
      <c r="I361" s="63" t="s">
        <v>8</v>
      </c>
      <c r="J361" s="63" t="s">
        <v>9</v>
      </c>
      <c r="K361" s="63" t="s">
        <v>10</v>
      </c>
      <c r="L361" s="63" t="s">
        <v>11</v>
      </c>
      <c r="M361" s="55" t="s">
        <v>12</v>
      </c>
      <c r="N361" s="55" t="s">
        <v>13</v>
      </c>
      <c r="O361" s="55" t="s">
        <v>14</v>
      </c>
      <c r="P361" s="55" t="s">
        <v>15</v>
      </c>
      <c r="Q361" s="55" t="s">
        <v>16</v>
      </c>
      <c r="R361" s="55" t="s">
        <v>17</v>
      </c>
      <c r="S361" s="55" t="s">
        <v>18</v>
      </c>
      <c r="T361" s="55" t="s">
        <v>19</v>
      </c>
      <c r="U361" s="55" t="s">
        <v>20</v>
      </c>
      <c r="V361" s="55" t="s">
        <v>21</v>
      </c>
      <c r="W361" s="55" t="s">
        <v>22</v>
      </c>
      <c r="X361" s="55" t="s">
        <v>23</v>
      </c>
      <c r="Y361" s="55" t="s">
        <v>24</v>
      </c>
      <c r="Z361" s="55" t="s">
        <v>25</v>
      </c>
      <c r="AA361" s="55" t="s">
        <v>26</v>
      </c>
      <c r="AB361" s="55" t="s">
        <v>27</v>
      </c>
      <c r="AC361" s="55" t="s">
        <v>28</v>
      </c>
      <c r="AD361" s="55" t="s">
        <v>29</v>
      </c>
      <c r="AE361" s="55" t="s">
        <v>30</v>
      </c>
      <c r="AF361" s="55" t="s">
        <v>31</v>
      </c>
      <c r="AG361" s="55" t="s">
        <v>32</v>
      </c>
      <c r="AH361" s="55" t="s">
        <v>33</v>
      </c>
      <c r="AI361" s="55" t="s">
        <v>34</v>
      </c>
      <c r="AJ361" s="55" t="s">
        <v>35</v>
      </c>
      <c r="AK361" s="55" t="s">
        <v>36</v>
      </c>
      <c r="AL361" s="55" t="s">
        <v>37</v>
      </c>
      <c r="AM361" s="55" t="s">
        <v>38</v>
      </c>
      <c r="AN361" s="55" t="s">
        <v>39</v>
      </c>
      <c r="AO361" s="55" t="s">
        <v>40</v>
      </c>
      <c r="AP361" s="55" t="s">
        <v>41</v>
      </c>
      <c r="AQ361" s="55" t="s">
        <v>42</v>
      </c>
      <c r="AR361" s="55" t="s">
        <v>43</v>
      </c>
      <c r="AS361" s="55" t="s">
        <v>44</v>
      </c>
      <c r="AT361" s="55" t="s">
        <v>45</v>
      </c>
      <c r="AU361" s="55" t="s">
        <v>46</v>
      </c>
      <c r="AV361" s="55" t="s">
        <v>47</v>
      </c>
      <c r="AW361" s="55" t="s">
        <v>48</v>
      </c>
      <c r="AX361" s="55" t="s">
        <v>49</v>
      </c>
      <c r="AY361" s="55" t="s">
        <v>50</v>
      </c>
      <c r="AZ361" s="55" t="s">
        <v>51</v>
      </c>
      <c r="BA361" s="55" t="s">
        <v>52</v>
      </c>
      <c r="BB361" s="55" t="s">
        <v>53</v>
      </c>
      <c r="BC361" s="55" t="s">
        <v>54</v>
      </c>
      <c r="BD361" s="55" t="s">
        <v>55</v>
      </c>
      <c r="BE361" s="55" t="s">
        <v>56</v>
      </c>
      <c r="BF361" s="55" t="s">
        <v>57</v>
      </c>
      <c r="BG361" s="55" t="str">
        <f t="shared" ref="BG361:BU361" si="260">BH2</f>
        <v>22/23</v>
      </c>
      <c r="BH361" s="55" t="str">
        <f t="shared" si="260"/>
        <v>23/24</v>
      </c>
      <c r="BI361" s="55" t="str">
        <f t="shared" si="260"/>
        <v>24/25</v>
      </c>
      <c r="BJ361" s="55" t="str">
        <f t="shared" si="260"/>
        <v>25/26</v>
      </c>
      <c r="BK361" s="55" t="str">
        <f t="shared" si="260"/>
        <v>26/27</v>
      </c>
      <c r="BL361" s="55" t="str">
        <f t="shared" si="260"/>
        <v>27/28</v>
      </c>
      <c r="BM361" s="55" t="str">
        <f t="shared" si="260"/>
        <v>28/29</v>
      </c>
      <c r="BN361" s="55" t="str">
        <f t="shared" si="260"/>
        <v>29/30</v>
      </c>
      <c r="BO361" s="55" t="str">
        <f t="shared" si="260"/>
        <v>30/31</v>
      </c>
      <c r="BP361" s="55" t="str">
        <f t="shared" si="260"/>
        <v>31/32</v>
      </c>
      <c r="BQ361" s="55" t="str">
        <f t="shared" si="260"/>
        <v>32/33</v>
      </c>
      <c r="BR361" s="55" t="str">
        <f t="shared" si="260"/>
        <v>33/34</v>
      </c>
      <c r="BS361" s="55" t="str">
        <f t="shared" si="260"/>
        <v>34/35</v>
      </c>
      <c r="BT361" s="55" t="str">
        <f t="shared" si="260"/>
        <v>34/35</v>
      </c>
      <c r="BU361" s="55">
        <f t="shared" si="260"/>
        <v>0</v>
      </c>
      <c r="BV361" s="67" t="str">
        <f t="shared" ref="BV361:CH361" si="261">BC361</f>
        <v xml:space="preserve">17/18 </v>
      </c>
      <c r="BW361" s="67" t="str">
        <f t="shared" si="261"/>
        <v xml:space="preserve">18/19 </v>
      </c>
      <c r="BX361" s="67" t="str">
        <f t="shared" si="261"/>
        <v>19/20</v>
      </c>
      <c r="BY361" s="67" t="str">
        <f t="shared" si="261"/>
        <v>20/21</v>
      </c>
      <c r="BZ361" s="67" t="str">
        <f t="shared" si="261"/>
        <v>22/23</v>
      </c>
      <c r="CA361" s="67" t="str">
        <f t="shared" si="261"/>
        <v>23/24</v>
      </c>
      <c r="CB361" s="67" t="str">
        <f t="shared" si="261"/>
        <v>24/25</v>
      </c>
      <c r="CC361" s="67" t="str">
        <f t="shared" si="261"/>
        <v>25/26</v>
      </c>
      <c r="CD361" s="67" t="str">
        <f t="shared" si="261"/>
        <v>26/27</v>
      </c>
      <c r="CE361" s="67" t="str">
        <f t="shared" si="261"/>
        <v>27/28</v>
      </c>
      <c r="CF361" s="67" t="str">
        <f t="shared" si="261"/>
        <v>28/29</v>
      </c>
      <c r="CG361" s="67" t="str">
        <f t="shared" si="261"/>
        <v>29/30</v>
      </c>
      <c r="CH361" s="67" t="str">
        <f t="shared" si="261"/>
        <v>30/31</v>
      </c>
      <c r="CI361"/>
    </row>
    <row r="362" spans="1:92">
      <c r="A362" s="4" t="s">
        <v>100</v>
      </c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>
        <v>0</v>
      </c>
      <c r="AT362" s="59">
        <v>43.88</v>
      </c>
      <c r="AU362" s="59">
        <v>80.584999999999994</v>
      </c>
      <c r="AV362" s="59">
        <v>141.733</v>
      </c>
      <c r="AW362" s="59">
        <v>201.369</v>
      </c>
      <c r="AX362" s="59">
        <v>236.4</v>
      </c>
      <c r="AY362" s="59">
        <v>160.321</v>
      </c>
      <c r="AZ362" s="59">
        <v>142.47</v>
      </c>
      <c r="BA362" s="59">
        <v>128.43899999999999</v>
      </c>
      <c r="BB362" s="59">
        <v>191.40799999999999</v>
      </c>
      <c r="BC362" s="103">
        <v>249.43100000000001</v>
      </c>
      <c r="BD362" s="59">
        <v>226.42500000000001</v>
      </c>
      <c r="BE362" s="59">
        <v>274.97199999999998</v>
      </c>
      <c r="BF362" s="59">
        <v>44.792999999999999</v>
      </c>
      <c r="BG362" s="59">
        <v>84.849000000000004</v>
      </c>
      <c r="BH362" s="59">
        <v>201.273</v>
      </c>
      <c r="BI362" s="59">
        <v>97.986000000000004</v>
      </c>
      <c r="BJ362" s="58">
        <f t="shared" ref="BJ362:BU373" si="262">BJ378+BJ394</f>
        <v>158.31757268315033</v>
      </c>
      <c r="BK362" s="58">
        <f t="shared" si="262"/>
        <v>128.20712970874035</v>
      </c>
      <c r="BL362" s="58">
        <f t="shared" si="262"/>
        <v>143.67335325952948</v>
      </c>
      <c r="BM362" s="58">
        <f t="shared" si="262"/>
        <v>154.07360155625577</v>
      </c>
      <c r="BN362" s="58">
        <f t="shared" si="262"/>
        <v>143.271094185658</v>
      </c>
      <c r="BO362" s="58">
        <f t="shared" si="262"/>
        <v>136.01199740776264</v>
      </c>
      <c r="BP362" s="58">
        <f t="shared" si="262"/>
        <v>134.78078441627656</v>
      </c>
      <c r="BQ362" s="58">
        <f t="shared" si="262"/>
        <v>139.25375957747045</v>
      </c>
      <c r="BR362" s="58">
        <f t="shared" si="262"/>
        <v>141.52616794497183</v>
      </c>
      <c r="BS362" s="58">
        <f t="shared" si="262"/>
        <v>138.98480031904526</v>
      </c>
      <c r="BT362" s="58">
        <f t="shared" si="262"/>
        <v>138.11150193310533</v>
      </c>
      <c r="BU362" s="58">
        <f t="shared" si="262"/>
        <v>138.5314028381739</v>
      </c>
      <c r="BV362" s="76">
        <f>BC362/BC315</f>
        <v>0.96677932729203653</v>
      </c>
      <c r="BW362" s="76">
        <f t="shared" ref="BV362:BX373" si="263">BD362/BD315</f>
        <v>0.96556503198294252</v>
      </c>
      <c r="BX362" s="76">
        <f t="shared" si="263"/>
        <v>0.96716577502488499</v>
      </c>
      <c r="BY362" s="76">
        <f t="shared" ref="BY362:BY373" si="264">(SUM(BT362:BX362)-MAX(BT362:BX362)-MIN(BT362:BX362))/3</f>
        <v>46.681815678474088</v>
      </c>
      <c r="BZ362" s="76">
        <f>(SUM(BU362:BY362)-MAX(BU362:BY362)-MIN(BU362:BY362))/3</f>
        <v>16.205253593597011</v>
      </c>
      <c r="CA362" s="117">
        <f t="shared" ref="CA362:CA373" si="265">(SUM(BV362:BZ362)-MAX(BV362:BZ362)-MIN(BV362:BZ362))/3</f>
        <v>6.0463995653046432</v>
      </c>
      <c r="CB362" s="117">
        <f t="shared" ref="CB362:CB373" si="266">(SUM(BW362:CA362)-MAX(BW362:CA362)-MIN(BW362:CA362))/3</f>
        <v>7.7396063113088465</v>
      </c>
      <c r="CC362" s="117">
        <f t="shared" ref="CC362:CN373" si="267">(SUM(BX362:CB362)-MAX(BX362:CB362)-MIN(BX362:CB362))/3</f>
        <v>9.9970864900701653</v>
      </c>
      <c r="CD362" s="117">
        <f t="shared" si="267"/>
        <v>11.313982131658671</v>
      </c>
      <c r="CE362" s="117">
        <f t="shared" si="267"/>
        <v>9.6835583110125594</v>
      </c>
      <c r="CF362" s="117">
        <f t="shared" si="267"/>
        <v>9.1400837041305234</v>
      </c>
      <c r="CG362" s="117">
        <f t="shared" si="267"/>
        <v>9.6069095017377517</v>
      </c>
      <c r="CH362" s="117">
        <f t="shared" si="267"/>
        <v>9.7625181009401611</v>
      </c>
      <c r="CI362" s="117">
        <f t="shared" si="267"/>
        <v>9.6843286378968259</v>
      </c>
      <c r="CJ362" s="117">
        <f t="shared" si="267"/>
        <v>9.6582654835490445</v>
      </c>
      <c r="CK362" s="117">
        <f t="shared" si="267"/>
        <v>9.649834541061205</v>
      </c>
      <c r="CL362" s="117">
        <f t="shared" si="267"/>
        <v>9.6641428875023578</v>
      </c>
      <c r="CM362" s="117">
        <f t="shared" si="267"/>
        <v>9.6689123363160761</v>
      </c>
      <c r="CN362" s="117">
        <f t="shared" si="267"/>
        <v>9.6637735691224922</v>
      </c>
    </row>
    <row r="363" spans="1:92">
      <c r="A363" s="4" t="s">
        <v>102</v>
      </c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>
        <v>4</v>
      </c>
      <c r="AT363" s="59">
        <v>51.679000000000002</v>
      </c>
      <c r="AU363" s="59">
        <v>90.316999999999993</v>
      </c>
      <c r="AV363" s="59">
        <v>159.10499999999999</v>
      </c>
      <c r="AW363" s="59">
        <v>219.703</v>
      </c>
      <c r="AX363" s="59">
        <v>238.83799999999999</v>
      </c>
      <c r="AY363" s="59">
        <v>120.693</v>
      </c>
      <c r="AZ363" s="59">
        <v>229.30199999999999</v>
      </c>
      <c r="BA363" s="59">
        <v>131.226</v>
      </c>
      <c r="BB363" s="59">
        <v>251.535</v>
      </c>
      <c r="BC363" s="103">
        <v>296.82400000000001</v>
      </c>
      <c r="BD363" s="59">
        <v>290.435</v>
      </c>
      <c r="BE363" s="59">
        <v>273.16199999999998</v>
      </c>
      <c r="BF363" s="59">
        <v>78.668000000000006</v>
      </c>
      <c r="BG363" s="59">
        <v>188.07900000000001</v>
      </c>
      <c r="BH363" s="59">
        <v>169.57499999999999</v>
      </c>
      <c r="BI363" s="59">
        <v>85.584000000000003</v>
      </c>
      <c r="BJ363" s="58">
        <f t="shared" si="262"/>
        <v>158.82459555131939</v>
      </c>
      <c r="BK363" s="58">
        <f t="shared" si="262"/>
        <v>147.38554237505474</v>
      </c>
      <c r="BL363" s="58">
        <f t="shared" si="262"/>
        <v>158.01483584869112</v>
      </c>
      <c r="BM363" s="58">
        <f t="shared" si="262"/>
        <v>141.65930071630925</v>
      </c>
      <c r="BN363" s="58">
        <f t="shared" si="262"/>
        <v>128.07267504750862</v>
      </c>
      <c r="BO363" s="58">
        <f t="shared" si="262"/>
        <v>136.66623715415619</v>
      </c>
      <c r="BP363" s="58">
        <f t="shared" si="262"/>
        <v>135.70965099128122</v>
      </c>
      <c r="BQ363" s="58">
        <f t="shared" si="262"/>
        <v>136.78811165525698</v>
      </c>
      <c r="BR363" s="58">
        <f t="shared" si="262"/>
        <v>135.82995165245399</v>
      </c>
      <c r="BS363" s="58">
        <f t="shared" si="262"/>
        <v>134.63030756573443</v>
      </c>
      <c r="BT363" s="58">
        <f t="shared" si="262"/>
        <v>135.92485180377656</v>
      </c>
      <c r="BU363" s="58">
        <f t="shared" si="262"/>
        <v>135.77657473370061</v>
      </c>
      <c r="BV363" s="76">
        <f t="shared" si="263"/>
        <v>0.96707077486470905</v>
      </c>
      <c r="BW363" s="76">
        <f t="shared" si="263"/>
        <v>0.96695953841902527</v>
      </c>
      <c r="BX363" s="76">
        <f t="shared" si="263"/>
        <v>0.96665770178070931</v>
      </c>
      <c r="BY363" s="76">
        <f t="shared" si="264"/>
        <v>45.903535015661454</v>
      </c>
      <c r="BZ363" s="76">
        <f t="shared" ref="BZ363:BZ373" si="268">(SUM(BU363:BY363)-MAX(BU363:BY363)-MIN(BU363:BY363))/3</f>
        <v>15.945855109648393</v>
      </c>
      <c r="CA363" s="117">
        <f t="shared" si="265"/>
        <v>5.9599618076440457</v>
      </c>
      <c r="CB363" s="117">
        <f t="shared" si="266"/>
        <v>7.624258818570488</v>
      </c>
      <c r="CC363" s="117">
        <f t="shared" si="267"/>
        <v>9.8433585786209754</v>
      </c>
      <c r="CD363" s="117">
        <f t="shared" si="267"/>
        <v>11.137824168946617</v>
      </c>
      <c r="CE363" s="117">
        <f t="shared" si="267"/>
        <v>9.5351471887126937</v>
      </c>
      <c r="CF363" s="117">
        <f t="shared" si="267"/>
        <v>9.0009215286347182</v>
      </c>
      <c r="CG363" s="117">
        <f t="shared" si="267"/>
        <v>9.4598090986561303</v>
      </c>
      <c r="CH363" s="117">
        <f t="shared" si="267"/>
        <v>9.6127716219966004</v>
      </c>
      <c r="CI363" s="117">
        <f t="shared" si="267"/>
        <v>9.535909303121807</v>
      </c>
      <c r="CJ363" s="117">
        <f t="shared" si="267"/>
        <v>9.5102885301635425</v>
      </c>
      <c r="CK363" s="117">
        <f t="shared" si="267"/>
        <v>9.5020023106471587</v>
      </c>
      <c r="CL363" s="117">
        <f t="shared" si="267"/>
        <v>9.5160667146441682</v>
      </c>
      <c r="CM363" s="117">
        <f t="shared" si="267"/>
        <v>9.5207548493098386</v>
      </c>
      <c r="CN363" s="117">
        <f t="shared" si="267"/>
        <v>9.5157033647058498</v>
      </c>
    </row>
    <row r="364" spans="1:92">
      <c r="A364" s="4" t="s">
        <v>103</v>
      </c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>
        <v>4</v>
      </c>
      <c r="AT364" s="59">
        <v>50.725999999999999</v>
      </c>
      <c r="AU364" s="59">
        <v>103</v>
      </c>
      <c r="AV364" s="59">
        <v>160.01900000000001</v>
      </c>
      <c r="AW364" s="59">
        <v>210.08</v>
      </c>
      <c r="AX364" s="59">
        <v>231.03899999999999</v>
      </c>
      <c r="AY364" s="59">
        <v>144.81299999999999</v>
      </c>
      <c r="AZ364" s="59">
        <v>250.04400000000001</v>
      </c>
      <c r="BA364" s="59">
        <v>190.44499999999999</v>
      </c>
      <c r="BB364" s="59">
        <v>261.774</v>
      </c>
      <c r="BC364" s="103">
        <v>282.714</v>
      </c>
      <c r="BD364" s="59">
        <v>265.42700000000002</v>
      </c>
      <c r="BE364" s="59">
        <v>176.76</v>
      </c>
      <c r="BF364" s="59">
        <v>133.137</v>
      </c>
      <c r="BG364" s="59">
        <v>170.38300000000001</v>
      </c>
      <c r="BH364" s="59">
        <v>186.72200000000001</v>
      </c>
      <c r="BI364" s="59">
        <v>63.536000000000001</v>
      </c>
      <c r="BJ364" s="58">
        <f t="shared" si="262"/>
        <v>173.79632365566184</v>
      </c>
      <c r="BK364" s="58">
        <f t="shared" si="262"/>
        <v>194.27436094765486</v>
      </c>
      <c r="BL364" s="58">
        <f t="shared" si="262"/>
        <v>180.27348876783697</v>
      </c>
      <c r="BM364" s="58">
        <f t="shared" si="262"/>
        <v>163.65869695968297</v>
      </c>
      <c r="BN364" s="58">
        <f t="shared" si="262"/>
        <v>151.19452984787043</v>
      </c>
      <c r="BO364" s="58">
        <f t="shared" si="262"/>
        <v>162.01070230653977</v>
      </c>
      <c r="BP364" s="58">
        <f t="shared" si="262"/>
        <v>163.30574886810294</v>
      </c>
      <c r="BQ364" s="58">
        <f t="shared" si="262"/>
        <v>160.69874491522376</v>
      </c>
      <c r="BR364" s="58">
        <f t="shared" si="262"/>
        <v>160.22704599898472</v>
      </c>
      <c r="BS364" s="58">
        <f t="shared" si="262"/>
        <v>159.50516776989812</v>
      </c>
      <c r="BT364" s="58">
        <f t="shared" si="262"/>
        <v>161.14948197174988</v>
      </c>
      <c r="BU364" s="58">
        <f t="shared" si="262"/>
        <v>160.97723790479188</v>
      </c>
      <c r="BV364" s="76">
        <f t="shared" si="263"/>
        <v>0.966758424949134</v>
      </c>
      <c r="BW364" s="76">
        <f t="shared" si="263"/>
        <v>0.96669713844506522</v>
      </c>
      <c r="BX364" s="76">
        <f t="shared" ref="BX364:BX373" si="269">(SUM(BS364:BW364)-MAX(BS364:BW364)-MIN(BS364:BW364))/3</f>
        <v>107.14972136654637</v>
      </c>
      <c r="BY364" s="76">
        <f t="shared" si="264"/>
        <v>89.697905898762471</v>
      </c>
      <c r="BZ364" s="76">
        <f t="shared" si="268"/>
        <v>65.93812856341934</v>
      </c>
      <c r="CA364" s="117">
        <f t="shared" si="265"/>
        <v>52.200930962376994</v>
      </c>
      <c r="CB364" s="117">
        <f t="shared" si="266"/>
        <v>69.278988474852952</v>
      </c>
      <c r="CC364" s="117">
        <f t="shared" si="267"/>
        <v>74.971674312344945</v>
      </c>
      <c r="CD364" s="117">
        <f t="shared" si="267"/>
        <v>70.062930450205741</v>
      </c>
      <c r="CE364" s="117">
        <f t="shared" si="267"/>
        <v>68.426682496159358</v>
      </c>
      <c r="CF364" s="117">
        <f t="shared" si="267"/>
        <v>69.256200473739355</v>
      </c>
      <c r="CG364" s="117">
        <f t="shared" si="267"/>
        <v>69.532706466266006</v>
      </c>
      <c r="CH364" s="117">
        <f t="shared" si="267"/>
        <v>69.617279130070372</v>
      </c>
      <c r="CI364" s="117">
        <f t="shared" si="267"/>
        <v>69.468728690025259</v>
      </c>
      <c r="CJ364" s="117">
        <f t="shared" si="267"/>
        <v>69.419211876676897</v>
      </c>
      <c r="CK364" s="117">
        <f t="shared" si="267"/>
        <v>69.473549010989402</v>
      </c>
      <c r="CL364" s="117">
        <f t="shared" si="267"/>
        <v>69.491661389093565</v>
      </c>
      <c r="CM364" s="117">
        <f t="shared" si="267"/>
        <v>69.477979696702747</v>
      </c>
      <c r="CN364" s="117">
        <f t="shared" si="267"/>
        <v>69.473419132572459</v>
      </c>
    </row>
    <row r="365" spans="1:92">
      <c r="A365" s="4" t="s">
        <v>104</v>
      </c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>
        <v>0</v>
      </c>
      <c r="AT365" s="59">
        <v>71.888000000000005</v>
      </c>
      <c r="AU365" s="59">
        <v>125.872</v>
      </c>
      <c r="AV365" s="59">
        <v>165.09800000000001</v>
      </c>
      <c r="AW365" s="59">
        <v>222.315</v>
      </c>
      <c r="AX365" s="59">
        <v>246.37100000000001</v>
      </c>
      <c r="AY365" s="59">
        <v>190.96899999999999</v>
      </c>
      <c r="AZ365" s="59">
        <v>275.06700000000001</v>
      </c>
      <c r="BA365" s="59">
        <v>176.76499999999999</v>
      </c>
      <c r="BB365" s="59">
        <v>248.648</v>
      </c>
      <c r="BC365" s="59">
        <v>272.98500000000001</v>
      </c>
      <c r="BD365" s="59">
        <v>260.05099999999999</v>
      </c>
      <c r="BE365" s="59">
        <v>135.786</v>
      </c>
      <c r="BF365" s="59">
        <v>169.827</v>
      </c>
      <c r="BG365" s="59">
        <v>218.22</v>
      </c>
      <c r="BH365" s="59">
        <v>120.065</v>
      </c>
      <c r="BI365" s="59">
        <v>86.328000000000003</v>
      </c>
      <c r="BJ365" s="58">
        <f t="shared" si="262"/>
        <v>180.52558348174398</v>
      </c>
      <c r="BK365" s="58">
        <f t="shared" si="262"/>
        <v>202.97163062306126</v>
      </c>
      <c r="BL365" s="58">
        <f t="shared" si="262"/>
        <v>177.54163474880497</v>
      </c>
      <c r="BM365" s="58">
        <f t="shared" si="262"/>
        <v>135.50784590906829</v>
      </c>
      <c r="BN365" s="58">
        <f t="shared" si="262"/>
        <v>145.94737869352946</v>
      </c>
      <c r="BO365" s="58">
        <f t="shared" si="262"/>
        <v>154.88237541166785</v>
      </c>
      <c r="BP365" s="58">
        <f t="shared" si="262"/>
        <v>154.28957155010011</v>
      </c>
      <c r="BQ365" s="58">
        <f t="shared" si="262"/>
        <v>149.18424321186203</v>
      </c>
      <c r="BR365" s="58">
        <f t="shared" si="262"/>
        <v>148.03088955272707</v>
      </c>
      <c r="BS365" s="58">
        <f t="shared" si="262"/>
        <v>150.48975343767592</v>
      </c>
      <c r="BT365" s="58">
        <f t="shared" si="262"/>
        <v>151.37536663280659</v>
      </c>
      <c r="BU365" s="58">
        <f t="shared" si="262"/>
        <v>150.67396487703434</v>
      </c>
      <c r="BV365" s="76">
        <f t="shared" si="263"/>
        <v>0.96654439621292054</v>
      </c>
      <c r="BW365" s="76">
        <f t="shared" si="263"/>
        <v>0.96661016823152457</v>
      </c>
      <c r="BX365" s="76">
        <f t="shared" si="269"/>
        <v>100.7101094943139</v>
      </c>
      <c r="BY365" s="76">
        <f t="shared" si="264"/>
        <v>84.116894846526577</v>
      </c>
      <c r="BZ365" s="76">
        <f t="shared" si="268"/>
        <v>61.931204836357331</v>
      </c>
      <c r="CA365" s="117">
        <f t="shared" si="265"/>
        <v>49.004903283705147</v>
      </c>
      <c r="CB365" s="117">
        <f t="shared" si="266"/>
        <v>65.017667655529692</v>
      </c>
      <c r="CC365" s="117">
        <f t="shared" si="267"/>
        <v>70.355255779471193</v>
      </c>
      <c r="CD365" s="117">
        <f t="shared" si="267"/>
        <v>65.768042757119403</v>
      </c>
      <c r="CE365" s="117">
        <f t="shared" si="267"/>
        <v>64.238971749668821</v>
      </c>
      <c r="CF365" s="117">
        <f t="shared" si="267"/>
        <v>65.008227387439305</v>
      </c>
      <c r="CG365" s="117">
        <f t="shared" si="267"/>
        <v>65.2646459333628</v>
      </c>
      <c r="CH365" s="117">
        <f t="shared" si="267"/>
        <v>65.346972025973841</v>
      </c>
      <c r="CI365" s="117">
        <f t="shared" si="267"/>
        <v>65.206615115591973</v>
      </c>
      <c r="CJ365" s="117">
        <f t="shared" si="267"/>
        <v>65.159829478798017</v>
      </c>
      <c r="CK365" s="117">
        <f t="shared" si="267"/>
        <v>65.210363509250911</v>
      </c>
      <c r="CL365" s="117">
        <f t="shared" si="267"/>
        <v>65.227208186068538</v>
      </c>
      <c r="CM365" s="117">
        <f t="shared" si="267"/>
        <v>65.214728936970459</v>
      </c>
      <c r="CN365" s="117">
        <f t="shared" si="267"/>
        <v>65.210569187271105</v>
      </c>
    </row>
    <row r="366" spans="1:92">
      <c r="A366" s="4" t="s">
        <v>105</v>
      </c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>
        <v>19</v>
      </c>
      <c r="AT366" s="59">
        <v>91.594999999999999</v>
      </c>
      <c r="AU366" s="59">
        <v>123.928</v>
      </c>
      <c r="AV366" s="59">
        <v>164.38200000000001</v>
      </c>
      <c r="AW366" s="59">
        <v>223.80799999999999</v>
      </c>
      <c r="AX366" s="59">
        <v>233.85900000000001</v>
      </c>
      <c r="AY366" s="59">
        <v>193.32400000000001</v>
      </c>
      <c r="AZ366" s="59">
        <v>278.32400000000001</v>
      </c>
      <c r="BA366" s="59">
        <v>208.49299999999999</v>
      </c>
      <c r="BB366" s="59">
        <v>285.38600000000002</v>
      </c>
      <c r="BC366" s="59">
        <v>169.88300000000001</v>
      </c>
      <c r="BD366" s="59">
        <v>134.85</v>
      </c>
      <c r="BE366" s="59">
        <v>203.048</v>
      </c>
      <c r="BF366" s="59">
        <v>106.755</v>
      </c>
      <c r="BG366" s="59">
        <v>182.50899999999999</v>
      </c>
      <c r="BH366" s="59">
        <v>114.334</v>
      </c>
      <c r="BI366" s="59">
        <v>92.156999999999996</v>
      </c>
      <c r="BJ366" s="58">
        <f t="shared" si="262"/>
        <v>133.81828471745075</v>
      </c>
      <c r="BK366" s="58">
        <f t="shared" si="262"/>
        <v>133.55059706100582</v>
      </c>
      <c r="BL366" s="58">
        <f t="shared" si="262"/>
        <v>140.1363814568432</v>
      </c>
      <c r="BM366" s="58">
        <f t="shared" si="262"/>
        <v>114.18129513797541</v>
      </c>
      <c r="BN366" s="58">
        <f t="shared" si="262"/>
        <v>121.09629603177267</v>
      </c>
      <c r="BO366" s="58">
        <f t="shared" si="262"/>
        <v>119.12582036780738</v>
      </c>
      <c r="BP366" s="58">
        <f t="shared" si="262"/>
        <v>119.23391858994333</v>
      </c>
      <c r="BQ366" s="58">
        <f t="shared" si="262"/>
        <v>119.55907420144393</v>
      </c>
      <c r="BR366" s="58">
        <f t="shared" si="262"/>
        <v>118.6879214459652</v>
      </c>
      <c r="BS366" s="58">
        <f t="shared" si="262"/>
        <v>119.55670050506927</v>
      </c>
      <c r="BT366" s="58">
        <f t="shared" si="262"/>
        <v>119.23268702204582</v>
      </c>
      <c r="BU366" s="58">
        <f t="shared" si="262"/>
        <v>119.2540603528935</v>
      </c>
      <c r="BV366" s="76">
        <f t="shared" si="263"/>
        <v>0.96421983460754768</v>
      </c>
      <c r="BW366" s="76">
        <f t="shared" si="263"/>
        <v>0.96294603646127153</v>
      </c>
      <c r="BX366" s="76">
        <f t="shared" si="269"/>
        <v>79.816989069848958</v>
      </c>
      <c r="BY366" s="76">
        <f t="shared" si="264"/>
        <v>66.671298642167457</v>
      </c>
      <c r="BZ366" s="76">
        <f t="shared" si="268"/>
        <v>49.150835848874657</v>
      </c>
      <c r="CA366" s="117">
        <f t="shared" si="265"/>
        <v>38.928784775216563</v>
      </c>
      <c r="CB366" s="117">
        <f t="shared" si="266"/>
        <v>51.583639755419568</v>
      </c>
      <c r="CC366" s="117">
        <f t="shared" si="267"/>
        <v>55.801924748820568</v>
      </c>
      <c r="CD366" s="117">
        <f t="shared" si="267"/>
        <v>52.178800117704917</v>
      </c>
      <c r="CE366" s="117">
        <f t="shared" si="267"/>
        <v>50.971091907333054</v>
      </c>
      <c r="CF366" s="117">
        <f t="shared" si="267"/>
        <v>51.577843926819185</v>
      </c>
      <c r="CG366" s="117">
        <f t="shared" si="267"/>
        <v>51.780094599981226</v>
      </c>
      <c r="CH366" s="117">
        <f t="shared" si="267"/>
        <v>51.845579548168438</v>
      </c>
      <c r="CI366" s="117">
        <f t="shared" si="267"/>
        <v>51.734506024989599</v>
      </c>
      <c r="CJ366" s="117">
        <f t="shared" si="267"/>
        <v>51.697481517263334</v>
      </c>
      <c r="CK366" s="117">
        <f t="shared" si="267"/>
        <v>51.737360714078051</v>
      </c>
      <c r="CL366" s="117">
        <f t="shared" si="267"/>
        <v>51.750653779682949</v>
      </c>
      <c r="CM366" s="117">
        <f t="shared" si="267"/>
        <v>51.740840172916869</v>
      </c>
      <c r="CN366" s="117">
        <f t="shared" si="267"/>
        <v>51.737568970661499</v>
      </c>
    </row>
    <row r="367" spans="1:92">
      <c r="A367" s="4" t="s">
        <v>106</v>
      </c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>
        <v>26.533000000000001</v>
      </c>
      <c r="AT367" s="59">
        <v>83.924000000000007</v>
      </c>
      <c r="AU367" s="59">
        <v>137.501</v>
      </c>
      <c r="AV367" s="59">
        <v>157.83500000000001</v>
      </c>
      <c r="AW367" s="59">
        <v>208.434</v>
      </c>
      <c r="AX367" s="59">
        <v>133.08099999999999</v>
      </c>
      <c r="AY367" s="59">
        <v>224.57</v>
      </c>
      <c r="AZ367" s="59">
        <v>295.40100000000001</v>
      </c>
      <c r="BA367" s="59">
        <v>182.87100000000001</v>
      </c>
      <c r="BB367" s="59">
        <v>292.54000000000002</v>
      </c>
      <c r="BC367" s="59">
        <v>213.971</v>
      </c>
      <c r="BD367" s="59">
        <v>174.08500000000001</v>
      </c>
      <c r="BE367" s="59">
        <v>208.48</v>
      </c>
      <c r="BF367" s="59">
        <v>105.941</v>
      </c>
      <c r="BG367" s="59">
        <v>170.614</v>
      </c>
      <c r="BH367" s="59">
        <v>113.96299999999999</v>
      </c>
      <c r="BI367" s="59">
        <v>89.43</v>
      </c>
      <c r="BJ367" s="58">
        <f t="shared" si="262"/>
        <v>145.446978181568</v>
      </c>
      <c r="BK367" s="58">
        <f t="shared" si="262"/>
        <v>131.83247001231953</v>
      </c>
      <c r="BL367" s="58">
        <f t="shared" si="262"/>
        <v>118.88870474614562</v>
      </c>
      <c r="BM367" s="58">
        <f t="shared" si="262"/>
        <v>93.133740516786048</v>
      </c>
      <c r="BN367" s="58">
        <f t="shared" si="262"/>
        <v>100.89319689619737</v>
      </c>
      <c r="BO367" s="58">
        <f t="shared" si="262"/>
        <v>107.97198960107373</v>
      </c>
      <c r="BP367" s="58">
        <f t="shared" si="262"/>
        <v>103.82274713715888</v>
      </c>
      <c r="BQ367" s="58">
        <f t="shared" si="262"/>
        <v>101.56247491078217</v>
      </c>
      <c r="BR367" s="58">
        <f t="shared" si="262"/>
        <v>101.52814019274773</v>
      </c>
      <c r="BS367" s="58">
        <f t="shared" si="262"/>
        <v>103.17276566623221</v>
      </c>
      <c r="BT367" s="58">
        <f t="shared" si="262"/>
        <v>103.61162350159894</v>
      </c>
      <c r="BU367" s="58">
        <f t="shared" si="262"/>
        <v>102.73955028170398</v>
      </c>
      <c r="BV367" s="76">
        <f t="shared" si="263"/>
        <v>0.96541191227096557</v>
      </c>
      <c r="BW367" s="76">
        <f t="shared" si="263"/>
        <v>0.96482866026348024</v>
      </c>
      <c r="BX367" s="76">
        <f t="shared" si="269"/>
        <v>68.959242620069048</v>
      </c>
      <c r="BY367" s="76">
        <f t="shared" si="264"/>
        <v>57.554734938014654</v>
      </c>
      <c r="BZ367" s="76">
        <f t="shared" si="268"/>
        <v>42.493129823451554</v>
      </c>
      <c r="CA367" s="117">
        <f t="shared" si="265"/>
        <v>33.671092224579063</v>
      </c>
      <c r="CB367" s="117">
        <f t="shared" si="266"/>
        <v>44.572985662015093</v>
      </c>
      <c r="CC367" s="117">
        <f t="shared" si="267"/>
        <v>48.206950141160441</v>
      </c>
      <c r="CD367" s="117">
        <f t="shared" si="267"/>
        <v>45.09102187554236</v>
      </c>
      <c r="CE367" s="117">
        <f t="shared" si="267"/>
        <v>44.052379120336333</v>
      </c>
      <c r="CF367" s="117">
        <f t="shared" si="267"/>
        <v>44.572128885964595</v>
      </c>
      <c r="CG367" s="117">
        <f t="shared" si="267"/>
        <v>44.745378807840687</v>
      </c>
      <c r="CH367" s="117">
        <f t="shared" si="267"/>
        <v>44.80284318978255</v>
      </c>
      <c r="CI367" s="117">
        <f t="shared" si="267"/>
        <v>44.706783627862613</v>
      </c>
      <c r="CJ367" s="117">
        <f t="shared" si="267"/>
        <v>44.674763773889303</v>
      </c>
      <c r="CK367" s="117">
        <f t="shared" si="267"/>
        <v>44.708975403197542</v>
      </c>
      <c r="CL367" s="117">
        <f t="shared" si="267"/>
        <v>44.720379279633619</v>
      </c>
      <c r="CM367" s="117">
        <f t="shared" si="267"/>
        <v>44.712046103564596</v>
      </c>
      <c r="CN367" s="117">
        <f t="shared" si="267"/>
        <v>44.709268378208243</v>
      </c>
    </row>
    <row r="368" spans="1:92">
      <c r="A368" s="4" t="s">
        <v>107</v>
      </c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>
        <v>25</v>
      </c>
      <c r="AT368" s="59">
        <v>97.429000000000002</v>
      </c>
      <c r="AU368" s="59">
        <v>130.614</v>
      </c>
      <c r="AV368" s="59">
        <v>180.59299999999999</v>
      </c>
      <c r="AW368" s="59">
        <v>234.989</v>
      </c>
      <c r="AX368" s="59">
        <v>138.00800000000001</v>
      </c>
      <c r="AY368" s="59">
        <v>245.43799999999999</v>
      </c>
      <c r="AZ368" s="59">
        <v>308.89699999999999</v>
      </c>
      <c r="BA368" s="59">
        <v>199.68</v>
      </c>
      <c r="BB368" s="59">
        <v>294.16800000000001</v>
      </c>
      <c r="BC368" s="59">
        <v>293.096</v>
      </c>
      <c r="BD368" s="59">
        <v>132.44999999999999</v>
      </c>
      <c r="BE368" s="59">
        <v>172</v>
      </c>
      <c r="BF368" s="59">
        <v>12.289</v>
      </c>
      <c r="BG368" s="59">
        <v>147.626</v>
      </c>
      <c r="BH368" s="59">
        <v>200.35599999999999</v>
      </c>
      <c r="BI368" s="59">
        <v>57.829000000000001</v>
      </c>
      <c r="BJ368" s="58">
        <f t="shared" si="262"/>
        <v>135.08620545332113</v>
      </c>
      <c r="BK368" s="58">
        <f t="shared" si="262"/>
        <v>155.84933492980855</v>
      </c>
      <c r="BL368" s="58">
        <f t="shared" si="262"/>
        <v>161.34658179277724</v>
      </c>
      <c r="BM368" s="58">
        <f t="shared" si="262"/>
        <v>135.27206818267237</v>
      </c>
      <c r="BN368" s="58">
        <f t="shared" si="262"/>
        <v>121.71927706185951</v>
      </c>
      <c r="BO368" s="58">
        <f t="shared" si="262"/>
        <v>132.88695725636632</v>
      </c>
      <c r="BP368" s="58">
        <f t="shared" si="262"/>
        <v>135.47976828151627</v>
      </c>
      <c r="BQ368" s="58">
        <f t="shared" si="262"/>
        <v>134.35199115445985</v>
      </c>
      <c r="BR368" s="58">
        <f t="shared" si="262"/>
        <v>131.98732093001325</v>
      </c>
      <c r="BS368" s="58">
        <f t="shared" si="262"/>
        <v>131.30004332838993</v>
      </c>
      <c r="BT368" s="58">
        <f t="shared" si="262"/>
        <v>133.20121619014913</v>
      </c>
      <c r="BU368" s="58">
        <f t="shared" si="262"/>
        <v>133.26406797690569</v>
      </c>
      <c r="BV368" s="76">
        <f t="shared" si="263"/>
        <v>0.96676792965026337</v>
      </c>
      <c r="BW368" s="76">
        <f t="shared" si="263"/>
        <v>0.96282457619726092</v>
      </c>
      <c r="BX368" s="76">
        <f t="shared" si="269"/>
        <v>88.489342482729782</v>
      </c>
      <c r="BY368" s="76">
        <f t="shared" si="264"/>
        <v>74.219108867509732</v>
      </c>
      <c r="BZ368" s="76">
        <f t="shared" si="268"/>
        <v>54.558406426629944</v>
      </c>
      <c r="CA368" s="117">
        <f t="shared" si="265"/>
        <v>43.24809440792999</v>
      </c>
      <c r="CB368" s="117">
        <f t="shared" si="266"/>
        <v>57.341869900689893</v>
      </c>
      <c r="CC368" s="117">
        <f t="shared" si="267"/>
        <v>62.039795064943185</v>
      </c>
      <c r="CD368" s="117">
        <f t="shared" si="267"/>
        <v>57.980023797421005</v>
      </c>
      <c r="CE368" s="117">
        <f t="shared" si="267"/>
        <v>56.626766708246947</v>
      </c>
      <c r="CF368" s="117">
        <f t="shared" si="267"/>
        <v>57.316220135452618</v>
      </c>
      <c r="CG368" s="117">
        <f t="shared" si="267"/>
        <v>57.546037944521167</v>
      </c>
      <c r="CH368" s="117">
        <f t="shared" si="267"/>
        <v>57.614093959131601</v>
      </c>
      <c r="CI368" s="117">
        <f t="shared" si="267"/>
        <v>57.492117346368467</v>
      </c>
      <c r="CJ368" s="117">
        <f t="shared" si="267"/>
        <v>57.451458475447424</v>
      </c>
      <c r="CK368" s="117">
        <f t="shared" si="267"/>
        <v>57.49653792211236</v>
      </c>
      <c r="CL368" s="117">
        <f t="shared" si="267"/>
        <v>57.511564404333996</v>
      </c>
      <c r="CM368" s="117">
        <f t="shared" si="267"/>
        <v>57.50007322427161</v>
      </c>
      <c r="CN368" s="117">
        <f t="shared" si="267"/>
        <v>57.496242830917481</v>
      </c>
    </row>
    <row r="369" spans="1:95">
      <c r="A369" s="4" t="s">
        <v>108</v>
      </c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>
        <v>23</v>
      </c>
      <c r="AT369" s="59">
        <v>79.53</v>
      </c>
      <c r="AU369" s="59">
        <v>131.458</v>
      </c>
      <c r="AV369" s="59">
        <v>177.57900000000001</v>
      </c>
      <c r="AW369" s="59">
        <v>209.9</v>
      </c>
      <c r="AX369" s="59">
        <v>153.24799999999999</v>
      </c>
      <c r="AY369" s="59">
        <v>218.04599999999999</v>
      </c>
      <c r="AZ369" s="59">
        <v>243.45500000000001</v>
      </c>
      <c r="BA369" s="59">
        <v>182.761</v>
      </c>
      <c r="BB369" s="59">
        <v>280.90800000000002</v>
      </c>
      <c r="BC369" s="59">
        <v>302.61799999999999</v>
      </c>
      <c r="BD369" s="59">
        <v>259.63600000000002</v>
      </c>
      <c r="BE369" s="59">
        <v>163.012</v>
      </c>
      <c r="BF369" s="59">
        <v>28.315999999999999</v>
      </c>
      <c r="BG369" s="59">
        <v>99.923000000000002</v>
      </c>
      <c r="BH369" s="59">
        <v>164.63900000000001</v>
      </c>
      <c r="BI369" s="59">
        <v>31.181000000000001</v>
      </c>
      <c r="BJ369" s="58">
        <f t="shared" si="262"/>
        <v>123.36813592982719</v>
      </c>
      <c r="BK369" s="58">
        <f t="shared" si="262"/>
        <v>128.4706517521509</v>
      </c>
      <c r="BL369" s="58">
        <f t="shared" si="262"/>
        <v>139.00573092015151</v>
      </c>
      <c r="BM369" s="58">
        <f t="shared" si="262"/>
        <v>148.68486994155234</v>
      </c>
      <c r="BN369" s="58">
        <f t="shared" si="262"/>
        <v>131.47736518702229</v>
      </c>
      <c r="BO369" s="58">
        <f t="shared" si="262"/>
        <v>126.17914365184423</v>
      </c>
      <c r="BP369" s="58">
        <f t="shared" si="262"/>
        <v>129.53017253011521</v>
      </c>
      <c r="BQ369" s="58">
        <f t="shared" si="262"/>
        <v>132.34071657690626</v>
      </c>
      <c r="BR369" s="58">
        <f t="shared" si="262"/>
        <v>133.68231408004647</v>
      </c>
      <c r="BS369" s="58">
        <f t="shared" si="262"/>
        <v>130.65523001455355</v>
      </c>
      <c r="BT369" s="58">
        <f t="shared" si="262"/>
        <v>130.47751537069317</v>
      </c>
      <c r="BU369" s="58">
        <f t="shared" si="262"/>
        <v>131.33718971446294</v>
      </c>
      <c r="BV369" s="76">
        <f t="shared" si="263"/>
        <v>0.96695733306918796</v>
      </c>
      <c r="BW369" s="76">
        <f t="shared" si="263"/>
        <v>0.96658377138772655</v>
      </c>
      <c r="BX369" s="76">
        <f t="shared" si="269"/>
        <v>87.366567572771984</v>
      </c>
      <c r="BY369" s="76">
        <f t="shared" si="264"/>
        <v>72.937013425511438</v>
      </c>
      <c r="BZ369" s="76">
        <f t="shared" si="268"/>
        <v>53.75684611045088</v>
      </c>
      <c r="CA369" s="117">
        <f t="shared" si="265"/>
        <v>42.553605623010505</v>
      </c>
      <c r="CB369" s="117">
        <f t="shared" si="266"/>
        <v>56.415821719657608</v>
      </c>
      <c r="CC369" s="117">
        <f t="shared" si="267"/>
        <v>61.036560418539985</v>
      </c>
      <c r="CD369" s="117">
        <f t="shared" si="267"/>
        <v>57.069742749549498</v>
      </c>
      <c r="CE369" s="117">
        <f t="shared" si="267"/>
        <v>55.747470193219321</v>
      </c>
      <c r="CF369" s="117">
        <f t="shared" si="267"/>
        <v>56.411011554142142</v>
      </c>
      <c r="CG369" s="117">
        <f t="shared" si="267"/>
        <v>56.63219200778309</v>
      </c>
      <c r="CH369" s="117">
        <f t="shared" si="267"/>
        <v>56.704315437158243</v>
      </c>
      <c r="CI369" s="117">
        <f t="shared" si="267"/>
        <v>56.582506333027823</v>
      </c>
      <c r="CJ369" s="117">
        <f t="shared" si="267"/>
        <v>56.541903298317685</v>
      </c>
      <c r="CK369" s="117">
        <f t="shared" si="267"/>
        <v>56.585533879709523</v>
      </c>
      <c r="CL369" s="117">
        <f t="shared" si="267"/>
        <v>56.600077406840143</v>
      </c>
      <c r="CM369" s="117">
        <f t="shared" si="267"/>
        <v>56.589372539859149</v>
      </c>
      <c r="CN369" s="117">
        <f t="shared" si="267"/>
        <v>56.5858042508655</v>
      </c>
    </row>
    <row r="370" spans="1:95">
      <c r="A370" s="4" t="s">
        <v>109</v>
      </c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>
        <v>66.325000000000003</v>
      </c>
      <c r="AT370" s="59">
        <v>13.151999999999999</v>
      </c>
      <c r="AU370" s="59">
        <v>113.182</v>
      </c>
      <c r="AV370" s="59">
        <v>153.358</v>
      </c>
      <c r="AW370" s="59">
        <v>219.34200000000001</v>
      </c>
      <c r="AX370" s="59">
        <v>135.29900000000001</v>
      </c>
      <c r="AY370" s="59">
        <v>109.727</v>
      </c>
      <c r="AZ370" s="59">
        <v>167.07599999999999</v>
      </c>
      <c r="BA370" s="59">
        <v>79.804000000000002</v>
      </c>
      <c r="BB370" s="59">
        <v>153.07599999999999</v>
      </c>
      <c r="BC370" s="59">
        <v>265.72800000000001</v>
      </c>
      <c r="BD370" s="59">
        <v>106.56399999999999</v>
      </c>
      <c r="BE370" s="59">
        <v>164.256</v>
      </c>
      <c r="BF370" s="59">
        <v>9.0579999999999998</v>
      </c>
      <c r="BG370" s="59">
        <v>142.52799999999999</v>
      </c>
      <c r="BH370" s="59">
        <v>98.822000000000003</v>
      </c>
      <c r="BI370" s="59">
        <v>21.628</v>
      </c>
      <c r="BJ370" s="58">
        <f t="shared" si="262"/>
        <v>137.26219414640596</v>
      </c>
      <c r="BK370" s="58">
        <f t="shared" si="262"/>
        <v>108.07309031686168</v>
      </c>
      <c r="BL370" s="58">
        <f t="shared" si="262"/>
        <v>112.23708090407033</v>
      </c>
      <c r="BM370" s="58">
        <f t="shared" si="262"/>
        <v>117.24259624762351</v>
      </c>
      <c r="BN370" s="58">
        <f t="shared" si="262"/>
        <v>116.68229641859131</v>
      </c>
      <c r="BO370" s="58">
        <f t="shared" si="262"/>
        <v>111.22370336507912</v>
      </c>
      <c r="BP370" s="58">
        <f t="shared" si="262"/>
        <v>108.54159752323505</v>
      </c>
      <c r="BQ370" s="58">
        <f t="shared" si="262"/>
        <v>110.90770442761234</v>
      </c>
      <c r="BR370" s="58">
        <f t="shared" si="262"/>
        <v>112.95381561205761</v>
      </c>
      <c r="BS370" s="58">
        <f t="shared" si="262"/>
        <v>112.07323722660561</v>
      </c>
      <c r="BT370" s="58">
        <f t="shared" si="262"/>
        <v>111.14001163091794</v>
      </c>
      <c r="BU370" s="58">
        <f t="shared" si="262"/>
        <v>111.1232732840857</v>
      </c>
      <c r="BV370" s="76">
        <f t="shared" si="263"/>
        <v>0.9665261465604098</v>
      </c>
      <c r="BW370" s="76">
        <f t="shared" si="263"/>
        <v>0.96083240163017991</v>
      </c>
      <c r="BX370" s="76">
        <f t="shared" si="269"/>
        <v>74.40993702052134</v>
      </c>
      <c r="BY370" s="76">
        <f t="shared" si="264"/>
        <v>62.166578817055807</v>
      </c>
      <c r="BZ370" s="76">
        <f t="shared" si="268"/>
        <v>45.847680661379194</v>
      </c>
      <c r="CA370" s="117">
        <f t="shared" si="265"/>
        <v>36.32692854166514</v>
      </c>
      <c r="CB370" s="117">
        <f t="shared" si="266"/>
        <v>48.113729340033387</v>
      </c>
      <c r="CC370" s="117">
        <f t="shared" si="267"/>
        <v>52.042662939489468</v>
      </c>
      <c r="CD370" s="117">
        <f t="shared" si="267"/>
        <v>48.668024313634021</v>
      </c>
      <c r="CE370" s="117">
        <f t="shared" si="267"/>
        <v>47.543144771682194</v>
      </c>
      <c r="CF370" s="117">
        <f t="shared" si="267"/>
        <v>48.108299475116532</v>
      </c>
      <c r="CG370" s="117">
        <f t="shared" si="267"/>
        <v>48.296684376261311</v>
      </c>
      <c r="CH370" s="117">
        <f t="shared" si="267"/>
        <v>48.357669388337285</v>
      </c>
      <c r="CI370" s="117">
        <f t="shared" si="267"/>
        <v>48.254217746571705</v>
      </c>
      <c r="CJ370" s="117">
        <f t="shared" si="267"/>
        <v>48.21973386598318</v>
      </c>
      <c r="CK370" s="117">
        <f t="shared" si="267"/>
        <v>48.256878662938732</v>
      </c>
      <c r="CL370" s="117">
        <f t="shared" si="267"/>
        <v>48.269260261923911</v>
      </c>
      <c r="CM370" s="117">
        <f t="shared" si="267"/>
        <v>48.260118890478111</v>
      </c>
      <c r="CN370" s="117">
        <f t="shared" si="267"/>
        <v>48.257071766662847</v>
      </c>
    </row>
    <row r="371" spans="1:95">
      <c r="A371" s="4" t="s">
        <v>110</v>
      </c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>
        <v>47.420900000000003</v>
      </c>
      <c r="AT371" s="59">
        <v>18.355</v>
      </c>
      <c r="AU371" s="59">
        <v>140.24700000000001</v>
      </c>
      <c r="AV371" s="59">
        <v>151.84800000000001</v>
      </c>
      <c r="AW371" s="59">
        <v>257.93299999999999</v>
      </c>
      <c r="AX371" s="59">
        <v>158.499</v>
      </c>
      <c r="AY371" s="59">
        <v>140.47200000000001</v>
      </c>
      <c r="AZ371" s="59">
        <v>134.435</v>
      </c>
      <c r="BA371" s="59">
        <v>102.682</v>
      </c>
      <c r="BB371" s="59">
        <v>189.76300000000001</v>
      </c>
      <c r="BC371" s="59">
        <v>244.12799999999999</v>
      </c>
      <c r="BD371" s="59">
        <v>83.486999999999995</v>
      </c>
      <c r="BE371" s="59">
        <v>105.06</v>
      </c>
      <c r="BF371" s="59">
        <v>28.073</v>
      </c>
      <c r="BG371" s="59">
        <v>189.21700000000001</v>
      </c>
      <c r="BH371" s="59">
        <v>60.607999999999997</v>
      </c>
      <c r="BI371" s="58">
        <f>BI387+BI403</f>
        <v>146.94193324499935</v>
      </c>
      <c r="BJ371" s="58">
        <f t="shared" si="262"/>
        <v>129.03463634964365</v>
      </c>
      <c r="BK371" s="58">
        <f t="shared" si="262"/>
        <v>144.73158163937933</v>
      </c>
      <c r="BL371" s="58">
        <f t="shared" si="262"/>
        <v>152.92320058377365</v>
      </c>
      <c r="BM371" s="58">
        <f t="shared" si="262"/>
        <v>128.76329101206071</v>
      </c>
      <c r="BN371" s="58">
        <f t="shared" si="262"/>
        <v>137.76801414922818</v>
      </c>
      <c r="BO371" s="58">
        <f t="shared" si="262"/>
        <v>129.73806337159886</v>
      </c>
      <c r="BP371" s="58">
        <f t="shared" si="262"/>
        <v>132.73056176122836</v>
      </c>
      <c r="BQ371" s="58">
        <f t="shared" si="262"/>
        <v>133.37553344642717</v>
      </c>
      <c r="BR371" s="58">
        <f t="shared" si="262"/>
        <v>132.5209824116682</v>
      </c>
      <c r="BS371" s="58">
        <f t="shared" si="262"/>
        <v>133.24195187913008</v>
      </c>
      <c r="BT371" s="58">
        <f t="shared" si="262"/>
        <v>132.32141857401055</v>
      </c>
      <c r="BU371" s="58">
        <f t="shared" si="262"/>
        <v>132.83808961449287</v>
      </c>
      <c r="BV371" s="76">
        <f t="shared" si="263"/>
        <v>0.96625424493576195</v>
      </c>
      <c r="BW371" s="76">
        <f t="shared" si="263"/>
        <v>0.95800199662638974</v>
      </c>
      <c r="BX371" s="76">
        <f t="shared" si="269"/>
        <v>88.708587477813069</v>
      </c>
      <c r="BY371" s="76">
        <f t="shared" si="264"/>
        <v>73.998753432253125</v>
      </c>
      <c r="BZ371" s="76">
        <f t="shared" si="268"/>
        <v>54.557865051667306</v>
      </c>
      <c r="CA371" s="117">
        <f t="shared" si="265"/>
        <v>43.174290909618726</v>
      </c>
      <c r="CB371" s="117">
        <f t="shared" si="266"/>
        <v>57.24363646451306</v>
      </c>
      <c r="CC371" s="117">
        <f t="shared" si="267"/>
        <v>61.93341831614449</v>
      </c>
      <c r="CD371" s="117">
        <f t="shared" si="267"/>
        <v>57.911639944108288</v>
      </c>
      <c r="CE371" s="117">
        <f t="shared" si="267"/>
        <v>56.571047153429554</v>
      </c>
      <c r="CF371" s="117">
        <f t="shared" si="267"/>
        <v>57.242107854016972</v>
      </c>
      <c r="CG371" s="117">
        <f t="shared" si="267"/>
        <v>57.465794754212773</v>
      </c>
      <c r="CH371" s="117">
        <f t="shared" si="267"/>
        <v>57.53984751744602</v>
      </c>
      <c r="CI371" s="117">
        <f t="shared" si="267"/>
        <v>57.415916708558576</v>
      </c>
      <c r="CJ371" s="117">
        <f t="shared" si="267"/>
        <v>57.37460643892944</v>
      </c>
      <c r="CK371" s="117">
        <f t="shared" si="267"/>
        <v>57.418772633900261</v>
      </c>
      <c r="CL371" s="117">
        <f t="shared" si="267"/>
        <v>57.43349469889052</v>
      </c>
      <c r="CM371" s="117">
        <f t="shared" si="267"/>
        <v>57.422728013783122</v>
      </c>
      <c r="CN371" s="117">
        <f t="shared" si="267"/>
        <v>57.419139118747317</v>
      </c>
    </row>
    <row r="372" spans="1:95">
      <c r="A372" s="4" t="s">
        <v>111</v>
      </c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>
        <v>38.747</v>
      </c>
      <c r="AT372" s="59">
        <v>47.673000000000002</v>
      </c>
      <c r="AU372" s="59">
        <v>112.508</v>
      </c>
      <c r="AV372" s="59">
        <v>140.363</v>
      </c>
      <c r="AW372" s="59">
        <v>240.00299999999999</v>
      </c>
      <c r="AX372" s="59">
        <v>113.745</v>
      </c>
      <c r="AY372" s="59">
        <v>132.589</v>
      </c>
      <c r="AZ372" s="59">
        <v>99.064999999999998</v>
      </c>
      <c r="BA372" s="59">
        <v>151.101</v>
      </c>
      <c r="BB372" s="59">
        <v>162.19999999999999</v>
      </c>
      <c r="BC372" s="59">
        <v>157.00700000000001</v>
      </c>
      <c r="BD372" s="59">
        <v>93.137</v>
      </c>
      <c r="BE372" s="59">
        <v>189.69200000000001</v>
      </c>
      <c r="BF372" s="59">
        <v>164.411</v>
      </c>
      <c r="BG372" s="59">
        <v>177.38499999999999</v>
      </c>
      <c r="BH372" s="59">
        <v>44.573999999999998</v>
      </c>
      <c r="BI372" s="58">
        <f>BI388+BI404</f>
        <v>141.52816967583391</v>
      </c>
      <c r="BJ372" s="58">
        <f t="shared" si="262"/>
        <v>143.26618092960348</v>
      </c>
      <c r="BK372" s="58">
        <f t="shared" si="262"/>
        <v>154.29433531744459</v>
      </c>
      <c r="BL372" s="58">
        <f t="shared" si="262"/>
        <v>152.97665607494559</v>
      </c>
      <c r="BM372" s="58">
        <f t="shared" si="262"/>
        <v>125.93223348973511</v>
      </c>
      <c r="BN372" s="58">
        <f t="shared" si="262"/>
        <v>141.59599039442827</v>
      </c>
      <c r="BO372" s="58">
        <f t="shared" si="262"/>
        <v>134.80050838682229</v>
      </c>
      <c r="BP372" s="58">
        <f t="shared" si="262"/>
        <v>136.03575994311188</v>
      </c>
      <c r="BQ372" s="58">
        <f t="shared" si="262"/>
        <v>135.3777529328907</v>
      </c>
      <c r="BR372" s="58">
        <f t="shared" si="262"/>
        <v>134.79299518308514</v>
      </c>
      <c r="BS372" s="58">
        <f t="shared" si="262"/>
        <v>136.53553210670356</v>
      </c>
      <c r="BT372" s="58">
        <f t="shared" si="262"/>
        <v>135.5085097105227</v>
      </c>
      <c r="BU372" s="58">
        <f t="shared" si="262"/>
        <v>135.65010997526281</v>
      </c>
      <c r="BV372" s="76">
        <f t="shared" si="263"/>
        <v>0.96404339843917897</v>
      </c>
      <c r="BW372" s="76">
        <f t="shared" si="263"/>
        <v>0.96009607455055257</v>
      </c>
      <c r="BX372" s="76">
        <f t="shared" si="269"/>
        <v>90.707554361408214</v>
      </c>
      <c r="BY372" s="76">
        <f t="shared" si="264"/>
        <v>75.726702490123373</v>
      </c>
      <c r="BZ372" s="76">
        <f t="shared" si="268"/>
        <v>55.799433416656917</v>
      </c>
      <c r="CA372" s="117">
        <f t="shared" si="265"/>
        <v>44.163393101739814</v>
      </c>
      <c r="CB372" s="117">
        <f t="shared" si="266"/>
        <v>58.563176336173377</v>
      </c>
      <c r="CC372" s="117">
        <f t="shared" si="267"/>
        <v>63.363104080984556</v>
      </c>
      <c r="CD372" s="117">
        <f t="shared" si="267"/>
        <v>59.241904611271615</v>
      </c>
      <c r="CE372" s="117">
        <f t="shared" si="267"/>
        <v>57.868171454700622</v>
      </c>
      <c r="CF372" s="117">
        <f t="shared" si="267"/>
        <v>58.557750800715212</v>
      </c>
      <c r="CG372" s="117">
        <f t="shared" si="267"/>
        <v>58.787610582720056</v>
      </c>
      <c r="CH372" s="117">
        <f t="shared" si="267"/>
        <v>58.862421998235625</v>
      </c>
      <c r="CI372" s="117">
        <f t="shared" si="267"/>
        <v>58.735927793890291</v>
      </c>
      <c r="CJ372" s="117">
        <f t="shared" si="267"/>
        <v>58.693763059108512</v>
      </c>
      <c r="CK372" s="117">
        <f t="shared" si="267"/>
        <v>58.739100478572958</v>
      </c>
      <c r="CL372" s="117">
        <f t="shared" si="267"/>
        <v>58.754212951727766</v>
      </c>
      <c r="CM372" s="117">
        <f t="shared" si="267"/>
        <v>58.743080408063669</v>
      </c>
      <c r="CN372" s="117">
        <f t="shared" si="267"/>
        <v>58.739369560175646</v>
      </c>
    </row>
    <row r="373" spans="1:95">
      <c r="A373" s="4" t="s">
        <v>112</v>
      </c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>
        <v>42.094999999999999</v>
      </c>
      <c r="AT373" s="59">
        <v>76.662999999999997</v>
      </c>
      <c r="AU373" s="59">
        <v>107.929</v>
      </c>
      <c r="AV373" s="59">
        <v>187.81299999999999</v>
      </c>
      <c r="AW373" s="59">
        <v>212.499</v>
      </c>
      <c r="AX373" s="59">
        <v>117.664</v>
      </c>
      <c r="AY373" s="59">
        <v>121.194</v>
      </c>
      <c r="AZ373" s="59">
        <v>96.673000000000002</v>
      </c>
      <c r="BA373" s="59">
        <v>146.05000000000001</v>
      </c>
      <c r="BB373" s="59">
        <v>172.221</v>
      </c>
      <c r="BC373" s="59">
        <v>177.93899999999999</v>
      </c>
      <c r="BD373" s="59">
        <v>198.83799999999999</v>
      </c>
      <c r="BE373" s="59">
        <v>173.828</v>
      </c>
      <c r="BF373" s="59">
        <v>126.45</v>
      </c>
      <c r="BG373" s="59">
        <v>173.267</v>
      </c>
      <c r="BH373" s="59">
        <v>100.428</v>
      </c>
      <c r="BI373" s="58">
        <f>BI389+BI405</f>
        <v>205.8340981386126</v>
      </c>
      <c r="BJ373" s="58">
        <f t="shared" si="262"/>
        <v>181.25330892030422</v>
      </c>
      <c r="BK373" s="58">
        <f t="shared" si="262"/>
        <v>170.35927531651839</v>
      </c>
      <c r="BL373" s="58">
        <f t="shared" si="262"/>
        <v>162.98235089643038</v>
      </c>
      <c r="BM373" s="58">
        <f t="shared" si="262"/>
        <v>141.89046033027813</v>
      </c>
      <c r="BN373" s="58">
        <f t="shared" si="262"/>
        <v>161.28188608633383</v>
      </c>
      <c r="BO373" s="58">
        <f t="shared" si="262"/>
        <v>150.5025017192815</v>
      </c>
      <c r="BP373" s="58">
        <f t="shared" si="262"/>
        <v>148.53971840793025</v>
      </c>
      <c r="BQ373" s="58">
        <f t="shared" si="262"/>
        <v>148.59989298966445</v>
      </c>
      <c r="BR373" s="58">
        <f t="shared" si="262"/>
        <v>150.23245499527906</v>
      </c>
      <c r="BS373" s="58">
        <f t="shared" si="262"/>
        <v>151.85451018096194</v>
      </c>
      <c r="BT373" s="58">
        <f t="shared" si="262"/>
        <v>149.94581565862313</v>
      </c>
      <c r="BU373" s="58">
        <f t="shared" si="262"/>
        <v>149.8344784464918</v>
      </c>
      <c r="BV373" s="76">
        <f t="shared" si="263"/>
        <v>0.96443379710679067</v>
      </c>
      <c r="BW373" s="76">
        <f t="shared" si="263"/>
        <v>0.96561738167620115</v>
      </c>
      <c r="BX373" s="76">
        <f t="shared" si="269"/>
        <v>100.24863716226372</v>
      </c>
      <c r="BY373" s="76">
        <f t="shared" si="264"/>
        <v>83.682910996810577</v>
      </c>
      <c r="BZ373" s="76">
        <f t="shared" si="268"/>
        <v>61.6323885135835</v>
      </c>
      <c r="CA373" s="117">
        <f t="shared" si="265"/>
        <v>48.760305630690091</v>
      </c>
      <c r="CB373" s="117">
        <f t="shared" si="266"/>
        <v>64.691868380361399</v>
      </c>
      <c r="CC373" s="117">
        <f t="shared" si="267"/>
        <v>70.00238929691848</v>
      </c>
      <c r="CD373" s="117">
        <f t="shared" si="267"/>
        <v>65.442215396954467</v>
      </c>
      <c r="CE373" s="117">
        <f t="shared" si="267"/>
        <v>63.922157430299784</v>
      </c>
      <c r="CF373" s="117">
        <f t="shared" si="267"/>
        <v>64.685413735871876</v>
      </c>
      <c r="CG373" s="117">
        <f t="shared" si="267"/>
        <v>64.939832504395909</v>
      </c>
      <c r="CH373" s="117">
        <f t="shared" si="267"/>
        <v>65.022487212407412</v>
      </c>
      <c r="CI373" s="117">
        <f t="shared" si="267"/>
        <v>64.882577817558385</v>
      </c>
      <c r="CJ373" s="117">
        <f t="shared" si="267"/>
        <v>64.835941352608714</v>
      </c>
      <c r="CK373" s="117">
        <f t="shared" si="267"/>
        <v>64.886117224854345</v>
      </c>
      <c r="CL373" s="117">
        <f t="shared" si="267"/>
        <v>64.90284251560287</v>
      </c>
      <c r="CM373" s="117">
        <f t="shared" si="267"/>
        <v>64.890512519338529</v>
      </c>
      <c r="CN373" s="117">
        <f t="shared" si="267"/>
        <v>64.886402520583758</v>
      </c>
    </row>
    <row r="374" spans="1:95" ht="15.75" thickBot="1">
      <c r="A374" s="4" t="s">
        <v>113</v>
      </c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>
        <f t="shared" ref="AS374:BU374" si="270">SUM(AS362:AS373)</f>
        <v>296.12090000000001</v>
      </c>
      <c r="AT374" s="59">
        <f t="shared" si="270"/>
        <v>726.49400000000003</v>
      </c>
      <c r="AU374" s="59">
        <f t="shared" si="270"/>
        <v>1397.1410000000001</v>
      </c>
      <c r="AV374" s="59">
        <f t="shared" si="270"/>
        <v>1939.7260000000001</v>
      </c>
      <c r="AW374" s="59">
        <f t="shared" si="270"/>
        <v>2660.3750000000005</v>
      </c>
      <c r="AX374" s="59">
        <f t="shared" si="270"/>
        <v>2136.0510000000004</v>
      </c>
      <c r="AY374" s="59">
        <f t="shared" si="270"/>
        <v>2002.1560000000002</v>
      </c>
      <c r="AZ374" s="59">
        <f t="shared" si="270"/>
        <v>2520.2089999999998</v>
      </c>
      <c r="BA374" s="59">
        <f t="shared" si="270"/>
        <v>1880.3169999999998</v>
      </c>
      <c r="BB374" s="59">
        <f t="shared" si="270"/>
        <v>2783.6269999999995</v>
      </c>
      <c r="BC374" s="59">
        <f t="shared" si="270"/>
        <v>2926.3240000000005</v>
      </c>
      <c r="BD374" s="59">
        <f t="shared" si="270"/>
        <v>2225.3850000000002</v>
      </c>
      <c r="BE374" s="59">
        <f t="shared" si="270"/>
        <v>2240.056</v>
      </c>
      <c r="BF374" s="59">
        <f t="shared" si="270"/>
        <v>1007.7180000000001</v>
      </c>
      <c r="BG374" s="59">
        <f t="shared" si="270"/>
        <v>1944.6000000000004</v>
      </c>
      <c r="BH374" s="59">
        <f t="shared" si="270"/>
        <v>1575.3590000000004</v>
      </c>
      <c r="BI374" s="58">
        <f t="shared" si="270"/>
        <v>1119.963201059446</v>
      </c>
      <c r="BJ374" s="58">
        <f t="shared" si="270"/>
        <v>1800</v>
      </c>
      <c r="BK374" s="58">
        <f t="shared" si="270"/>
        <v>1800</v>
      </c>
      <c r="BL374" s="58">
        <f t="shared" si="270"/>
        <v>1800.0000000000005</v>
      </c>
      <c r="BM374" s="58">
        <f t="shared" si="270"/>
        <v>1599.9999999999998</v>
      </c>
      <c r="BN374" s="58">
        <f t="shared" si="270"/>
        <v>1601</v>
      </c>
      <c r="BO374" s="58">
        <f t="shared" si="270"/>
        <v>1601.9999999999998</v>
      </c>
      <c r="BP374" s="58">
        <f t="shared" si="270"/>
        <v>1601.9999999999995</v>
      </c>
      <c r="BQ374" s="58">
        <f t="shared" si="270"/>
        <v>1602</v>
      </c>
      <c r="BR374" s="58">
        <f t="shared" si="270"/>
        <v>1602.0000000000005</v>
      </c>
      <c r="BS374" s="58">
        <f t="shared" si="270"/>
        <v>1602</v>
      </c>
      <c r="BT374" s="58">
        <f t="shared" si="270"/>
        <v>1602</v>
      </c>
      <c r="BU374" s="58">
        <f t="shared" si="270"/>
        <v>1601.9999999999998</v>
      </c>
      <c r="BV374" s="76">
        <f t="shared" ref="BV374:CJ374" si="271">AVERAGE(BV362:BV373)</f>
        <v>0.96598062666324214</v>
      </c>
      <c r="BW374" s="76">
        <f t="shared" si="271"/>
        <v>0.96396356465596833</v>
      </c>
      <c r="BX374" s="76">
        <f t="shared" si="271"/>
        <v>74.041709342091011</v>
      </c>
      <c r="BY374" s="76">
        <f t="shared" si="271"/>
        <v>69.446437754072562</v>
      </c>
      <c r="BZ374" s="76">
        <f t="shared" si="271"/>
        <v>48.151418996309665</v>
      </c>
      <c r="CA374" s="117">
        <f t="shared" si="271"/>
        <v>37.003224236123394</v>
      </c>
      <c r="CB374" s="117">
        <f t="shared" si="271"/>
        <v>49.015604068260444</v>
      </c>
      <c r="CC374" s="117">
        <f t="shared" si="271"/>
        <v>53.299515013959031</v>
      </c>
      <c r="CD374" s="117">
        <f t="shared" si="271"/>
        <v>50.155512692843047</v>
      </c>
      <c r="CE374" s="117">
        <f t="shared" si="271"/>
        <v>48.765549040400096</v>
      </c>
      <c r="CF374" s="117">
        <f t="shared" si="271"/>
        <v>49.239684121836916</v>
      </c>
      <c r="CG374" s="117">
        <f t="shared" si="271"/>
        <v>49.504808048144902</v>
      </c>
      <c r="CH374" s="117">
        <f t="shared" si="271"/>
        <v>49.590733260804022</v>
      </c>
      <c r="CI374" s="117">
        <f t="shared" si="271"/>
        <v>49.475011262121946</v>
      </c>
      <c r="CJ374" s="117">
        <f t="shared" si="271"/>
        <v>49.436437262561263</v>
      </c>
      <c r="CK374" s="117">
        <f>AVERAGE(CK362:CK373)</f>
        <v>49.472085524276046</v>
      </c>
      <c r="CL374" s="117">
        <f t="shared" ref="CL374:CN374" si="272">AVERAGE(CL362:CL373)</f>
        <v>49.486797039662036</v>
      </c>
      <c r="CM374" s="117">
        <f t="shared" si="272"/>
        <v>49.478428974297891</v>
      </c>
      <c r="CN374" s="117">
        <f t="shared" si="272"/>
        <v>49.474527720874505</v>
      </c>
    </row>
    <row r="375" spans="1:95">
      <c r="A375" s="60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1:95" ht="15.75" thickBot="1">
      <c r="A376" s="53" t="s">
        <v>157</v>
      </c>
    </row>
    <row r="377" spans="1:95" s="4" customFormat="1" ht="15.75" thickBot="1">
      <c r="A377" s="54"/>
      <c r="B377" s="63" t="s">
        <v>1</v>
      </c>
      <c r="C377" s="63" t="s">
        <v>2</v>
      </c>
      <c r="D377" s="63" t="s">
        <v>3</v>
      </c>
      <c r="E377" s="63" t="s">
        <v>4</v>
      </c>
      <c r="F377" s="63" t="s">
        <v>5</v>
      </c>
      <c r="G377" s="63" t="s">
        <v>6</v>
      </c>
      <c r="H377" s="63" t="s">
        <v>7</v>
      </c>
      <c r="I377" s="63" t="s">
        <v>8</v>
      </c>
      <c r="J377" s="63" t="s">
        <v>9</v>
      </c>
      <c r="K377" s="63" t="s">
        <v>10</v>
      </c>
      <c r="L377" s="63" t="s">
        <v>11</v>
      </c>
      <c r="M377" s="55" t="s">
        <v>12</v>
      </c>
      <c r="N377" s="55" t="s">
        <v>13</v>
      </c>
      <c r="O377" s="55" t="s">
        <v>14</v>
      </c>
      <c r="P377" s="55" t="s">
        <v>15</v>
      </c>
      <c r="Q377" s="55" t="s">
        <v>16</v>
      </c>
      <c r="R377" s="55" t="s">
        <v>17</v>
      </c>
      <c r="S377" s="55" t="s">
        <v>18</v>
      </c>
      <c r="T377" s="55" t="s">
        <v>19</v>
      </c>
      <c r="U377" s="55" t="s">
        <v>20</v>
      </c>
      <c r="V377" s="55" t="s">
        <v>21</v>
      </c>
      <c r="W377" s="55" t="s">
        <v>22</v>
      </c>
      <c r="X377" s="55" t="s">
        <v>23</v>
      </c>
      <c r="Y377" s="55" t="s">
        <v>24</v>
      </c>
      <c r="Z377" s="55" t="s">
        <v>25</v>
      </c>
      <c r="AA377" s="55" t="s">
        <v>26</v>
      </c>
      <c r="AB377" s="55" t="s">
        <v>27</v>
      </c>
      <c r="AC377" s="55" t="s">
        <v>28</v>
      </c>
      <c r="AD377" s="55" t="s">
        <v>29</v>
      </c>
      <c r="AE377" s="55" t="s">
        <v>30</v>
      </c>
      <c r="AF377" s="55" t="s">
        <v>31</v>
      </c>
      <c r="AG377" s="55" t="s">
        <v>32</v>
      </c>
      <c r="AH377" s="55" t="s">
        <v>33</v>
      </c>
      <c r="AI377" s="55" t="s">
        <v>34</v>
      </c>
      <c r="AJ377" s="55" t="s">
        <v>35</v>
      </c>
      <c r="AK377" s="55" t="s">
        <v>36</v>
      </c>
      <c r="AL377" s="55" t="s">
        <v>37</v>
      </c>
      <c r="AM377" s="55" t="s">
        <v>38</v>
      </c>
      <c r="AN377" s="55" t="s">
        <v>39</v>
      </c>
      <c r="AO377" s="55" t="s">
        <v>40</v>
      </c>
      <c r="AP377" s="55" t="s">
        <v>41</v>
      </c>
      <c r="AQ377" s="55" t="s">
        <v>42</v>
      </c>
      <c r="AR377" s="55" t="s">
        <v>43</v>
      </c>
      <c r="AS377" s="55" t="s">
        <v>44</v>
      </c>
      <c r="AT377" s="55" t="s">
        <v>45</v>
      </c>
      <c r="AU377" s="55" t="s">
        <v>46</v>
      </c>
      <c r="AV377" s="55" t="s">
        <v>47</v>
      </c>
      <c r="AW377" s="55" t="s">
        <v>48</v>
      </c>
      <c r="AX377" s="55" t="s">
        <v>49</v>
      </c>
      <c r="AY377" s="55" t="s">
        <v>50</v>
      </c>
      <c r="AZ377" s="55" t="s">
        <v>51</v>
      </c>
      <c r="BA377" s="55" t="s">
        <v>52</v>
      </c>
      <c r="BB377" s="55" t="s">
        <v>53</v>
      </c>
      <c r="BC377" s="55" t="s">
        <v>54</v>
      </c>
      <c r="BD377" s="55" t="s">
        <v>55</v>
      </c>
      <c r="BE377" s="55" t="s">
        <v>56</v>
      </c>
      <c r="BF377" s="55" t="s">
        <v>57</v>
      </c>
      <c r="BG377" s="55" t="str">
        <f t="shared" ref="BG377:BU377" si="273">BH2</f>
        <v>22/23</v>
      </c>
      <c r="BH377" s="55" t="str">
        <f t="shared" si="273"/>
        <v>23/24</v>
      </c>
      <c r="BI377" s="55" t="str">
        <f t="shared" si="273"/>
        <v>24/25</v>
      </c>
      <c r="BJ377" s="55" t="str">
        <f t="shared" si="273"/>
        <v>25/26</v>
      </c>
      <c r="BK377" s="55" t="str">
        <f t="shared" si="273"/>
        <v>26/27</v>
      </c>
      <c r="BL377" s="55" t="str">
        <f t="shared" si="273"/>
        <v>27/28</v>
      </c>
      <c r="BM377" s="55" t="str">
        <f t="shared" si="273"/>
        <v>28/29</v>
      </c>
      <c r="BN377" s="55" t="str">
        <f t="shared" si="273"/>
        <v>29/30</v>
      </c>
      <c r="BO377" s="55" t="str">
        <f t="shared" si="273"/>
        <v>30/31</v>
      </c>
      <c r="BP377" s="55" t="str">
        <f t="shared" si="273"/>
        <v>31/32</v>
      </c>
      <c r="BQ377" s="55" t="str">
        <f t="shared" si="273"/>
        <v>32/33</v>
      </c>
      <c r="BR377" s="55" t="str">
        <f t="shared" si="273"/>
        <v>33/34</v>
      </c>
      <c r="BS377" s="55" t="str">
        <f t="shared" si="273"/>
        <v>34/35</v>
      </c>
      <c r="BT377" s="55" t="str">
        <f t="shared" si="273"/>
        <v>34/35</v>
      </c>
      <c r="BU377" s="55">
        <f t="shared" si="273"/>
        <v>0</v>
      </c>
      <c r="CK377"/>
      <c r="CL377"/>
      <c r="CM377"/>
      <c r="CN377"/>
      <c r="CO377"/>
      <c r="CP377"/>
      <c r="CQ377"/>
    </row>
    <row r="378" spans="1:95">
      <c r="A378" s="4" t="s">
        <v>100</v>
      </c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70"/>
      <c r="AT378" s="59">
        <v>0</v>
      </c>
      <c r="AU378" s="59">
        <v>2.5999999999999999E-2</v>
      </c>
      <c r="AV378" s="59">
        <v>54.180999999999997</v>
      </c>
      <c r="AW378" s="59">
        <v>61.097999999999999</v>
      </c>
      <c r="AX378" s="59">
        <v>68.418000000000006</v>
      </c>
      <c r="AY378" s="59">
        <v>71.085999999999999</v>
      </c>
      <c r="AZ378" s="59">
        <v>72.981999999999999</v>
      </c>
      <c r="BA378" s="59">
        <v>90.888000000000005</v>
      </c>
      <c r="BB378" s="59">
        <v>92.936000000000007</v>
      </c>
      <c r="BC378" s="103">
        <v>91.832999999999998</v>
      </c>
      <c r="BD378" s="59">
        <v>105.13500000000001</v>
      </c>
      <c r="BE378" s="59">
        <v>98.454999999999998</v>
      </c>
      <c r="BF378" s="59">
        <v>34.819000000000003</v>
      </c>
      <c r="BG378" s="59">
        <v>36.335000000000001</v>
      </c>
      <c r="BH378" s="59">
        <v>51.183</v>
      </c>
      <c r="BI378" s="59">
        <v>57.534999999999997</v>
      </c>
      <c r="BJ378" s="58">
        <f t="shared" ref="BJ378:BJ388" si="274">((SUM(BE378:BI378)/SUM(BE$390:BI$390))*BJ$390)</f>
        <v>49.68298854438919</v>
      </c>
      <c r="BK378" s="58">
        <f t="shared" ref="BK378:BK388" si="275">((SUM(BF378:BJ378)/SUM(BF$390:BJ$390))*BK$390)</f>
        <v>47.893584571261592</v>
      </c>
      <c r="BL378" s="58">
        <f t="shared" ref="BL378:BU388" si="276">((SUM(BG378:BK378)/SUM(BG$390:BK$390))*BL$390)</f>
        <v>47.490897992286264</v>
      </c>
      <c r="BM378" s="58">
        <f t="shared" si="276"/>
        <v>31.282964151397881</v>
      </c>
      <c r="BN378" s="58">
        <f t="shared" si="276"/>
        <v>32.621933752693323</v>
      </c>
      <c r="BO378" s="58">
        <f t="shared" si="276"/>
        <v>32.29792093150148</v>
      </c>
      <c r="BP378" s="58">
        <f t="shared" si="276"/>
        <v>32.050809472515397</v>
      </c>
      <c r="BQ378" s="58">
        <f t="shared" si="276"/>
        <v>32.040498672452841</v>
      </c>
      <c r="BR378" s="58">
        <f t="shared" si="276"/>
        <v>32.106745912399347</v>
      </c>
      <c r="BS378" s="58">
        <f t="shared" si="276"/>
        <v>32.239621360929853</v>
      </c>
      <c r="BT378" s="58">
        <f t="shared" si="276"/>
        <v>32.147119269959788</v>
      </c>
      <c r="BU378" s="58">
        <f t="shared" si="276"/>
        <v>32.116958937651439</v>
      </c>
    </row>
    <row r="379" spans="1:95">
      <c r="A379" s="4" t="s">
        <v>102</v>
      </c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70"/>
      <c r="AT379" s="59">
        <v>0</v>
      </c>
      <c r="AU379" s="59">
        <v>0</v>
      </c>
      <c r="AV379" s="59">
        <v>52.75</v>
      </c>
      <c r="AW379" s="59">
        <v>66.072000000000003</v>
      </c>
      <c r="AX379" s="59">
        <v>90.888000000000005</v>
      </c>
      <c r="AY379" s="59">
        <v>83.137</v>
      </c>
      <c r="AZ379" s="59">
        <v>85.435000000000002</v>
      </c>
      <c r="BA379" s="59">
        <v>88.887</v>
      </c>
      <c r="BB379" s="59">
        <v>89.966999999999999</v>
      </c>
      <c r="BC379" s="103">
        <v>94.494</v>
      </c>
      <c r="BD379" s="59">
        <v>89.561999999999998</v>
      </c>
      <c r="BE379" s="59">
        <v>95.611999999999995</v>
      </c>
      <c r="BF379" s="59">
        <v>76.899000000000001</v>
      </c>
      <c r="BG379" s="59">
        <v>15.103999999999999</v>
      </c>
      <c r="BH379" s="59">
        <v>53.241</v>
      </c>
      <c r="BI379" s="59">
        <v>61.27</v>
      </c>
      <c r="BJ379" s="58">
        <f t="shared" si="274"/>
        <v>53.93124848455998</v>
      </c>
      <c r="BK379" s="58">
        <f t="shared" si="275"/>
        <v>54.338425026500687</v>
      </c>
      <c r="BL379" s="58">
        <f t="shared" si="276"/>
        <v>46.562159008774898</v>
      </c>
      <c r="BM379" s="58">
        <f t="shared" si="276"/>
        <v>33.200648316744655</v>
      </c>
      <c r="BN379" s="58">
        <f t="shared" si="276"/>
        <v>34.77227645755432</v>
      </c>
      <c r="BO379" s="58">
        <f t="shared" si="276"/>
        <v>34.435798705206494</v>
      </c>
      <c r="BP379" s="58">
        <f t="shared" si="276"/>
        <v>34.011794265893457</v>
      </c>
      <c r="BQ379" s="58">
        <f t="shared" si="276"/>
        <v>33.360107054502443</v>
      </c>
      <c r="BR379" s="58">
        <f t="shared" si="276"/>
        <v>34.006881499531808</v>
      </c>
      <c r="BS379" s="58">
        <f t="shared" si="276"/>
        <v>34.134353862140756</v>
      </c>
      <c r="BT379" s="58">
        <f t="shared" si="276"/>
        <v>33.989787077454992</v>
      </c>
      <c r="BU379" s="58">
        <f t="shared" si="276"/>
        <v>33.900584751904688</v>
      </c>
    </row>
    <row r="380" spans="1:95">
      <c r="A380" s="4" t="s">
        <v>103</v>
      </c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70"/>
      <c r="AT380" s="59">
        <v>0</v>
      </c>
      <c r="AU380" s="59">
        <v>0</v>
      </c>
      <c r="AV380" s="59">
        <v>51.866999999999997</v>
      </c>
      <c r="AW380" s="59">
        <v>66.448999999999998</v>
      </c>
      <c r="AX380" s="59">
        <v>100.432</v>
      </c>
      <c r="AY380" s="59">
        <v>84.616</v>
      </c>
      <c r="AZ380" s="59">
        <v>83.239000000000004</v>
      </c>
      <c r="BA380" s="59">
        <v>90.14</v>
      </c>
      <c r="BB380" s="59">
        <v>91.313999999999993</v>
      </c>
      <c r="BC380" s="103">
        <v>104.724</v>
      </c>
      <c r="BD380" s="59">
        <v>87.048000000000002</v>
      </c>
      <c r="BE380" s="59">
        <v>99.909000000000006</v>
      </c>
      <c r="BF380" s="59">
        <v>86.251000000000005</v>
      </c>
      <c r="BG380" s="59">
        <v>7.4240000000000004</v>
      </c>
      <c r="BH380" s="59">
        <v>60.720999999999997</v>
      </c>
      <c r="BI380" s="59">
        <v>63.573999999999998</v>
      </c>
      <c r="BJ380" s="58">
        <f t="shared" si="274"/>
        <v>56.743250620679603</v>
      </c>
      <c r="BK380" s="58">
        <f t="shared" si="275"/>
        <v>57.315253242268454</v>
      </c>
      <c r="BL380" s="58">
        <f t="shared" si="276"/>
        <v>48.107055602782566</v>
      </c>
      <c r="BM380" s="58">
        <f t="shared" si="276"/>
        <v>35.310671542519081</v>
      </c>
      <c r="BN380" s="58">
        <f t="shared" si="276"/>
        <v>36.410832220628912</v>
      </c>
      <c r="BO380" s="58">
        <f t="shared" si="276"/>
        <v>36.148634916574089</v>
      </c>
      <c r="BP380" s="58">
        <f t="shared" si="276"/>
        <v>35.681882607140572</v>
      </c>
      <c r="BQ380" s="58">
        <f t="shared" si="276"/>
        <v>34.941926943146207</v>
      </c>
      <c r="BR380" s="58">
        <f t="shared" si="276"/>
        <v>35.752151065502524</v>
      </c>
      <c r="BS380" s="58">
        <f t="shared" si="276"/>
        <v>35.804898933152266</v>
      </c>
      <c r="BT380" s="58">
        <f t="shared" si="276"/>
        <v>35.665898893103133</v>
      </c>
      <c r="BU380" s="58">
        <f t="shared" si="276"/>
        <v>35.569351688408936</v>
      </c>
    </row>
    <row r="381" spans="1:95">
      <c r="A381" s="4" t="s">
        <v>104</v>
      </c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70"/>
      <c r="AT381" s="59">
        <v>0</v>
      </c>
      <c r="AU381" s="59">
        <v>0</v>
      </c>
      <c r="AV381" s="59">
        <v>49.524999999999999</v>
      </c>
      <c r="AW381" s="59">
        <v>60.854999999999997</v>
      </c>
      <c r="AX381" s="59">
        <v>100.67100000000001</v>
      </c>
      <c r="AY381" s="59">
        <v>77.186999999999998</v>
      </c>
      <c r="AZ381" s="59">
        <v>88.989000000000004</v>
      </c>
      <c r="BA381" s="59">
        <v>96.558999999999997</v>
      </c>
      <c r="BB381" s="59">
        <v>84.570999999999998</v>
      </c>
      <c r="BC381" s="103">
        <v>96.978999999999999</v>
      </c>
      <c r="BD381" s="59">
        <v>93.542000000000002</v>
      </c>
      <c r="BE381" s="59">
        <v>103.627</v>
      </c>
      <c r="BF381" s="59">
        <v>72.816000000000003</v>
      </c>
      <c r="BG381" s="59">
        <v>43.438000000000002</v>
      </c>
      <c r="BH381" s="59">
        <v>94.355999999999995</v>
      </c>
      <c r="BI381" s="59">
        <v>68.516000000000005</v>
      </c>
      <c r="BJ381" s="58">
        <f t="shared" si="274"/>
        <v>68.323636996520619</v>
      </c>
      <c r="BK381" s="58">
        <f t="shared" si="275"/>
        <v>72.490729472991603</v>
      </c>
      <c r="BL381" s="58">
        <f t="shared" si="276"/>
        <v>67.94409958749263</v>
      </c>
      <c r="BM381" s="58">
        <f t="shared" si="276"/>
        <v>45.809172985651585</v>
      </c>
      <c r="BN381" s="58">
        <f t="shared" si="276"/>
        <v>45.063144089080083</v>
      </c>
      <c r="BO381" s="58">
        <f t="shared" si="276"/>
        <v>46.309717346773581</v>
      </c>
      <c r="BP381" s="58">
        <f t="shared" si="276"/>
        <v>46.442771169271651</v>
      </c>
      <c r="BQ381" s="58">
        <f t="shared" si="276"/>
        <v>45.864262984881798</v>
      </c>
      <c r="BR381" s="58">
        <f t="shared" si="276"/>
        <v>45.966420312613252</v>
      </c>
      <c r="BS381" s="58">
        <f t="shared" si="276"/>
        <v>45.952124934222688</v>
      </c>
      <c r="BT381" s="58">
        <f t="shared" si="276"/>
        <v>46.107059349552593</v>
      </c>
      <c r="BU381" s="58">
        <f t="shared" si="276"/>
        <v>46.066527750108399</v>
      </c>
    </row>
    <row r="382" spans="1:95">
      <c r="A382" s="4" t="s">
        <v>105</v>
      </c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70"/>
      <c r="AT382" s="59">
        <v>0</v>
      </c>
      <c r="AU382" s="59">
        <v>0</v>
      </c>
      <c r="AV382" s="59">
        <v>55.902999999999999</v>
      </c>
      <c r="AW382" s="59">
        <v>64.933999999999997</v>
      </c>
      <c r="AX382" s="59">
        <v>85.156999999999996</v>
      </c>
      <c r="AY382" s="59">
        <v>73.614000000000004</v>
      </c>
      <c r="AZ382" s="59">
        <v>93.531999999999996</v>
      </c>
      <c r="BA382" s="59">
        <v>97.296000000000006</v>
      </c>
      <c r="BB382" s="59">
        <v>90.271000000000001</v>
      </c>
      <c r="BC382" s="103">
        <v>102.158</v>
      </c>
      <c r="BD382" s="59">
        <v>92.918000000000006</v>
      </c>
      <c r="BE382" s="59">
        <v>67.247</v>
      </c>
      <c r="BF382" s="59">
        <v>13.036</v>
      </c>
      <c r="BG382" s="59">
        <v>38.264000000000003</v>
      </c>
      <c r="BH382" s="59">
        <v>81.183000000000007</v>
      </c>
      <c r="BI382" s="59">
        <v>49.106000000000002</v>
      </c>
      <c r="BJ382" s="58">
        <f t="shared" si="274"/>
        <v>44.418673493522469</v>
      </c>
      <c r="BK382" s="58">
        <f t="shared" si="275"/>
        <v>47.153484630646531</v>
      </c>
      <c r="BL382" s="58">
        <f t="shared" si="276"/>
        <v>50.915381794015033</v>
      </c>
      <c r="BM382" s="58">
        <f t="shared" si="276"/>
        <v>33.623905585886128</v>
      </c>
      <c r="BN382" s="58">
        <f t="shared" si="276"/>
        <v>31.412937616393787</v>
      </c>
      <c r="BO382" s="58">
        <f t="shared" si="276"/>
        <v>32.074126110890617</v>
      </c>
      <c r="BP382" s="58">
        <f t="shared" si="276"/>
        <v>32.651807726428842</v>
      </c>
      <c r="BQ382" s="58">
        <f t="shared" si="276"/>
        <v>32.939963651298413</v>
      </c>
      <c r="BR382" s="58">
        <f t="shared" si="276"/>
        <v>32.589188718356205</v>
      </c>
      <c r="BS382" s="58">
        <f t="shared" si="276"/>
        <v>32.349699142356336</v>
      </c>
      <c r="BT382" s="58">
        <f t="shared" si="276"/>
        <v>32.520957069866085</v>
      </c>
      <c r="BU382" s="58">
        <f t="shared" si="276"/>
        <v>32.610323261661172</v>
      </c>
    </row>
    <row r="383" spans="1:95">
      <c r="A383" s="4" t="s">
        <v>106</v>
      </c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70"/>
      <c r="AT383" s="59">
        <v>0</v>
      </c>
      <c r="AU383" s="59">
        <v>2.8000000000000001E-2</v>
      </c>
      <c r="AV383" s="59">
        <v>60.963999999999999</v>
      </c>
      <c r="AW383" s="59">
        <v>57.267000000000003</v>
      </c>
      <c r="AX383" s="59">
        <v>37.722000000000001</v>
      </c>
      <c r="AY383" s="59">
        <v>76.025000000000006</v>
      </c>
      <c r="AZ383" s="59">
        <v>97.96</v>
      </c>
      <c r="BA383" s="59">
        <v>91.027000000000001</v>
      </c>
      <c r="BB383" s="59">
        <v>96.683000000000007</v>
      </c>
      <c r="BC383" s="103">
        <v>94.094999999999999</v>
      </c>
      <c r="BD383" s="59">
        <v>101.86</v>
      </c>
      <c r="BE383" s="59">
        <v>98.108999999999995</v>
      </c>
      <c r="BF383" s="59">
        <v>5.2960000000000003</v>
      </c>
      <c r="BG383" s="59">
        <v>50.215000000000003</v>
      </c>
      <c r="BH383" s="59">
        <v>75.893000000000001</v>
      </c>
      <c r="BI383" s="59">
        <v>52.145000000000003</v>
      </c>
      <c r="BJ383" s="58">
        <f t="shared" si="274"/>
        <v>50.277591421010435</v>
      </c>
      <c r="BK383" s="58">
        <f t="shared" si="275"/>
        <v>48.78479749990916</v>
      </c>
      <c r="BL383" s="58">
        <f t="shared" si="276"/>
        <v>54.280097342697189</v>
      </c>
      <c r="BM383" s="58">
        <f t="shared" si="276"/>
        <v>34.684474356468932</v>
      </c>
      <c r="BN383" s="58">
        <f t="shared" si="276"/>
        <v>33.498767376923261</v>
      </c>
      <c r="BO383" s="58">
        <f t="shared" si="276"/>
        <v>34.238117129872208</v>
      </c>
      <c r="BP383" s="58">
        <f t="shared" si="276"/>
        <v>34.375977523828567</v>
      </c>
      <c r="BQ383" s="58">
        <f t="shared" si="276"/>
        <v>34.83588587726787</v>
      </c>
      <c r="BR383" s="58">
        <f t="shared" si="276"/>
        <v>34.377954833220258</v>
      </c>
      <c r="BS383" s="58">
        <f t="shared" si="276"/>
        <v>34.282396466862664</v>
      </c>
      <c r="BT383" s="58">
        <f t="shared" si="276"/>
        <v>34.422066366210316</v>
      </c>
      <c r="BU383" s="58">
        <f t="shared" si="276"/>
        <v>34.458856213477929</v>
      </c>
    </row>
    <row r="384" spans="1:95">
      <c r="A384" s="4" t="s">
        <v>107</v>
      </c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70"/>
      <c r="AT384" s="59">
        <v>0</v>
      </c>
      <c r="AU384" s="59">
        <v>1.4999999999999999E-2</v>
      </c>
      <c r="AV384" s="59">
        <v>51.201999999999998</v>
      </c>
      <c r="AW384" s="59">
        <v>66.313000000000002</v>
      </c>
      <c r="AX384" s="59">
        <v>54.695999999999998</v>
      </c>
      <c r="AY384" s="59">
        <v>78.662999999999997</v>
      </c>
      <c r="AZ384" s="59">
        <v>99.933999999999997</v>
      </c>
      <c r="BA384" s="59">
        <v>104.70699999999999</v>
      </c>
      <c r="BB384" s="59">
        <v>98.07</v>
      </c>
      <c r="BC384" s="103">
        <v>107.889</v>
      </c>
      <c r="BD384" s="59">
        <v>84.88</v>
      </c>
      <c r="BE384" s="59">
        <v>101.02200000000001</v>
      </c>
      <c r="BF384" s="59">
        <v>1.5620000000000001</v>
      </c>
      <c r="BG384" s="59">
        <v>39.683999999999997</v>
      </c>
      <c r="BH384" s="59">
        <v>82.43</v>
      </c>
      <c r="BI384" s="59">
        <v>35.152999999999999</v>
      </c>
      <c r="BJ384" s="58">
        <f t="shared" si="274"/>
        <v>46.384915068419794</v>
      </c>
      <c r="BK384" s="58">
        <f t="shared" si="275"/>
        <v>42.815144462123186</v>
      </c>
      <c r="BL384" s="58">
        <f t="shared" si="276"/>
        <v>48.242025208709968</v>
      </c>
      <c r="BM384" s="58">
        <f t="shared" si="276"/>
        <v>31.43576560461246</v>
      </c>
      <c r="BN384" s="58">
        <f t="shared" si="276"/>
        <v>28.457868169700877</v>
      </c>
      <c r="BO384" s="58">
        <f t="shared" si="276"/>
        <v>30.499407474991791</v>
      </c>
      <c r="BP384" s="58">
        <f t="shared" si="276"/>
        <v>30.354966620847105</v>
      </c>
      <c r="BQ384" s="58">
        <f t="shared" si="276"/>
        <v>30.809067255193927</v>
      </c>
      <c r="BR384" s="58">
        <f t="shared" si="276"/>
        <v>30.356723567707604</v>
      </c>
      <c r="BS384" s="58">
        <f t="shared" si="276"/>
        <v>30.11058700923514</v>
      </c>
      <c r="BT384" s="58">
        <f t="shared" si="276"/>
        <v>30.426150385595115</v>
      </c>
      <c r="BU384" s="58">
        <f t="shared" si="276"/>
        <v>30.411498967715779</v>
      </c>
    </row>
    <row r="385" spans="1:117">
      <c r="A385" s="4" t="s">
        <v>108</v>
      </c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70"/>
      <c r="AT385" s="59">
        <v>0</v>
      </c>
      <c r="AU385" s="59">
        <v>0.16400000000000001</v>
      </c>
      <c r="AV385" s="59">
        <v>54.14</v>
      </c>
      <c r="AW385" s="59">
        <v>70.442999999999998</v>
      </c>
      <c r="AX385" s="59">
        <v>71.872</v>
      </c>
      <c r="AY385" s="59">
        <v>74.394000000000005</v>
      </c>
      <c r="AZ385" s="59">
        <v>97.042000000000002</v>
      </c>
      <c r="BA385" s="59">
        <v>87.102999999999994</v>
      </c>
      <c r="BB385" s="59">
        <v>87.953999999999994</v>
      </c>
      <c r="BC385" s="103">
        <v>102.16800000000001</v>
      </c>
      <c r="BD385" s="59">
        <v>94.257000000000005</v>
      </c>
      <c r="BE385" s="59">
        <v>108.09699999999999</v>
      </c>
      <c r="BF385" s="59">
        <v>0.36699999999999999</v>
      </c>
      <c r="BG385" s="59">
        <v>45.878</v>
      </c>
      <c r="BH385" s="59">
        <v>58.832000000000001</v>
      </c>
      <c r="BI385" s="59">
        <v>32.281999999999996</v>
      </c>
      <c r="BJ385" s="58">
        <f t="shared" si="274"/>
        <v>43.815323831865364</v>
      </c>
      <c r="BK385" s="58">
        <f t="shared" si="275"/>
        <v>37.799604598462835</v>
      </c>
      <c r="BL385" s="58">
        <f t="shared" si="276"/>
        <v>42.788845585377913</v>
      </c>
      <c r="BM385" s="58">
        <f t="shared" si="276"/>
        <v>26.56588168380593</v>
      </c>
      <c r="BN385" s="58">
        <f t="shared" si="276"/>
        <v>25.559622238436287</v>
      </c>
      <c r="BO385" s="58">
        <f t="shared" si="276"/>
        <v>27.283648493293054</v>
      </c>
      <c r="BP385" s="58">
        <f t="shared" si="276"/>
        <v>26.76614075944617</v>
      </c>
      <c r="BQ385" s="58">
        <f t="shared" si="276"/>
        <v>27.158087882841027</v>
      </c>
      <c r="BR385" s="58">
        <f t="shared" si="276"/>
        <v>26.706536714122887</v>
      </c>
      <c r="BS385" s="58">
        <f t="shared" si="276"/>
        <v>26.70809482699455</v>
      </c>
      <c r="BT385" s="58">
        <f t="shared" si="276"/>
        <v>26.92450173533954</v>
      </c>
      <c r="BU385" s="58">
        <f t="shared" si="276"/>
        <v>26.852672383748835</v>
      </c>
    </row>
    <row r="386" spans="1:117">
      <c r="A386" s="4" t="s">
        <v>109</v>
      </c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70"/>
      <c r="AT386" s="59">
        <v>0</v>
      </c>
      <c r="AU386" s="59">
        <v>0.17599999999999999</v>
      </c>
      <c r="AV386" s="59">
        <v>53.651000000000003</v>
      </c>
      <c r="AW386" s="59">
        <v>74.221000000000004</v>
      </c>
      <c r="AX386" s="59">
        <v>61.957000000000001</v>
      </c>
      <c r="AY386" s="59">
        <v>69.17</v>
      </c>
      <c r="AZ386" s="59">
        <v>88.052000000000007</v>
      </c>
      <c r="BA386" s="59">
        <v>11.786</v>
      </c>
      <c r="BB386" s="59">
        <v>101.349</v>
      </c>
      <c r="BC386" s="103">
        <v>105.952</v>
      </c>
      <c r="BD386" s="59">
        <v>90.251000000000005</v>
      </c>
      <c r="BE386" s="59">
        <v>107.372</v>
      </c>
      <c r="BF386" s="59">
        <v>1.8420000000000001</v>
      </c>
      <c r="BG386" s="59">
        <v>45.53</v>
      </c>
      <c r="BH386" s="59">
        <v>57.994</v>
      </c>
      <c r="BI386" s="59">
        <v>15.026999999999999</v>
      </c>
      <c r="BJ386" s="58">
        <f t="shared" si="274"/>
        <v>40.65737742228675</v>
      </c>
      <c r="BK386" s="58">
        <f t="shared" si="275"/>
        <v>33.601011767236621</v>
      </c>
      <c r="BL386" s="58">
        <f t="shared" si="276"/>
        <v>37.739385666684946</v>
      </c>
      <c r="BM386" s="58">
        <f t="shared" si="276"/>
        <v>22.806410768489833</v>
      </c>
      <c r="BN386" s="58">
        <f t="shared" si="276"/>
        <v>20.898193194957898</v>
      </c>
      <c r="BO386" s="58">
        <f t="shared" si="276"/>
        <v>24.064727522299776</v>
      </c>
      <c r="BP386" s="58">
        <f t="shared" si="276"/>
        <v>23.271789856723665</v>
      </c>
      <c r="BQ386" s="58">
        <f t="shared" si="276"/>
        <v>23.4783509377237</v>
      </c>
      <c r="BR386" s="58">
        <f t="shared" si="276"/>
        <v>22.93813047166833</v>
      </c>
      <c r="BS386" s="58">
        <f t="shared" si="276"/>
        <v>22.941652153965208</v>
      </c>
      <c r="BT386" s="58">
        <f t="shared" si="276"/>
        <v>23.338930188476134</v>
      </c>
      <c r="BU386" s="58">
        <f t="shared" si="276"/>
        <v>23.193770721711406</v>
      </c>
    </row>
    <row r="387" spans="1:117">
      <c r="A387" s="4" t="s">
        <v>110</v>
      </c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70">
        <v>0.107</v>
      </c>
      <c r="AT387" s="59">
        <v>0</v>
      </c>
      <c r="AU387" s="59">
        <v>0.20399999999999999</v>
      </c>
      <c r="AV387" s="59">
        <v>51.908000000000001</v>
      </c>
      <c r="AW387" s="59">
        <v>71.790000000000006</v>
      </c>
      <c r="AX387" s="59">
        <v>68.87</v>
      </c>
      <c r="AY387" s="59">
        <v>74.656000000000006</v>
      </c>
      <c r="AZ387" s="59">
        <v>87.284000000000006</v>
      </c>
      <c r="BA387" s="59">
        <v>38.920999999999999</v>
      </c>
      <c r="BB387" s="59">
        <v>100.139</v>
      </c>
      <c r="BC387" s="103">
        <v>82.540999999999997</v>
      </c>
      <c r="BD387" s="59">
        <v>85.147000000000006</v>
      </c>
      <c r="BE387" s="59">
        <v>51.695999999999998</v>
      </c>
      <c r="BF387" s="59">
        <v>22.651</v>
      </c>
      <c r="BG387" s="59">
        <v>44.854999999999997</v>
      </c>
      <c r="BH387" s="59">
        <v>55.155999999999999</v>
      </c>
      <c r="BI387" s="58">
        <f>((SUM(BD387:BH387)/SUM(BD$390:BH$390))*BI$390)+10</f>
        <v>56.303845976939783</v>
      </c>
      <c r="BJ387" s="58">
        <f t="shared" si="274"/>
        <v>41.174481280292476</v>
      </c>
      <c r="BK387" s="58">
        <f t="shared" si="275"/>
        <v>45.929341147821276</v>
      </c>
      <c r="BL387" s="58">
        <f t="shared" si="276"/>
        <v>47.645350903421537</v>
      </c>
      <c r="BM387" s="58">
        <f t="shared" si="276"/>
        <v>30.34904989301798</v>
      </c>
      <c r="BN387" s="58">
        <f t="shared" si="276"/>
        <v>30.880775565147381</v>
      </c>
      <c r="BO387" s="58">
        <f t="shared" si="276"/>
        <v>30.289718382721901</v>
      </c>
      <c r="BP387" s="58">
        <f t="shared" ref="BP387:BU388" si="277">((SUM(BK387:BO387)/SUM(BK$390:BO$390))*BP$390)</f>
        <v>30.964578788446225</v>
      </c>
      <c r="BQ387" s="58">
        <f t="shared" si="277"/>
        <v>31.016801977400238</v>
      </c>
      <c r="BR387" s="58">
        <f t="shared" si="277"/>
        <v>30.746074584906307</v>
      </c>
      <c r="BS387" s="58">
        <f t="shared" si="277"/>
        <v>30.794910710824325</v>
      </c>
      <c r="BT387" s="58">
        <f t="shared" si="277"/>
        <v>30.7624168888598</v>
      </c>
      <c r="BU387" s="58">
        <f t="shared" si="277"/>
        <v>30.856956590087375</v>
      </c>
    </row>
    <row r="388" spans="1:117">
      <c r="A388" s="4" t="s">
        <v>111</v>
      </c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70">
        <v>0.16700000000000001</v>
      </c>
      <c r="AT388" s="59">
        <v>3.5000000000000003E-2</v>
      </c>
      <c r="AU388" s="59">
        <v>0.434</v>
      </c>
      <c r="AV388" s="59">
        <v>47.215000000000003</v>
      </c>
      <c r="AW388" s="59">
        <v>63.508000000000003</v>
      </c>
      <c r="AX388" s="59">
        <v>60.939</v>
      </c>
      <c r="AY388" s="59">
        <v>36.283999999999999</v>
      </c>
      <c r="AZ388" s="59">
        <v>84.191999999999993</v>
      </c>
      <c r="BA388" s="59">
        <v>74.373999999999995</v>
      </c>
      <c r="BB388" s="59">
        <v>89.054000000000002</v>
      </c>
      <c r="BC388" s="103">
        <v>83.867999999999995</v>
      </c>
      <c r="BD388" s="59">
        <v>78.135999999999996</v>
      </c>
      <c r="BE388" s="59">
        <v>67.290000000000006</v>
      </c>
      <c r="BF388" s="59">
        <v>43.887999999999998</v>
      </c>
      <c r="BG388" s="59">
        <v>35.841000000000001</v>
      </c>
      <c r="BH388" s="59">
        <v>46.069000000000003</v>
      </c>
      <c r="BI388" s="58">
        <f>((SUM(BD388:BH388)/SUM(BD$390:BH$390))*BI$390)+5</f>
        <v>53.394883802815038</v>
      </c>
      <c r="BJ388" s="58">
        <f t="shared" si="274"/>
        <v>43.998628564110817</v>
      </c>
      <c r="BK388" s="58">
        <f t="shared" si="275"/>
        <v>46.565930197879872</v>
      </c>
      <c r="BL388" s="58">
        <f t="shared" si="276"/>
        <v>44.210367758042374</v>
      </c>
      <c r="BM388" s="58">
        <f t="shared" si="276"/>
        <v>28.873537457466274</v>
      </c>
      <c r="BN388" s="58">
        <f t="shared" si="276"/>
        <v>30.272828681706457</v>
      </c>
      <c r="BO388" s="58">
        <f t="shared" si="276"/>
        <v>29.97168767743204</v>
      </c>
      <c r="BP388" s="58">
        <f t="shared" si="277"/>
        <v>30.094685564942097</v>
      </c>
      <c r="BQ388" s="58">
        <f t="shared" si="277"/>
        <v>29.79414470299994</v>
      </c>
      <c r="BR388" s="58">
        <f t="shared" si="277"/>
        <v>29.845922970596821</v>
      </c>
      <c r="BS388" s="58">
        <f t="shared" si="277"/>
        <v>30.010784658171374</v>
      </c>
      <c r="BT388" s="58">
        <f t="shared" si="277"/>
        <v>29.943445114828457</v>
      </c>
      <c r="BU388" s="58">
        <f t="shared" si="277"/>
        <v>29.937796602307735</v>
      </c>
    </row>
    <row r="389" spans="1:117">
      <c r="A389" s="4" t="s">
        <v>112</v>
      </c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70">
        <v>0</v>
      </c>
      <c r="AT389" s="59">
        <v>5.5E-2</v>
      </c>
      <c r="AU389" s="59">
        <v>23.745000000000001</v>
      </c>
      <c r="AV389" s="59">
        <v>61.966999999999999</v>
      </c>
      <c r="AW389" s="59">
        <v>67.683000000000007</v>
      </c>
      <c r="AX389" s="59">
        <v>67.275000000000006</v>
      </c>
      <c r="AY389" s="59">
        <v>52.036000000000001</v>
      </c>
      <c r="AZ389" s="59">
        <v>84.492000000000004</v>
      </c>
      <c r="BA389" s="59">
        <v>87.988</v>
      </c>
      <c r="BB389" s="59">
        <v>84.048000000000002</v>
      </c>
      <c r="BC389" s="103">
        <v>94.027000000000001</v>
      </c>
      <c r="BD389" s="59">
        <v>93.995000000000005</v>
      </c>
      <c r="BE389" s="59">
        <v>86.986000000000004</v>
      </c>
      <c r="BF389" s="59">
        <v>51.003999999999998</v>
      </c>
      <c r="BG389" s="59">
        <v>17.783000000000001</v>
      </c>
      <c r="BH389" s="59">
        <v>52.972999999999999</v>
      </c>
      <c r="BI389" s="58">
        <f t="shared" ref="BI389:BO389" si="278">BI390-SUM(BI378:BI388)</f>
        <v>130.69327022024515</v>
      </c>
      <c r="BJ389" s="58">
        <f t="shared" si="278"/>
        <v>60.591884272342554</v>
      </c>
      <c r="BK389" s="58">
        <f t="shared" si="278"/>
        <v>65.312693382898146</v>
      </c>
      <c r="BL389" s="58">
        <f t="shared" si="278"/>
        <v>64.074333549714652</v>
      </c>
      <c r="BM389" s="58">
        <f t="shared" si="278"/>
        <v>46.057517653939215</v>
      </c>
      <c r="BN389" s="58">
        <f t="shared" si="278"/>
        <v>51.150820636777382</v>
      </c>
      <c r="BO389" s="58">
        <f t="shared" si="278"/>
        <v>44.386495308442989</v>
      </c>
      <c r="BP389" s="58">
        <f t="shared" ref="BP389:BU389" si="279">BP390-SUM(BP378:BP388)</f>
        <v>45.332795644516239</v>
      </c>
      <c r="BQ389" s="58">
        <f t="shared" si="279"/>
        <v>45.760902060291642</v>
      </c>
      <c r="BR389" s="58">
        <f t="shared" si="279"/>
        <v>46.60726934937469</v>
      </c>
      <c r="BS389" s="58">
        <f t="shared" si="279"/>
        <v>46.6708759411448</v>
      </c>
      <c r="BT389" s="58">
        <f t="shared" si="279"/>
        <v>45.751667660754038</v>
      </c>
      <c r="BU389" s="58">
        <f t="shared" si="279"/>
        <v>46.024702131216316</v>
      </c>
    </row>
    <row r="390" spans="1:117" ht="15.75" thickBot="1">
      <c r="A390" s="4" t="s">
        <v>113</v>
      </c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>
        <f t="shared" ref="AS390:BH390" si="280">SUM(AS378:AS389)</f>
        <v>0.27400000000000002</v>
      </c>
      <c r="AT390" s="59">
        <f t="shared" si="280"/>
        <v>0.09</v>
      </c>
      <c r="AU390" s="59">
        <f t="shared" si="280"/>
        <v>24.792000000000002</v>
      </c>
      <c r="AV390" s="59">
        <f t="shared" si="280"/>
        <v>645.27300000000002</v>
      </c>
      <c r="AW390" s="59">
        <f t="shared" si="280"/>
        <v>790.63300000000004</v>
      </c>
      <c r="AX390" s="59">
        <f t="shared" si="280"/>
        <v>868.89699999999982</v>
      </c>
      <c r="AY390" s="59">
        <f t="shared" si="280"/>
        <v>850.86799999999994</v>
      </c>
      <c r="AZ390" s="59">
        <f t="shared" si="280"/>
        <v>1063.133</v>
      </c>
      <c r="BA390" s="59">
        <f t="shared" si="280"/>
        <v>959.67599999999993</v>
      </c>
      <c r="BB390" s="59">
        <f t="shared" si="280"/>
        <v>1106.3560000000002</v>
      </c>
      <c r="BC390" s="59">
        <f t="shared" si="280"/>
        <v>1160.7280000000001</v>
      </c>
      <c r="BD390" s="59">
        <f t="shared" si="280"/>
        <v>1096.731</v>
      </c>
      <c r="BE390" s="59">
        <f t="shared" si="280"/>
        <v>1085.422</v>
      </c>
      <c r="BF390" s="59">
        <f t="shared" si="280"/>
        <v>410.43099999999998</v>
      </c>
      <c r="BG390" s="59">
        <f t="shared" si="280"/>
        <v>420.351</v>
      </c>
      <c r="BH390" s="59">
        <f t="shared" si="280"/>
        <v>770.03099999999995</v>
      </c>
      <c r="BI390" s="58">
        <v>675</v>
      </c>
      <c r="BJ390" s="58">
        <v>600</v>
      </c>
      <c r="BK390" s="58">
        <v>600</v>
      </c>
      <c r="BL390" s="58">
        <v>600</v>
      </c>
      <c r="BM390" s="58">
        <v>400</v>
      </c>
      <c r="BN390" s="58">
        <v>401</v>
      </c>
      <c r="BO390" s="58">
        <v>402</v>
      </c>
      <c r="BP390" s="58">
        <v>402</v>
      </c>
      <c r="BQ390" s="58">
        <v>402</v>
      </c>
      <c r="BR390" s="58">
        <v>402</v>
      </c>
      <c r="BS390" s="58">
        <v>402</v>
      </c>
      <c r="BT390" s="58">
        <v>402</v>
      </c>
      <c r="BU390" s="58">
        <v>402</v>
      </c>
    </row>
    <row r="391" spans="1:117">
      <c r="A391" s="60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1:117" ht="15.75" thickBot="1">
      <c r="A392" s="53" t="s">
        <v>158</v>
      </c>
    </row>
    <row r="393" spans="1:117" s="4" customFormat="1" ht="15.75" thickBot="1">
      <c r="A393" s="54"/>
      <c r="B393" s="63" t="s">
        <v>1</v>
      </c>
      <c r="C393" s="63" t="s">
        <v>2</v>
      </c>
      <c r="D393" s="63" t="s">
        <v>3</v>
      </c>
      <c r="E393" s="63" t="s">
        <v>4</v>
      </c>
      <c r="F393" s="63" t="s">
        <v>5</v>
      </c>
      <c r="G393" s="63" t="s">
        <v>6</v>
      </c>
      <c r="H393" s="63" t="s">
        <v>7</v>
      </c>
      <c r="I393" s="63" t="s">
        <v>8</v>
      </c>
      <c r="J393" s="63" t="s">
        <v>9</v>
      </c>
      <c r="K393" s="63" t="s">
        <v>10</v>
      </c>
      <c r="L393" s="63" t="s">
        <v>11</v>
      </c>
      <c r="M393" s="55" t="s">
        <v>12</v>
      </c>
      <c r="N393" s="55" t="s">
        <v>13</v>
      </c>
      <c r="O393" s="55" t="s">
        <v>14</v>
      </c>
      <c r="P393" s="55" t="s">
        <v>15</v>
      </c>
      <c r="Q393" s="55" t="s">
        <v>16</v>
      </c>
      <c r="R393" s="55" t="s">
        <v>17</v>
      </c>
      <c r="S393" s="55" t="s">
        <v>18</v>
      </c>
      <c r="T393" s="55" t="s">
        <v>19</v>
      </c>
      <c r="U393" s="55" t="s">
        <v>20</v>
      </c>
      <c r="V393" s="55" t="s">
        <v>21</v>
      </c>
      <c r="W393" s="55" t="s">
        <v>22</v>
      </c>
      <c r="X393" s="55" t="s">
        <v>23</v>
      </c>
      <c r="Y393" s="55" t="s">
        <v>24</v>
      </c>
      <c r="Z393" s="55" t="s">
        <v>25</v>
      </c>
      <c r="AA393" s="55" t="s">
        <v>26</v>
      </c>
      <c r="AB393" s="55" t="s">
        <v>27</v>
      </c>
      <c r="AC393" s="55" t="s">
        <v>28</v>
      </c>
      <c r="AD393" s="55" t="s">
        <v>29</v>
      </c>
      <c r="AE393" s="55" t="s">
        <v>30</v>
      </c>
      <c r="AF393" s="55" t="s">
        <v>31</v>
      </c>
      <c r="AG393" s="55" t="s">
        <v>32</v>
      </c>
      <c r="AH393" s="55" t="s">
        <v>33</v>
      </c>
      <c r="AI393" s="55" t="s">
        <v>34</v>
      </c>
      <c r="AJ393" s="55" t="s">
        <v>35</v>
      </c>
      <c r="AK393" s="55" t="s">
        <v>36</v>
      </c>
      <c r="AL393" s="55" t="s">
        <v>37</v>
      </c>
      <c r="AM393" s="55" t="s">
        <v>38</v>
      </c>
      <c r="AN393" s="55" t="s">
        <v>39</v>
      </c>
      <c r="AO393" s="55" t="s">
        <v>40</v>
      </c>
      <c r="AP393" s="55" t="s">
        <v>41</v>
      </c>
      <c r="AQ393" s="55" t="s">
        <v>42</v>
      </c>
      <c r="AR393" s="55" t="s">
        <v>43</v>
      </c>
      <c r="AS393" s="55" t="s">
        <v>44</v>
      </c>
      <c r="AT393" s="55" t="s">
        <v>45</v>
      </c>
      <c r="AU393" s="55" t="s">
        <v>46</v>
      </c>
      <c r="AV393" s="55" t="s">
        <v>47</v>
      </c>
      <c r="AW393" s="55" t="s">
        <v>48</v>
      </c>
      <c r="AX393" s="55" t="s">
        <v>49</v>
      </c>
      <c r="AY393" s="55" t="s">
        <v>50</v>
      </c>
      <c r="AZ393" s="55" t="s">
        <v>51</v>
      </c>
      <c r="BA393" s="55" t="s">
        <v>52</v>
      </c>
      <c r="BB393" s="55" t="s">
        <v>53</v>
      </c>
      <c r="BC393" s="55" t="s">
        <v>54</v>
      </c>
      <c r="BD393" s="55" t="s">
        <v>55</v>
      </c>
      <c r="BE393" s="55" t="s">
        <v>56</v>
      </c>
      <c r="BF393" s="55" t="s">
        <v>57</v>
      </c>
      <c r="BG393" s="55" t="str">
        <f t="shared" ref="BG393:BU393" si="281">BH2</f>
        <v>22/23</v>
      </c>
      <c r="BH393" s="55" t="str">
        <f t="shared" si="281"/>
        <v>23/24</v>
      </c>
      <c r="BI393" s="55" t="str">
        <f t="shared" si="281"/>
        <v>24/25</v>
      </c>
      <c r="BJ393" s="55" t="str">
        <f t="shared" si="281"/>
        <v>25/26</v>
      </c>
      <c r="BK393" s="55" t="str">
        <f t="shared" si="281"/>
        <v>26/27</v>
      </c>
      <c r="BL393" s="55" t="str">
        <f t="shared" si="281"/>
        <v>27/28</v>
      </c>
      <c r="BM393" s="55" t="str">
        <f t="shared" si="281"/>
        <v>28/29</v>
      </c>
      <c r="BN393" s="55" t="str">
        <f t="shared" si="281"/>
        <v>29/30</v>
      </c>
      <c r="BO393" s="55" t="str">
        <f t="shared" si="281"/>
        <v>30/31</v>
      </c>
      <c r="BP393" s="55" t="str">
        <f t="shared" si="281"/>
        <v>31/32</v>
      </c>
      <c r="BQ393" s="55" t="str">
        <f t="shared" si="281"/>
        <v>32/33</v>
      </c>
      <c r="BR393" s="55" t="str">
        <f t="shared" si="281"/>
        <v>33/34</v>
      </c>
      <c r="BS393" s="55" t="str">
        <f t="shared" si="281"/>
        <v>34/35</v>
      </c>
      <c r="BT393" s="55" t="str">
        <f t="shared" si="281"/>
        <v>34/35</v>
      </c>
      <c r="BU393" s="55">
        <f t="shared" si="281"/>
        <v>0</v>
      </c>
      <c r="BV393" s="67" t="str">
        <f t="shared" ref="BV393:CI393" si="282">AV393</f>
        <v xml:space="preserve">10/11 </v>
      </c>
      <c r="BW393" s="67" t="str">
        <f t="shared" si="282"/>
        <v xml:space="preserve">11/12 </v>
      </c>
      <c r="BX393" s="67" t="str">
        <f t="shared" si="282"/>
        <v xml:space="preserve">12/13 </v>
      </c>
      <c r="BY393" s="67" t="str">
        <f t="shared" si="282"/>
        <v xml:space="preserve">13/14 </v>
      </c>
      <c r="BZ393" s="67" t="str">
        <f t="shared" si="282"/>
        <v xml:space="preserve">14/15 </v>
      </c>
      <c r="CA393" s="67" t="str">
        <f t="shared" si="282"/>
        <v xml:space="preserve">15/16 </v>
      </c>
      <c r="CB393" s="67" t="str">
        <f t="shared" si="282"/>
        <v xml:space="preserve">16/17 </v>
      </c>
      <c r="CC393" s="67" t="str">
        <f t="shared" si="282"/>
        <v xml:space="preserve">17/18 </v>
      </c>
      <c r="CD393" s="67" t="str">
        <f t="shared" si="282"/>
        <v xml:space="preserve">18/19 </v>
      </c>
      <c r="CE393" s="67" t="str">
        <f t="shared" si="282"/>
        <v>19/20</v>
      </c>
      <c r="CF393" s="67" t="str">
        <f t="shared" si="282"/>
        <v>20/21</v>
      </c>
      <c r="CG393" s="67" t="str">
        <f t="shared" si="282"/>
        <v>22/23</v>
      </c>
      <c r="CH393" s="67" t="str">
        <f t="shared" si="282"/>
        <v>23/24</v>
      </c>
      <c r="CI393" s="67" t="str">
        <f t="shared" si="282"/>
        <v>24/25</v>
      </c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67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  <c r="DG393" s="67"/>
      <c r="DH393" s="67"/>
      <c r="DI393" s="67"/>
      <c r="DJ393" s="67"/>
      <c r="DK393" s="67"/>
      <c r="DL393" s="67"/>
      <c r="DM393" s="67"/>
    </row>
    <row r="394" spans="1:117">
      <c r="A394" s="4" t="s">
        <v>100</v>
      </c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>
        <v>230.85900000000001</v>
      </c>
      <c r="AT394" s="59">
        <v>174.14699999999999</v>
      </c>
      <c r="AU394" s="59">
        <v>155.726</v>
      </c>
      <c r="AV394" s="59">
        <v>69.575999999999993</v>
      </c>
      <c r="AW394" s="59">
        <v>5.157</v>
      </c>
      <c r="AX394" s="59">
        <v>198.387</v>
      </c>
      <c r="AY394" s="59">
        <v>98.215000000000003</v>
      </c>
      <c r="AZ394" s="59">
        <v>60.703000000000003</v>
      </c>
      <c r="BA394" s="59">
        <v>14.93</v>
      </c>
      <c r="BB394" s="59">
        <v>80.885000000000005</v>
      </c>
      <c r="BC394" s="103">
        <v>205.41300000000001</v>
      </c>
      <c r="BD394" s="103">
        <v>138.89500000000001</v>
      </c>
      <c r="BE394" s="103">
        <v>269.40800000000002</v>
      </c>
      <c r="BF394" s="103">
        <v>1.4059999999999999</v>
      </c>
      <c r="BG394" s="103">
        <v>0</v>
      </c>
      <c r="BH394" s="103">
        <v>139.63999999999999</v>
      </c>
      <c r="BI394" s="59">
        <v>90</v>
      </c>
      <c r="BJ394" s="58">
        <f t="shared" ref="BJ394:BJ404" si="283">((SUM(BE394:BI394)/SUM(BE$406:BI$406))*BJ$406)</f>
        <v>108.63458413876114</v>
      </c>
      <c r="BK394" s="58">
        <f t="shared" ref="BK394:BK404" si="284">((SUM(BF394:BJ394)/SUM(BF$406:BJ$406))*BK$406)</f>
        <v>80.313545137478769</v>
      </c>
      <c r="BL394" s="58">
        <f t="shared" ref="BL394:BU404" si="285">((SUM(BG394:BK394)/SUM(BG$406:BK$406))*BL$406)</f>
        <v>96.182455267243213</v>
      </c>
      <c r="BM394" s="58">
        <f t="shared" si="285"/>
        <v>122.79063740485789</v>
      </c>
      <c r="BN394" s="58">
        <f t="shared" si="285"/>
        <v>110.64916043296466</v>
      </c>
      <c r="BO394" s="58">
        <f t="shared" si="285"/>
        <v>103.71407647626114</v>
      </c>
      <c r="BP394" s="58">
        <f t="shared" si="285"/>
        <v>102.72997494376115</v>
      </c>
      <c r="BQ394" s="58">
        <f t="shared" si="285"/>
        <v>107.21326090501761</v>
      </c>
      <c r="BR394" s="58">
        <f t="shared" si="285"/>
        <v>109.41942203257248</v>
      </c>
      <c r="BS394" s="58">
        <f t="shared" si="285"/>
        <v>106.74517895811542</v>
      </c>
      <c r="BT394" s="58">
        <f t="shared" si="285"/>
        <v>105.96438266314556</v>
      </c>
      <c r="BU394" s="58">
        <f t="shared" si="285"/>
        <v>106.41444390052246</v>
      </c>
      <c r="BV394" s="59">
        <v>58.9</v>
      </c>
      <c r="BW394" s="59">
        <v>107.77800000000001</v>
      </c>
      <c r="BX394" s="59">
        <v>193.416</v>
      </c>
      <c r="BY394" s="59">
        <v>84.5</v>
      </c>
      <c r="BZ394" s="59">
        <v>48.96</v>
      </c>
      <c r="CA394" s="59">
        <v>12.17</v>
      </c>
      <c r="CB394" s="59">
        <v>78.465000000000003</v>
      </c>
      <c r="CC394" s="59">
        <v>170.4</v>
      </c>
      <c r="CD394" s="59">
        <v>120.196</v>
      </c>
      <c r="CE394" s="59">
        <v>163.26</v>
      </c>
      <c r="CF394" s="118">
        <v>40.814999999999998</v>
      </c>
      <c r="CG394" s="59"/>
      <c r="CH394" s="59"/>
      <c r="CI394" s="59"/>
    </row>
    <row r="395" spans="1:117">
      <c r="A395" s="4" t="s">
        <v>102</v>
      </c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>
        <v>200.31800000000001</v>
      </c>
      <c r="AT395" s="59">
        <v>67.477999999999994</v>
      </c>
      <c r="AU395" s="59">
        <v>27.169</v>
      </c>
      <c r="AV395" s="59">
        <v>8.4239999999999995</v>
      </c>
      <c r="AW395" s="59">
        <v>4.4809999999999999</v>
      </c>
      <c r="AX395" s="59">
        <v>114.223</v>
      </c>
      <c r="AY395" s="59">
        <v>17.981000000000002</v>
      </c>
      <c r="AZ395" s="59">
        <v>133.44499999999999</v>
      </c>
      <c r="BA395" s="59">
        <v>38.048999999999999</v>
      </c>
      <c r="BB395" s="59">
        <v>153.38999999999999</v>
      </c>
      <c r="BC395" s="103">
        <v>227.43600000000001</v>
      </c>
      <c r="BD395" s="103">
        <v>185.40700000000001</v>
      </c>
      <c r="BE395" s="103">
        <v>194.57599999999999</v>
      </c>
      <c r="BF395" s="103">
        <v>1.5389999999999999</v>
      </c>
      <c r="BG395" s="103">
        <v>141.81</v>
      </c>
      <c r="BH395" s="103">
        <v>143.29400000000001</v>
      </c>
      <c r="BI395" s="119">
        <v>2</v>
      </c>
      <c r="BJ395" s="58">
        <f t="shared" si="283"/>
        <v>104.8933470667594</v>
      </c>
      <c r="BK395" s="58">
        <f t="shared" si="284"/>
        <v>93.047117348554067</v>
      </c>
      <c r="BL395" s="58">
        <f t="shared" si="285"/>
        <v>111.45267683991622</v>
      </c>
      <c r="BM395" s="58">
        <f t="shared" si="285"/>
        <v>108.45865239956458</v>
      </c>
      <c r="BN395" s="58">
        <f t="shared" si="285"/>
        <v>93.300398589954298</v>
      </c>
      <c r="BO395" s="58">
        <f t="shared" si="285"/>
        <v>102.23043844894971</v>
      </c>
      <c r="BP395" s="58">
        <f t="shared" si="285"/>
        <v>101.69785672538777</v>
      </c>
      <c r="BQ395" s="58">
        <f t="shared" si="285"/>
        <v>103.42800460075453</v>
      </c>
      <c r="BR395" s="58">
        <f t="shared" si="285"/>
        <v>101.82307015292217</v>
      </c>
      <c r="BS395" s="58">
        <f t="shared" si="285"/>
        <v>100.49595370359368</v>
      </c>
      <c r="BT395" s="58">
        <f t="shared" si="285"/>
        <v>101.93506472632157</v>
      </c>
      <c r="BU395" s="58">
        <f t="shared" si="285"/>
        <v>101.87598998179594</v>
      </c>
      <c r="BV395" s="59">
        <v>116.07</v>
      </c>
      <c r="BW395" s="59">
        <v>145.988</v>
      </c>
      <c r="BX395" s="59">
        <v>109.03</v>
      </c>
      <c r="BY395" s="59">
        <v>7.6</v>
      </c>
      <c r="BZ395" s="59">
        <v>118.1</v>
      </c>
      <c r="CA395" s="59">
        <v>35.375</v>
      </c>
      <c r="CB395" s="59">
        <v>151.5</v>
      </c>
      <c r="CC395" s="59">
        <v>215.006</v>
      </c>
      <c r="CD395" s="59">
        <v>183.67</v>
      </c>
      <c r="CE395" s="59">
        <v>193.26</v>
      </c>
      <c r="CF395" s="59">
        <v>0</v>
      </c>
      <c r="CG395" s="59"/>
      <c r="CH395" s="59"/>
      <c r="CI395" s="59"/>
    </row>
    <row r="396" spans="1:117">
      <c r="A396" s="4" t="s">
        <v>103</v>
      </c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>
        <v>174.20500000000001</v>
      </c>
      <c r="AT396" s="59">
        <v>51.456000000000003</v>
      </c>
      <c r="AU396" s="59">
        <v>5.25</v>
      </c>
      <c r="AV396" s="59">
        <v>5.8129999999999997</v>
      </c>
      <c r="AW396" s="59">
        <v>6.1050000000000004</v>
      </c>
      <c r="AX396" s="59">
        <v>169.203</v>
      </c>
      <c r="AY396" s="59">
        <v>43.564</v>
      </c>
      <c r="AZ396" s="59">
        <v>156.095</v>
      </c>
      <c r="BA396" s="59">
        <v>95.32</v>
      </c>
      <c r="BB396" s="59">
        <v>176.577</v>
      </c>
      <c r="BC396" s="103">
        <v>211.11500000000001</v>
      </c>
      <c r="BD396" s="103">
        <v>190.44399999999999</v>
      </c>
      <c r="BE396" s="103">
        <v>77.03</v>
      </c>
      <c r="BF396" s="103">
        <v>141.02699999999999</v>
      </c>
      <c r="BG396" s="103">
        <v>169.28899999999999</v>
      </c>
      <c r="BH396" s="103">
        <v>149.88999999999999</v>
      </c>
      <c r="BI396" s="119">
        <v>2</v>
      </c>
      <c r="BJ396" s="58">
        <f t="shared" si="283"/>
        <v>117.05307303498223</v>
      </c>
      <c r="BK396" s="58">
        <f t="shared" si="284"/>
        <v>136.9591077053864</v>
      </c>
      <c r="BL396" s="58">
        <f t="shared" si="285"/>
        <v>132.1664331650544</v>
      </c>
      <c r="BM396" s="58">
        <f t="shared" si="285"/>
        <v>128.34802541716388</v>
      </c>
      <c r="BN396" s="58">
        <f t="shared" si="285"/>
        <v>114.78369762724152</v>
      </c>
      <c r="BO396" s="58">
        <f t="shared" si="285"/>
        <v>125.86206738996569</v>
      </c>
      <c r="BP396" s="58">
        <f t="shared" si="285"/>
        <v>127.62386626096236</v>
      </c>
      <c r="BQ396" s="58">
        <f t="shared" si="285"/>
        <v>125.75681797207756</v>
      </c>
      <c r="BR396" s="58">
        <f t="shared" si="285"/>
        <v>124.4748949334822</v>
      </c>
      <c r="BS396" s="58">
        <f t="shared" si="285"/>
        <v>123.70026883674586</v>
      </c>
      <c r="BT396" s="58">
        <f t="shared" si="285"/>
        <v>125.48358307864673</v>
      </c>
      <c r="BU396" s="58">
        <f t="shared" si="285"/>
        <v>125.40788621638293</v>
      </c>
      <c r="BV396" s="59">
        <v>90.635000000000005</v>
      </c>
      <c r="BW396" s="59">
        <v>152.583</v>
      </c>
      <c r="BX396" s="59">
        <v>164.82</v>
      </c>
      <c r="BY396" s="59">
        <v>35</v>
      </c>
      <c r="BZ396" s="59">
        <v>142.17000000000002</v>
      </c>
      <c r="CA396" s="59">
        <v>93.2</v>
      </c>
      <c r="CB396" s="59">
        <v>174.25</v>
      </c>
      <c r="CC396" s="59">
        <v>178.12899999999999</v>
      </c>
      <c r="CD396" s="59">
        <v>175.33</v>
      </c>
      <c r="CE396" s="59">
        <v>75</v>
      </c>
      <c r="CF396" s="59">
        <v>0</v>
      </c>
      <c r="CG396" s="59"/>
      <c r="CH396" s="59"/>
      <c r="CI396" s="59"/>
    </row>
    <row r="397" spans="1:117">
      <c r="A397" s="4" t="s">
        <v>104</v>
      </c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>
        <v>118.992</v>
      </c>
      <c r="AT397" s="59">
        <v>121.654</v>
      </c>
      <c r="AU397" s="59">
        <v>5.6529999999999996</v>
      </c>
      <c r="AV397" s="59">
        <v>3.778</v>
      </c>
      <c r="AW397" s="59">
        <v>4.8330000000000002</v>
      </c>
      <c r="AX397" s="59">
        <v>185.37700000000001</v>
      </c>
      <c r="AY397" s="59">
        <v>103.364</v>
      </c>
      <c r="AZ397" s="59">
        <v>214.45500000000001</v>
      </c>
      <c r="BA397" s="59">
        <v>83.863</v>
      </c>
      <c r="BB397" s="59">
        <v>162.35499999999999</v>
      </c>
      <c r="BC397" s="103">
        <v>263.46499999999997</v>
      </c>
      <c r="BD397" s="103">
        <v>236.82300000000001</v>
      </c>
      <c r="BE397" s="103">
        <v>77.23</v>
      </c>
      <c r="BF397" s="103">
        <v>205.37</v>
      </c>
      <c r="BG397" s="103">
        <v>210.52799999999999</v>
      </c>
      <c r="BH397" s="103">
        <v>11.76</v>
      </c>
      <c r="BI397" s="59">
        <v>12</v>
      </c>
      <c r="BJ397" s="58">
        <f t="shared" si="283"/>
        <v>112.20194648522336</v>
      </c>
      <c r="BK397" s="58">
        <f t="shared" si="284"/>
        <v>130.48090115006966</v>
      </c>
      <c r="BL397" s="58">
        <f t="shared" si="285"/>
        <v>109.59753516131234</v>
      </c>
      <c r="BM397" s="58">
        <f t="shared" si="285"/>
        <v>89.698672923416723</v>
      </c>
      <c r="BN397" s="58">
        <f t="shared" si="285"/>
        <v>100.88423460444936</v>
      </c>
      <c r="BO397" s="58">
        <f t="shared" si="285"/>
        <v>108.57265806489428</v>
      </c>
      <c r="BP397" s="58">
        <f t="shared" si="285"/>
        <v>107.84680038082847</v>
      </c>
      <c r="BQ397" s="58">
        <f t="shared" si="285"/>
        <v>103.31998022698023</v>
      </c>
      <c r="BR397" s="58">
        <f t="shared" si="285"/>
        <v>102.06446924011382</v>
      </c>
      <c r="BS397" s="58">
        <f t="shared" si="285"/>
        <v>104.53762850345323</v>
      </c>
      <c r="BT397" s="58">
        <f t="shared" si="285"/>
        <v>105.268307283254</v>
      </c>
      <c r="BU397" s="58">
        <f t="shared" si="285"/>
        <v>104.60743712692594</v>
      </c>
      <c r="BV397" s="59">
        <v>122.315</v>
      </c>
      <c r="BW397" s="59">
        <v>160.18899999999999</v>
      </c>
      <c r="BX397" s="59">
        <v>180.09200000000001</v>
      </c>
      <c r="BY397" s="59">
        <v>91.06</v>
      </c>
      <c r="BZ397" s="59">
        <v>199.351</v>
      </c>
      <c r="CA397" s="59">
        <v>81.8</v>
      </c>
      <c r="CB397" s="59">
        <v>160.13999999999999</v>
      </c>
      <c r="CC397" s="59">
        <v>231.55099999999999</v>
      </c>
      <c r="CD397" s="59">
        <v>234.262</v>
      </c>
      <c r="CE397" s="59">
        <v>75</v>
      </c>
      <c r="CF397" s="59">
        <v>119.431</v>
      </c>
      <c r="CG397" s="59"/>
      <c r="CH397" s="59"/>
      <c r="CI397" s="59"/>
    </row>
    <row r="398" spans="1:117">
      <c r="A398" s="4" t="s">
        <v>105</v>
      </c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>
        <v>78.203999999999994</v>
      </c>
      <c r="AT398" s="59">
        <v>143.22900000000001</v>
      </c>
      <c r="AU398" s="59">
        <v>8.4109999999999996</v>
      </c>
      <c r="AV398" s="59">
        <v>4.6159999999999997</v>
      </c>
      <c r="AW398" s="59">
        <v>5.1909999999999998</v>
      </c>
      <c r="AX398" s="59">
        <v>174.13</v>
      </c>
      <c r="AY398" s="59">
        <v>187.631</v>
      </c>
      <c r="AZ398" s="59">
        <v>216.387</v>
      </c>
      <c r="BA398" s="59">
        <v>86.516999999999996</v>
      </c>
      <c r="BB398" s="59">
        <v>205.58699999999999</v>
      </c>
      <c r="BC398" s="103">
        <v>120.03100000000001</v>
      </c>
      <c r="BD398" s="103">
        <v>59.27</v>
      </c>
      <c r="BE398" s="103">
        <v>135.83199999999999</v>
      </c>
      <c r="BF398" s="103">
        <v>63.515999999999998</v>
      </c>
      <c r="BG398" s="103">
        <v>139.79499999999999</v>
      </c>
      <c r="BH398" s="103">
        <v>14.7</v>
      </c>
      <c r="BI398" s="59">
        <v>58</v>
      </c>
      <c r="BJ398" s="58">
        <f t="shared" si="283"/>
        <v>89.399611223928275</v>
      </c>
      <c r="BK398" s="58">
        <f t="shared" si="284"/>
        <v>86.3971124303593</v>
      </c>
      <c r="BL398" s="58">
        <f t="shared" si="285"/>
        <v>89.220999662828163</v>
      </c>
      <c r="BM398" s="58">
        <f t="shared" si="285"/>
        <v>80.55738955208929</v>
      </c>
      <c r="BN398" s="58">
        <f t="shared" si="285"/>
        <v>89.683358415378876</v>
      </c>
      <c r="BO398" s="58">
        <f t="shared" si="285"/>
        <v>87.051694256916761</v>
      </c>
      <c r="BP398" s="58">
        <f t="shared" si="285"/>
        <v>86.582110863514487</v>
      </c>
      <c r="BQ398" s="58">
        <f t="shared" si="285"/>
        <v>86.619110550145521</v>
      </c>
      <c r="BR398" s="58">
        <f t="shared" si="285"/>
        <v>86.09873272760899</v>
      </c>
      <c r="BS398" s="58">
        <f t="shared" si="285"/>
        <v>87.20700136271293</v>
      </c>
      <c r="BT398" s="58">
        <f t="shared" si="285"/>
        <v>86.711729952179738</v>
      </c>
      <c r="BU398" s="58">
        <f t="shared" si="285"/>
        <v>86.643737091232325</v>
      </c>
      <c r="BV398" s="59">
        <v>99.025999999999996</v>
      </c>
      <c r="BW398" s="59">
        <v>158.876</v>
      </c>
      <c r="BX398" s="59">
        <v>164.92399999999998</v>
      </c>
      <c r="BY398" s="59">
        <v>178.095</v>
      </c>
      <c r="BZ398" s="59">
        <v>203</v>
      </c>
      <c r="CA398" s="59">
        <v>83.8</v>
      </c>
      <c r="CB398" s="59">
        <v>179.87799999999999</v>
      </c>
      <c r="CC398" s="59">
        <v>79.483000000000004</v>
      </c>
      <c r="CD398" s="59">
        <v>56.59</v>
      </c>
      <c r="CE398" s="59">
        <v>60</v>
      </c>
      <c r="CF398" s="59">
        <v>60.003999999999998</v>
      </c>
      <c r="CG398" s="59"/>
      <c r="CH398" s="59"/>
      <c r="CI398" s="59"/>
    </row>
    <row r="399" spans="1:117">
      <c r="A399" s="4" t="s">
        <v>106</v>
      </c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>
        <v>57.212000000000003</v>
      </c>
      <c r="AT399" s="59">
        <v>89.872</v>
      </c>
      <c r="AU399" s="59">
        <v>19.812000000000001</v>
      </c>
      <c r="AV399" s="59">
        <v>4.2990000000000004</v>
      </c>
      <c r="AW399" s="59">
        <v>4.5860000000000003</v>
      </c>
      <c r="AX399" s="59">
        <v>91.588999999999999</v>
      </c>
      <c r="AY399" s="59">
        <v>140.441</v>
      </c>
      <c r="AZ399" s="59">
        <v>199.56</v>
      </c>
      <c r="BA399" s="59">
        <v>97.635999999999996</v>
      </c>
      <c r="BB399" s="59">
        <v>170.14099999999999</v>
      </c>
      <c r="BC399" s="103">
        <v>167.62700000000001</v>
      </c>
      <c r="BD399" s="103">
        <v>80.481999999999999</v>
      </c>
      <c r="BE399" s="103">
        <v>182.34800000000001</v>
      </c>
      <c r="BF399" s="103">
        <v>153.114</v>
      </c>
      <c r="BG399" s="103">
        <v>100.752</v>
      </c>
      <c r="BH399" s="59">
        <v>0.20899999999999999</v>
      </c>
      <c r="BI399" s="59">
        <v>2</v>
      </c>
      <c r="BJ399" s="58">
        <f t="shared" si="283"/>
        <v>95.169386760557572</v>
      </c>
      <c r="BK399" s="58">
        <f t="shared" si="284"/>
        <v>83.047672512410372</v>
      </c>
      <c r="BL399" s="58">
        <f t="shared" si="285"/>
        <v>64.608607403448431</v>
      </c>
      <c r="BM399" s="58">
        <f t="shared" si="285"/>
        <v>58.449266160317109</v>
      </c>
      <c r="BN399" s="58">
        <f t="shared" si="285"/>
        <v>67.394429519274112</v>
      </c>
      <c r="BO399" s="58">
        <f t="shared" si="285"/>
        <v>73.733872471201522</v>
      </c>
      <c r="BP399" s="58">
        <f t="shared" si="285"/>
        <v>69.446769613330318</v>
      </c>
      <c r="BQ399" s="58">
        <f t="shared" si="285"/>
        <v>66.726589033514301</v>
      </c>
      <c r="BR399" s="58">
        <f t="shared" si="285"/>
        <v>67.15018535952747</v>
      </c>
      <c r="BS399" s="58">
        <f t="shared" si="285"/>
        <v>68.890369199369545</v>
      </c>
      <c r="BT399" s="58">
        <f t="shared" si="285"/>
        <v>69.189557135388625</v>
      </c>
      <c r="BU399" s="58">
        <f t="shared" si="285"/>
        <v>68.280694068226055</v>
      </c>
      <c r="BV399" s="59">
        <v>133.34</v>
      </c>
      <c r="BW399" s="59">
        <v>158.554</v>
      </c>
      <c r="BX399" s="59">
        <v>79.099999999999994</v>
      </c>
      <c r="BY399" s="59">
        <v>121.67500000000001</v>
      </c>
      <c r="BZ399" s="59">
        <v>189.18</v>
      </c>
      <c r="CA399" s="59">
        <v>94.805000000000007</v>
      </c>
      <c r="CB399" s="59">
        <v>167.24199999999999</v>
      </c>
      <c r="CC399" s="59">
        <v>42</v>
      </c>
      <c r="CD399" s="118">
        <v>61.708765000085549</v>
      </c>
      <c r="CE399" s="59">
        <v>179.845</v>
      </c>
      <c r="CF399" s="59">
        <v>150</v>
      </c>
      <c r="CG399" s="59"/>
      <c r="CH399" s="59"/>
      <c r="CI399" s="59"/>
    </row>
    <row r="400" spans="1:117">
      <c r="A400" s="4" t="s">
        <v>107</v>
      </c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>
        <v>224.07900000000001</v>
      </c>
      <c r="AT400" s="59">
        <v>240.93299999999999</v>
      </c>
      <c r="AU400" s="59">
        <v>49.500999999999998</v>
      </c>
      <c r="AV400" s="59">
        <v>12.361000000000001</v>
      </c>
      <c r="AW400" s="59">
        <v>7.1369999999999996</v>
      </c>
      <c r="AX400" s="59">
        <v>82.307000000000002</v>
      </c>
      <c r="AY400" s="59">
        <v>208.66300000000001</v>
      </c>
      <c r="AZ400" s="59">
        <v>248.84399999999999</v>
      </c>
      <c r="BA400" s="59">
        <v>105.764</v>
      </c>
      <c r="BB400" s="59">
        <v>262.59899999999999</v>
      </c>
      <c r="BC400" s="103">
        <v>226.02500000000001</v>
      </c>
      <c r="BD400" s="103">
        <v>127.01300000000001</v>
      </c>
      <c r="BE400" s="103">
        <v>19.257000000000001</v>
      </c>
      <c r="BF400" s="103">
        <v>98.870999999999995</v>
      </c>
      <c r="BG400" s="103">
        <v>170.029</v>
      </c>
      <c r="BH400" s="59">
        <v>119.46899999999999</v>
      </c>
      <c r="BI400" s="59">
        <v>1</v>
      </c>
      <c r="BJ400" s="58">
        <f t="shared" si="283"/>
        <v>88.701290384901327</v>
      </c>
      <c r="BK400" s="58">
        <f t="shared" si="284"/>
        <v>113.03419046768538</v>
      </c>
      <c r="BL400" s="58">
        <f t="shared" si="285"/>
        <v>113.10455658406727</v>
      </c>
      <c r="BM400" s="58">
        <f t="shared" si="285"/>
        <v>103.83630257805991</v>
      </c>
      <c r="BN400" s="58">
        <f t="shared" si="285"/>
        <v>93.261408892158641</v>
      </c>
      <c r="BO400" s="58">
        <f t="shared" si="285"/>
        <v>102.38754978137452</v>
      </c>
      <c r="BP400" s="58">
        <f t="shared" si="285"/>
        <v>105.12480166066916</v>
      </c>
      <c r="BQ400" s="58">
        <f t="shared" si="285"/>
        <v>103.54292389926592</v>
      </c>
      <c r="BR400" s="58">
        <f t="shared" si="285"/>
        <v>101.63059736230564</v>
      </c>
      <c r="BS400" s="58">
        <f t="shared" si="285"/>
        <v>101.18945631915479</v>
      </c>
      <c r="BT400" s="58">
        <f t="shared" si="285"/>
        <v>102.77506580455402</v>
      </c>
      <c r="BU400" s="58">
        <f t="shared" si="285"/>
        <v>102.85256900918991</v>
      </c>
      <c r="BV400" s="59">
        <v>152.21899999999999</v>
      </c>
      <c r="BW400" s="59">
        <v>196.262</v>
      </c>
      <c r="BX400" s="59">
        <v>69.477000000000004</v>
      </c>
      <c r="BY400" s="59">
        <v>196.624</v>
      </c>
      <c r="BZ400" s="59">
        <v>241.244</v>
      </c>
      <c r="CA400" s="59">
        <v>103.3</v>
      </c>
      <c r="CB400" s="59">
        <v>252.797</v>
      </c>
      <c r="CC400" s="59">
        <v>200</v>
      </c>
      <c r="CD400" s="59">
        <v>39.56</v>
      </c>
      <c r="CE400" s="118">
        <v>130</v>
      </c>
      <c r="CF400" s="59">
        <v>0</v>
      </c>
      <c r="CG400" s="59"/>
      <c r="CH400" s="59"/>
      <c r="CI400" s="59"/>
    </row>
    <row r="401" spans="1:87">
      <c r="A401" s="4" t="s">
        <v>108</v>
      </c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>
        <v>315.80599999999998</v>
      </c>
      <c r="AT401" s="59">
        <v>258.536</v>
      </c>
      <c r="AU401" s="59">
        <v>243.72499999999999</v>
      </c>
      <c r="AV401" s="59">
        <v>48.468000000000004</v>
      </c>
      <c r="AW401" s="59">
        <v>3.0230000000000001</v>
      </c>
      <c r="AX401" s="59">
        <v>84.635999999999996</v>
      </c>
      <c r="AY401" s="59">
        <v>189.82599999999999</v>
      </c>
      <c r="AZ401" s="59">
        <v>125.21</v>
      </c>
      <c r="BA401" s="59">
        <v>128.58799999999999</v>
      </c>
      <c r="BB401" s="59">
        <v>189.346</v>
      </c>
      <c r="BC401" s="103">
        <v>234.86600000000001</v>
      </c>
      <c r="BD401" s="103">
        <v>137.99199999999999</v>
      </c>
      <c r="BE401" s="103">
        <v>62.546999999999997</v>
      </c>
      <c r="BF401" s="103">
        <v>55.42</v>
      </c>
      <c r="BG401" s="103">
        <v>3</v>
      </c>
      <c r="BH401" s="59">
        <v>157.44399999999999</v>
      </c>
      <c r="BI401" s="58">
        <f>((SUM(BD401:BH401)/SUM(BD$406:BH$406))*BI$406)+50</f>
        <v>88.070110424467089</v>
      </c>
      <c r="BJ401" s="58">
        <f t="shared" si="283"/>
        <v>79.552812097961819</v>
      </c>
      <c r="BK401" s="58">
        <f t="shared" si="284"/>
        <v>90.671047153688065</v>
      </c>
      <c r="BL401" s="58">
        <f t="shared" si="285"/>
        <v>96.216885334773607</v>
      </c>
      <c r="BM401" s="58">
        <f t="shared" si="285"/>
        <v>122.11898825774639</v>
      </c>
      <c r="BN401" s="58">
        <f t="shared" si="285"/>
        <v>105.917742948586</v>
      </c>
      <c r="BO401" s="58">
        <f t="shared" si="285"/>
        <v>98.895495158551171</v>
      </c>
      <c r="BP401" s="58">
        <f t="shared" ref="BP401:BU404" si="286">((SUM(BK401:BO401)/SUM(BK$406:BO$406))*BP$406)</f>
        <v>102.76403177066905</v>
      </c>
      <c r="BQ401" s="58">
        <f t="shared" si="286"/>
        <v>105.18262869406524</v>
      </c>
      <c r="BR401" s="58">
        <f t="shared" si="286"/>
        <v>106.97577736592358</v>
      </c>
      <c r="BS401" s="58">
        <f t="shared" si="286"/>
        <v>103.947135187559</v>
      </c>
      <c r="BT401" s="58">
        <f t="shared" si="286"/>
        <v>103.55301363535362</v>
      </c>
      <c r="BU401" s="58">
        <f t="shared" si="286"/>
        <v>104.48451733071411</v>
      </c>
      <c r="BV401" s="59">
        <v>124.49</v>
      </c>
      <c r="BW401" s="59">
        <v>102.89400000000001</v>
      </c>
      <c r="BX401" s="59">
        <v>71.353000000000009</v>
      </c>
      <c r="BY401" s="59">
        <v>175.99600000000001</v>
      </c>
      <c r="BZ401" s="59">
        <v>120.22199999999999</v>
      </c>
      <c r="CA401" s="59">
        <v>126.646</v>
      </c>
      <c r="CB401" s="59">
        <v>185.80600000000001</v>
      </c>
      <c r="CC401" s="59">
        <v>185</v>
      </c>
      <c r="CD401" s="59">
        <v>136</v>
      </c>
      <c r="CE401" s="59">
        <v>60</v>
      </c>
      <c r="CF401" s="59">
        <v>0</v>
      </c>
      <c r="CG401" s="59"/>
      <c r="CH401" s="59"/>
      <c r="CI401" s="59"/>
    </row>
    <row r="402" spans="1:87">
      <c r="A402" s="4" t="s">
        <v>109</v>
      </c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>
        <v>217.58799999999999</v>
      </c>
      <c r="AT402" s="59">
        <v>228.05199999999999</v>
      </c>
      <c r="AU402" s="59">
        <v>176.87100000000001</v>
      </c>
      <c r="AV402" s="59">
        <v>19.902999999999999</v>
      </c>
      <c r="AW402" s="59">
        <v>37.896999999999998</v>
      </c>
      <c r="AX402" s="59">
        <v>90.352000000000004</v>
      </c>
      <c r="AY402" s="59">
        <v>16.466999999999999</v>
      </c>
      <c r="AZ402" s="59">
        <v>127.081</v>
      </c>
      <c r="BA402" s="59">
        <v>62.548999999999999</v>
      </c>
      <c r="BB402" s="59">
        <v>97.980999999999995</v>
      </c>
      <c r="BC402" s="103">
        <v>227.827</v>
      </c>
      <c r="BD402" s="103">
        <v>94.625</v>
      </c>
      <c r="BE402" s="103">
        <v>226.666</v>
      </c>
      <c r="BF402" s="103">
        <v>65.230999999999995</v>
      </c>
      <c r="BG402" s="103">
        <v>2.8119999999999998</v>
      </c>
      <c r="BH402" s="59">
        <v>59.308999999999997</v>
      </c>
      <c r="BI402" s="58">
        <f>((SUM(BD402:BH402)/SUM(BD$406:BH$406))*BI$406)+50</f>
        <v>91.017688516087048</v>
      </c>
      <c r="BJ402" s="58">
        <f t="shared" si="283"/>
        <v>96.604816724119217</v>
      </c>
      <c r="BK402" s="58">
        <f t="shared" si="284"/>
        <v>74.472078549625067</v>
      </c>
      <c r="BL402" s="58">
        <f t="shared" si="285"/>
        <v>74.497695237385386</v>
      </c>
      <c r="BM402" s="58">
        <f t="shared" si="285"/>
        <v>94.436185479133684</v>
      </c>
      <c r="BN402" s="58">
        <f t="shared" si="285"/>
        <v>95.784103223633409</v>
      </c>
      <c r="BO402" s="58">
        <f t="shared" si="285"/>
        <v>87.158975842779341</v>
      </c>
      <c r="BP402" s="58">
        <f t="shared" si="286"/>
        <v>85.269807666511383</v>
      </c>
      <c r="BQ402" s="58">
        <f t="shared" si="286"/>
        <v>87.429353489888641</v>
      </c>
      <c r="BR402" s="58">
        <f t="shared" si="286"/>
        <v>90.01568514038928</v>
      </c>
      <c r="BS402" s="58">
        <f t="shared" si="286"/>
        <v>89.131585072640405</v>
      </c>
      <c r="BT402" s="58">
        <f t="shared" si="286"/>
        <v>87.801081442441799</v>
      </c>
      <c r="BU402" s="58">
        <f t="shared" si="286"/>
        <v>87.929502562374296</v>
      </c>
      <c r="BV402" s="59">
        <v>129.31200000000001</v>
      </c>
      <c r="BW402" s="59">
        <v>179.166</v>
      </c>
      <c r="BX402" s="59">
        <v>80.599999999999994</v>
      </c>
      <c r="BY402" s="59">
        <v>8.4580000000000002</v>
      </c>
      <c r="BZ402" s="59">
        <v>123.41200000000001</v>
      </c>
      <c r="CA402" s="59">
        <v>61.325000000000003</v>
      </c>
      <c r="CB402" s="59">
        <v>90.71</v>
      </c>
      <c r="CC402" s="59">
        <v>170.791</v>
      </c>
      <c r="CD402" s="59">
        <v>76.313999999999993</v>
      </c>
      <c r="CE402" s="59">
        <v>148.66999999999999</v>
      </c>
      <c r="CF402" s="59">
        <v>0</v>
      </c>
      <c r="CG402" s="59"/>
      <c r="CH402" s="59"/>
      <c r="CI402" s="59"/>
    </row>
    <row r="403" spans="1:87">
      <c r="A403" s="4" t="s">
        <v>110</v>
      </c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>
        <v>192.495</v>
      </c>
      <c r="AT403" s="59">
        <v>76.376000000000005</v>
      </c>
      <c r="AU403" s="59">
        <v>123.744</v>
      </c>
      <c r="AV403" s="59">
        <v>5.8620000000000001</v>
      </c>
      <c r="AW403" s="59">
        <v>140.94999999999999</v>
      </c>
      <c r="AX403" s="59">
        <v>115.842</v>
      </c>
      <c r="AY403" s="59">
        <v>40.826000000000001</v>
      </c>
      <c r="AZ403" s="59">
        <v>27.282</v>
      </c>
      <c r="BA403" s="59">
        <v>67.040999999999997</v>
      </c>
      <c r="BB403" s="103">
        <v>92.724999999999994</v>
      </c>
      <c r="BC403" s="103">
        <v>317.98099999999999</v>
      </c>
      <c r="BD403" s="103">
        <v>130.37799999999999</v>
      </c>
      <c r="BE403" s="103">
        <v>74.733999999999995</v>
      </c>
      <c r="BF403" s="103">
        <v>58.508000000000003</v>
      </c>
      <c r="BG403" s="103">
        <v>150.87100000000001</v>
      </c>
      <c r="BH403" s="119">
        <v>30</v>
      </c>
      <c r="BI403" s="58">
        <f>((SUM(BD403:BH403)/SUM(BD$406:BH$406))*BI$406)+50</f>
        <v>90.63808726805955</v>
      </c>
      <c r="BJ403" s="58">
        <f t="shared" si="283"/>
        <v>87.86015506935118</v>
      </c>
      <c r="BK403" s="58">
        <f t="shared" si="284"/>
        <v>98.802240491558038</v>
      </c>
      <c r="BL403" s="58">
        <f t="shared" si="285"/>
        <v>105.27784968035211</v>
      </c>
      <c r="BM403" s="58">
        <f t="shared" si="285"/>
        <v>98.414241119042728</v>
      </c>
      <c r="BN403" s="58">
        <f t="shared" si="285"/>
        <v>106.88723858408081</v>
      </c>
      <c r="BO403" s="58">
        <f t="shared" si="285"/>
        <v>99.448344988876968</v>
      </c>
      <c r="BP403" s="58">
        <f t="shared" si="286"/>
        <v>101.76598297278213</v>
      </c>
      <c r="BQ403" s="58">
        <f t="shared" si="286"/>
        <v>102.35873146902694</v>
      </c>
      <c r="BR403" s="58">
        <f t="shared" si="286"/>
        <v>101.7749078267619</v>
      </c>
      <c r="BS403" s="58">
        <f t="shared" si="286"/>
        <v>102.44704116830576</v>
      </c>
      <c r="BT403" s="58">
        <f t="shared" si="286"/>
        <v>101.55900168515075</v>
      </c>
      <c r="BU403" s="58">
        <f t="shared" si="286"/>
        <v>101.98113302440549</v>
      </c>
      <c r="BV403" s="59">
        <v>110.681</v>
      </c>
      <c r="BW403" s="59">
        <v>136.50800000000001</v>
      </c>
      <c r="BX403" s="59">
        <v>107.25</v>
      </c>
      <c r="BY403" s="59">
        <v>34.320999999999998</v>
      </c>
      <c r="BZ403" s="59">
        <v>25.25</v>
      </c>
      <c r="CA403" s="59">
        <v>64.8</v>
      </c>
      <c r="CB403" s="59">
        <v>68.349999999999994</v>
      </c>
      <c r="CC403" s="59">
        <v>213.91</v>
      </c>
      <c r="CD403" s="59">
        <v>0</v>
      </c>
      <c r="CE403" s="59">
        <v>30.312999999999999</v>
      </c>
      <c r="CF403" s="59">
        <v>61.939</v>
      </c>
      <c r="CG403" s="59"/>
      <c r="CH403" s="59"/>
      <c r="CI403" s="59"/>
    </row>
    <row r="404" spans="1:87">
      <c r="A404" s="4" t="s">
        <v>111</v>
      </c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>
        <v>179.37200000000001</v>
      </c>
      <c r="AT404" s="59">
        <v>173.00700000000001</v>
      </c>
      <c r="AU404" s="59">
        <v>191.85900000000001</v>
      </c>
      <c r="AV404" s="59">
        <v>3.806</v>
      </c>
      <c r="AW404" s="59">
        <v>159.41399999999999</v>
      </c>
      <c r="AX404" s="59">
        <v>49.390999999999998</v>
      </c>
      <c r="AY404" s="59">
        <v>104.968</v>
      </c>
      <c r="AZ404" s="59">
        <v>35.372999999999998</v>
      </c>
      <c r="BA404" s="59">
        <v>24.42</v>
      </c>
      <c r="BB404" s="103">
        <v>71.257999999999996</v>
      </c>
      <c r="BC404" s="103">
        <v>150.59399999999999</v>
      </c>
      <c r="BD404" s="103">
        <v>47.924999999999997</v>
      </c>
      <c r="BE404" s="103">
        <v>100.94</v>
      </c>
      <c r="BF404" s="103">
        <v>90.004999999999995</v>
      </c>
      <c r="BG404" s="103">
        <v>175.22399999999999</v>
      </c>
      <c r="BH404" s="119">
        <v>3</v>
      </c>
      <c r="BI404" s="58">
        <f>((SUM(BD404:BH404)/SUM(BD$406:BH$406))*BI$406)+50</f>
        <v>88.133285873018878</v>
      </c>
      <c r="BJ404" s="58">
        <f t="shared" si="283"/>
        <v>99.267552365492662</v>
      </c>
      <c r="BK404" s="58">
        <f t="shared" si="284"/>
        <v>107.72840511956471</v>
      </c>
      <c r="BL404" s="58">
        <f t="shared" si="285"/>
        <v>108.76628831690321</v>
      </c>
      <c r="BM404" s="58">
        <f t="shared" si="285"/>
        <v>97.058696032268841</v>
      </c>
      <c r="BN404" s="58">
        <f t="shared" si="285"/>
        <v>111.32316171272183</v>
      </c>
      <c r="BO404" s="58">
        <f t="shared" si="285"/>
        <v>104.82882070939024</v>
      </c>
      <c r="BP404" s="58">
        <f t="shared" si="286"/>
        <v>105.94107437816977</v>
      </c>
      <c r="BQ404" s="58">
        <f t="shared" si="286"/>
        <v>105.58360822989077</v>
      </c>
      <c r="BR404" s="58">
        <f t="shared" si="286"/>
        <v>104.94707221248831</v>
      </c>
      <c r="BS404" s="58">
        <f t="shared" si="286"/>
        <v>106.52474744853218</v>
      </c>
      <c r="BT404" s="58">
        <f t="shared" si="286"/>
        <v>105.56506459569425</v>
      </c>
      <c r="BU404" s="58">
        <f t="shared" si="286"/>
        <v>105.71231337295508</v>
      </c>
      <c r="BV404" s="59">
        <v>95.625</v>
      </c>
      <c r="BW404" s="59">
        <v>155.74200000000002</v>
      </c>
      <c r="BX404" s="59">
        <v>45</v>
      </c>
      <c r="BY404" s="59">
        <v>92.754999999999995</v>
      </c>
      <c r="BZ404" s="59">
        <v>32.75</v>
      </c>
      <c r="CA404" s="59">
        <v>22.4</v>
      </c>
      <c r="CB404" s="59">
        <v>69.400000000000006</v>
      </c>
      <c r="CC404" s="59">
        <v>40</v>
      </c>
      <c r="CD404" s="59">
        <v>0</v>
      </c>
      <c r="CE404" s="118">
        <v>29.752933958062879</v>
      </c>
      <c r="CF404" s="59">
        <v>93.548000000000002</v>
      </c>
      <c r="CG404" s="59"/>
      <c r="CH404" s="59"/>
      <c r="CI404" s="59"/>
    </row>
    <row r="405" spans="1:87">
      <c r="A405" s="4" t="s">
        <v>112</v>
      </c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>
        <v>203.07300000000001</v>
      </c>
      <c r="AT405" s="59">
        <v>145.86199999999999</v>
      </c>
      <c r="AU405" s="59">
        <v>122.729</v>
      </c>
      <c r="AV405" s="59">
        <v>4.4980000000000002</v>
      </c>
      <c r="AW405" s="59">
        <v>158.791</v>
      </c>
      <c r="AX405" s="59">
        <v>96.551000000000002</v>
      </c>
      <c r="AY405" s="59">
        <v>93.358999999999995</v>
      </c>
      <c r="AZ405" s="59">
        <v>40.393999999999998</v>
      </c>
      <c r="BA405" s="59">
        <v>99.13</v>
      </c>
      <c r="BB405" s="103">
        <v>80.442999999999998</v>
      </c>
      <c r="BC405" s="103">
        <v>111.876</v>
      </c>
      <c r="BD405" s="103">
        <v>205.304</v>
      </c>
      <c r="BE405" s="103">
        <v>232.233</v>
      </c>
      <c r="BF405" s="103">
        <v>118.884</v>
      </c>
      <c r="BG405" s="103">
        <v>127.601</v>
      </c>
      <c r="BH405" s="119">
        <v>2</v>
      </c>
      <c r="BI405" s="58">
        <f t="shared" ref="BI405:BO405" si="287">BI406-SUM(BI394:BI404)</f>
        <v>75.140827918367449</v>
      </c>
      <c r="BJ405" s="58">
        <f t="shared" si="287"/>
        <v>120.66142464796167</v>
      </c>
      <c r="BK405" s="58">
        <f t="shared" si="287"/>
        <v>105.04658193362025</v>
      </c>
      <c r="BL405" s="58">
        <f t="shared" si="287"/>
        <v>98.908017346715724</v>
      </c>
      <c r="BM405" s="58">
        <f t="shared" si="287"/>
        <v>95.832942676338916</v>
      </c>
      <c r="BN405" s="58">
        <f t="shared" si="287"/>
        <v>110.13106544955644</v>
      </c>
      <c r="BO405" s="58">
        <f t="shared" si="287"/>
        <v>106.11600641083851</v>
      </c>
      <c r="BP405" s="58">
        <f t="shared" ref="BP405:BU405" si="288">BP406-SUM(BP394:BP404)</f>
        <v>103.20692276341401</v>
      </c>
      <c r="BQ405" s="58">
        <f t="shared" si="288"/>
        <v>102.83899092937281</v>
      </c>
      <c r="BR405" s="58">
        <f t="shared" si="288"/>
        <v>103.62518564590437</v>
      </c>
      <c r="BS405" s="58">
        <f t="shared" si="288"/>
        <v>105.18363423981714</v>
      </c>
      <c r="BT405" s="58">
        <f t="shared" si="288"/>
        <v>104.19414799786909</v>
      </c>
      <c r="BU405" s="58">
        <f t="shared" si="288"/>
        <v>103.80977631527549</v>
      </c>
      <c r="BV405" s="59">
        <v>113.279</v>
      </c>
      <c r="BW405" s="59">
        <v>152.75</v>
      </c>
      <c r="BX405" s="59">
        <v>89.7</v>
      </c>
      <c r="BY405" s="59">
        <v>85</v>
      </c>
      <c r="BZ405" s="59">
        <v>37.805</v>
      </c>
      <c r="CA405" s="59">
        <v>98.28</v>
      </c>
      <c r="CB405" s="59">
        <v>40.200000000000003</v>
      </c>
      <c r="CC405" s="59">
        <v>65.2</v>
      </c>
      <c r="CD405" s="59">
        <v>60</v>
      </c>
      <c r="CE405" s="59">
        <v>179.67699999999999</v>
      </c>
      <c r="CF405" s="59">
        <v>122.69</v>
      </c>
      <c r="CG405" s="59"/>
      <c r="CH405" s="59"/>
      <c r="CI405" s="59"/>
    </row>
    <row r="406" spans="1:87" ht="15.75" thickBot="1">
      <c r="A406" s="4" t="s">
        <v>113</v>
      </c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>
        <f t="shared" ref="AS406:BH406" si="289">SUM(AS394:AS405)</f>
        <v>2192.203</v>
      </c>
      <c r="AT406" s="59">
        <f t="shared" si="289"/>
        <v>1770.6020000000001</v>
      </c>
      <c r="AU406" s="59">
        <f t="shared" si="289"/>
        <v>1130.45</v>
      </c>
      <c r="AV406" s="59">
        <f t="shared" si="289"/>
        <v>191.40400000000002</v>
      </c>
      <c r="AW406" s="59">
        <f t="shared" si="289"/>
        <v>537.56500000000005</v>
      </c>
      <c r="AX406" s="59">
        <f t="shared" si="289"/>
        <v>1451.9880000000003</v>
      </c>
      <c r="AY406" s="59">
        <f t="shared" si="289"/>
        <v>1245.3050000000001</v>
      </c>
      <c r="AZ406" s="59">
        <f t="shared" si="289"/>
        <v>1584.829</v>
      </c>
      <c r="BA406" s="59">
        <f t="shared" si="289"/>
        <v>903.80699999999979</v>
      </c>
      <c r="BB406" s="59">
        <f t="shared" si="289"/>
        <v>1743.2869999999998</v>
      </c>
      <c r="BC406" s="59">
        <f t="shared" si="289"/>
        <v>2464.2560000000003</v>
      </c>
      <c r="BD406" s="59">
        <f t="shared" si="289"/>
        <v>1634.558</v>
      </c>
      <c r="BE406" s="59">
        <f t="shared" si="289"/>
        <v>1652.8009999999999</v>
      </c>
      <c r="BF406" s="59">
        <f t="shared" si="289"/>
        <v>1052.8909999999998</v>
      </c>
      <c r="BG406" s="59">
        <f t="shared" si="289"/>
        <v>1391.7109999999998</v>
      </c>
      <c r="BH406" s="59">
        <f t="shared" si="289"/>
        <v>830.71499999999992</v>
      </c>
      <c r="BI406" s="58">
        <v>600</v>
      </c>
      <c r="BJ406" s="58">
        <v>1200</v>
      </c>
      <c r="BK406" s="58">
        <v>1200</v>
      </c>
      <c r="BL406" s="58">
        <v>1200</v>
      </c>
      <c r="BM406" s="58">
        <v>1200</v>
      </c>
      <c r="BN406" s="58">
        <v>1200</v>
      </c>
      <c r="BO406" s="58">
        <v>1200</v>
      </c>
      <c r="BP406" s="58">
        <v>1200</v>
      </c>
      <c r="BQ406" s="58">
        <v>1200</v>
      </c>
      <c r="BR406" s="58">
        <v>1200</v>
      </c>
      <c r="BS406" s="58">
        <v>1200</v>
      </c>
      <c r="BT406" s="58">
        <v>1200</v>
      </c>
      <c r="BU406" s="58">
        <v>1200</v>
      </c>
    </row>
    <row r="407" spans="1:87">
      <c r="A407" s="60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120">
        <f t="shared" ref="AV407:BH407" si="290">AV406/AV390</f>
        <v>0.29662483940905637</v>
      </c>
      <c r="AW407" s="120">
        <f t="shared" si="290"/>
        <v>0.67991723087703149</v>
      </c>
      <c r="AX407" s="120">
        <f t="shared" si="290"/>
        <v>1.6710703339981616</v>
      </c>
      <c r="AY407" s="120">
        <f t="shared" si="290"/>
        <v>1.4635701424897871</v>
      </c>
      <c r="AZ407" s="120">
        <f t="shared" si="290"/>
        <v>1.4907156489357398</v>
      </c>
      <c r="BA407" s="120">
        <f t="shared" si="290"/>
        <v>0.94178347692346154</v>
      </c>
      <c r="BB407" s="120">
        <f t="shared" si="290"/>
        <v>1.5757016728792537</v>
      </c>
      <c r="BC407" s="120">
        <f t="shared" si="290"/>
        <v>2.1230262387053642</v>
      </c>
      <c r="BD407" s="120">
        <f t="shared" si="290"/>
        <v>1.490390989221605</v>
      </c>
      <c r="BE407" s="120">
        <f t="shared" si="290"/>
        <v>1.5227266445677348</v>
      </c>
      <c r="BF407" s="120">
        <f t="shared" si="290"/>
        <v>2.5653301042075278</v>
      </c>
      <c r="BG407" s="120">
        <f t="shared" si="290"/>
        <v>3.3108307105252508</v>
      </c>
      <c r="BH407" s="120">
        <f t="shared" si="290"/>
        <v>1.0788072168523084</v>
      </c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1:87" ht="15.75" thickBot="1">
      <c r="A408" s="53"/>
    </row>
    <row r="409" spans="1:87" s="4" customFormat="1" ht="15.75" thickBot="1">
      <c r="A409" s="54"/>
      <c r="B409" s="121">
        <v>1964</v>
      </c>
      <c r="C409" s="121">
        <v>1965</v>
      </c>
      <c r="D409" s="121">
        <v>1966</v>
      </c>
      <c r="E409" s="121">
        <v>1967</v>
      </c>
      <c r="F409" s="121">
        <v>1968</v>
      </c>
      <c r="G409" s="121">
        <v>1969</v>
      </c>
      <c r="H409" s="121">
        <v>1970</v>
      </c>
      <c r="I409" s="121">
        <v>1971</v>
      </c>
      <c r="J409" s="121">
        <v>1972</v>
      </c>
      <c r="K409" s="121">
        <v>1973</v>
      </c>
      <c r="L409" s="121">
        <v>1974</v>
      </c>
      <c r="M409" s="121">
        <v>1975</v>
      </c>
      <c r="N409" s="121">
        <v>1976</v>
      </c>
      <c r="O409" s="121">
        <v>1977</v>
      </c>
      <c r="P409" s="121">
        <v>1978</v>
      </c>
      <c r="Q409" s="121">
        <v>1979</v>
      </c>
      <c r="R409" s="121">
        <v>1980</v>
      </c>
      <c r="S409" s="121">
        <v>1981</v>
      </c>
      <c r="T409" s="121">
        <v>1982</v>
      </c>
      <c r="U409" s="121">
        <v>1983</v>
      </c>
      <c r="V409" s="121">
        <v>1984</v>
      </c>
      <c r="W409" s="121">
        <v>1985</v>
      </c>
      <c r="X409" s="121">
        <v>1986</v>
      </c>
      <c r="Y409" s="121">
        <v>1987</v>
      </c>
      <c r="Z409" s="121">
        <v>1988</v>
      </c>
      <c r="AA409" s="121">
        <v>1989</v>
      </c>
      <c r="AB409" s="121">
        <v>1990</v>
      </c>
      <c r="AC409" s="121">
        <v>1991</v>
      </c>
      <c r="AD409" s="121">
        <v>1992</v>
      </c>
      <c r="AE409" s="121">
        <v>1993</v>
      </c>
      <c r="AF409" s="121">
        <v>1994</v>
      </c>
      <c r="AG409" s="121">
        <v>1995</v>
      </c>
      <c r="AH409" s="121">
        <v>1996</v>
      </c>
      <c r="AI409" s="121">
        <v>1997</v>
      </c>
      <c r="AJ409" s="121">
        <v>1998</v>
      </c>
      <c r="AK409" s="121">
        <v>1999</v>
      </c>
      <c r="AL409" s="121">
        <v>2000</v>
      </c>
      <c r="AM409" s="121">
        <v>2001</v>
      </c>
      <c r="AN409" s="121">
        <v>2002</v>
      </c>
      <c r="AO409" s="121">
        <v>2003</v>
      </c>
      <c r="AP409" s="121">
        <v>2004</v>
      </c>
      <c r="AQ409" s="121">
        <v>2005</v>
      </c>
      <c r="AR409" s="121">
        <v>2006</v>
      </c>
      <c r="AS409" s="121">
        <v>2007</v>
      </c>
      <c r="AT409" s="121">
        <v>2008</v>
      </c>
      <c r="AU409" s="121">
        <v>2009</v>
      </c>
      <c r="AV409" s="121">
        <v>2010</v>
      </c>
      <c r="AW409" s="121">
        <v>2011</v>
      </c>
      <c r="AX409" s="121">
        <v>2012</v>
      </c>
      <c r="AY409" s="121">
        <v>2013</v>
      </c>
      <c r="AZ409" s="121">
        <v>2014</v>
      </c>
      <c r="BA409" s="121">
        <v>2015</v>
      </c>
      <c r="BB409" s="121">
        <v>2016</v>
      </c>
      <c r="BC409" s="121">
        <v>2017</v>
      </c>
      <c r="BD409" s="121">
        <v>2018</v>
      </c>
      <c r="BE409" s="121">
        <v>2019</v>
      </c>
      <c r="BF409" s="121">
        <v>2020</v>
      </c>
      <c r="BG409" s="121">
        <v>2021</v>
      </c>
      <c r="BH409" s="121">
        <v>2022</v>
      </c>
      <c r="BI409" s="121">
        <v>2023</v>
      </c>
      <c r="BJ409" s="121">
        <v>2024</v>
      </c>
      <c r="BK409" s="121">
        <v>2025</v>
      </c>
      <c r="BL409" s="121">
        <v>2026</v>
      </c>
      <c r="BM409" s="121">
        <v>2027</v>
      </c>
      <c r="BN409" s="121">
        <v>2028</v>
      </c>
      <c r="BO409" s="121">
        <v>2029</v>
      </c>
      <c r="BP409" s="121">
        <v>2029</v>
      </c>
      <c r="BQ409" s="121">
        <v>2029</v>
      </c>
      <c r="BR409" s="121">
        <v>2029</v>
      </c>
      <c r="BS409" s="121">
        <v>2029</v>
      </c>
      <c r="BT409" s="121">
        <v>2029</v>
      </c>
      <c r="BU409" s="121">
        <v>2029</v>
      </c>
    </row>
    <row r="410" spans="1:87">
      <c r="A410" s="4"/>
    </row>
    <row r="411" spans="1:87">
      <c r="A411" s="4"/>
    </row>
    <row r="412" spans="1:87" ht="15.75">
      <c r="A412" s="122" t="s">
        <v>159</v>
      </c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  <c r="AE412" s="123"/>
      <c r="AF412" s="123"/>
      <c r="AG412" s="123"/>
      <c r="AH412" s="123"/>
      <c r="AI412" s="123"/>
      <c r="AJ412" s="123"/>
      <c r="AK412" s="123"/>
      <c r="AL412" s="123"/>
      <c r="AM412" s="123"/>
      <c r="AN412" s="123"/>
      <c r="AO412" s="123"/>
      <c r="AP412" s="123"/>
      <c r="AQ412" s="123"/>
      <c r="AR412" s="123"/>
      <c r="AS412" s="123"/>
      <c r="AT412" s="123"/>
      <c r="AU412" s="123"/>
      <c r="AV412" s="123"/>
      <c r="AW412" s="123"/>
      <c r="AX412" s="123"/>
      <c r="AY412" s="123"/>
      <c r="AZ412" s="123"/>
      <c r="BA412" s="123"/>
      <c r="BB412" s="123"/>
      <c r="BC412" s="123"/>
      <c r="BD412" s="123"/>
      <c r="BE412" s="123"/>
      <c r="BF412" s="123"/>
      <c r="BG412" s="123"/>
      <c r="BH412" s="123"/>
      <c r="BI412" s="123"/>
      <c r="BJ412" s="123"/>
      <c r="BK412" s="123"/>
      <c r="BL412" s="123"/>
      <c r="BM412" s="123"/>
      <c r="BN412" s="123"/>
      <c r="BO412" s="123"/>
      <c r="BP412" s="123"/>
      <c r="BQ412" s="123"/>
      <c r="BR412" s="123"/>
      <c r="BS412" s="123"/>
      <c r="BT412" s="123"/>
      <c r="BU412" s="123"/>
    </row>
    <row r="413" spans="1:87" s="4" customFormat="1">
      <c r="A413" s="124"/>
      <c r="B413" s="125" t="s">
        <v>1</v>
      </c>
      <c r="C413" s="125" t="s">
        <v>2</v>
      </c>
      <c r="D413" s="125" t="s">
        <v>3</v>
      </c>
      <c r="E413" s="125" t="s">
        <v>4</v>
      </c>
      <c r="F413" s="125" t="s">
        <v>5</v>
      </c>
      <c r="G413" s="125" t="s">
        <v>6</v>
      </c>
      <c r="H413" s="125" t="s">
        <v>7</v>
      </c>
      <c r="I413" s="125" t="s">
        <v>8</v>
      </c>
      <c r="J413" s="125" t="s">
        <v>9</v>
      </c>
      <c r="K413" s="125" t="s">
        <v>10</v>
      </c>
      <c r="L413" s="125" t="s">
        <v>11</v>
      </c>
      <c r="M413" s="126" t="s">
        <v>12</v>
      </c>
      <c r="N413" s="126" t="s">
        <v>13</v>
      </c>
      <c r="O413" s="126" t="s">
        <v>14</v>
      </c>
      <c r="P413" s="126" t="s">
        <v>15</v>
      </c>
      <c r="Q413" s="126" t="s">
        <v>16</v>
      </c>
      <c r="R413" s="126" t="s">
        <v>17</v>
      </c>
      <c r="S413" s="126" t="s">
        <v>18</v>
      </c>
      <c r="T413" s="126" t="s">
        <v>19</v>
      </c>
      <c r="U413" s="126" t="s">
        <v>20</v>
      </c>
      <c r="V413" s="126" t="s">
        <v>21</v>
      </c>
      <c r="W413" s="126" t="s">
        <v>22</v>
      </c>
      <c r="X413" s="126" t="s">
        <v>23</v>
      </c>
      <c r="Y413" s="126" t="s">
        <v>24</v>
      </c>
      <c r="Z413" s="126" t="s">
        <v>25</v>
      </c>
      <c r="AA413" s="126" t="s">
        <v>26</v>
      </c>
      <c r="AB413" s="126" t="s">
        <v>27</v>
      </c>
      <c r="AC413" s="126" t="s">
        <v>28</v>
      </c>
      <c r="AD413" s="126" t="s">
        <v>29</v>
      </c>
      <c r="AE413" s="126" t="s">
        <v>30</v>
      </c>
      <c r="AF413" s="126" t="s">
        <v>31</v>
      </c>
      <c r="AG413" s="126" t="s">
        <v>32</v>
      </c>
      <c r="AH413" s="126" t="s">
        <v>33</v>
      </c>
      <c r="AI413" s="126" t="s">
        <v>34</v>
      </c>
      <c r="AJ413" s="126" t="s">
        <v>35</v>
      </c>
      <c r="AK413" s="126" t="s">
        <v>36</v>
      </c>
      <c r="AL413" s="126" t="s">
        <v>37</v>
      </c>
      <c r="AM413" s="126" t="s">
        <v>38</v>
      </c>
      <c r="AN413" s="126" t="s">
        <v>39</v>
      </c>
      <c r="AO413" s="126" t="s">
        <v>40</v>
      </c>
      <c r="AP413" s="126" t="s">
        <v>41</v>
      </c>
      <c r="AQ413" s="126" t="s">
        <v>42</v>
      </c>
      <c r="AR413" s="126" t="s">
        <v>43</v>
      </c>
      <c r="AS413" s="126" t="s">
        <v>44</v>
      </c>
      <c r="AT413" s="126" t="s">
        <v>45</v>
      </c>
      <c r="AU413" s="126" t="s">
        <v>46</v>
      </c>
      <c r="AV413" s="126" t="s">
        <v>47</v>
      </c>
      <c r="AW413" s="126" t="s">
        <v>48</v>
      </c>
      <c r="AX413" s="126" t="s">
        <v>49</v>
      </c>
      <c r="AY413" s="126" t="s">
        <v>50</v>
      </c>
      <c r="AZ413" s="126" t="s">
        <v>51</v>
      </c>
      <c r="BA413" s="126" t="s">
        <v>52</v>
      </c>
      <c r="BB413" s="126" t="s">
        <v>53</v>
      </c>
      <c r="BC413" s="126" t="s">
        <v>54</v>
      </c>
      <c r="BD413" s="126" t="s">
        <v>55</v>
      </c>
      <c r="BE413" s="126" t="s">
        <v>56</v>
      </c>
      <c r="BF413" s="126" t="s">
        <v>57</v>
      </c>
      <c r="BG413" s="126" t="str">
        <f>BH2</f>
        <v>22/23</v>
      </c>
      <c r="BH413" s="126" t="str">
        <f>BI2</f>
        <v>23/24</v>
      </c>
      <c r="BI413" s="126" t="str">
        <f>BJ2</f>
        <v>24/25</v>
      </c>
      <c r="BJ413" s="126"/>
      <c r="BK413" s="126"/>
      <c r="BL413" s="126"/>
      <c r="BM413" s="126"/>
      <c r="BN413" s="126"/>
      <c r="BO413" s="126"/>
      <c r="BP413" s="126"/>
      <c r="BQ413" s="126"/>
      <c r="BR413" s="126"/>
      <c r="BS413" s="126"/>
      <c r="BT413" s="126"/>
      <c r="BU413" s="126"/>
    </row>
    <row r="414" spans="1:87">
      <c r="A414" s="127" t="s">
        <v>160</v>
      </c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  <c r="AE414" s="123"/>
      <c r="AF414" s="123"/>
      <c r="AG414" s="123"/>
      <c r="AH414" s="123"/>
      <c r="AI414" s="123"/>
      <c r="AJ414" s="123"/>
      <c r="AK414" s="123"/>
      <c r="AL414" s="123"/>
      <c r="AM414" s="123"/>
      <c r="AN414" s="123"/>
      <c r="AO414" s="123"/>
      <c r="AP414" s="123"/>
      <c r="AQ414" s="123"/>
      <c r="AR414" s="123"/>
      <c r="AS414" s="123"/>
      <c r="AT414" s="123"/>
      <c r="AU414" s="123"/>
      <c r="AV414" s="123"/>
      <c r="AW414" s="123"/>
      <c r="AX414" s="123"/>
      <c r="AY414" s="123"/>
      <c r="AZ414" s="123"/>
      <c r="BA414" s="123"/>
      <c r="BB414" s="123"/>
      <c r="BC414" s="123"/>
      <c r="BD414" s="123"/>
      <c r="BE414" s="123"/>
      <c r="BF414" s="123"/>
      <c r="BG414" s="123"/>
      <c r="BH414" s="123"/>
      <c r="BI414" s="123"/>
      <c r="BJ414" s="123"/>
      <c r="BK414" s="123"/>
      <c r="BL414" s="123"/>
      <c r="BM414" s="123"/>
      <c r="BN414" s="123"/>
      <c r="BO414" s="123"/>
      <c r="BP414" s="123"/>
      <c r="BQ414" s="123"/>
      <c r="BR414" s="123"/>
      <c r="BS414" s="123"/>
      <c r="BT414" s="123"/>
      <c r="BU414" s="123"/>
    </row>
    <row r="415" spans="1:87">
      <c r="A415" s="128" t="s">
        <v>161</v>
      </c>
      <c r="M415">
        <v>256.47300000000001</v>
      </c>
      <c r="N415">
        <f t="shared" ref="N415:BJ415" si="291">M424</f>
        <v>288.03399999999999</v>
      </c>
      <c r="O415">
        <f t="shared" si="291"/>
        <v>390.06099999999998</v>
      </c>
      <c r="P415">
        <f t="shared" si="291"/>
        <v>628</v>
      </c>
      <c r="Q415">
        <f t="shared" si="291"/>
        <v>606</v>
      </c>
      <c r="R415">
        <f t="shared" si="291"/>
        <v>1008</v>
      </c>
      <c r="S415">
        <f t="shared" si="291"/>
        <v>699</v>
      </c>
      <c r="T415">
        <f t="shared" si="291"/>
        <v>1432</v>
      </c>
      <c r="U415">
        <f t="shared" si="291"/>
        <v>1844</v>
      </c>
      <c r="V415">
        <f t="shared" si="291"/>
        <v>2599</v>
      </c>
      <c r="W415">
        <f t="shared" si="291"/>
        <v>1865</v>
      </c>
      <c r="X415">
        <f t="shared" si="291"/>
        <v>1902</v>
      </c>
      <c r="Y415">
        <f t="shared" si="291"/>
        <v>2313</v>
      </c>
      <c r="Z415">
        <f t="shared" si="291"/>
        <v>4395</v>
      </c>
      <c r="AA415">
        <f t="shared" si="291"/>
        <v>3963</v>
      </c>
      <c r="AB415">
        <f t="shared" si="291"/>
        <v>5008</v>
      </c>
      <c r="AC415">
        <f t="shared" si="291"/>
        <v>4583</v>
      </c>
      <c r="AD415">
        <f t="shared" si="291"/>
        <v>4492</v>
      </c>
      <c r="AE415">
        <f t="shared" si="291"/>
        <v>4611</v>
      </c>
      <c r="AF415">
        <f t="shared" si="291"/>
        <v>4728</v>
      </c>
      <c r="AG415">
        <f t="shared" si="291"/>
        <v>5470</v>
      </c>
      <c r="AH415">
        <f t="shared" si="291"/>
        <v>5084</v>
      </c>
      <c r="AI415">
        <f t="shared" si="291"/>
        <v>4217</v>
      </c>
      <c r="AJ415">
        <f t="shared" si="291"/>
        <v>8258</v>
      </c>
      <c r="AK415">
        <f t="shared" si="291"/>
        <v>7145</v>
      </c>
      <c r="AL415">
        <f t="shared" si="291"/>
        <v>6504</v>
      </c>
      <c r="AM415">
        <f t="shared" si="291"/>
        <v>8980</v>
      </c>
      <c r="AN415">
        <f t="shared" si="291"/>
        <v>11272</v>
      </c>
      <c r="AO415">
        <f t="shared" si="291"/>
        <v>13738</v>
      </c>
      <c r="AP415">
        <f t="shared" si="291"/>
        <v>14094</v>
      </c>
      <c r="AQ415">
        <f t="shared" si="291"/>
        <v>15465</v>
      </c>
      <c r="AR415">
        <f t="shared" si="291"/>
        <v>15892</v>
      </c>
      <c r="AS415">
        <f t="shared" si="291"/>
        <v>21902</v>
      </c>
      <c r="AT415">
        <f t="shared" si="291"/>
        <v>20885</v>
      </c>
      <c r="AU415">
        <f t="shared" si="291"/>
        <v>15443</v>
      </c>
      <c r="AV415">
        <f t="shared" si="291"/>
        <v>20729</v>
      </c>
      <c r="AW415">
        <f t="shared" si="291"/>
        <v>20623</v>
      </c>
      <c r="AX415">
        <f t="shared" si="291"/>
        <v>14719</v>
      </c>
      <c r="AY415">
        <f t="shared" si="291"/>
        <v>19472</v>
      </c>
      <c r="AZ415">
        <f t="shared" si="291"/>
        <v>25271</v>
      </c>
      <c r="BA415">
        <f t="shared" si="291"/>
        <v>31700</v>
      </c>
      <c r="BB415">
        <f t="shared" si="291"/>
        <v>31700</v>
      </c>
      <c r="BC415">
        <f t="shared" si="291"/>
        <v>36500</v>
      </c>
      <c r="BD415">
        <f t="shared" si="291"/>
        <v>37550</v>
      </c>
      <c r="BE415">
        <f t="shared" si="291"/>
        <v>44372.460779239998</v>
      </c>
      <c r="BF415">
        <f t="shared" si="291"/>
        <v>58600.254971122791</v>
      </c>
      <c r="BG415">
        <f t="shared" si="291"/>
        <v>76540.529030169098</v>
      </c>
      <c r="BH415">
        <f t="shared" si="291"/>
        <v>118358.07436621402</v>
      </c>
      <c r="BI415">
        <f t="shared" si="291"/>
        <v>165558.33011824833</v>
      </c>
      <c r="BJ415">
        <f t="shared" si="291"/>
        <v>190257.23397160144</v>
      </c>
    </row>
    <row r="416" spans="1:87">
      <c r="A416" s="124" t="s">
        <v>80</v>
      </c>
      <c r="M416" s="14">
        <f t="shared" ref="M416:BJ416" si="292">N9</f>
        <v>1400</v>
      </c>
      <c r="N416" s="14">
        <f t="shared" si="292"/>
        <v>2500</v>
      </c>
      <c r="O416" s="14">
        <f t="shared" si="292"/>
        <v>3700</v>
      </c>
      <c r="P416" s="14">
        <f t="shared" si="292"/>
        <v>3500</v>
      </c>
      <c r="Q416" s="14">
        <f t="shared" si="292"/>
        <v>3770</v>
      </c>
      <c r="R416" s="14">
        <f t="shared" si="292"/>
        <v>4150</v>
      </c>
      <c r="S416" s="14">
        <f t="shared" si="292"/>
        <v>4000</v>
      </c>
      <c r="T416" s="14">
        <f t="shared" si="292"/>
        <v>7000</v>
      </c>
      <c r="U416" s="14">
        <f t="shared" si="292"/>
        <v>6500</v>
      </c>
      <c r="V416" s="14">
        <f t="shared" si="292"/>
        <v>7100</v>
      </c>
      <c r="W416" s="14">
        <f t="shared" si="292"/>
        <v>6666.4</v>
      </c>
      <c r="X416" s="14">
        <f t="shared" si="292"/>
        <v>9900</v>
      </c>
      <c r="Y416" s="14">
        <f t="shared" si="292"/>
        <v>6500</v>
      </c>
      <c r="Z416" s="14">
        <f t="shared" si="292"/>
        <v>10700</v>
      </c>
      <c r="AA416" s="14">
        <f t="shared" si="292"/>
        <v>10861.2</v>
      </c>
      <c r="AB416" s="14">
        <f t="shared" si="292"/>
        <v>11308.1</v>
      </c>
      <c r="AC416" s="14">
        <f t="shared" si="292"/>
        <v>11043.4</v>
      </c>
      <c r="AD416" s="14">
        <f t="shared" si="292"/>
        <v>11719.9</v>
      </c>
      <c r="AE416" s="14">
        <f t="shared" si="292"/>
        <v>12133</v>
      </c>
      <c r="AF416" s="14">
        <f t="shared" si="292"/>
        <v>12448.2</v>
      </c>
      <c r="AG416" s="14">
        <f t="shared" si="292"/>
        <v>11004.89</v>
      </c>
      <c r="AH416" s="14">
        <f t="shared" si="292"/>
        <v>18732.171999999999</v>
      </c>
      <c r="AI416" s="14">
        <f t="shared" si="292"/>
        <v>20000</v>
      </c>
      <c r="AJ416" s="14">
        <f t="shared" si="292"/>
        <v>20135.8</v>
      </c>
      <c r="AK416" s="14">
        <f t="shared" si="292"/>
        <v>27266.253000000001</v>
      </c>
      <c r="AL416" s="14">
        <f t="shared" si="292"/>
        <v>29991.616000000002</v>
      </c>
      <c r="AM416" s="14">
        <f t="shared" si="292"/>
        <v>34818.550000000003</v>
      </c>
      <c r="AN416" s="14">
        <f t="shared" si="292"/>
        <v>31576.752</v>
      </c>
      <c r="AO416" s="14">
        <f t="shared" si="292"/>
        <v>38303.288999999997</v>
      </c>
      <c r="AP416" s="14">
        <f t="shared" si="292"/>
        <v>40537.368000000002</v>
      </c>
      <c r="AQ416" s="14">
        <f t="shared" si="292"/>
        <v>47482.786999999997</v>
      </c>
      <c r="AR416" s="14">
        <f t="shared" si="292"/>
        <v>30966.367999999999</v>
      </c>
      <c r="AS416" s="14">
        <f t="shared" si="292"/>
        <v>53247.360999999997</v>
      </c>
      <c r="AT416" s="14">
        <f t="shared" si="292"/>
        <v>48846.1</v>
      </c>
      <c r="AU416" s="14">
        <f t="shared" si="292"/>
        <v>40097.644</v>
      </c>
      <c r="AV416" s="14">
        <f t="shared" si="292"/>
        <v>49117.029000000002</v>
      </c>
      <c r="AW416" s="14">
        <f t="shared" si="292"/>
        <v>53398.720000000001</v>
      </c>
      <c r="AX416" s="14">
        <f t="shared" si="292"/>
        <v>61398.275999999998</v>
      </c>
      <c r="AY416" s="14">
        <f t="shared" si="292"/>
        <v>59095.245999999999</v>
      </c>
      <c r="AZ416" s="14">
        <f t="shared" si="292"/>
        <v>54972.546000000002</v>
      </c>
      <c r="BA416" s="14">
        <f t="shared" si="292"/>
        <v>37785.927000000003</v>
      </c>
      <c r="BB416" s="14">
        <f t="shared" si="292"/>
        <v>55263.891000000003</v>
      </c>
      <c r="BC416" s="14">
        <f t="shared" si="292"/>
        <v>48796.661</v>
      </c>
      <c r="BD416" s="14">
        <f t="shared" si="292"/>
        <v>46217.911</v>
      </c>
      <c r="BE416" s="14">
        <f t="shared" si="292"/>
        <v>43861.065999999999</v>
      </c>
      <c r="BF416" s="14">
        <f t="shared" si="292"/>
        <v>25044.982</v>
      </c>
      <c r="BG416" s="14">
        <f t="shared" si="292"/>
        <v>48213.216</v>
      </c>
      <c r="BH416" s="14">
        <f t="shared" si="292"/>
        <v>50200</v>
      </c>
      <c r="BI416" s="14">
        <f t="shared" si="292"/>
        <v>50300</v>
      </c>
      <c r="BJ416" s="14">
        <f t="shared" si="292"/>
        <v>53500</v>
      </c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</row>
    <row r="417" spans="1:73">
      <c r="A417" s="124" t="s">
        <v>81</v>
      </c>
      <c r="M417" s="14">
        <f t="shared" ref="M417:BJ417" si="293">SUM(M50:M55,N44:N49)</f>
        <v>0</v>
      </c>
      <c r="N417" s="14">
        <f t="shared" si="293"/>
        <v>0</v>
      </c>
      <c r="O417" s="14">
        <f t="shared" si="293"/>
        <v>0</v>
      </c>
      <c r="P417" s="14">
        <f t="shared" si="293"/>
        <v>0</v>
      </c>
      <c r="Q417" s="14">
        <f t="shared" si="293"/>
        <v>0</v>
      </c>
      <c r="R417" s="14">
        <f t="shared" si="293"/>
        <v>0</v>
      </c>
      <c r="S417" s="14">
        <f t="shared" si="293"/>
        <v>0</v>
      </c>
      <c r="T417" s="14">
        <f t="shared" si="293"/>
        <v>0</v>
      </c>
      <c r="U417" s="14">
        <f t="shared" si="293"/>
        <v>0</v>
      </c>
      <c r="V417" s="14">
        <f t="shared" si="293"/>
        <v>0</v>
      </c>
      <c r="W417" s="14">
        <f t="shared" si="293"/>
        <v>0</v>
      </c>
      <c r="X417" s="14">
        <f t="shared" si="293"/>
        <v>0</v>
      </c>
      <c r="Y417" s="14">
        <f t="shared" si="293"/>
        <v>0</v>
      </c>
      <c r="Z417" s="14">
        <f t="shared" si="293"/>
        <v>0</v>
      </c>
      <c r="AA417" s="14">
        <f t="shared" si="293"/>
        <v>0</v>
      </c>
      <c r="AB417" s="14">
        <f t="shared" si="293"/>
        <v>0</v>
      </c>
      <c r="AC417" s="14">
        <f t="shared" si="293"/>
        <v>0</v>
      </c>
      <c r="AD417" s="14">
        <f t="shared" si="293"/>
        <v>14.307638851258531</v>
      </c>
      <c r="AE417" s="14">
        <f t="shared" si="293"/>
        <v>59.567921920260382</v>
      </c>
      <c r="AF417" s="14">
        <f t="shared" si="293"/>
        <v>90.301762811828894</v>
      </c>
      <c r="AG417" s="14">
        <f t="shared" si="293"/>
        <v>97.402350415771849</v>
      </c>
      <c r="AH417" s="14">
        <f t="shared" si="293"/>
        <v>88.839326000880305</v>
      </c>
      <c r="AI417" s="14">
        <f t="shared" si="293"/>
        <v>1135.7809999999999</v>
      </c>
      <c r="AJ417" s="14">
        <f t="shared" si="293"/>
        <v>253.83800000000002</v>
      </c>
      <c r="AK417" s="14">
        <f t="shared" si="293"/>
        <v>198.93799999999999</v>
      </c>
      <c r="AL417" s="14">
        <f t="shared" si="293"/>
        <v>286.73599999999999</v>
      </c>
      <c r="AM417" s="14">
        <f t="shared" si="293"/>
        <v>300.21899999999999</v>
      </c>
      <c r="AN417" s="14">
        <f t="shared" si="293"/>
        <v>305.53376499999996</v>
      </c>
      <c r="AO417" s="14">
        <f t="shared" si="293"/>
        <v>390.32167400000003</v>
      </c>
      <c r="AP417" s="14">
        <f t="shared" si="293"/>
        <v>763.420434</v>
      </c>
      <c r="AQ417" s="14">
        <f t="shared" si="293"/>
        <v>603.15430900000001</v>
      </c>
      <c r="AR417" s="14">
        <f t="shared" si="293"/>
        <v>1425.3420000000001</v>
      </c>
      <c r="AS417" s="14">
        <f t="shared" si="293"/>
        <v>2527.2330000000002</v>
      </c>
      <c r="AT417" s="14">
        <f t="shared" si="293"/>
        <v>2411.8180000000002</v>
      </c>
      <c r="AU417" s="14">
        <f t="shared" si="293"/>
        <v>8.9980000000000011</v>
      </c>
      <c r="AV417" s="14">
        <f t="shared" si="293"/>
        <v>0.19999999999999998</v>
      </c>
      <c r="AW417" s="14">
        <f t="shared" si="293"/>
        <v>12.886999999999999</v>
      </c>
      <c r="AX417" s="14">
        <f t="shared" si="293"/>
        <v>2.2610000000000001</v>
      </c>
      <c r="AY417" s="14">
        <f t="shared" si="293"/>
        <v>1.484</v>
      </c>
      <c r="AZ417" s="14">
        <f t="shared" si="293"/>
        <v>1.6649999999999998</v>
      </c>
      <c r="BA417" s="14">
        <f t="shared" si="293"/>
        <v>406.5</v>
      </c>
      <c r="BB417" s="14">
        <f t="shared" si="293"/>
        <v>1384.0356259999999</v>
      </c>
      <c r="BC417" s="14">
        <f t="shared" si="293"/>
        <v>3388.6207949999998</v>
      </c>
      <c r="BD417" s="14">
        <f t="shared" si="293"/>
        <v>7144.7318919999998</v>
      </c>
      <c r="BE417" s="14">
        <f t="shared" si="293"/>
        <v>3808.3025580000003</v>
      </c>
      <c r="BF417" s="14">
        <f t="shared" si="293"/>
        <v>5263.0448939999987</v>
      </c>
      <c r="BG417" s="14">
        <f t="shared" si="293"/>
        <v>4008.0519349999995</v>
      </c>
      <c r="BH417" s="14">
        <f t="shared" si="293"/>
        <v>6250.2420000000002</v>
      </c>
      <c r="BI417" s="14">
        <f t="shared" si="293"/>
        <v>8775.1676884207645</v>
      </c>
      <c r="BJ417" s="14">
        <f t="shared" si="293"/>
        <v>4790.261522189774</v>
      </c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</row>
    <row r="418" spans="1:73">
      <c r="A418" s="124" t="s">
        <v>82</v>
      </c>
      <c r="M418">
        <f t="shared" ref="M418:AR418" si="294">SUM(M415:M417)</f>
        <v>1656.473</v>
      </c>
      <c r="N418">
        <f t="shared" si="294"/>
        <v>2788.0340000000001</v>
      </c>
      <c r="O418">
        <f t="shared" si="294"/>
        <v>4090.0610000000001</v>
      </c>
      <c r="P418">
        <f t="shared" si="294"/>
        <v>4128</v>
      </c>
      <c r="Q418">
        <f t="shared" si="294"/>
        <v>4376</v>
      </c>
      <c r="R418">
        <f t="shared" si="294"/>
        <v>5158</v>
      </c>
      <c r="S418">
        <f t="shared" si="294"/>
        <v>4699</v>
      </c>
      <c r="T418">
        <f t="shared" si="294"/>
        <v>8432</v>
      </c>
      <c r="U418">
        <f t="shared" si="294"/>
        <v>8344</v>
      </c>
      <c r="V418">
        <f t="shared" si="294"/>
        <v>9699</v>
      </c>
      <c r="W418">
        <f t="shared" si="294"/>
        <v>8531.4</v>
      </c>
      <c r="X418">
        <f t="shared" si="294"/>
        <v>11802</v>
      </c>
      <c r="Y418">
        <f t="shared" si="294"/>
        <v>8813</v>
      </c>
      <c r="Z418">
        <f t="shared" si="294"/>
        <v>15095</v>
      </c>
      <c r="AA418">
        <f t="shared" si="294"/>
        <v>14824.2</v>
      </c>
      <c r="AB418">
        <f t="shared" si="294"/>
        <v>16316.1</v>
      </c>
      <c r="AC418">
        <f t="shared" si="294"/>
        <v>15626.4</v>
      </c>
      <c r="AD418">
        <f t="shared" si="294"/>
        <v>16226.207638851258</v>
      </c>
      <c r="AE418">
        <f t="shared" si="294"/>
        <v>16803.567921920261</v>
      </c>
      <c r="AF418">
        <f t="shared" si="294"/>
        <v>17266.501762811829</v>
      </c>
      <c r="AG418">
        <f t="shared" si="294"/>
        <v>16572.29235041577</v>
      </c>
      <c r="AH418">
        <f t="shared" si="294"/>
        <v>23905.01132600088</v>
      </c>
      <c r="AI418">
        <f t="shared" si="294"/>
        <v>25352.780999999999</v>
      </c>
      <c r="AJ418">
        <f t="shared" si="294"/>
        <v>28647.637999999999</v>
      </c>
      <c r="AK418">
        <f t="shared" si="294"/>
        <v>34610.190999999999</v>
      </c>
      <c r="AL418">
        <f t="shared" si="294"/>
        <v>36782.351999999999</v>
      </c>
      <c r="AM418">
        <f t="shared" si="294"/>
        <v>44098.769</v>
      </c>
      <c r="AN418">
        <f t="shared" si="294"/>
        <v>43154.285765000001</v>
      </c>
      <c r="AO418">
        <f t="shared" si="294"/>
        <v>52431.610673999996</v>
      </c>
      <c r="AP418">
        <f t="shared" si="294"/>
        <v>55394.788434000002</v>
      </c>
      <c r="AQ418">
        <f t="shared" si="294"/>
        <v>63550.941308999994</v>
      </c>
      <c r="AR418">
        <f t="shared" si="294"/>
        <v>48283.71</v>
      </c>
      <c r="AS418">
        <f t="shared" ref="AS418:BJ418" si="295">SUM(AS415:AS417)</f>
        <v>77676.594000000012</v>
      </c>
      <c r="AT418">
        <f t="shared" si="295"/>
        <v>72142.918000000005</v>
      </c>
      <c r="AU418">
        <f t="shared" si="295"/>
        <v>55549.642</v>
      </c>
      <c r="AV418">
        <f t="shared" si="295"/>
        <v>69846.229000000007</v>
      </c>
      <c r="AW418">
        <f t="shared" si="295"/>
        <v>74034.607000000004</v>
      </c>
      <c r="AX418">
        <f t="shared" si="295"/>
        <v>76119.536999999997</v>
      </c>
      <c r="AY418">
        <f t="shared" si="295"/>
        <v>78568.73</v>
      </c>
      <c r="AZ418">
        <f t="shared" si="295"/>
        <v>80245.210999999996</v>
      </c>
      <c r="BA418">
        <f t="shared" si="295"/>
        <v>69892.426999999996</v>
      </c>
      <c r="BB418">
        <f t="shared" si="295"/>
        <v>88347.926626</v>
      </c>
      <c r="BC418">
        <f t="shared" si="295"/>
        <v>88685.281794999988</v>
      </c>
      <c r="BD418">
        <f t="shared" si="295"/>
        <v>90912.642891999989</v>
      </c>
      <c r="BE418">
        <f t="shared" si="295"/>
        <v>92041.829337239993</v>
      </c>
      <c r="BF418">
        <f t="shared" si="295"/>
        <v>88908.281865122786</v>
      </c>
      <c r="BG418">
        <f t="shared" si="295"/>
        <v>128761.79696516909</v>
      </c>
      <c r="BH418">
        <f t="shared" si="295"/>
        <v>174808.31636621401</v>
      </c>
      <c r="BI418">
        <f t="shared" si="295"/>
        <v>224633.4978066691</v>
      </c>
      <c r="BJ418">
        <f t="shared" si="295"/>
        <v>248547.49549379121</v>
      </c>
    </row>
    <row r="419" spans="1:73">
      <c r="A419" s="129" t="s">
        <v>83</v>
      </c>
      <c r="B419" s="130"/>
      <c r="C419" s="130"/>
      <c r="D419" s="130"/>
      <c r="E419" s="130"/>
      <c r="F419" s="130"/>
      <c r="G419" s="130"/>
      <c r="H419" s="130"/>
      <c r="I419" s="130"/>
      <c r="J419" s="130"/>
      <c r="K419" s="130"/>
      <c r="L419" s="130"/>
      <c r="M419" s="131">
        <f t="shared" ref="M419:BD419" si="296">SUM(M82:M87,N76:N81)</f>
        <v>507.09300000000002</v>
      </c>
      <c r="N419" s="131">
        <f t="shared" si="296"/>
        <v>504.41100000000006</v>
      </c>
      <c r="O419" s="131">
        <f t="shared" si="296"/>
        <v>645.72899999999993</v>
      </c>
      <c r="P419" s="131">
        <f t="shared" si="296"/>
        <v>726.14499999999998</v>
      </c>
      <c r="Q419" s="131">
        <f t="shared" si="296"/>
        <v>713.90600000000006</v>
      </c>
      <c r="R419" s="131">
        <f t="shared" si="296"/>
        <v>946.99300000000005</v>
      </c>
      <c r="S419" s="131">
        <f t="shared" si="296"/>
        <v>1365.0729999999999</v>
      </c>
      <c r="T419" s="131">
        <f t="shared" si="296"/>
        <v>2211.8760000000002</v>
      </c>
      <c r="U419" s="131">
        <f t="shared" si="296"/>
        <v>2983.6929999999998</v>
      </c>
      <c r="V419" s="131">
        <f t="shared" si="296"/>
        <v>3867.6710000000003</v>
      </c>
      <c r="W419" s="131">
        <f t="shared" si="296"/>
        <v>4371.3960000000006</v>
      </c>
      <c r="X419" s="131">
        <f t="shared" si="296"/>
        <v>4889.0080000000007</v>
      </c>
      <c r="Y419" s="131">
        <f t="shared" si="296"/>
        <v>5398.299</v>
      </c>
      <c r="Z419" s="131">
        <f t="shared" si="296"/>
        <v>6017.1610000000001</v>
      </c>
      <c r="AA419" s="131">
        <f t="shared" si="296"/>
        <v>6242.375</v>
      </c>
      <c r="AB419" s="131">
        <f t="shared" si="296"/>
        <v>6981.4179999999997</v>
      </c>
      <c r="AC419" s="131">
        <f t="shared" si="296"/>
        <v>7747.7600000000011</v>
      </c>
      <c r="AD419" s="131">
        <f t="shared" si="296"/>
        <v>8534.1730000000007</v>
      </c>
      <c r="AE419" s="131">
        <f t="shared" si="296"/>
        <v>8779.878999999999</v>
      </c>
      <c r="AF419" s="131">
        <f t="shared" si="296"/>
        <v>8694.6640000000007</v>
      </c>
      <c r="AG419" s="131">
        <f t="shared" si="296"/>
        <v>10255.049000000003</v>
      </c>
      <c r="AH419" s="131">
        <f t="shared" si="296"/>
        <v>11045.782000000001</v>
      </c>
      <c r="AI419" s="131">
        <f t="shared" si="296"/>
        <v>12886.239</v>
      </c>
      <c r="AJ419" s="131">
        <f t="shared" si="296"/>
        <v>17506.625</v>
      </c>
      <c r="AK419" s="131">
        <f t="shared" si="296"/>
        <v>17073.507999999998</v>
      </c>
      <c r="AL419" s="131">
        <f t="shared" si="296"/>
        <v>17300.442000000003</v>
      </c>
      <c r="AM419" s="131">
        <f t="shared" si="296"/>
        <v>20859.061999999998</v>
      </c>
      <c r="AN419" s="131">
        <f t="shared" si="296"/>
        <v>23525.807000000004</v>
      </c>
      <c r="AO419" s="131">
        <f t="shared" si="296"/>
        <v>25021.242999999999</v>
      </c>
      <c r="AP419" s="131">
        <f t="shared" si="296"/>
        <v>27312.932000000004</v>
      </c>
      <c r="AQ419" s="131">
        <f t="shared" si="296"/>
        <v>31887.478609999998</v>
      </c>
      <c r="AR419" s="131">
        <f t="shared" si="296"/>
        <v>33592.235000000001</v>
      </c>
      <c r="AS419" s="131">
        <f t="shared" si="296"/>
        <v>34607.349000000002</v>
      </c>
      <c r="AT419" s="131">
        <f t="shared" si="296"/>
        <v>31242.958999999999</v>
      </c>
      <c r="AU419" s="131">
        <f t="shared" si="296"/>
        <v>34127.003000000004</v>
      </c>
      <c r="AV419" s="131">
        <f t="shared" si="296"/>
        <v>37614.017999999996</v>
      </c>
      <c r="AW419" s="131">
        <f t="shared" si="296"/>
        <v>35886.014999999999</v>
      </c>
      <c r="AX419" s="131">
        <f t="shared" si="296"/>
        <v>33611.368000000002</v>
      </c>
      <c r="AY419" s="131">
        <f t="shared" si="296"/>
        <v>36172.62000000001</v>
      </c>
      <c r="AZ419" s="131">
        <f t="shared" si="296"/>
        <v>40235.088000000003</v>
      </c>
      <c r="BA419" s="131">
        <f t="shared" si="296"/>
        <v>43266.505000000005</v>
      </c>
      <c r="BB419" s="131">
        <f t="shared" si="296"/>
        <v>43447.973999999995</v>
      </c>
      <c r="BC419" s="131">
        <f t="shared" si="296"/>
        <v>36935.466999999997</v>
      </c>
      <c r="BD419" s="131">
        <f t="shared" si="296"/>
        <v>40551.32699999999</v>
      </c>
      <c r="BE419" s="131">
        <f>SUM(BE82:BE87,'[2]Brazil Soy Complex'!CF68:CF73)</f>
        <v>19343.780000000002</v>
      </c>
      <c r="BF419" s="131">
        <f>SUM('[2]Brazil Soy Complex'!CG74:CG82,'[2]Brazil Soy Complex'!CG68:CG73)</f>
        <v>0</v>
      </c>
      <c r="BG419" s="131">
        <f>SUM('[2]Brazil Soy Complex'!CH74:CH82,'[2]Brazil Soy Complex'!CH68:CH73)</f>
        <v>0</v>
      </c>
      <c r="BH419" s="131">
        <f>SUM('[2]Brazil Soy Complex'!CI74:CI82,'[2]Brazil Soy Complex'!CI68:CI73)</f>
        <v>0</v>
      </c>
      <c r="BI419" s="131">
        <f>SUM('[2]Brazil Soy Complex'!CJ74:CJ82,BJ76:BJ81)</f>
        <v>23524.491000000002</v>
      </c>
      <c r="BJ419" s="131">
        <f>SUM(BJ82:BJ87,BK76:BK81)</f>
        <v>43208.787000000004</v>
      </c>
    </row>
    <row r="420" spans="1:73">
      <c r="A420" s="132" t="s">
        <v>84</v>
      </c>
      <c r="M420" s="14">
        <f t="shared" ref="M420:BJ420" si="297">SUM(M66:M71,N60:N65)</f>
        <v>53.599999999999994</v>
      </c>
      <c r="N420" s="14">
        <f t="shared" si="297"/>
        <v>569.70000000000005</v>
      </c>
      <c r="O420" s="14">
        <f t="shared" si="297"/>
        <v>1970.1999999999998</v>
      </c>
      <c r="P420" s="14">
        <f t="shared" si="297"/>
        <v>2796.2</v>
      </c>
      <c r="Q420" s="14">
        <f t="shared" si="297"/>
        <v>2309.3000000000002</v>
      </c>
      <c r="R420" s="14">
        <f t="shared" si="297"/>
        <v>2698.7</v>
      </c>
      <c r="S420" s="14">
        <f t="shared" si="297"/>
        <v>1726.1</v>
      </c>
      <c r="T420" s="14">
        <f t="shared" si="297"/>
        <v>1418.2</v>
      </c>
      <c r="U420" s="14">
        <f t="shared" si="297"/>
        <v>2956.1000000000004</v>
      </c>
      <c r="V420" s="14">
        <f t="shared" si="297"/>
        <v>3297.8999999999996</v>
      </c>
      <c r="W420" s="14">
        <f t="shared" si="297"/>
        <v>2580.1</v>
      </c>
      <c r="X420" s="14">
        <f t="shared" si="297"/>
        <v>1332.3999999999999</v>
      </c>
      <c r="Y420" s="14">
        <f t="shared" si="297"/>
        <v>2086.7999999999997</v>
      </c>
      <c r="Z420" s="14">
        <f t="shared" si="297"/>
        <v>445.3</v>
      </c>
      <c r="AA420" s="14">
        <f t="shared" si="297"/>
        <v>2968.2</v>
      </c>
      <c r="AB420" s="14">
        <f t="shared" si="297"/>
        <v>4468</v>
      </c>
      <c r="AC420" s="14">
        <f t="shared" si="297"/>
        <v>3212.9000000000005</v>
      </c>
      <c r="AD420" s="14">
        <f t="shared" si="297"/>
        <v>1951.8159999999998</v>
      </c>
      <c r="AE420" s="14">
        <f t="shared" si="297"/>
        <v>368.29</v>
      </c>
      <c r="AF420" s="14">
        <f t="shared" si="297"/>
        <v>2914.4500000000003</v>
      </c>
      <c r="AG420" s="14">
        <f t="shared" si="297"/>
        <v>2586.846</v>
      </c>
      <c r="AH420" s="14">
        <f t="shared" si="297"/>
        <v>2135.6600000000003</v>
      </c>
      <c r="AI420" s="14">
        <f t="shared" si="297"/>
        <v>490.15499999999997</v>
      </c>
      <c r="AJ420" s="14">
        <f t="shared" si="297"/>
        <v>2837.0740000000001</v>
      </c>
      <c r="AK420" s="14">
        <f t="shared" si="297"/>
        <v>3060.2450000000003</v>
      </c>
      <c r="AL420" s="14">
        <f t="shared" si="297"/>
        <v>4127.0839999999998</v>
      </c>
      <c r="AM420" s="14">
        <f t="shared" si="297"/>
        <v>7336.8229999999994</v>
      </c>
      <c r="AN420" s="14">
        <f t="shared" si="297"/>
        <v>6109.1279999999997</v>
      </c>
      <c r="AO420" s="14">
        <f t="shared" si="297"/>
        <v>8517.1930000000011</v>
      </c>
      <c r="AP420" s="14">
        <f t="shared" si="297"/>
        <v>6768.393</v>
      </c>
      <c r="AQ420" s="14">
        <f t="shared" si="297"/>
        <v>9730.5220000000008</v>
      </c>
      <c r="AR420" s="14">
        <f t="shared" si="297"/>
        <v>7497.6239999999998</v>
      </c>
      <c r="AS420" s="14">
        <f t="shared" si="297"/>
        <v>10613.617999999999</v>
      </c>
      <c r="AT420" s="14">
        <f t="shared" si="297"/>
        <v>11548.233</v>
      </c>
      <c r="AU420" s="14">
        <f t="shared" si="297"/>
        <v>4748.5739999999996</v>
      </c>
      <c r="AV420" s="14">
        <f t="shared" si="297"/>
        <v>13454.009000000002</v>
      </c>
      <c r="AW420" s="14">
        <f t="shared" si="297"/>
        <v>10008.768999999998</v>
      </c>
      <c r="AX420" s="14">
        <f t="shared" si="297"/>
        <v>6646.24</v>
      </c>
      <c r="AY420" s="14">
        <f t="shared" si="297"/>
        <v>7804.5130000000008</v>
      </c>
      <c r="AZ420" s="14">
        <f t="shared" si="297"/>
        <v>7467.9720000000007</v>
      </c>
      <c r="BA420" s="14">
        <f t="shared" si="297"/>
        <v>11329.850999999999</v>
      </c>
      <c r="BB420" s="14">
        <f t="shared" si="297"/>
        <v>9213.7950000000001</v>
      </c>
      <c r="BC420" s="14">
        <f t="shared" si="297"/>
        <v>7289.4506810000003</v>
      </c>
      <c r="BD420" s="14">
        <f t="shared" si="297"/>
        <v>2095.4758259999999</v>
      </c>
      <c r="BE420" s="14">
        <f t="shared" si="297"/>
        <v>10209.539486000001</v>
      </c>
      <c r="BF420" s="14">
        <f t="shared" si="297"/>
        <v>8581.5043790000018</v>
      </c>
      <c r="BG420" s="14">
        <f t="shared" si="297"/>
        <v>5380.8686900000002</v>
      </c>
      <c r="BH420" s="14">
        <f t="shared" si="297"/>
        <v>2794.7367569792586</v>
      </c>
      <c r="BI420" s="14">
        <f t="shared" si="297"/>
        <v>2824.7679008675877</v>
      </c>
      <c r="BJ420" s="14">
        <f t="shared" si="297"/>
        <v>4560.4223002751833</v>
      </c>
    </row>
    <row r="421" spans="1:73">
      <c r="A421" s="132" t="s">
        <v>85</v>
      </c>
      <c r="M421" s="14">
        <f t="shared" ref="M421:BJ421" si="298">M14</f>
        <v>50</v>
      </c>
      <c r="N421" s="14">
        <f t="shared" si="298"/>
        <v>84</v>
      </c>
      <c r="O421" s="14">
        <f t="shared" si="298"/>
        <v>115</v>
      </c>
      <c r="P421" s="14">
        <f t="shared" si="298"/>
        <v>147</v>
      </c>
      <c r="Q421" s="14">
        <f t="shared" si="298"/>
        <v>135</v>
      </c>
      <c r="R421" s="14">
        <f t="shared" si="298"/>
        <v>143</v>
      </c>
      <c r="S421" s="14">
        <f t="shared" si="298"/>
        <v>165</v>
      </c>
      <c r="T421" s="14">
        <f t="shared" si="298"/>
        <v>204</v>
      </c>
      <c r="U421" s="14">
        <f t="shared" si="298"/>
        <v>231</v>
      </c>
      <c r="V421" s="14">
        <f t="shared" si="298"/>
        <v>234</v>
      </c>
      <c r="W421" s="14">
        <f t="shared" si="298"/>
        <v>258</v>
      </c>
      <c r="X421" s="14">
        <f t="shared" si="298"/>
        <v>309</v>
      </c>
      <c r="Y421" s="14">
        <f t="shared" si="298"/>
        <v>327</v>
      </c>
      <c r="Z421" s="14">
        <f t="shared" si="298"/>
        <v>357</v>
      </c>
      <c r="AA421" s="14">
        <f t="shared" si="298"/>
        <v>348</v>
      </c>
      <c r="AB421" s="14">
        <f t="shared" si="298"/>
        <v>350</v>
      </c>
      <c r="AC421" s="14">
        <f t="shared" si="298"/>
        <v>372</v>
      </c>
      <c r="AD421" s="14">
        <f t="shared" si="298"/>
        <v>407</v>
      </c>
      <c r="AE421" s="14">
        <f t="shared" si="298"/>
        <v>421</v>
      </c>
      <c r="AF421" s="14">
        <f t="shared" si="298"/>
        <v>420</v>
      </c>
      <c r="AG421" s="14">
        <f t="shared" si="298"/>
        <v>467</v>
      </c>
      <c r="AH421" s="14">
        <f t="shared" si="298"/>
        <v>502</v>
      </c>
      <c r="AI421" s="14">
        <f t="shared" si="298"/>
        <v>588</v>
      </c>
      <c r="AJ421" s="14">
        <f t="shared" si="298"/>
        <v>615</v>
      </c>
      <c r="AK421" s="14">
        <f t="shared" si="298"/>
        <v>765</v>
      </c>
      <c r="AL421" s="14">
        <f t="shared" si="298"/>
        <v>815</v>
      </c>
      <c r="AM421" s="14">
        <f t="shared" si="298"/>
        <v>882</v>
      </c>
      <c r="AN421" s="14">
        <f t="shared" si="298"/>
        <v>1017</v>
      </c>
      <c r="AO421" s="14">
        <f t="shared" si="298"/>
        <v>1008</v>
      </c>
      <c r="AP421" s="14">
        <f t="shared" si="298"/>
        <v>1078</v>
      </c>
      <c r="AQ421" s="14">
        <f t="shared" si="298"/>
        <v>1130</v>
      </c>
      <c r="AR421" s="14">
        <f t="shared" si="298"/>
        <v>1259</v>
      </c>
      <c r="AS421" s="14">
        <f t="shared" si="298"/>
        <v>1287</v>
      </c>
      <c r="AT421" s="14">
        <f t="shared" si="298"/>
        <v>1321</v>
      </c>
      <c r="AU421" s="14">
        <f t="shared" si="298"/>
        <v>1306</v>
      </c>
      <c r="AV421" s="14">
        <f t="shared" si="298"/>
        <v>1393</v>
      </c>
      <c r="AW421" s="14">
        <f t="shared" si="298"/>
        <v>1379</v>
      </c>
      <c r="AX421" s="14">
        <f t="shared" si="298"/>
        <v>1385</v>
      </c>
      <c r="AY421" s="14">
        <f t="shared" si="298"/>
        <v>1439</v>
      </c>
      <c r="AZ421" s="14">
        <f t="shared" si="298"/>
        <v>1264</v>
      </c>
      <c r="BA421" s="14">
        <f t="shared" si="298"/>
        <v>1208</v>
      </c>
      <c r="BB421" s="14">
        <f t="shared" si="298"/>
        <v>1191</v>
      </c>
      <c r="BC421" s="14">
        <f t="shared" si="298"/>
        <v>1184</v>
      </c>
      <c r="BD421" s="14">
        <f t="shared" si="298"/>
        <v>1166</v>
      </c>
      <c r="BE421" s="14">
        <f t="shared" si="298"/>
        <v>1127</v>
      </c>
      <c r="BF421" s="14">
        <f t="shared" si="298"/>
        <v>1119</v>
      </c>
      <c r="BG421" s="14">
        <f t="shared" si="298"/>
        <v>1160</v>
      </c>
      <c r="BH421" s="14">
        <f t="shared" si="298"/>
        <v>1211</v>
      </c>
      <c r="BI421" s="14">
        <f t="shared" si="298"/>
        <v>1288</v>
      </c>
      <c r="BJ421" s="14">
        <f t="shared" si="298"/>
        <v>1295</v>
      </c>
    </row>
    <row r="422" spans="1:73">
      <c r="A422" s="132" t="s">
        <v>86</v>
      </c>
      <c r="M422" s="14">
        <f t="shared" ref="M422:BC422" si="299">M423-SUM(M419:M421)</f>
        <v>757.74599999999987</v>
      </c>
      <c r="N422" s="14">
        <f t="shared" si="299"/>
        <v>1239.8619999999999</v>
      </c>
      <c r="O422" s="14">
        <f t="shared" si="299"/>
        <v>731.13200000000052</v>
      </c>
      <c r="P422" s="14">
        <f t="shared" si="299"/>
        <v>-147.3449999999998</v>
      </c>
      <c r="Q422" s="14">
        <f t="shared" si="299"/>
        <v>209.79399999999987</v>
      </c>
      <c r="R422" s="14">
        <f t="shared" si="299"/>
        <v>670.30700000000024</v>
      </c>
      <c r="S422" s="14">
        <f t="shared" si="299"/>
        <v>10.827000000000226</v>
      </c>
      <c r="T422" s="14">
        <f t="shared" si="299"/>
        <v>2753.924</v>
      </c>
      <c r="U422" s="14">
        <f t="shared" si="299"/>
        <v>-425.79299999999967</v>
      </c>
      <c r="V422" s="14">
        <f t="shared" si="299"/>
        <v>434.42900000000009</v>
      </c>
      <c r="W422" s="14">
        <f t="shared" si="299"/>
        <v>-580.09600000000137</v>
      </c>
      <c r="X422" s="14">
        <f t="shared" si="299"/>
        <v>2958.5919999999996</v>
      </c>
      <c r="Y422" s="14">
        <f t="shared" si="299"/>
        <v>-3394.0990000000002</v>
      </c>
      <c r="Z422" s="14">
        <f t="shared" si="299"/>
        <v>4312.5389999999998</v>
      </c>
      <c r="AA422" s="14">
        <f t="shared" si="299"/>
        <v>257.625</v>
      </c>
      <c r="AB422" s="14">
        <f t="shared" si="299"/>
        <v>-66.317999999999302</v>
      </c>
      <c r="AC422" s="14">
        <f t="shared" si="299"/>
        <v>-198.26000000000204</v>
      </c>
      <c r="AD422" s="14">
        <f t="shared" si="299"/>
        <v>722.2186388512564</v>
      </c>
      <c r="AE422" s="14">
        <f t="shared" si="299"/>
        <v>2506.3989219202613</v>
      </c>
      <c r="AF422" s="14">
        <f t="shared" si="299"/>
        <v>-232.612237188172</v>
      </c>
      <c r="AG422" s="14">
        <f t="shared" si="299"/>
        <v>-1820.6026495842325</v>
      </c>
      <c r="AH422" s="14">
        <f t="shared" si="299"/>
        <v>6004.5693260008793</v>
      </c>
      <c r="AI422" s="14">
        <f t="shared" si="299"/>
        <v>3130.3869999999988</v>
      </c>
      <c r="AJ422" s="14">
        <f t="shared" si="299"/>
        <v>543.93899999999849</v>
      </c>
      <c r="AK422" s="14">
        <f t="shared" si="299"/>
        <v>7207.4380000000019</v>
      </c>
      <c r="AL422" s="14">
        <f t="shared" si="299"/>
        <v>5559.8259999999973</v>
      </c>
      <c r="AM422" s="14">
        <f t="shared" si="299"/>
        <v>3748.8840000000018</v>
      </c>
      <c r="AN422" s="14">
        <f t="shared" si="299"/>
        <v>-1235.6492350000044</v>
      </c>
      <c r="AO422" s="14">
        <f t="shared" si="299"/>
        <v>3791.1746739999944</v>
      </c>
      <c r="AP422" s="14">
        <f t="shared" si="299"/>
        <v>4770.4634339999975</v>
      </c>
      <c r="AQ422" s="14">
        <f t="shared" si="299"/>
        <v>4910.9406989999916</v>
      </c>
      <c r="AR422" s="14">
        <f t="shared" si="299"/>
        <v>-15967.148999999998</v>
      </c>
      <c r="AS422" s="14">
        <f t="shared" si="299"/>
        <v>10283.627000000008</v>
      </c>
      <c r="AT422" s="14">
        <f t="shared" si="299"/>
        <v>12587.72600000001</v>
      </c>
      <c r="AU422" s="14">
        <f t="shared" si="299"/>
        <v>-5360.9350000000049</v>
      </c>
      <c r="AV422" s="14">
        <f t="shared" si="299"/>
        <v>-3237.7979999999952</v>
      </c>
      <c r="AW422" s="14">
        <f t="shared" si="299"/>
        <v>12041.823000000004</v>
      </c>
      <c r="AX422" s="14">
        <f t="shared" si="299"/>
        <v>15004.928999999996</v>
      </c>
      <c r="AY422" s="14">
        <f t="shared" si="299"/>
        <v>7881.596999999987</v>
      </c>
      <c r="AZ422" s="14">
        <f t="shared" si="299"/>
        <v>-421.84900000000926</v>
      </c>
      <c r="BA422" s="14">
        <f t="shared" si="299"/>
        <v>-17611.929000000004</v>
      </c>
      <c r="BB422" s="14">
        <f t="shared" si="299"/>
        <v>-2004.8423739999926</v>
      </c>
      <c r="BC422" s="14">
        <f t="shared" si="299"/>
        <v>5726.3641139999891</v>
      </c>
      <c r="BD422" s="14">
        <f t="shared" ref="BD422:BJ422" si="300">BD418*0.03</f>
        <v>2727.3792867599996</v>
      </c>
      <c r="BE422" s="14">
        <f t="shared" si="300"/>
        <v>2761.2548801171997</v>
      </c>
      <c r="BF422" s="14">
        <f t="shared" si="300"/>
        <v>2667.2484559536833</v>
      </c>
      <c r="BG422" s="14">
        <f t="shared" si="300"/>
        <v>3862.8539089550727</v>
      </c>
      <c r="BH422" s="14">
        <f t="shared" si="300"/>
        <v>5244.2494909864199</v>
      </c>
      <c r="BI422" s="14">
        <f t="shared" si="300"/>
        <v>6739.004934200073</v>
      </c>
      <c r="BJ422" s="14">
        <f t="shared" si="300"/>
        <v>7456.4248648137363</v>
      </c>
    </row>
    <row r="423" spans="1:73">
      <c r="A423" s="133" t="s">
        <v>87</v>
      </c>
      <c r="B423" s="134"/>
      <c r="C423" s="134"/>
      <c r="D423" s="134"/>
      <c r="E423" s="134"/>
      <c r="F423" s="134"/>
      <c r="G423" s="134"/>
      <c r="H423" s="134"/>
      <c r="I423" s="134"/>
      <c r="J423" s="134"/>
      <c r="K423" s="134"/>
      <c r="L423" s="134"/>
      <c r="M423" s="134">
        <f t="shared" ref="M423:BC423" si="301">M418-M424</f>
        <v>1368.4389999999999</v>
      </c>
      <c r="N423" s="134">
        <f t="shared" si="301"/>
        <v>2397.973</v>
      </c>
      <c r="O423" s="134">
        <f t="shared" si="301"/>
        <v>3462.0610000000001</v>
      </c>
      <c r="P423" s="134">
        <f t="shared" si="301"/>
        <v>3522</v>
      </c>
      <c r="Q423" s="134">
        <f t="shared" si="301"/>
        <v>3368</v>
      </c>
      <c r="R423" s="134">
        <f t="shared" si="301"/>
        <v>4459</v>
      </c>
      <c r="S423" s="134">
        <f t="shared" si="301"/>
        <v>3267</v>
      </c>
      <c r="T423" s="134">
        <f t="shared" si="301"/>
        <v>6588</v>
      </c>
      <c r="U423" s="134">
        <f t="shared" si="301"/>
        <v>5745</v>
      </c>
      <c r="V423" s="134">
        <f t="shared" si="301"/>
        <v>7834</v>
      </c>
      <c r="W423" s="134">
        <f t="shared" si="301"/>
        <v>6629.4</v>
      </c>
      <c r="X423" s="134">
        <f t="shared" si="301"/>
        <v>9489</v>
      </c>
      <c r="Y423" s="134">
        <f t="shared" si="301"/>
        <v>4418</v>
      </c>
      <c r="Z423" s="134">
        <f t="shared" si="301"/>
        <v>11132</v>
      </c>
      <c r="AA423" s="134">
        <f t="shared" si="301"/>
        <v>9816.2000000000007</v>
      </c>
      <c r="AB423" s="134">
        <f t="shared" si="301"/>
        <v>11733.1</v>
      </c>
      <c r="AC423" s="134">
        <f t="shared" si="301"/>
        <v>11134.4</v>
      </c>
      <c r="AD423" s="134">
        <f t="shared" si="301"/>
        <v>11615.207638851258</v>
      </c>
      <c r="AE423" s="134">
        <f t="shared" si="301"/>
        <v>12075.567921920261</v>
      </c>
      <c r="AF423" s="134">
        <f t="shared" si="301"/>
        <v>11796.501762811829</v>
      </c>
      <c r="AG423" s="134">
        <f t="shared" si="301"/>
        <v>11488.29235041577</v>
      </c>
      <c r="AH423" s="134">
        <f t="shared" si="301"/>
        <v>19688.01132600088</v>
      </c>
      <c r="AI423" s="134">
        <f t="shared" si="301"/>
        <v>17094.780999999999</v>
      </c>
      <c r="AJ423" s="134">
        <f t="shared" si="301"/>
        <v>21502.637999999999</v>
      </c>
      <c r="AK423" s="134">
        <f t="shared" si="301"/>
        <v>28106.190999999999</v>
      </c>
      <c r="AL423" s="134">
        <f t="shared" si="301"/>
        <v>27802.351999999999</v>
      </c>
      <c r="AM423" s="134">
        <f t="shared" si="301"/>
        <v>32826.769</v>
      </c>
      <c r="AN423" s="134">
        <f t="shared" si="301"/>
        <v>29416.285765000001</v>
      </c>
      <c r="AO423" s="134">
        <f t="shared" si="301"/>
        <v>38337.610673999996</v>
      </c>
      <c r="AP423" s="134">
        <f t="shared" si="301"/>
        <v>39929.788434000002</v>
      </c>
      <c r="AQ423" s="134">
        <f t="shared" si="301"/>
        <v>47658.941308999994</v>
      </c>
      <c r="AR423" s="134">
        <f t="shared" si="301"/>
        <v>26381.71</v>
      </c>
      <c r="AS423" s="134">
        <f t="shared" si="301"/>
        <v>56791.594000000012</v>
      </c>
      <c r="AT423" s="134">
        <f t="shared" si="301"/>
        <v>56699.918000000005</v>
      </c>
      <c r="AU423" s="134">
        <f t="shared" si="301"/>
        <v>34820.642</v>
      </c>
      <c r="AV423" s="134">
        <f t="shared" si="301"/>
        <v>49223.229000000007</v>
      </c>
      <c r="AW423" s="134">
        <f t="shared" si="301"/>
        <v>59315.607000000004</v>
      </c>
      <c r="AX423" s="134">
        <f t="shared" si="301"/>
        <v>56647.536999999997</v>
      </c>
      <c r="AY423" s="134">
        <f t="shared" si="301"/>
        <v>53297.729999999996</v>
      </c>
      <c r="AZ423" s="134">
        <f t="shared" si="301"/>
        <v>48545.210999999996</v>
      </c>
      <c r="BA423" s="134">
        <f t="shared" si="301"/>
        <v>38192.426999999996</v>
      </c>
      <c r="BB423" s="134">
        <f t="shared" si="301"/>
        <v>51847.926626</v>
      </c>
      <c r="BC423" s="134">
        <f t="shared" si="301"/>
        <v>51135.281794999988</v>
      </c>
      <c r="BD423" s="135">
        <f t="shared" ref="BD423:BJ423" si="302">SUM(BD419:BD422)</f>
        <v>46540.182112759991</v>
      </c>
      <c r="BE423" s="135">
        <f t="shared" si="302"/>
        <v>33441.574366117202</v>
      </c>
      <c r="BF423" s="135">
        <f t="shared" si="302"/>
        <v>12367.752834953684</v>
      </c>
      <c r="BG423" s="135">
        <f t="shared" si="302"/>
        <v>10403.722598955073</v>
      </c>
      <c r="BH423" s="135">
        <f t="shared" si="302"/>
        <v>9249.9862479656786</v>
      </c>
      <c r="BI423" s="135">
        <f t="shared" si="302"/>
        <v>34376.263835067664</v>
      </c>
      <c r="BJ423" s="135">
        <f t="shared" si="302"/>
        <v>56520.634165088923</v>
      </c>
    </row>
    <row r="424" spans="1:73">
      <c r="A424" s="132" t="s">
        <v>162</v>
      </c>
      <c r="M424">
        <v>288.03399999999999</v>
      </c>
      <c r="N424">
        <v>390.06099999999998</v>
      </c>
      <c r="O424">
        <v>628</v>
      </c>
      <c r="P424">
        <v>606</v>
      </c>
      <c r="Q424">
        <v>1008</v>
      </c>
      <c r="R424">
        <v>699</v>
      </c>
      <c r="S424">
        <v>1432</v>
      </c>
      <c r="T424">
        <v>1844</v>
      </c>
      <c r="U424">
        <v>2599</v>
      </c>
      <c r="V424">
        <v>1865</v>
      </c>
      <c r="W424">
        <v>1902</v>
      </c>
      <c r="X424">
        <v>2313</v>
      </c>
      <c r="Y424">
        <v>4395</v>
      </c>
      <c r="Z424">
        <v>3963</v>
      </c>
      <c r="AA424">
        <v>5008</v>
      </c>
      <c r="AB424">
        <v>4583</v>
      </c>
      <c r="AC424">
        <v>4492</v>
      </c>
      <c r="AD424">
        <v>4611</v>
      </c>
      <c r="AE424">
        <v>4728</v>
      </c>
      <c r="AF424">
        <v>5470</v>
      </c>
      <c r="AG424">
        <v>5084</v>
      </c>
      <c r="AH424">
        <v>4217</v>
      </c>
      <c r="AI424">
        <v>8258</v>
      </c>
      <c r="AJ424">
        <v>7145</v>
      </c>
      <c r="AK424">
        <v>6504</v>
      </c>
      <c r="AL424">
        <v>8980</v>
      </c>
      <c r="AM424">
        <v>11272</v>
      </c>
      <c r="AN424">
        <v>13738</v>
      </c>
      <c r="AO424">
        <v>14094</v>
      </c>
      <c r="AP424">
        <v>15465</v>
      </c>
      <c r="AQ424">
        <v>15892</v>
      </c>
      <c r="AR424">
        <v>21902</v>
      </c>
      <c r="AS424">
        <v>20885</v>
      </c>
      <c r="AT424">
        <v>15443</v>
      </c>
      <c r="AU424">
        <v>20729</v>
      </c>
      <c r="AV424">
        <v>20623</v>
      </c>
      <c r="AW424">
        <v>14719</v>
      </c>
      <c r="AX424">
        <v>19472</v>
      </c>
      <c r="AY424">
        <v>25271</v>
      </c>
      <c r="AZ424">
        <v>31700</v>
      </c>
      <c r="BA424">
        <v>31700</v>
      </c>
      <c r="BB424">
        <v>36500</v>
      </c>
      <c r="BC424">
        <v>37550</v>
      </c>
      <c r="BD424" s="14">
        <f t="shared" ref="BD424:BJ424" si="303">BD418-BD423</f>
        <v>44372.460779239998</v>
      </c>
      <c r="BE424" s="14">
        <f t="shared" si="303"/>
        <v>58600.254971122791</v>
      </c>
      <c r="BF424" s="14">
        <f t="shared" si="303"/>
        <v>76540.529030169098</v>
      </c>
      <c r="BG424" s="14">
        <f t="shared" si="303"/>
        <v>118358.07436621402</v>
      </c>
      <c r="BH424" s="14">
        <f t="shared" si="303"/>
        <v>165558.33011824833</v>
      </c>
      <c r="BI424" s="14">
        <f t="shared" si="303"/>
        <v>190257.23397160144</v>
      </c>
      <c r="BJ424" s="14">
        <f t="shared" si="303"/>
        <v>192026.8613287023</v>
      </c>
    </row>
    <row r="425" spans="1:73">
      <c r="A425" s="127" t="s">
        <v>163</v>
      </c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  <c r="AB425" s="123"/>
      <c r="AC425" s="123"/>
      <c r="AD425" s="123"/>
      <c r="AE425" s="123"/>
      <c r="AF425" s="123"/>
      <c r="AG425" s="123"/>
      <c r="AH425" s="123"/>
      <c r="AI425" s="123"/>
      <c r="AJ425" s="123"/>
      <c r="AK425" s="123"/>
      <c r="AL425" s="123"/>
      <c r="AM425" s="123"/>
      <c r="AN425" s="123"/>
      <c r="AO425" s="123"/>
      <c r="AP425" s="123"/>
      <c r="AQ425" s="123"/>
      <c r="AR425" s="123"/>
      <c r="AS425" s="123"/>
      <c r="AT425" s="123"/>
      <c r="AU425" s="123"/>
      <c r="AV425" s="123"/>
      <c r="AW425" s="123"/>
      <c r="AX425" s="123"/>
      <c r="AY425" s="123"/>
      <c r="AZ425" s="123"/>
      <c r="BA425" s="123"/>
      <c r="BB425" s="123"/>
      <c r="BC425" s="123"/>
      <c r="BD425" s="123"/>
      <c r="BE425" s="123"/>
      <c r="BF425" s="123"/>
      <c r="BG425" s="123"/>
      <c r="BH425" s="123"/>
      <c r="BI425" s="123"/>
      <c r="BJ425" s="123"/>
      <c r="BK425" s="123"/>
      <c r="BL425" s="123"/>
      <c r="BM425" s="123"/>
      <c r="BN425" s="123"/>
      <c r="BO425" s="123"/>
      <c r="BP425" s="123"/>
      <c r="BQ425" s="123"/>
      <c r="BR425" s="123"/>
      <c r="BS425" s="123"/>
      <c r="BT425" s="123"/>
      <c r="BU425" s="123"/>
    </row>
    <row r="426" spans="1:73">
      <c r="A426" s="124" t="s">
        <v>164</v>
      </c>
    </row>
    <row r="427" spans="1:73">
      <c r="A427" s="128" t="s">
        <v>165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  <c r="AG427" s="130"/>
      <c r="AH427" s="130"/>
      <c r="AI427" s="130"/>
      <c r="AJ427" s="130"/>
      <c r="AK427" s="130"/>
      <c r="AL427" s="130"/>
      <c r="AM427" s="130"/>
      <c r="AN427" s="130"/>
      <c r="AO427" s="130"/>
      <c r="AP427" s="130"/>
      <c r="AQ427" s="130"/>
      <c r="AR427" s="130"/>
      <c r="AS427" s="130"/>
      <c r="AT427" s="130"/>
      <c r="AU427" s="130"/>
      <c r="AV427" s="130"/>
      <c r="AW427" s="130"/>
      <c r="AX427" s="130"/>
      <c r="AY427" s="130"/>
      <c r="AZ427" s="130"/>
      <c r="BA427" s="130"/>
      <c r="BB427" s="130"/>
      <c r="BC427" s="130"/>
      <c r="BD427" s="130"/>
      <c r="BE427" s="130"/>
      <c r="BF427" s="130"/>
      <c r="BG427" s="130"/>
      <c r="BH427" s="130"/>
      <c r="BI427" s="130"/>
    </row>
    <row r="428" spans="1:73">
      <c r="A428" s="124" t="s">
        <v>80</v>
      </c>
    </row>
    <row r="429" spans="1:73">
      <c r="A429" s="124" t="s">
        <v>81</v>
      </c>
    </row>
    <row r="430" spans="1:73">
      <c r="A430" s="136" t="s">
        <v>82</v>
      </c>
      <c r="B430" s="134"/>
      <c r="C430" s="134"/>
      <c r="D430" s="13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4"/>
      <c r="AI430" s="134"/>
      <c r="AJ430" s="134"/>
      <c r="AK430" s="134"/>
      <c r="AL430" s="134"/>
      <c r="AM430" s="134"/>
      <c r="AN430" s="134"/>
      <c r="AO430" s="134"/>
      <c r="AP430" s="134"/>
      <c r="AQ430" s="134"/>
      <c r="AR430" s="134"/>
      <c r="AS430" s="134"/>
      <c r="AT430" s="134"/>
      <c r="AU430" s="134"/>
      <c r="AV430" s="134"/>
      <c r="AW430" s="134"/>
      <c r="AX430" s="134"/>
      <c r="AY430" s="134"/>
      <c r="AZ430" s="134"/>
      <c r="BA430" s="134"/>
      <c r="BB430" s="134"/>
      <c r="BC430" s="134"/>
      <c r="BD430" s="134"/>
      <c r="BE430" s="134"/>
      <c r="BF430" s="134"/>
      <c r="BG430" s="134"/>
      <c r="BH430" s="134"/>
      <c r="BI430" s="134"/>
    </row>
    <row r="431" spans="1:73">
      <c r="A431" s="124" t="s">
        <v>93</v>
      </c>
    </row>
    <row r="432" spans="1:73">
      <c r="A432" s="124" t="s">
        <v>84</v>
      </c>
    </row>
    <row r="433" spans="1:73">
      <c r="A433" s="124" t="s">
        <v>87</v>
      </c>
    </row>
    <row r="434" spans="1:73">
      <c r="A434" s="137" t="s">
        <v>166</v>
      </c>
      <c r="B434" s="130"/>
      <c r="C434" s="130"/>
      <c r="D434" s="130"/>
      <c r="E434" s="130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  <c r="AH434" s="130"/>
      <c r="AI434" s="130"/>
      <c r="AJ434" s="130"/>
      <c r="AK434" s="130"/>
      <c r="AL434" s="130"/>
      <c r="AM434" s="130"/>
      <c r="AN434" s="130"/>
      <c r="AO434" s="130"/>
      <c r="AP434" s="130"/>
      <c r="AQ434" s="130"/>
      <c r="AR434" s="130"/>
      <c r="AS434" s="130"/>
      <c r="AT434" s="130"/>
      <c r="AU434" s="130"/>
      <c r="AV434" s="130"/>
      <c r="AW434" s="130"/>
      <c r="AX434" s="130"/>
      <c r="AY434" s="130"/>
      <c r="AZ434" s="130"/>
      <c r="BA434" s="130"/>
      <c r="BB434" s="130"/>
      <c r="BC434" s="130"/>
      <c r="BD434" s="130"/>
      <c r="BE434" s="130"/>
      <c r="BF434" s="130"/>
      <c r="BG434" s="130"/>
      <c r="BH434" s="130"/>
      <c r="BI434" s="130"/>
    </row>
    <row r="435" spans="1:73">
      <c r="A435" s="127" t="s">
        <v>94</v>
      </c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  <c r="AB435" s="123"/>
      <c r="AC435" s="123"/>
      <c r="AD435" s="123"/>
      <c r="AE435" s="123"/>
      <c r="AF435" s="123"/>
      <c r="AG435" s="123"/>
      <c r="AH435" s="123"/>
      <c r="AI435" s="123"/>
      <c r="AJ435" s="123"/>
      <c r="AK435" s="123"/>
      <c r="AL435" s="123"/>
      <c r="AM435" s="123"/>
      <c r="AN435" s="123"/>
      <c r="AO435" s="123"/>
      <c r="AP435" s="123"/>
      <c r="AQ435" s="123"/>
      <c r="AR435" s="123"/>
      <c r="AS435" s="123"/>
      <c r="AT435" s="123"/>
      <c r="AU435" s="123"/>
      <c r="AV435" s="123"/>
      <c r="AW435" s="123"/>
      <c r="AX435" s="123"/>
      <c r="AY435" s="123"/>
      <c r="AZ435" s="123"/>
      <c r="BA435" s="123"/>
      <c r="BB435" s="123"/>
      <c r="BC435" s="123"/>
      <c r="BD435" s="123"/>
      <c r="BE435" s="123"/>
      <c r="BF435" s="123"/>
      <c r="BG435" s="123"/>
      <c r="BH435" s="123"/>
      <c r="BI435" s="123"/>
      <c r="BJ435" s="123"/>
      <c r="BK435" s="123"/>
      <c r="BL435" s="123"/>
      <c r="BM435" s="123"/>
      <c r="BN435" s="123"/>
      <c r="BO435" s="123"/>
      <c r="BP435" s="123"/>
      <c r="BQ435" s="123"/>
      <c r="BR435" s="123"/>
      <c r="BS435" s="123"/>
      <c r="BT435" s="123"/>
      <c r="BU435" s="123"/>
    </row>
    <row r="436" spans="1:73">
      <c r="A436" s="138" t="s">
        <v>165</v>
      </c>
    </row>
    <row r="437" spans="1:73">
      <c r="A437" s="124" t="s">
        <v>80</v>
      </c>
    </row>
    <row r="438" spans="1:73">
      <c r="A438" s="124" t="s">
        <v>81</v>
      </c>
    </row>
    <row r="439" spans="1:73">
      <c r="A439" s="124" t="s">
        <v>82</v>
      </c>
    </row>
    <row r="440" spans="1:73">
      <c r="A440" s="128" t="s">
        <v>95</v>
      </c>
      <c r="B440" s="130"/>
      <c r="C440" s="130"/>
      <c r="D440" s="130"/>
      <c r="E440" s="130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  <c r="AH440" s="130"/>
      <c r="AI440" s="130"/>
      <c r="AJ440" s="130"/>
      <c r="AK440" s="130"/>
      <c r="AL440" s="130"/>
      <c r="AM440" s="130"/>
      <c r="AN440" s="130"/>
      <c r="AO440" s="130"/>
      <c r="AP440" s="130"/>
      <c r="AQ440" s="130"/>
      <c r="AR440" s="130"/>
      <c r="AS440" s="130"/>
      <c r="AT440" s="130"/>
      <c r="AU440" s="130"/>
      <c r="AV440" s="130"/>
      <c r="AW440" s="130"/>
      <c r="AX440" s="130"/>
      <c r="AY440" s="130"/>
      <c r="AZ440" s="130"/>
      <c r="BA440" s="130"/>
      <c r="BB440" s="130"/>
      <c r="BC440" s="130"/>
      <c r="BD440" s="130"/>
      <c r="BE440" s="130"/>
      <c r="BF440" s="130"/>
      <c r="BG440" s="130"/>
      <c r="BH440" s="130"/>
      <c r="BI440" s="130"/>
    </row>
    <row r="441" spans="1:73">
      <c r="A441" s="124" t="s">
        <v>96</v>
      </c>
    </row>
    <row r="442" spans="1:73">
      <c r="A442" s="124" t="s">
        <v>167</v>
      </c>
    </row>
    <row r="443" spans="1:73">
      <c r="A443" s="136" t="s">
        <v>84</v>
      </c>
      <c r="B443" s="134"/>
      <c r="C443" s="134"/>
      <c r="D443" s="13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4"/>
      <c r="AI443" s="134"/>
      <c r="AJ443" s="134"/>
      <c r="AK443" s="134"/>
      <c r="AL443" s="134"/>
      <c r="AM443" s="134"/>
      <c r="AN443" s="134"/>
      <c r="AO443" s="134"/>
      <c r="AP443" s="134"/>
      <c r="AQ443" s="134"/>
      <c r="AR443" s="134"/>
      <c r="AS443" s="134"/>
      <c r="AT443" s="134"/>
      <c r="AU443" s="134"/>
      <c r="AV443" s="134"/>
      <c r="AW443" s="134"/>
      <c r="AX443" s="134"/>
      <c r="AY443" s="134"/>
      <c r="AZ443" s="134"/>
      <c r="BA443" s="134"/>
      <c r="BB443" s="134"/>
      <c r="BC443" s="134"/>
      <c r="BD443" s="134"/>
      <c r="BE443" s="134"/>
      <c r="BF443" s="134"/>
      <c r="BG443" s="134"/>
      <c r="BH443" s="134"/>
      <c r="BI443" s="134"/>
    </row>
    <row r="444" spans="1:73">
      <c r="A444" s="124" t="s">
        <v>87</v>
      </c>
    </row>
    <row r="445" spans="1:73" ht="15.75" thickBot="1">
      <c r="A445" s="128" t="s">
        <v>166</v>
      </c>
      <c r="B445" s="130"/>
      <c r="C445" s="130"/>
      <c r="D445" s="130"/>
      <c r="E445" s="130"/>
      <c r="F445" s="130"/>
      <c r="G445" s="130"/>
      <c r="H445" s="130"/>
      <c r="I445" s="130"/>
      <c r="J445" s="130"/>
      <c r="K445" s="130"/>
      <c r="L445" s="130"/>
      <c r="M445" s="130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  <c r="AG445" s="130"/>
      <c r="AH445" s="130"/>
      <c r="AI445" s="130"/>
      <c r="AJ445" s="130"/>
      <c r="AK445" s="130"/>
      <c r="AL445" s="130"/>
      <c r="AM445" s="130"/>
      <c r="AN445" s="130"/>
      <c r="AO445" s="130"/>
      <c r="AP445" s="130"/>
      <c r="AQ445" s="130"/>
      <c r="AR445" s="130"/>
      <c r="AS445" s="130"/>
      <c r="AT445" s="130"/>
      <c r="AU445" s="130"/>
      <c r="AV445" s="130"/>
      <c r="AW445" s="130"/>
      <c r="AX445" s="130"/>
      <c r="AY445" s="130"/>
      <c r="AZ445" s="130"/>
      <c r="BA445" s="130"/>
      <c r="BB445" s="130"/>
      <c r="BC445" s="130"/>
      <c r="BD445" s="130"/>
      <c r="BE445" s="130"/>
      <c r="BF445" s="130"/>
      <c r="BG445" s="130"/>
      <c r="BH445" s="130"/>
      <c r="BI445" s="130"/>
    </row>
    <row r="446" spans="1:73">
      <c r="A446" s="139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0"/>
      <c r="AI446" s="140"/>
      <c r="AJ446" s="140"/>
      <c r="AK446" s="140"/>
      <c r="AL446" s="140"/>
      <c r="AM446" s="140"/>
      <c r="AN446" s="140"/>
      <c r="AO446" s="140"/>
      <c r="AP446" s="140"/>
      <c r="AQ446" s="140"/>
      <c r="AR446" s="140"/>
      <c r="AS446" s="140"/>
      <c r="AT446" s="140"/>
      <c r="AU446" s="140"/>
      <c r="AV446" s="140"/>
      <c r="AW446" s="140"/>
      <c r="AX446" s="140"/>
      <c r="AY446" s="140"/>
      <c r="AZ446" s="140"/>
      <c r="BA446" s="140"/>
      <c r="BB446" s="140"/>
      <c r="BC446" s="140"/>
      <c r="BD446" s="140"/>
      <c r="BE446" s="140"/>
      <c r="BF446" s="140"/>
      <c r="BG446" s="140"/>
      <c r="BH446" s="140"/>
      <c r="BI446" s="140"/>
    </row>
    <row r="448" spans="1:73" ht="15.75" thickBot="1">
      <c r="A448" s="124" t="s">
        <v>168</v>
      </c>
    </row>
    <row r="449" spans="1:73" ht="15.75" thickBot="1">
      <c r="A449" s="141"/>
      <c r="B449" s="141" t="str">
        <f t="shared" ref="B449:BM449" si="304">C2</f>
        <v xml:space="preserve">65/66 </v>
      </c>
      <c r="C449" s="141" t="str">
        <f t="shared" si="304"/>
        <v xml:space="preserve">66/67 </v>
      </c>
      <c r="D449" s="141" t="str">
        <f t="shared" si="304"/>
        <v xml:space="preserve">67/68 </v>
      </c>
      <c r="E449" s="141" t="str">
        <f t="shared" si="304"/>
        <v xml:space="preserve">68/69 </v>
      </c>
      <c r="F449" s="141" t="str">
        <f t="shared" si="304"/>
        <v xml:space="preserve">69/70 </v>
      </c>
      <c r="G449" s="141" t="str">
        <f t="shared" si="304"/>
        <v xml:space="preserve">70/71 </v>
      </c>
      <c r="H449" s="141" t="str">
        <f t="shared" si="304"/>
        <v xml:space="preserve">71/72 </v>
      </c>
      <c r="I449" s="141" t="str">
        <f t="shared" si="304"/>
        <v xml:space="preserve">72/73 </v>
      </c>
      <c r="J449" s="141" t="str">
        <f t="shared" si="304"/>
        <v xml:space="preserve">73/74 </v>
      </c>
      <c r="K449" s="141" t="str">
        <f t="shared" si="304"/>
        <v xml:space="preserve">74/75 </v>
      </c>
      <c r="L449" s="141" t="str">
        <f t="shared" si="304"/>
        <v xml:space="preserve">75/76 </v>
      </c>
      <c r="M449" s="141" t="str">
        <f t="shared" si="304"/>
        <v xml:space="preserve">76/77 </v>
      </c>
      <c r="N449" s="141" t="str">
        <f t="shared" si="304"/>
        <v xml:space="preserve">77/78 </v>
      </c>
      <c r="O449" s="141" t="str">
        <f t="shared" si="304"/>
        <v xml:space="preserve">78/79 </v>
      </c>
      <c r="P449" s="141" t="str">
        <f t="shared" si="304"/>
        <v xml:space="preserve">79/80 </v>
      </c>
      <c r="Q449" s="141" t="str">
        <f t="shared" si="304"/>
        <v xml:space="preserve">80/81 </v>
      </c>
      <c r="R449" s="141" t="str">
        <f t="shared" si="304"/>
        <v xml:space="preserve">81/82 </v>
      </c>
      <c r="S449" s="141" t="str">
        <f t="shared" si="304"/>
        <v xml:space="preserve">82/83 </v>
      </c>
      <c r="T449" s="141" t="str">
        <f t="shared" si="304"/>
        <v xml:space="preserve">83/84 </v>
      </c>
      <c r="U449" s="141" t="str">
        <f t="shared" si="304"/>
        <v xml:space="preserve">84/85 </v>
      </c>
      <c r="V449" s="141" t="str">
        <f t="shared" si="304"/>
        <v xml:space="preserve">85/86 </v>
      </c>
      <c r="W449" s="141" t="str">
        <f t="shared" si="304"/>
        <v xml:space="preserve">86/87 </v>
      </c>
      <c r="X449" s="141" t="str">
        <f t="shared" si="304"/>
        <v xml:space="preserve">87/88 </v>
      </c>
      <c r="Y449" s="141" t="str">
        <f t="shared" si="304"/>
        <v xml:space="preserve">88/89 </v>
      </c>
      <c r="Z449" s="141" t="str">
        <f t="shared" si="304"/>
        <v xml:space="preserve">89/90 </v>
      </c>
      <c r="AA449" s="141" t="str">
        <f t="shared" si="304"/>
        <v xml:space="preserve">90/91 </v>
      </c>
      <c r="AB449" s="141" t="str">
        <f t="shared" si="304"/>
        <v xml:space="preserve">91/92 </v>
      </c>
      <c r="AC449" s="141" t="str">
        <f t="shared" si="304"/>
        <v xml:space="preserve">92/93 </v>
      </c>
      <c r="AD449" s="141" t="str">
        <f t="shared" si="304"/>
        <v xml:space="preserve">93/94 </v>
      </c>
      <c r="AE449" s="141" t="str">
        <f t="shared" si="304"/>
        <v xml:space="preserve">94/95 </v>
      </c>
      <c r="AF449" s="141" t="str">
        <f t="shared" si="304"/>
        <v xml:space="preserve">95/96 </v>
      </c>
      <c r="AG449" s="141" t="str">
        <f t="shared" si="304"/>
        <v xml:space="preserve">96/97 </v>
      </c>
      <c r="AH449" s="141" t="str">
        <f t="shared" si="304"/>
        <v xml:space="preserve">97/98 </v>
      </c>
      <c r="AI449" s="141" t="str">
        <f t="shared" si="304"/>
        <v xml:space="preserve">98/99 </v>
      </c>
      <c r="AJ449" s="141" t="str">
        <f t="shared" si="304"/>
        <v xml:space="preserve">99/00 </v>
      </c>
      <c r="AK449" s="141" t="str">
        <f t="shared" si="304"/>
        <v xml:space="preserve">00/01 </v>
      </c>
      <c r="AL449" s="141" t="str">
        <f t="shared" si="304"/>
        <v xml:space="preserve">01/02 </v>
      </c>
      <c r="AM449" s="141" t="str">
        <f t="shared" si="304"/>
        <v xml:space="preserve">02/03 </v>
      </c>
      <c r="AN449" s="141" t="str">
        <f t="shared" si="304"/>
        <v xml:space="preserve">03/04 </v>
      </c>
      <c r="AO449" s="141" t="str">
        <f t="shared" si="304"/>
        <v xml:space="preserve">04/05 </v>
      </c>
      <c r="AP449" s="141" t="str">
        <f t="shared" si="304"/>
        <v xml:space="preserve">05/06 </v>
      </c>
      <c r="AQ449" s="141" t="str">
        <f t="shared" si="304"/>
        <v xml:space="preserve">06/07 </v>
      </c>
      <c r="AR449" s="141" t="str">
        <f t="shared" si="304"/>
        <v xml:space="preserve">07/08 </v>
      </c>
      <c r="AS449" s="141" t="str">
        <f t="shared" si="304"/>
        <v xml:space="preserve">08/09 </v>
      </c>
      <c r="AT449" s="141" t="str">
        <f t="shared" si="304"/>
        <v xml:space="preserve">09/10 </v>
      </c>
      <c r="AU449" s="141" t="str">
        <f t="shared" si="304"/>
        <v xml:space="preserve">10/11 </v>
      </c>
      <c r="AV449" s="141" t="str">
        <f t="shared" si="304"/>
        <v xml:space="preserve">11/12 </v>
      </c>
      <c r="AW449" s="141" t="str">
        <f t="shared" si="304"/>
        <v xml:space="preserve">12/13 </v>
      </c>
      <c r="AX449" s="141" t="str">
        <f t="shared" si="304"/>
        <v xml:space="preserve">13/14 </v>
      </c>
      <c r="AY449" s="141" t="str">
        <f t="shared" si="304"/>
        <v xml:space="preserve">14/15 </v>
      </c>
      <c r="AZ449" s="141" t="str">
        <f t="shared" si="304"/>
        <v xml:space="preserve">15/16 </v>
      </c>
      <c r="BA449" s="141" t="str">
        <f t="shared" si="304"/>
        <v xml:space="preserve">16/17 </v>
      </c>
      <c r="BB449" s="141" t="str">
        <f t="shared" si="304"/>
        <v xml:space="preserve">17/18 </v>
      </c>
      <c r="BC449" s="141" t="str">
        <f t="shared" si="304"/>
        <v xml:space="preserve">18/19 </v>
      </c>
      <c r="BD449" s="141" t="str">
        <f t="shared" si="304"/>
        <v>19/20</v>
      </c>
      <c r="BE449" s="141" t="str">
        <f t="shared" si="304"/>
        <v>20/21</v>
      </c>
      <c r="BF449" s="141" t="str">
        <f t="shared" si="304"/>
        <v>21/22</v>
      </c>
      <c r="BG449" s="141" t="str">
        <f t="shared" si="304"/>
        <v>22/23</v>
      </c>
      <c r="BH449" s="141" t="str">
        <f t="shared" si="304"/>
        <v>23/24</v>
      </c>
      <c r="BI449" s="141" t="str">
        <f t="shared" si="304"/>
        <v>24/25</v>
      </c>
      <c r="BJ449" s="141" t="str">
        <f t="shared" si="304"/>
        <v>25/26</v>
      </c>
      <c r="BK449" s="141" t="str">
        <f t="shared" si="304"/>
        <v>26/27</v>
      </c>
      <c r="BL449" s="141" t="str">
        <f t="shared" si="304"/>
        <v>27/28</v>
      </c>
      <c r="BM449" s="141" t="str">
        <f t="shared" si="304"/>
        <v>28/29</v>
      </c>
      <c r="BN449" s="142"/>
      <c r="BO449" s="142"/>
      <c r="BP449" s="142"/>
      <c r="BQ449" s="142"/>
      <c r="BR449" s="142"/>
      <c r="BS449" s="142"/>
      <c r="BT449" s="142"/>
      <c r="BU449" s="142"/>
    </row>
    <row r="450" spans="1:73">
      <c r="A450" t="s">
        <v>107</v>
      </c>
      <c r="AX450" s="23"/>
      <c r="AY450" s="23">
        <f>'[3]Monthly SBO'!$AN167</f>
        <v>41.563402210941796</v>
      </c>
      <c r="AZ450" s="23">
        <f>'[3]Monthly SBO'!$AN179</f>
        <v>34.858696865040812</v>
      </c>
      <c r="BA450" s="23">
        <f>'[3]Monthly SBO'!$AN191</f>
        <v>30.456122680095774</v>
      </c>
      <c r="BB450" s="23">
        <f>'[3]Monthly SBO'!$AN203</f>
        <v>35.287228377472431</v>
      </c>
      <c r="BC450" s="23">
        <f>'[3]Monthly SBO'!$AN215</f>
        <v>35.090693228006558</v>
      </c>
      <c r="BD450" s="23">
        <f>'[3]Monthly SBO'!$AN227</f>
        <v>29.687855786615579</v>
      </c>
      <c r="BE450" s="23">
        <f>'[3]Monthly SBO'!$AN239</f>
        <v>30.04242079512127</v>
      </c>
      <c r="BF450" s="23">
        <f>'[3]Monthly SBO'!$AN251</f>
        <v>37.058291085512089</v>
      </c>
      <c r="BG450" s="23" t="e">
        <f>'[3]Monthly SBO'!$AN263</f>
        <v>#VALUE!</v>
      </c>
      <c r="BH450" s="23">
        <f>'[3]Monthly SBO'!$AN275</f>
        <v>58.143467869345699</v>
      </c>
      <c r="BI450" s="143">
        <f>'[4]Soy Complex'!BM578*0.9158+3.8578</f>
        <v>51.178494285714272</v>
      </c>
      <c r="BJ450" s="143">
        <f>'[4]Soy Complex'!BN578*0.9158+3.8578</f>
        <v>44.765212299999995</v>
      </c>
      <c r="BK450" s="143" t="e">
        <f>'[4]Soy Complex'!BO579*0.9158+3.8578</f>
        <v>#REF!</v>
      </c>
      <c r="BL450" s="143" t="e">
        <f>'[4]Soy Complex'!BP579*0.9158+3.8578</f>
        <v>#REF!</v>
      </c>
      <c r="BM450" s="143" t="e">
        <f>'[4]Soy Complex'!BQ579*0.9158+3.8578</f>
        <v>#REF!</v>
      </c>
      <c r="BN450" s="143"/>
      <c r="BO450" s="143"/>
      <c r="BP450" s="143"/>
      <c r="BQ450" s="143"/>
      <c r="BR450" s="143"/>
      <c r="BS450" s="143"/>
      <c r="BT450" s="143"/>
      <c r="BU450" s="143"/>
    </row>
    <row r="451" spans="1:73">
      <c r="A451" t="s">
        <v>108</v>
      </c>
      <c r="AX451" s="23"/>
      <c r="AY451" s="23">
        <f>'[3]Monthly SBO'!$AN168</f>
        <v>42.365287312040095</v>
      </c>
      <c r="AZ451" s="23">
        <f>'[3]Monthly SBO'!$AN180</f>
        <v>34.834946257856842</v>
      </c>
      <c r="BA451" s="23">
        <f>'[3]Monthly SBO'!$AN192</f>
        <v>30.585152466046338</v>
      </c>
      <c r="BB451" s="23">
        <f>'[3]Monthly SBO'!$AN204</f>
        <v>35.890982671859391</v>
      </c>
      <c r="BC451" s="23">
        <f>'[3]Monthly SBO'!$AN216</f>
        <v>35.52780519852427</v>
      </c>
      <c r="BD451" s="23">
        <f>'[3]Monthly SBO'!$AN228</f>
        <v>28.699659170597052</v>
      </c>
      <c r="BE451" s="23">
        <f>'[3]Monthly SBO'!$AN240</f>
        <v>31.627023398545134</v>
      </c>
      <c r="BF451" s="23">
        <f>'[3]Monthly SBO'!$AN252</f>
        <v>42.261785992290172</v>
      </c>
      <c r="BG451" s="23">
        <f>'[3]Monthly SBO'!$AN264</f>
        <v>63.080806293928539</v>
      </c>
      <c r="BH451" s="23">
        <f>'[3]Monthly SBO'!$AN276</f>
        <v>62.264392716755992</v>
      </c>
      <c r="BI451" s="143">
        <f>'[4]Soy Complex'!BM579*0.9158+3.8578</f>
        <v>49.439913399999995</v>
      </c>
      <c r="BJ451" s="143">
        <f>'[4]Soy Complex'!BN579*0.9158+3.8578</f>
        <v>41.512007238095237</v>
      </c>
      <c r="BK451" s="143" t="e">
        <f>'[4]Soy Complex'!BO580*0.9158+3.8578</f>
        <v>#REF!</v>
      </c>
      <c r="BL451" s="143" t="e">
        <f>'[4]Soy Complex'!BP580*0.9158+3.8578</f>
        <v>#REF!</v>
      </c>
      <c r="BM451" s="143" t="e">
        <f>'[4]Soy Complex'!BQ580*0.9158+3.8578</f>
        <v>#REF!</v>
      </c>
      <c r="BN451" s="143"/>
      <c r="BO451" s="143"/>
      <c r="BP451" s="143"/>
      <c r="BQ451" s="143"/>
      <c r="BR451" s="143"/>
      <c r="BS451" s="143"/>
      <c r="BT451" s="143"/>
      <c r="BU451" s="143"/>
    </row>
    <row r="452" spans="1:73">
      <c r="A452" t="s">
        <v>109</v>
      </c>
      <c r="AX452" s="23"/>
      <c r="AY452" s="23">
        <f>'[3]Monthly SBO'!$AN169</f>
        <v>40.487570873230972</v>
      </c>
      <c r="AZ452" s="23">
        <f>'[3]Monthly SBO'!$AN181</f>
        <v>35.156593738064856</v>
      </c>
      <c r="BA452" s="23">
        <f>'[3]Monthly SBO'!$AN193</f>
        <v>30.779879725413252</v>
      </c>
      <c r="BB452" s="23">
        <f>'[3]Monthly SBO'!$AN205</f>
        <v>37.791202205853743</v>
      </c>
      <c r="BC452" s="23">
        <f>'[3]Monthly SBO'!$AN217</f>
        <v>34.351276067901175</v>
      </c>
      <c r="BD452" s="23">
        <f>'[3]Monthly SBO'!$AN229</f>
        <v>28.099097663403924</v>
      </c>
      <c r="BE452" s="23">
        <f>'[3]Monthly SBO'!$AN241</f>
        <v>34.389115231545368</v>
      </c>
      <c r="BF452" s="23" t="e">
        <f>'[3]Monthly SBO'!$AN253</f>
        <v>#VALUE!</v>
      </c>
      <c r="BG452" s="23">
        <f>'[3]Monthly SBO'!$AN265</f>
        <v>60.798404443029241</v>
      </c>
      <c r="BH452" s="143">
        <f>'[5]Monthly Data'!$U$51</f>
        <v>55.307249472865827</v>
      </c>
      <c r="BI452" s="143">
        <f>'[4]Soy Complex'!BM580*0.9158+3.8578</f>
        <v>47.395368095238084</v>
      </c>
      <c r="BJ452" s="143">
        <f>'[4]Soy Complex'!BN580*0.9158+3.8578</f>
        <v>46.085337999999993</v>
      </c>
      <c r="BK452" s="143" t="e">
        <f>'[4]Soy Complex'!BO581*0.9158+3.8578</f>
        <v>#REF!</v>
      </c>
      <c r="BL452" s="143" t="e">
        <f>'[4]Soy Complex'!BP581*0.9158+3.8578</f>
        <v>#REF!</v>
      </c>
      <c r="BM452" s="143" t="e">
        <f>'[4]Soy Complex'!BQ581*0.9158+3.8578</f>
        <v>#REF!</v>
      </c>
      <c r="BN452" s="143"/>
      <c r="BO452" s="143"/>
      <c r="BP452" s="143"/>
      <c r="BQ452" s="143"/>
      <c r="BR452" s="143"/>
      <c r="BS452" s="143"/>
      <c r="BT452" s="143"/>
      <c r="BU452" s="143"/>
    </row>
    <row r="453" spans="1:73">
      <c r="A453" t="s">
        <v>110</v>
      </c>
      <c r="AX453" s="23"/>
      <c r="AY453" s="23">
        <f>'[3]Monthly SBO'!$AN170</f>
        <v>38.143182822270674</v>
      </c>
      <c r="AZ453" s="23">
        <f>'[3]Monthly SBO'!$AN182</f>
        <v>35.263641567579391</v>
      </c>
      <c r="BA453" s="23">
        <f>'[3]Monthly SBO'!$AN194</f>
        <v>29.500963740818396</v>
      </c>
      <c r="BB453" s="23">
        <f>'[3]Monthly SBO'!$AN206</f>
        <v>36.207182002175422</v>
      </c>
      <c r="BC453" s="23">
        <f>'[3]Monthly SBO'!$AN218</f>
        <v>34.716803411845007</v>
      </c>
      <c r="BD453" s="23">
        <f>'[3]Monthly SBO'!$AN230</f>
        <v>29.438714707209719</v>
      </c>
      <c r="BE453" s="23">
        <f>'[3]Monthly SBO'!$AN242</f>
        <v>35.965910752608877</v>
      </c>
      <c r="BF453" s="23">
        <f>'[3]Monthly SBO'!$AN254</f>
        <v>47.035248874611824</v>
      </c>
      <c r="BG453" s="23" t="e">
        <f>'[3]Monthly SBO'!$AN266</f>
        <v>#VALUE!</v>
      </c>
      <c r="BH453" s="143">
        <f>('[4]Soy Complex'!BL581*0.9158+3.8578)-4</f>
        <v>55.523015999999991</v>
      </c>
      <c r="BI453" s="143">
        <f>'[4]Soy Complex'!BM581*0.9158+3.8578</f>
        <v>45.654911999999989</v>
      </c>
      <c r="BJ453" s="143">
        <f>'[4]Soy Complex'!BN581*0.9158+3.8578</f>
        <v>45.822648000000001</v>
      </c>
      <c r="BK453" s="143" t="e">
        <f>'[4]Soy Complex'!BO582*0.9158+3.8578</f>
        <v>#REF!</v>
      </c>
      <c r="BL453" s="143" t="e">
        <f>'[4]Soy Complex'!BP582*0.9158+3.8578</f>
        <v>#REF!</v>
      </c>
      <c r="BM453" s="143" t="e">
        <f>'[4]Soy Complex'!BQ582*0.9158+3.8578</f>
        <v>#REF!</v>
      </c>
      <c r="BN453" s="143"/>
      <c r="BO453" s="143"/>
      <c r="BP453" s="143"/>
      <c r="BQ453" s="143"/>
      <c r="BR453" s="143"/>
      <c r="BS453" s="143"/>
      <c r="BT453" s="143"/>
      <c r="BU453" s="143"/>
    </row>
    <row r="454" spans="1:73">
      <c r="A454" t="s">
        <v>111</v>
      </c>
      <c r="AX454" s="23">
        <f>'[3]Monthly SBO'!$AN159</f>
        <v>50.7916679464455</v>
      </c>
      <c r="AY454" s="23">
        <f>'[3]Monthly SBO'!$AN171</f>
        <v>39.933949292846904</v>
      </c>
      <c r="AZ454" s="23">
        <f>'[3]Monthly SBO'!$AN183</f>
        <v>32.801843883743636</v>
      </c>
      <c r="BA454" s="23">
        <f>'[3]Monthly SBO'!$AN195</f>
        <v>30.715696386954317</v>
      </c>
      <c r="BB454" s="23">
        <f>'[3]Monthly SBO'!$AN207</f>
        <v>34.407285613374732</v>
      </c>
      <c r="BC454" s="23">
        <f>'[3]Monthly SBO'!$AN219</f>
        <v>34.257226542290539</v>
      </c>
      <c r="BD454" s="23">
        <f>'[3]Monthly SBO'!$AN231</f>
        <v>30.856310061316638</v>
      </c>
      <c r="BE454" s="23">
        <f>'[3]Monthly SBO'!$AN243</f>
        <v>32.325642912667902</v>
      </c>
      <c r="BF454" s="23">
        <f>'[3]Monthly SBO'!$AN255</f>
        <v>48.333556601640666</v>
      </c>
      <c r="BG454" s="23">
        <f>'[3]Monthly SBO'!$AN267</f>
        <v>69.097774441246855</v>
      </c>
      <c r="BH454" s="143">
        <f>('[4]Soy Complex'!BL582*0.9158+3.8578)-3</f>
        <v>52.958856521739122</v>
      </c>
      <c r="BI454" s="143">
        <f>'[4]Soy Complex'!BM582*0.9158+3.8578</f>
        <v>47.329910199999986</v>
      </c>
      <c r="BJ454" s="143" t="e">
        <f>'[4]Soy Complex'!BN582*0.9158+3.8578</f>
        <v>#REF!</v>
      </c>
      <c r="BK454" s="143" t="e">
        <f>'[4]Soy Complex'!BO583*0.9158+3.8578</f>
        <v>#REF!</v>
      </c>
      <c r="BL454" s="143" t="e">
        <f>'[4]Soy Complex'!BP583*0.9158+3.8578</f>
        <v>#REF!</v>
      </c>
      <c r="BM454" s="143" t="e">
        <f>'[4]Soy Complex'!BQ583*0.9158+3.8578</f>
        <v>#REF!</v>
      </c>
      <c r="BN454" s="143"/>
      <c r="BO454" s="143"/>
      <c r="BP454" s="143"/>
      <c r="BQ454" s="143"/>
      <c r="BR454" s="143"/>
      <c r="BS454" s="143"/>
      <c r="BT454" s="143"/>
      <c r="BU454" s="143"/>
    </row>
    <row r="455" spans="1:73">
      <c r="A455" t="s">
        <v>112</v>
      </c>
      <c r="AX455" s="23">
        <f>'[3]Monthly SBO'!$AN160</f>
        <v>46.435553172046355</v>
      </c>
      <c r="AY455" s="23">
        <f>'[3]Monthly SBO'!$AN172</f>
        <v>41.130759730138678</v>
      </c>
      <c r="AZ455" s="23">
        <f>'[3]Monthly SBO'!$AN184</f>
        <v>30.245184888838093</v>
      </c>
      <c r="BA455" s="23">
        <f>'[3]Monthly SBO'!$AN196</f>
        <v>31.058136043276363</v>
      </c>
      <c r="BB455" s="23">
        <f>'[3]Monthly SBO'!$AN208</f>
        <v>32.209747603815167</v>
      </c>
      <c r="BC455" s="23">
        <f>'[3]Monthly SBO'!$AN220</f>
        <v>34.004967745037476</v>
      </c>
      <c r="BD455" s="23">
        <f>'[3]Monthly SBO'!$AN232</f>
        <v>29.011728421852862</v>
      </c>
      <c r="BE455" s="23">
        <f>'[3]Monthly SBO'!$AN244</f>
        <v>27.673296326870016</v>
      </c>
      <c r="BF455" s="23">
        <f>'[3]Monthly SBO'!$AN256</f>
        <v>54.543693781848901</v>
      </c>
      <c r="BG455" s="23">
        <f>'[3]Monthly SBO'!$AN268</f>
        <v>80.744691747394242</v>
      </c>
      <c r="BH455" s="143">
        <f>('[4]Soy Complex'!BL583*0.9158+3.8578)-2</f>
        <v>51.235807999999999</v>
      </c>
      <c r="BI455" s="143">
        <f>'[4]Soy Complex'!BM583*0.9158+3.8578</f>
        <v>46.158601999999988</v>
      </c>
      <c r="BJ455" s="143" t="e">
        <f>'[4]Soy Complex'!BN583*0.9158+3.8578</f>
        <v>#REF!</v>
      </c>
      <c r="BK455" s="143" t="e">
        <f>'[4]Soy Complex'!BO584*0.9158+3.8578</f>
        <v>#REF!</v>
      </c>
      <c r="BL455" s="143" t="e">
        <f>'[4]Soy Complex'!BP584*0.9158+3.8578</f>
        <v>#REF!</v>
      </c>
      <c r="BM455" s="143" t="e">
        <f>'[4]Soy Complex'!BQ584*0.9158+3.8578</f>
        <v>#REF!</v>
      </c>
      <c r="BN455" s="143"/>
      <c r="BO455" s="143"/>
      <c r="BP455" s="143"/>
      <c r="BQ455" s="143"/>
      <c r="BR455" s="143"/>
      <c r="BS455" s="143"/>
      <c r="BT455" s="143"/>
      <c r="BU455" s="143"/>
    </row>
    <row r="456" spans="1:73">
      <c r="A456" t="s">
        <v>100</v>
      </c>
      <c r="AX456" s="23">
        <f>'[3]Monthly SBO'!$AN161</f>
        <v>45.580988486915217</v>
      </c>
      <c r="AY456" s="23">
        <f>'[3]Monthly SBO'!$AN173</f>
        <v>39.824919980315045</v>
      </c>
      <c r="AZ456" s="23">
        <f>'[3]Monthly SBO'!$AN185</f>
        <v>30.499967794932651</v>
      </c>
      <c r="BA456" s="23">
        <f>'[3]Monthly SBO'!$AN197</f>
        <v>32.917574769647366</v>
      </c>
      <c r="BB456" s="23">
        <f>'[3]Monthly SBO'!$AN209</f>
        <v>31.659118383509238</v>
      </c>
      <c r="BC456" s="23">
        <f>'[3]Monthly SBO'!$AN221</f>
        <v>34.173324568971346</v>
      </c>
      <c r="BD456" s="23">
        <f>'[3]Monthly SBO'!$AN233</f>
        <v>28.575921524487153</v>
      </c>
      <c r="BE456" s="23">
        <f>'[3]Monthly SBO'!$AN245</f>
        <v>26.527132542449454</v>
      </c>
      <c r="BF456" s="23">
        <f>'[3]Monthly SBO'!$AN257</f>
        <v>55.93274039722003</v>
      </c>
      <c r="BG456" s="23">
        <f>'[3]Monthly SBO'!$AN269</f>
        <v>83.477277331562121</v>
      </c>
      <c r="BH456" s="143">
        <f>('[4]Soy Complex'!BL584*0.9158+3.8578)</f>
        <v>49.433003272727277</v>
      </c>
      <c r="BI456" s="143">
        <f>'[4]Soy Complex'!BM584*0.9158+3.8578</f>
        <v>44.713719363636358</v>
      </c>
      <c r="BJ456" s="143" t="e">
        <f>'[4]Soy Complex'!BN584*0.9158+3.8578</f>
        <v>#REF!</v>
      </c>
      <c r="BK456" s="143" t="e">
        <f>'[4]Soy Complex'!BO585*0.9158+3.8578</f>
        <v>#REF!</v>
      </c>
      <c r="BL456" s="143" t="e">
        <f>'[4]Soy Complex'!BP585*0.9158+3.8578</f>
        <v>#REF!</v>
      </c>
      <c r="BM456" s="143" t="e">
        <f>'[4]Soy Complex'!BQ585*0.9158+3.8578</f>
        <v>#REF!</v>
      </c>
      <c r="BN456" s="143"/>
      <c r="BO456" s="143"/>
      <c r="BP456" s="143"/>
      <c r="BQ456" s="143"/>
      <c r="BR456" s="143"/>
      <c r="BS456" s="143"/>
      <c r="BT456" s="143"/>
      <c r="BU456" s="143"/>
    </row>
    <row r="457" spans="1:73">
      <c r="A457" t="s">
        <v>102</v>
      </c>
      <c r="AX457" s="23">
        <f>'[3]Monthly SBO'!$AN162</f>
        <v>44.900214186377532</v>
      </c>
      <c r="AY457" s="23">
        <f>'[3]Monthly SBO'!$AN174</f>
        <v>39.129156835049287</v>
      </c>
      <c r="AZ457" s="23">
        <f>'[3]Monthly SBO'!$AN186</f>
        <v>32.649386405268366</v>
      </c>
      <c r="BA457" s="23">
        <f>'[3]Monthly SBO'!$AN198</f>
        <v>32.422266540596596</v>
      </c>
      <c r="BB457" s="23">
        <f>'[3]Monthly SBO'!$AN210</f>
        <v>33.416703634455246</v>
      </c>
      <c r="BC457" s="23">
        <f>'[3]Monthly SBO'!$AN222</f>
        <v>32.309643104350769</v>
      </c>
      <c r="BD457" s="23">
        <f>'[3]Monthly SBO'!$AN234</f>
        <v>28.891574156476715</v>
      </c>
      <c r="BE457" s="23">
        <f>'[3]Monthly SBO'!$AN246</f>
        <v>26.691196948955422</v>
      </c>
      <c r="BF457" s="23">
        <f>'[3]Monthly SBO'!$AN258</f>
        <v>61.735324947113639</v>
      </c>
      <c r="BG457" s="23">
        <f>'[3]Monthly SBO'!$AN270</f>
        <v>84.866082067106007</v>
      </c>
      <c r="BH457" s="143">
        <f>('[4]Soy Complex'!BL585*0.9158+3.8578)</f>
        <v>55.015260190476177</v>
      </c>
      <c r="BI457" s="143">
        <f>'[4]Soy Complex'!BM585*0.9158+3.8578</f>
        <v>43.884526000000001</v>
      </c>
      <c r="BJ457" s="143" t="e">
        <f>'[4]Soy Complex'!BN585*0.9158+3.8578</f>
        <v>#REF!</v>
      </c>
      <c r="BK457" s="143" t="e">
        <f>'[4]Soy Complex'!BO586*0.9158+3.8578</f>
        <v>#REF!</v>
      </c>
      <c r="BL457" s="143" t="e">
        <f>'[4]Soy Complex'!BP586*0.9158+3.8578</f>
        <v>#REF!</v>
      </c>
      <c r="BM457" s="143" t="e">
        <f>'[4]Soy Complex'!BQ586*0.9158+3.8578</f>
        <v>#REF!</v>
      </c>
      <c r="BN457" s="143"/>
      <c r="BO457" s="143"/>
      <c r="BP457" s="143"/>
      <c r="BQ457" s="143"/>
      <c r="BR457" s="143"/>
      <c r="BS457" s="143"/>
      <c r="BT457" s="143"/>
      <c r="BU457" s="143"/>
    </row>
    <row r="458" spans="1:73">
      <c r="A458" t="s">
        <v>103</v>
      </c>
      <c r="AX458" s="23">
        <f>'[3]Monthly SBO'!$AN163</f>
        <v>42.718585468771217</v>
      </c>
      <c r="AY458" s="23">
        <f>'[3]Monthly SBO'!$AN175</f>
        <v>39.900694994425351</v>
      </c>
      <c r="AZ458" s="23">
        <f>'[3]Monthly SBO'!$AN187</f>
        <v>31.690175069856487</v>
      </c>
      <c r="BA458" s="23">
        <f>'[3]Monthly SBO'!$AN199</f>
        <v>31.93338812730709</v>
      </c>
      <c r="BB458" s="23">
        <f>'[3]Monthly SBO'!$AN211</f>
        <v>33.453671423037605</v>
      </c>
      <c r="BC458" s="23">
        <f>'[3]Monthly SBO'!$AN223</f>
        <v>30.781648736155226</v>
      </c>
      <c r="BD458" s="23">
        <f>'[3]Monthly SBO'!$AN235</f>
        <v>28.655076067965904</v>
      </c>
      <c r="BE458" s="23">
        <f>'[3]Monthly SBO'!$AN247</f>
        <v>29.864897258491265</v>
      </c>
      <c r="BF458" s="23" t="e">
        <f>'[3]Monthly SBO'!$AN259</f>
        <v>#VALUE!</v>
      </c>
      <c r="BG458" s="23">
        <f>'[3]Monthly SBO'!$AN271</f>
        <v>72.420383824787862</v>
      </c>
      <c r="BH458" s="143">
        <f>('[4]Soy Complex'!BL586*0.9158+3.8578)</f>
        <v>64.657761999999977</v>
      </c>
      <c r="BI458" s="143">
        <f>'[4]Soy Complex'!BM586*0.9158+3.8578</f>
        <v>46.225621909090897</v>
      </c>
      <c r="BJ458" s="143" t="e">
        <f>'[4]Soy Complex'!BN586*0.9158+3.8578</f>
        <v>#REF!</v>
      </c>
      <c r="BK458" s="143" t="e">
        <f>'[4]Soy Complex'!BO587*0.9158+3.8578</f>
        <v>#REF!</v>
      </c>
      <c r="BL458" s="143" t="e">
        <f>'[4]Soy Complex'!BP587*0.9158+3.8578</f>
        <v>#REF!</v>
      </c>
      <c r="BM458" s="143" t="e">
        <f>'[4]Soy Complex'!BQ587*0.9158+3.8578</f>
        <v>#REF!</v>
      </c>
      <c r="BN458" s="143"/>
      <c r="BO458" s="143"/>
      <c r="BP458" s="143"/>
      <c r="BQ458" s="143"/>
      <c r="BR458" s="143"/>
      <c r="BS458" s="143"/>
      <c r="BT458" s="143"/>
      <c r="BU458" s="143"/>
    </row>
    <row r="459" spans="1:73">
      <c r="A459" t="s">
        <v>104</v>
      </c>
      <c r="AX459" s="23">
        <f>'[3]Monthly SBO'!$AN164</f>
        <v>39.893093000156256</v>
      </c>
      <c r="AY459" s="23">
        <f>'[3]Monthly SBO'!$AN176</f>
        <v>39.161203145028949</v>
      </c>
      <c r="AZ459" s="23">
        <f>'[3]Monthly SBO'!$AN188</f>
        <v>29.484419551288159</v>
      </c>
      <c r="BA459" s="23">
        <f>'[3]Monthly SBO'!$AN200</f>
        <v>31.426726500769266</v>
      </c>
      <c r="BB459" s="23">
        <f>'[3]Monthly SBO'!$AN212</f>
        <v>33.540489027143892</v>
      </c>
      <c r="BC459" s="23">
        <f>'[3]Monthly SBO'!$AN224</f>
        <v>29.823411904625818</v>
      </c>
      <c r="BD459" s="23">
        <f>'[3]Monthly SBO'!$AN236</f>
        <v>29.01515543254127</v>
      </c>
      <c r="BE459" s="23">
        <f>'[3]Monthly SBO'!$AN248</f>
        <v>32.299664069396023</v>
      </c>
      <c r="BF459" s="23">
        <f>'[3]Monthly SBO'!$AN260</f>
        <v>56.571278756306391</v>
      </c>
      <c r="BG459" s="23">
        <f>'[3]Monthly SBO'!$AN272</f>
        <v>59.17701537950726</v>
      </c>
      <c r="BH459" s="143">
        <f>('[4]Soy Complex'!BL587*0.9158+3.8578)</f>
        <v>63.941048956521733</v>
      </c>
      <c r="BI459" s="143">
        <f>'[4]Soy Complex'!BM587*0.9158+3.8578</f>
        <v>41.6969909090909</v>
      </c>
      <c r="BJ459" s="143" t="e">
        <f>'[4]Soy Complex'!BN587*0.9158+3.8578</f>
        <v>#REF!</v>
      </c>
      <c r="BK459" s="143" t="e">
        <f>'[4]Soy Complex'!BO588*0.9158+3.8578</f>
        <v>#REF!</v>
      </c>
      <c r="BL459" s="143" t="e">
        <f>'[4]Soy Complex'!BP588*0.9158+3.8578</f>
        <v>#REF!</v>
      </c>
      <c r="BM459" s="143" t="e">
        <f>'[4]Soy Complex'!BQ588*0.9158+3.8578</f>
        <v>#REF!</v>
      </c>
      <c r="BN459" s="143"/>
      <c r="BO459" s="143"/>
      <c r="BP459" s="143"/>
      <c r="BQ459" s="143"/>
      <c r="BR459" s="143"/>
      <c r="BS459" s="143"/>
      <c r="BT459" s="143"/>
      <c r="BU459" s="143"/>
    </row>
    <row r="460" spans="1:73">
      <c r="A460" t="s">
        <v>105</v>
      </c>
      <c r="AX460" s="23">
        <f>'[3]Monthly SBO'!$AN165</f>
        <v>39.644243515927656</v>
      </c>
      <c r="AY460" s="23">
        <f>'[3]Monthly SBO'!$AN177</f>
        <v>37.496677434952574</v>
      </c>
      <c r="AZ460" s="23">
        <f>'[3]Monthly SBO'!$AN189</f>
        <v>28.699137539224417</v>
      </c>
      <c r="BA460" s="23">
        <f>'[3]Monthly SBO'!$AN201</f>
        <v>33.913647204497074</v>
      </c>
      <c r="BB460" s="23">
        <f>'[3]Monthly SBO'!$AN213</f>
        <v>34.312045742576693</v>
      </c>
      <c r="BC460" s="23">
        <f>'[3]Monthly SBO'!$AN225</f>
        <v>29.053486060401539</v>
      </c>
      <c r="BD460" s="23">
        <f>'[3]Monthly SBO'!$AN237</f>
        <v>30.460205012577251</v>
      </c>
      <c r="BE460" s="23" t="e">
        <f>'[3]Monthly SBO'!$AN249</f>
        <v>#VALUE!</v>
      </c>
      <c r="BF460" s="23">
        <f>'[3]Monthly SBO'!$AN261</f>
        <v>58.882289334040266</v>
      </c>
      <c r="BG460" s="23">
        <f>'[3]Monthly SBO'!$AN273</f>
        <v>61.974920293489191</v>
      </c>
      <c r="BH460" s="143">
        <f>('[4]Soy Complex'!BL588*0.9158+3.8578)</f>
        <v>60.011450699999976</v>
      </c>
      <c r="BI460" s="143">
        <f>'[4]Soy Complex'!BM588*0.9158+3.8578</f>
        <v>41.8570894</v>
      </c>
      <c r="BJ460" s="143" t="e">
        <f>'[4]Soy Complex'!BN588*0.9158+3.8578</f>
        <v>#REF!</v>
      </c>
      <c r="BK460" s="143" t="e">
        <f>'[4]Soy Complex'!BO589*0.9158+3.8578</f>
        <v>#REF!</v>
      </c>
      <c r="BL460" s="143" t="e">
        <f>'[4]Soy Complex'!BP589*0.9158+3.8578</f>
        <v>#REF!</v>
      </c>
      <c r="BM460" s="143" t="e">
        <f>'[4]Soy Complex'!BQ589*0.9158+3.8578</f>
        <v>#REF!</v>
      </c>
      <c r="BN460" s="143"/>
      <c r="BO460" s="143"/>
      <c r="BP460" s="143"/>
      <c r="BQ460" s="143"/>
      <c r="BR460" s="143"/>
      <c r="BS460" s="143"/>
      <c r="BT460" s="143"/>
      <c r="BU460" s="143"/>
    </row>
    <row r="461" spans="1:73">
      <c r="A461" t="s">
        <v>106</v>
      </c>
      <c r="AX461" s="23">
        <f>'[3]Monthly SBO'!$AN166</f>
        <v>40.178889241736108</v>
      </c>
      <c r="AY461" s="23">
        <f>'[3]Monthly SBO'!$AN178</f>
        <v>34.759151216709355</v>
      </c>
      <c r="AZ461" s="23">
        <f>'[3]Monthly SBO'!$AN190</f>
        <v>27.937301939375772</v>
      </c>
      <c r="BA461" s="23">
        <f>'[3]Monthly SBO'!$AN202</f>
        <v>34.031122752454571</v>
      </c>
      <c r="BB461" s="23">
        <f>'[3]Monthly SBO'!$AN214</f>
        <v>35.222432689141272</v>
      </c>
      <c r="BC461" s="23">
        <f>'[3]Monthly SBO'!$AN226</f>
        <v>29.023808306271768</v>
      </c>
      <c r="BD461" s="23">
        <f>'[3]Monthly SBO'!$AN238</f>
        <v>30.305127137441247</v>
      </c>
      <c r="BE461" s="23">
        <f>'[3]Monthly SBO'!$AN250</f>
        <v>36.221607323592153</v>
      </c>
      <c r="BF461" s="23">
        <f>'[3]Monthly SBO'!$AN262</f>
        <v>58.978962462416774</v>
      </c>
      <c r="BG461" s="23">
        <f>'[3]Monthly SBO'!$AN274</f>
        <v>53.194833400011433</v>
      </c>
      <c r="BH461" s="143">
        <f>('[4]Soy Complex'!BL589*0.9158+3.8578)</f>
        <v>60.409810852687229</v>
      </c>
      <c r="BI461" s="143">
        <f>'[4]Soy Complex'!BM589*0.9158+3.8578</f>
        <v>46.98803082471467</v>
      </c>
      <c r="BJ461" s="143" t="e">
        <f>'[4]Soy Complex'!BN589*0.9158+3.8578</f>
        <v>#REF!</v>
      </c>
      <c r="BK461" s="143" t="e">
        <f>'[4]Soy Complex'!BO590*0.9158+3.8578</f>
        <v>#REF!</v>
      </c>
      <c r="BL461" s="143" t="e">
        <f>'[4]Soy Complex'!BP590*0.9158+3.8578</f>
        <v>#REF!</v>
      </c>
      <c r="BM461" s="143" t="e">
        <f>'[4]Soy Complex'!BQ590*0.9158+3.8578</f>
        <v>#REF!</v>
      </c>
      <c r="BN461" s="143"/>
      <c r="BO461" s="143"/>
      <c r="BP461" s="143"/>
      <c r="BQ461" s="143"/>
      <c r="BR461" s="143"/>
      <c r="BS461" s="143"/>
      <c r="BT461" s="143"/>
      <c r="BU461" s="143"/>
    </row>
    <row r="462" spans="1:73" ht="15.75" thickBot="1">
      <c r="A462" t="s">
        <v>169</v>
      </c>
      <c r="AX462" s="23">
        <f t="shared" ref="AX462:BM462" si="305">AVERAGE(AX450:AX461)</f>
        <v>43.767904377296972</v>
      </c>
      <c r="AY462" s="23">
        <f t="shared" si="305"/>
        <v>39.491329653995805</v>
      </c>
      <c r="AZ462" s="23">
        <f t="shared" si="305"/>
        <v>32.010107958422452</v>
      </c>
      <c r="BA462" s="23">
        <f t="shared" si="305"/>
        <v>31.645056411489701</v>
      </c>
      <c r="BB462" s="23">
        <f t="shared" si="305"/>
        <v>34.449840781201239</v>
      </c>
      <c r="BC462" s="23">
        <f t="shared" si="305"/>
        <v>32.759507906198458</v>
      </c>
      <c r="BD462" s="23">
        <f t="shared" si="305"/>
        <v>29.308035428540439</v>
      </c>
      <c r="BE462" s="23" t="e">
        <f t="shared" si="305"/>
        <v>#VALUE!</v>
      </c>
      <c r="BF462" s="23" t="e">
        <f t="shared" si="305"/>
        <v>#VALUE!</v>
      </c>
      <c r="BG462" s="23" t="e">
        <f t="shared" si="305"/>
        <v>#VALUE!</v>
      </c>
      <c r="BH462" s="144">
        <f t="shared" si="305"/>
        <v>57.408427212759911</v>
      </c>
      <c r="BI462" s="144">
        <f t="shared" si="305"/>
        <v>46.043598198957092</v>
      </c>
      <c r="BJ462" s="144" t="e">
        <f t="shared" si="305"/>
        <v>#REF!</v>
      </c>
      <c r="BK462" s="144" t="e">
        <f t="shared" si="305"/>
        <v>#REF!</v>
      </c>
      <c r="BL462" s="144" t="e">
        <f t="shared" si="305"/>
        <v>#REF!</v>
      </c>
      <c r="BM462" s="144" t="e">
        <f t="shared" si="305"/>
        <v>#REF!</v>
      </c>
      <c r="BN462" s="144"/>
      <c r="BO462" s="144"/>
      <c r="BP462" s="144"/>
      <c r="BQ462" s="144"/>
      <c r="BR462" s="144"/>
      <c r="BS462" s="144"/>
      <c r="BT462" s="144"/>
      <c r="BU462" s="144"/>
    </row>
    <row r="463" spans="1:73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  <c r="AB463" s="145"/>
      <c r="AC463" s="145"/>
      <c r="AD463" s="145"/>
      <c r="AE463" s="145"/>
      <c r="AF463" s="145"/>
      <c r="AG463" s="145"/>
      <c r="AH463" s="145"/>
      <c r="AI463" s="145"/>
      <c r="AJ463" s="145"/>
      <c r="AK463" s="145"/>
      <c r="AL463" s="145"/>
      <c r="AM463" s="145"/>
      <c r="AN463" s="145"/>
      <c r="AO463" s="145"/>
      <c r="AP463" s="145"/>
      <c r="AQ463" s="145"/>
      <c r="AR463" s="145"/>
      <c r="AS463" s="145"/>
      <c r="AT463" s="145"/>
      <c r="AU463" s="145"/>
      <c r="AV463" s="145"/>
      <c r="AW463" s="145"/>
      <c r="AX463" s="145"/>
      <c r="AY463" s="145"/>
      <c r="AZ463" s="145"/>
      <c r="BA463" s="145"/>
      <c r="BB463" s="145"/>
      <c r="BC463" s="145"/>
      <c r="BD463" s="145"/>
      <c r="BE463" s="145"/>
      <c r="BF463" s="145"/>
      <c r="BG463" s="145"/>
      <c r="BH463" s="145"/>
      <c r="BI463" s="145"/>
      <c r="BJ463" s="145"/>
      <c r="BK463" s="145"/>
      <c r="BL463" s="145"/>
      <c r="BM463" s="145"/>
    </row>
    <row r="464" spans="1:73" ht="15.75" thickBot="1">
      <c r="A464" s="124" t="s">
        <v>170</v>
      </c>
    </row>
    <row r="465" spans="1:73" ht="15.75" thickBot="1">
      <c r="A465" s="141"/>
      <c r="B465" s="141" t="str">
        <f t="shared" ref="B465:BM465" si="306">C2</f>
        <v xml:space="preserve">65/66 </v>
      </c>
      <c r="C465" s="141" t="str">
        <f t="shared" si="306"/>
        <v xml:space="preserve">66/67 </v>
      </c>
      <c r="D465" s="141" t="str">
        <f t="shared" si="306"/>
        <v xml:space="preserve">67/68 </v>
      </c>
      <c r="E465" s="141" t="str">
        <f t="shared" si="306"/>
        <v xml:space="preserve">68/69 </v>
      </c>
      <c r="F465" s="141" t="str">
        <f t="shared" si="306"/>
        <v xml:space="preserve">69/70 </v>
      </c>
      <c r="G465" s="141" t="str">
        <f t="shared" si="306"/>
        <v xml:space="preserve">70/71 </v>
      </c>
      <c r="H465" s="141" t="str">
        <f t="shared" si="306"/>
        <v xml:space="preserve">71/72 </v>
      </c>
      <c r="I465" s="141" t="str">
        <f t="shared" si="306"/>
        <v xml:space="preserve">72/73 </v>
      </c>
      <c r="J465" s="141" t="str">
        <f t="shared" si="306"/>
        <v xml:space="preserve">73/74 </v>
      </c>
      <c r="K465" s="141" t="str">
        <f t="shared" si="306"/>
        <v xml:space="preserve">74/75 </v>
      </c>
      <c r="L465" s="141" t="str">
        <f t="shared" si="306"/>
        <v xml:space="preserve">75/76 </v>
      </c>
      <c r="M465" s="141" t="str">
        <f t="shared" si="306"/>
        <v xml:space="preserve">76/77 </v>
      </c>
      <c r="N465" s="141" t="str">
        <f t="shared" si="306"/>
        <v xml:space="preserve">77/78 </v>
      </c>
      <c r="O465" s="141" t="str">
        <f t="shared" si="306"/>
        <v xml:space="preserve">78/79 </v>
      </c>
      <c r="P465" s="141" t="str">
        <f t="shared" si="306"/>
        <v xml:space="preserve">79/80 </v>
      </c>
      <c r="Q465" s="141" t="str">
        <f t="shared" si="306"/>
        <v xml:space="preserve">80/81 </v>
      </c>
      <c r="R465" s="141" t="str">
        <f t="shared" si="306"/>
        <v xml:space="preserve">81/82 </v>
      </c>
      <c r="S465" s="141" t="str">
        <f t="shared" si="306"/>
        <v xml:space="preserve">82/83 </v>
      </c>
      <c r="T465" s="141" t="str">
        <f t="shared" si="306"/>
        <v xml:space="preserve">83/84 </v>
      </c>
      <c r="U465" s="141" t="str">
        <f t="shared" si="306"/>
        <v xml:space="preserve">84/85 </v>
      </c>
      <c r="V465" s="141" t="str">
        <f t="shared" si="306"/>
        <v xml:space="preserve">85/86 </v>
      </c>
      <c r="W465" s="141" t="str">
        <f t="shared" si="306"/>
        <v xml:space="preserve">86/87 </v>
      </c>
      <c r="X465" s="141" t="str">
        <f t="shared" si="306"/>
        <v xml:space="preserve">87/88 </v>
      </c>
      <c r="Y465" s="141" t="str">
        <f t="shared" si="306"/>
        <v xml:space="preserve">88/89 </v>
      </c>
      <c r="Z465" s="141" t="str">
        <f t="shared" si="306"/>
        <v xml:space="preserve">89/90 </v>
      </c>
      <c r="AA465" s="141" t="str">
        <f t="shared" si="306"/>
        <v xml:space="preserve">90/91 </v>
      </c>
      <c r="AB465" s="141" t="str">
        <f t="shared" si="306"/>
        <v xml:space="preserve">91/92 </v>
      </c>
      <c r="AC465" s="141" t="str">
        <f t="shared" si="306"/>
        <v xml:space="preserve">92/93 </v>
      </c>
      <c r="AD465" s="141" t="str">
        <f t="shared" si="306"/>
        <v xml:space="preserve">93/94 </v>
      </c>
      <c r="AE465" s="141" t="str">
        <f t="shared" si="306"/>
        <v xml:space="preserve">94/95 </v>
      </c>
      <c r="AF465" s="141" t="str">
        <f t="shared" si="306"/>
        <v xml:space="preserve">95/96 </v>
      </c>
      <c r="AG465" s="141" t="str">
        <f t="shared" si="306"/>
        <v xml:space="preserve">96/97 </v>
      </c>
      <c r="AH465" s="141" t="str">
        <f t="shared" si="306"/>
        <v xml:space="preserve">97/98 </v>
      </c>
      <c r="AI465" s="141" t="str">
        <f t="shared" si="306"/>
        <v xml:space="preserve">98/99 </v>
      </c>
      <c r="AJ465" s="141" t="str">
        <f t="shared" si="306"/>
        <v xml:space="preserve">99/00 </v>
      </c>
      <c r="AK465" s="141" t="str">
        <f t="shared" si="306"/>
        <v xml:space="preserve">00/01 </v>
      </c>
      <c r="AL465" s="141" t="str">
        <f t="shared" si="306"/>
        <v xml:space="preserve">01/02 </v>
      </c>
      <c r="AM465" s="141" t="str">
        <f t="shared" si="306"/>
        <v xml:space="preserve">02/03 </v>
      </c>
      <c r="AN465" s="141" t="str">
        <f t="shared" si="306"/>
        <v xml:space="preserve">03/04 </v>
      </c>
      <c r="AO465" s="141" t="str">
        <f t="shared" si="306"/>
        <v xml:space="preserve">04/05 </v>
      </c>
      <c r="AP465" s="141" t="str">
        <f t="shared" si="306"/>
        <v xml:space="preserve">05/06 </v>
      </c>
      <c r="AQ465" s="141" t="str">
        <f t="shared" si="306"/>
        <v xml:space="preserve">06/07 </v>
      </c>
      <c r="AR465" s="141" t="str">
        <f t="shared" si="306"/>
        <v xml:space="preserve">07/08 </v>
      </c>
      <c r="AS465" s="141" t="str">
        <f t="shared" si="306"/>
        <v xml:space="preserve">08/09 </v>
      </c>
      <c r="AT465" s="141" t="str">
        <f t="shared" si="306"/>
        <v xml:space="preserve">09/10 </v>
      </c>
      <c r="AU465" s="141" t="str">
        <f t="shared" si="306"/>
        <v xml:space="preserve">10/11 </v>
      </c>
      <c r="AV465" s="141" t="str">
        <f t="shared" si="306"/>
        <v xml:space="preserve">11/12 </v>
      </c>
      <c r="AW465" s="141" t="str">
        <f t="shared" si="306"/>
        <v xml:space="preserve">12/13 </v>
      </c>
      <c r="AX465" s="141" t="str">
        <f t="shared" si="306"/>
        <v xml:space="preserve">13/14 </v>
      </c>
      <c r="AY465" s="141" t="str">
        <f t="shared" si="306"/>
        <v xml:space="preserve">14/15 </v>
      </c>
      <c r="AZ465" s="141" t="str">
        <f t="shared" si="306"/>
        <v xml:space="preserve">15/16 </v>
      </c>
      <c r="BA465" s="141" t="str">
        <f t="shared" si="306"/>
        <v xml:space="preserve">16/17 </v>
      </c>
      <c r="BB465" s="141" t="str">
        <f t="shared" si="306"/>
        <v xml:space="preserve">17/18 </v>
      </c>
      <c r="BC465" s="141" t="str">
        <f t="shared" si="306"/>
        <v xml:space="preserve">18/19 </v>
      </c>
      <c r="BD465" s="141" t="str">
        <f t="shared" si="306"/>
        <v>19/20</v>
      </c>
      <c r="BE465" s="141" t="str">
        <f t="shared" si="306"/>
        <v>20/21</v>
      </c>
      <c r="BF465" s="141" t="str">
        <f t="shared" si="306"/>
        <v>21/22</v>
      </c>
      <c r="BG465" s="141" t="str">
        <f t="shared" si="306"/>
        <v>22/23</v>
      </c>
      <c r="BH465" s="141" t="str">
        <f t="shared" si="306"/>
        <v>23/24</v>
      </c>
      <c r="BI465" s="141" t="str">
        <f t="shared" si="306"/>
        <v>24/25</v>
      </c>
      <c r="BJ465" s="141" t="str">
        <f t="shared" si="306"/>
        <v>25/26</v>
      </c>
      <c r="BK465" s="141" t="str">
        <f t="shared" si="306"/>
        <v>26/27</v>
      </c>
      <c r="BL465" s="141" t="str">
        <f t="shared" si="306"/>
        <v>27/28</v>
      </c>
      <c r="BM465" s="141" t="str">
        <f t="shared" si="306"/>
        <v>28/29</v>
      </c>
      <c r="BN465" s="142"/>
      <c r="BO465" s="142"/>
      <c r="BP465" s="142"/>
      <c r="BQ465" s="142"/>
      <c r="BR465" s="142"/>
      <c r="BS465" s="142"/>
      <c r="BT465" s="142"/>
      <c r="BU465" s="142"/>
    </row>
    <row r="466" spans="1:73">
      <c r="A466" t="s">
        <v>107</v>
      </c>
      <c r="AX466" s="146"/>
      <c r="AY466" s="146">
        <f>'[4]Soy Complex'!BC578-AY450</f>
        <v>-0.86190221094179265</v>
      </c>
      <c r="AZ466" s="146">
        <f>'[4]Soy Complex'!BD578-AZ450</f>
        <v>-2.1365968650408149</v>
      </c>
      <c r="BA466" s="146">
        <f>'[4]Soy Complex'!BE578-BA450</f>
        <v>-2.5721226800957737</v>
      </c>
      <c r="BB466" s="146">
        <f>'[4]Soy Complex'!BF578-BB450</f>
        <v>-0.25102837747243001</v>
      </c>
      <c r="BC466" s="146">
        <f>'[4]Soy Complex'!BG578-BC450</f>
        <v>-0.68069322800656096</v>
      </c>
      <c r="BD466" s="146">
        <f>'[4]Soy Complex'!BH578-BD450</f>
        <v>-1.9978557866155775</v>
      </c>
      <c r="BE466" s="146">
        <f>'[4]Soy Complex'!BI578-BE450</f>
        <v>0.91557920487872835</v>
      </c>
      <c r="BF466" s="146">
        <f>'[4]Soy Complex'!BJ578-BF450</f>
        <v>-0.19579108551209146</v>
      </c>
      <c r="BG466" s="146" t="e">
        <f>'[4]Soy Complex'!BK578-BG450</f>
        <v>#VALUE!</v>
      </c>
      <c r="BH466" s="146">
        <f>'[4]Soy Complex'!BL578-BH450</f>
        <v>16.824627368749546</v>
      </c>
      <c r="BI466" s="146">
        <f>'[4]Soy Complex'!BM578-BI450</f>
        <v>0.49293428571429132</v>
      </c>
      <c r="BJ466" s="146">
        <f>'[4]Soy Complex'!BN578-BJ450</f>
        <v>-9.6712299999992979E-2</v>
      </c>
      <c r="BK466" s="146"/>
      <c r="BL466" s="146"/>
      <c r="BM466" s="146"/>
      <c r="BN466" s="146"/>
      <c r="BO466" s="146"/>
      <c r="BP466" s="146"/>
      <c r="BQ466" s="146"/>
      <c r="BR466" s="146"/>
      <c r="BS466" s="146"/>
      <c r="BT466" s="146"/>
      <c r="BU466" s="146"/>
    </row>
    <row r="467" spans="1:73">
      <c r="A467" t="s">
        <v>108</v>
      </c>
      <c r="AX467" s="146"/>
      <c r="AY467" s="146">
        <f>'[4]Soy Complex'!BC579-AY451</f>
        <v>-2.683887312040099</v>
      </c>
      <c r="AZ467" s="146">
        <f>'[4]Soy Complex'!BD579-AZ451</f>
        <v>-2.7758462578568412</v>
      </c>
      <c r="BA467" s="146">
        <f>'[4]Soy Complex'!BE579-BA451</f>
        <v>0.23754753395366279</v>
      </c>
      <c r="BB467" s="146">
        <f>'[4]Soy Complex'!BF579-BB451</f>
        <v>0.50471732814060744</v>
      </c>
      <c r="BC467" s="146">
        <f>'[4]Soy Complex'!BG579-BC451</f>
        <v>-2.3878051985242692</v>
      </c>
      <c r="BD467" s="146">
        <f>'[4]Soy Complex'!BH579-BD451</f>
        <v>-0.37965917059705134</v>
      </c>
      <c r="BE467" s="146">
        <f>'[4]Soy Complex'!BI579-BE451</f>
        <v>1.0625004109786786</v>
      </c>
      <c r="BF467" s="146">
        <f>'[4]Soy Complex'!BJ579-BF451</f>
        <v>-2.690422355926529</v>
      </c>
      <c r="BG467" s="146">
        <f>'[4]Soy Complex'!BK579-BG451</f>
        <v>-7.8712608393830763</v>
      </c>
      <c r="BH467" s="146">
        <f>'[4]Soy Complex'!BL579-BH451</f>
        <v>1.9394168070535329</v>
      </c>
      <c r="BI467" s="146">
        <f>'[4]Soy Complex'!BM579-BI451</f>
        <v>0.33308660000000856</v>
      </c>
      <c r="BJ467" s="146">
        <f>'[4]Soy Complex'!BN579-BJ451</f>
        <v>-0.39581676190475434</v>
      </c>
      <c r="BK467" s="146"/>
      <c r="BL467" s="146"/>
      <c r="BM467" s="146"/>
      <c r="BN467" s="146"/>
      <c r="BO467" s="146"/>
      <c r="BP467" s="146"/>
      <c r="BQ467" s="146"/>
      <c r="BR467" s="146"/>
      <c r="BS467" s="146"/>
      <c r="BT467" s="146"/>
      <c r="BU467" s="146"/>
    </row>
    <row r="468" spans="1:73">
      <c r="A468" t="s">
        <v>109</v>
      </c>
      <c r="AX468" s="146"/>
      <c r="AY468" s="146">
        <f>'[4]Soy Complex'!BC580-AY452</f>
        <v>-2.6632708732309709</v>
      </c>
      <c r="AZ468" s="146">
        <f>'[4]Soy Complex'!BD580-AZ452</f>
        <v>-2.9705937380648564</v>
      </c>
      <c r="BA468" s="146">
        <f>'[4]Soy Complex'!BE580-BA452</f>
        <v>-0.76727972541325329</v>
      </c>
      <c r="BB468" s="146">
        <f>'[4]Soy Complex'!BF580-BB452</f>
        <v>-2.6797022058537436</v>
      </c>
      <c r="BC468" s="146">
        <f>'[4]Soy Complex'!BG580-BC452</f>
        <v>-1.401276067901172</v>
      </c>
      <c r="BD468" s="146">
        <f>'[4]Soy Complex'!BH580-BD452</f>
        <v>0.90185471754844926</v>
      </c>
      <c r="BE468" s="146">
        <f>'[4]Soy Complex'!BI580-BE452</f>
        <v>-1.2381628505929854</v>
      </c>
      <c r="BF468" s="146" t="e">
        <f>'[4]Soy Complex'!BJ580-BF452</f>
        <v>#VALUE!</v>
      </c>
      <c r="BG468" s="146">
        <f>'[4]Soy Complex'!BK580-BG452</f>
        <v>-0.1184044430292488</v>
      </c>
      <c r="BH468" s="146">
        <f>'[4]Soy Complex'!BL580-BH452</f>
        <v>7.0767505271341662</v>
      </c>
      <c r="BI468" s="146">
        <f>'[4]Soy Complex'!BM580-BI452</f>
        <v>0.14510809523810053</v>
      </c>
      <c r="BJ468" s="146">
        <f>'[4]Soy Complex'!BN580-BJ452</f>
        <v>2.4662000000006401E-2</v>
      </c>
      <c r="BK468" s="146"/>
      <c r="BL468" s="146"/>
      <c r="BM468" s="146"/>
      <c r="BN468" s="146"/>
      <c r="BO468" s="146"/>
      <c r="BP468" s="146"/>
      <c r="BQ468" s="146"/>
      <c r="BR468" s="146"/>
      <c r="BS468" s="146"/>
      <c r="BT468" s="146"/>
      <c r="BU468" s="146"/>
    </row>
    <row r="469" spans="1:73">
      <c r="A469" t="s">
        <v>110</v>
      </c>
      <c r="AX469" s="146"/>
      <c r="AY469" s="146">
        <f>'[4]Soy Complex'!BC581-AY453</f>
        <v>1.485217177729325</v>
      </c>
      <c r="AZ469" s="146">
        <f>'[4]Soy Complex'!BD581-AZ453</f>
        <v>-3.6057415675793898</v>
      </c>
      <c r="BA469" s="146">
        <f>'[4]Soy Complex'!BE581-BA453</f>
        <v>1.6565362591816033</v>
      </c>
      <c r="BB469" s="146">
        <f>'[4]Soy Complex'!BF581-BB453</f>
        <v>-2.5087820021754226</v>
      </c>
      <c r="BC469" s="146">
        <f>'[4]Soy Complex'!BG581-BC453</f>
        <v>-2.5368034118450069</v>
      </c>
      <c r="BD469" s="146">
        <f>'[4]Soy Complex'!BH581-BD453</f>
        <v>0.79128529279028115</v>
      </c>
      <c r="BE469" s="146">
        <f>'[4]Soy Complex'!BI581-BE453</f>
        <v>-5.7174896999772962</v>
      </c>
      <c r="BF469" s="146">
        <f>'[4]Soy Complex'!BJ581-BF453</f>
        <v>-8.8933085138144463E-2</v>
      </c>
      <c r="BG469" s="146" t="e">
        <f>'[4]Soy Complex'!BK581-BG453</f>
        <v>#VALUE!</v>
      </c>
      <c r="BH469" s="146">
        <f>'[4]Soy Complex'!BL581-BH453</f>
        <v>5.2601418947368472</v>
      </c>
      <c r="BI469" s="146">
        <f>'[4]Soy Complex'!BM581-BI453</f>
        <v>-1.4911999999995373E-2</v>
      </c>
      <c r="BJ469" s="146">
        <f>'[4]Soy Complex'!BN581-BJ453</f>
        <v>5.0989473684381892E-4</v>
      </c>
      <c r="BK469" s="146"/>
      <c r="BL469" s="146"/>
      <c r="BM469" s="146"/>
      <c r="BN469" s="146"/>
      <c r="BO469" s="146"/>
      <c r="BP469" s="146"/>
      <c r="BQ469" s="146"/>
      <c r="BR469" s="146"/>
      <c r="BS469" s="146"/>
      <c r="BT469" s="146"/>
      <c r="BU469" s="146"/>
    </row>
    <row r="470" spans="1:73">
      <c r="A470" t="s">
        <v>111</v>
      </c>
      <c r="AX470" s="146">
        <f>'[4]Soy Complex'!BB583-AX454</f>
        <v>-1.4975679464454998</v>
      </c>
      <c r="AY470" s="146">
        <f>'[4]Soy Complex'!BC582-AY454</f>
        <v>2.2965507071530951</v>
      </c>
      <c r="AZ470" s="146">
        <f>'[4]Soy Complex'!BD582-AZ454</f>
        <v>-1.7295438837436379</v>
      </c>
      <c r="BA470" s="146">
        <f>'[4]Soy Complex'!BE582-BA454</f>
        <v>1.7607036130456812</v>
      </c>
      <c r="BB470" s="146">
        <f>'[4]Soy Complex'!BF582-BB454</f>
        <v>-1.4772856133747325</v>
      </c>
      <c r="BC470" s="146">
        <f>'[4]Soy Complex'!BG582-BC454</f>
        <v>-2.4072265422905375</v>
      </c>
      <c r="BD470" s="146">
        <f>'[4]Soy Complex'!BH582-BD454</f>
        <v>-1.4763100613166387</v>
      </c>
      <c r="BE470" s="146">
        <f>'[4]Soy Complex'!BI582-BE454</f>
        <v>-5.3079156399406315</v>
      </c>
      <c r="BF470" s="146">
        <f>'[4]Soy Complex'!BJ582-BF454</f>
        <v>5.0364433983593457</v>
      </c>
      <c r="BG470" s="146">
        <f>'[4]Soy Complex'!BK582-BG454</f>
        <v>4.9087472978835933</v>
      </c>
      <c r="BH470" s="146">
        <f>'[4]Soy Complex'!BL582-BH454</f>
        <v>3.932447826086964</v>
      </c>
      <c r="BI470" s="146">
        <f>'[4]Soy Complex'!BM582-BI454</f>
        <v>0.13908980000000781</v>
      </c>
      <c r="BJ470" s="146" t="e">
        <f>'[4]Soy Complex'!BN582-BJ454</f>
        <v>#REF!</v>
      </c>
      <c r="BK470" s="146"/>
      <c r="BL470" s="146"/>
      <c r="BM470" s="146"/>
      <c r="BN470" s="146"/>
      <c r="BO470" s="146"/>
      <c r="BP470" s="146"/>
      <c r="BQ470" s="146"/>
      <c r="BR470" s="146"/>
      <c r="BS470" s="146"/>
      <c r="BT470" s="146"/>
      <c r="BU470" s="146"/>
    </row>
    <row r="471" spans="1:73">
      <c r="A471" t="s">
        <v>112</v>
      </c>
      <c r="AX471" s="146">
        <f>'[4]Soy Complex'!BB584-AX455</f>
        <v>2.7412468279536455</v>
      </c>
      <c r="AY471" s="146">
        <f>'[4]Soy Complex'!BC583-AY455</f>
        <v>1.2392402698613196</v>
      </c>
      <c r="AZ471" s="146">
        <f>'[4]Soy Complex'!BD583-AZ455</f>
        <v>1.1286151111619063</v>
      </c>
      <c r="BA471" s="146">
        <f>'[4]Soy Complex'!BE583-BA455</f>
        <v>2.8947639567236365</v>
      </c>
      <c r="BB471" s="146">
        <f>'[4]Soy Complex'!BF583-BB455</f>
        <v>-0.67134760381516756</v>
      </c>
      <c r="BC471" s="146">
        <f>'[4]Soy Complex'!BG583-BC455</f>
        <v>-2.6549677450374745</v>
      </c>
      <c r="BD471" s="146">
        <f>'[4]Soy Complex'!BH583-BD455</f>
        <v>-0.4550617551861933</v>
      </c>
      <c r="BE471" s="146">
        <f>'[4]Soy Complex'!BI583-BE455</f>
        <v>-1.4704391840128679</v>
      </c>
      <c r="BF471" s="146">
        <f>'[4]Soy Complex'!BJ583-BF455</f>
        <v>3.6920205038654004</v>
      </c>
      <c r="BG471" s="146">
        <f>'[4]Soy Complex'!BK583-BG455</f>
        <v>-1.5426917473942439</v>
      </c>
      <c r="BH471" s="146">
        <f>'[4]Soy Complex'!BL583-BH455</f>
        <v>2.6820867368421091</v>
      </c>
      <c r="BI471" s="146">
        <f>'[4]Soy Complex'!BM583-BI455</f>
        <v>3.1398000000002924E-2</v>
      </c>
      <c r="BJ471" s="146" t="e">
        <f>'[4]Soy Complex'!BN583-BJ455</f>
        <v>#REF!</v>
      </c>
      <c r="BK471" s="146"/>
      <c r="BL471" s="146"/>
      <c r="BM471" s="146"/>
      <c r="BN471" s="146"/>
      <c r="BO471" s="146"/>
      <c r="BP471" s="146"/>
      <c r="BQ471" s="146"/>
      <c r="BR471" s="146"/>
      <c r="BS471" s="146"/>
      <c r="BT471" s="146"/>
      <c r="BU471" s="146"/>
    </row>
    <row r="472" spans="1:73">
      <c r="A472" t="s">
        <v>100</v>
      </c>
      <c r="AX472" s="146">
        <f>'[4]Soy Complex'!BB585-AX456</f>
        <v>2.4360115130847859</v>
      </c>
      <c r="AY472" s="146">
        <f>'[4]Soy Complex'!BC584-AY456</f>
        <v>0.79988001968495581</v>
      </c>
      <c r="AZ472" s="146">
        <f>'[4]Soy Complex'!BD584-AZ456</f>
        <v>2.0875322050673475</v>
      </c>
      <c r="BA472" s="146">
        <f>'[4]Soy Complex'!BE584-BA456</f>
        <v>-0.71187476964736618</v>
      </c>
      <c r="BB472" s="146">
        <f>'[4]Soy Complex'!BF584-BB456</f>
        <v>0.83178161649076543</v>
      </c>
      <c r="BC472" s="146">
        <f>'[4]Soy Complex'!BG584-BC456</f>
        <v>-3.1733245689713456</v>
      </c>
      <c r="BD472" s="146">
        <f>'[4]Soy Complex'!BH584-BD456</f>
        <v>-1.3454669790326044</v>
      </c>
      <c r="BE472" s="146">
        <f>'[4]Soy Complex'!BI584-BE456</f>
        <v>0.1818674575505419</v>
      </c>
      <c r="BF472" s="146">
        <f>'[4]Soy Complex'!BJ584-BF456</f>
        <v>9.7067596027799823</v>
      </c>
      <c r="BG472" s="146">
        <f>'[4]Soy Complex'!BK584-BG456</f>
        <v>-2.4725154268002143</v>
      </c>
      <c r="BH472" s="146">
        <f>'[4]Soy Complex'!BL584-BH456</f>
        <v>0.33245127272727615</v>
      </c>
      <c r="BI472" s="146">
        <f>'[4]Soy Complex'!BM584-BI456</f>
        <v>-0.10144663636363305</v>
      </c>
      <c r="BJ472" s="146" t="e">
        <f>'[4]Soy Complex'!BN584-BJ456</f>
        <v>#REF!</v>
      </c>
      <c r="BK472" s="146"/>
      <c r="BL472" s="146"/>
      <c r="BM472" s="146"/>
      <c r="BN472" s="146"/>
      <c r="BO472" s="146"/>
      <c r="BP472" s="146"/>
      <c r="BQ472" s="146"/>
      <c r="BR472" s="146"/>
      <c r="BS472" s="146"/>
      <c r="BT472" s="146"/>
      <c r="BU472" s="146"/>
    </row>
    <row r="473" spans="1:73">
      <c r="A473" t="s">
        <v>102</v>
      </c>
      <c r="AX473" s="146">
        <f>'[4]Soy Complex'!BB586-AX457</f>
        <v>0.48708581362247116</v>
      </c>
      <c r="AY473" s="146">
        <f>'[4]Soy Complex'!BC585-AY457</f>
        <v>0.40464316495071273</v>
      </c>
      <c r="AZ473" s="146">
        <f>'[4]Soy Complex'!BD585-AZ457</f>
        <v>0.82741359473163101</v>
      </c>
      <c r="BA473" s="146">
        <f>'[4]Soy Complex'!BE585-BA457</f>
        <v>-0.50726654059659637</v>
      </c>
      <c r="BB473" s="146">
        <f>'[4]Soy Complex'!BF585-BB457</f>
        <v>-1.4462036344552445</v>
      </c>
      <c r="BC473" s="146">
        <f>'[4]Soy Complex'!BG585-BC457</f>
        <v>-2.489643104350769</v>
      </c>
      <c r="BD473" s="146">
        <f>'[4]Soy Complex'!BH585-BD457</f>
        <v>-1.0415741564767131</v>
      </c>
      <c r="BE473" s="146">
        <f>'[4]Soy Complex'!BI585-BE457</f>
        <v>1.2001666874082204</v>
      </c>
      <c r="BF473" s="146">
        <f>'[4]Soy Complex'!BJ585-BF457</f>
        <v>3.5078568710681992</v>
      </c>
      <c r="BG473" s="146">
        <f>'[4]Soy Complex'!BK585-BG457</f>
        <v>-8.5360820671060083</v>
      </c>
      <c r="BH473" s="146">
        <f>'[4]Soy Complex'!BL585-BH457</f>
        <v>0.84569219047619271</v>
      </c>
      <c r="BI473" s="146">
        <f>'[4]Soy Complex'!BM585-BI457</f>
        <v>-0.17768389473683754</v>
      </c>
      <c r="BJ473" s="146" t="e">
        <f>'[4]Soy Complex'!BN585-BJ457</f>
        <v>#REF!</v>
      </c>
      <c r="BK473" s="146"/>
      <c r="BL473" s="146"/>
      <c r="BM473" s="146"/>
      <c r="BN473" s="146"/>
      <c r="BO473" s="146"/>
      <c r="BP473" s="146"/>
      <c r="BQ473" s="146"/>
      <c r="BR473" s="146"/>
      <c r="BS473" s="146"/>
      <c r="BT473" s="146"/>
      <c r="BU473" s="146"/>
    </row>
    <row r="474" spans="1:73">
      <c r="A474" t="s">
        <v>103</v>
      </c>
      <c r="AX474" s="146">
        <f>'[4]Soy Complex'!BB587-AX458</f>
        <v>0.14871453122878364</v>
      </c>
      <c r="AY474" s="146">
        <f>'[4]Soy Complex'!BC586-AY458</f>
        <v>-2.9465949944253538</v>
      </c>
      <c r="AZ474" s="146">
        <f>'[4]Soy Complex'!BD586-AZ458</f>
        <v>-8.7875069856487187E-2</v>
      </c>
      <c r="BA474" s="146">
        <f>'[4]Soy Complex'!BE586-BA458</f>
        <v>-1.5318881273070915</v>
      </c>
      <c r="BB474" s="146">
        <f>'[4]Soy Complex'!BF586-BB458</f>
        <v>9.4828576962392219E-2</v>
      </c>
      <c r="BC474" s="146">
        <f>'[4]Soy Complex'!BG586-BC458</f>
        <v>-2.4216487361552268</v>
      </c>
      <c r="BD474" s="146">
        <f>'[4]Soy Complex'!BH586-BD458</f>
        <v>-0.60007606796590807</v>
      </c>
      <c r="BE474" s="146">
        <f>'[4]Soy Complex'!BI586-BE458</f>
        <v>-0.6580790766730864</v>
      </c>
      <c r="BF474" s="146" t="e">
        <f>'[4]Soy Complex'!BJ586-BF458</f>
        <v>#VALUE!</v>
      </c>
      <c r="BG474" s="146">
        <f>'[4]Soy Complex'!BK586-BG458</f>
        <v>-11.022383824787859</v>
      </c>
      <c r="BH474" s="146">
        <f>'[4]Soy Complex'!BL586-BH458</f>
        <v>1.7322379999999953</v>
      </c>
      <c r="BI474" s="146">
        <f>'[4]Soy Complex'!BM586-BI458</f>
        <v>3.7559909090916221E-2</v>
      </c>
      <c r="BJ474" s="146" t="e">
        <f>'[4]Soy Complex'!BN586-BJ458</f>
        <v>#REF!</v>
      </c>
      <c r="BK474" s="146"/>
      <c r="BL474" s="146"/>
      <c r="BM474" s="146"/>
      <c r="BN474" s="146"/>
      <c r="BO474" s="146"/>
      <c r="BP474" s="146"/>
      <c r="BQ474" s="146"/>
      <c r="BR474" s="146"/>
      <c r="BS474" s="146"/>
      <c r="BT474" s="146"/>
      <c r="BU474" s="146"/>
    </row>
    <row r="475" spans="1:73">
      <c r="A475" t="s">
        <v>104</v>
      </c>
      <c r="AX475" s="146">
        <f>'[4]Soy Complex'!BB588-AX459</f>
        <v>2.5524069998437469</v>
      </c>
      <c r="AY475" s="146">
        <f>'[4]Soy Complex'!BC587-AY459</f>
        <v>-5.3055031450289505</v>
      </c>
      <c r="AZ475" s="146">
        <f>'[4]Soy Complex'!BD587-AZ459</f>
        <v>-0.91061955128816052</v>
      </c>
      <c r="BA475" s="146">
        <f>'[4]Soy Complex'!BE587-BA459</f>
        <v>0.90027349923073174</v>
      </c>
      <c r="BB475" s="146">
        <f>'[4]Soy Complex'!BF587-BB459</f>
        <v>0.32951097285610587</v>
      </c>
      <c r="BC475" s="146">
        <f>'[4]Soy Complex'!BG587-BC459</f>
        <v>-1.4934119046258196</v>
      </c>
      <c r="BD475" s="146">
        <f>'[4]Soy Complex'!BH587-BD459</f>
        <v>-0.44515543254127365</v>
      </c>
      <c r="BE475" s="146">
        <f>'[4]Soy Complex'!BI587-BE459</f>
        <v>-0.70728311701506286</v>
      </c>
      <c r="BF475" s="146">
        <f>'[4]Soy Complex'!BJ587-BF459</f>
        <v>4.8928121527845079</v>
      </c>
      <c r="BG475" s="146">
        <f>'[4]Soy Complex'!BK587-BG459</f>
        <v>8.3099411422318568</v>
      </c>
      <c r="BH475" s="146">
        <f>'[4]Soy Complex'!BL587-BH459</f>
        <v>1.6663423478260952</v>
      </c>
      <c r="BI475" s="146">
        <f>'[4]Soy Complex'!BM587-BI459</f>
        <v>-0.37880909090908688</v>
      </c>
      <c r="BJ475" s="146" t="e">
        <f>'[4]Soy Complex'!BN587-BJ459</f>
        <v>#REF!</v>
      </c>
      <c r="BK475" s="146"/>
      <c r="BL475" s="146"/>
      <c r="BM475" s="146"/>
      <c r="BN475" s="146"/>
      <c r="BO475" s="146"/>
      <c r="BP475" s="146"/>
      <c r="BQ475" s="146"/>
      <c r="BR475" s="146"/>
      <c r="BS475" s="146"/>
      <c r="BT475" s="146"/>
      <c r="BU475" s="146"/>
    </row>
    <row r="476" spans="1:73">
      <c r="A476" t="s">
        <v>105</v>
      </c>
      <c r="AX476" s="146">
        <f>'[4]Soy Complex'!BB589-AX460</f>
        <v>-39.644243515927656</v>
      </c>
      <c r="AY476" s="146">
        <f>'[4]Soy Complex'!BC588-AY460</f>
        <v>-5.1971774349525717</v>
      </c>
      <c r="AZ476" s="146">
        <f>'[4]Soy Complex'!BD588-AZ460</f>
        <v>-1.8901375392244155</v>
      </c>
      <c r="BA476" s="146">
        <f>'[4]Soy Complex'!BE588-BA460</f>
        <v>-1.1007472044970754</v>
      </c>
      <c r="BB476" s="146">
        <f>'[4]Soy Complex'!BF588-BB460</f>
        <v>-3.2045742576691794E-2</v>
      </c>
      <c r="BC476" s="146">
        <f>'[4]Soy Complex'!BG588-BC460</f>
        <v>-0.79348606040153769</v>
      </c>
      <c r="BD476" s="146">
        <f>'[4]Soy Complex'!BH588-BD460</f>
        <v>-1.3972050125772455</v>
      </c>
      <c r="BE476" s="146" t="e">
        <f>'[4]Soy Complex'!BI588-BE460</f>
        <v>#VALUE!</v>
      </c>
      <c r="BF476" s="146">
        <f>'[4]Soy Complex'!BJ588-BF460</f>
        <v>-1.6775274292783635</v>
      </c>
      <c r="BG476" s="146">
        <f>'[4]Soy Complex'!BK588-BG460</f>
        <v>4.8984130398441437</v>
      </c>
      <c r="BH476" s="146">
        <f>'[4]Soy Complex'!BL588-BH460</f>
        <v>1.3050493000000074</v>
      </c>
      <c r="BI476" s="146">
        <f>'[4]Soy Complex'!BM588-BI460</f>
        <v>-0.36408939999999745</v>
      </c>
      <c r="BJ476" s="146" t="e">
        <f>'[4]Soy Complex'!BN588-BJ460</f>
        <v>#REF!</v>
      </c>
      <c r="BK476" s="146"/>
      <c r="BL476" s="146"/>
      <c r="BM476" s="146"/>
      <c r="BN476" s="146"/>
      <c r="BO476" s="146"/>
      <c r="BP476" s="146"/>
      <c r="BQ476" s="146"/>
      <c r="BR476" s="146"/>
      <c r="BS476" s="146"/>
      <c r="BT476" s="146"/>
      <c r="BU476" s="146"/>
    </row>
    <row r="477" spans="1:73">
      <c r="A477" t="s">
        <v>106</v>
      </c>
      <c r="AX477" s="146">
        <f>'[4]Soy Complex'!$BC$589-AX461</f>
        <v>-0.7046437871906619</v>
      </c>
      <c r="AY477" s="146">
        <f>'[4]Soy Complex'!$BC$589-AY461</f>
        <v>4.7150942378360909</v>
      </c>
      <c r="AZ477" s="146">
        <f>'[4]Soy Complex'!$BC$589-AZ461</f>
        <v>11.536943515169675</v>
      </c>
      <c r="BA477" s="146">
        <f>'[4]Soy Complex'!$BC$589-BA461</f>
        <v>5.443122702090875</v>
      </c>
      <c r="BB477" s="146">
        <f>'[4]Soy Complex'!$BC$589-BB461</f>
        <v>4.2518127654041749</v>
      </c>
      <c r="BC477" s="146">
        <f>'[4]Soy Complex'!$BC$589-BC461</f>
        <v>10.450437148273679</v>
      </c>
      <c r="BD477" s="146">
        <f>'[4]Soy Complex'!$BC$589-BD461</f>
        <v>9.1691183171041999</v>
      </c>
      <c r="BE477" s="146">
        <f>'[4]Soy Complex'!$BC$589-BE461</f>
        <v>3.2526381309532937</v>
      </c>
      <c r="BF477" s="146">
        <f>'[4]Soy Complex'!$BC$589-BF461</f>
        <v>-19.504717007871328</v>
      </c>
      <c r="BG477" s="146">
        <f>'[4]Soy Complex'!BK590-BG461</f>
        <v>-49.372109409647166</v>
      </c>
      <c r="BH477" s="146">
        <f>'[4]Soy Complex'!BL590-BH461</f>
        <v>-55.7572583122152</v>
      </c>
      <c r="BI477" s="146">
        <f>'[4]Soy Complex'!BM590-BI461</f>
        <v>-45.226001783447593</v>
      </c>
      <c r="BJ477" s="146" t="e">
        <f>'[4]Soy Complex'!BN590-BJ461</f>
        <v>#REF!</v>
      </c>
      <c r="BK477" s="146"/>
      <c r="BL477" s="146"/>
      <c r="BM477" s="146"/>
      <c r="BN477" s="146"/>
      <c r="BO477" s="146"/>
      <c r="BP477" s="146"/>
      <c r="BQ477" s="146"/>
      <c r="BR477" s="146"/>
      <c r="BS477" s="146"/>
      <c r="BT477" s="146"/>
      <c r="BU477" s="146"/>
    </row>
    <row r="478" spans="1:73" ht="15.75" thickBot="1">
      <c r="A478" t="s">
        <v>169</v>
      </c>
      <c r="AX478" s="146">
        <f t="shared" ref="AX478:BJ478" si="307">AVERAGE(AX466:AX477)</f>
        <v>-4.185123695478798</v>
      </c>
      <c r="AY478" s="146">
        <f t="shared" si="307"/>
        <v>-0.72647586611701997</v>
      </c>
      <c r="AZ478" s="146">
        <f t="shared" si="307"/>
        <v>-4.3870837210336987E-2</v>
      </c>
      <c r="BA478" s="146">
        <f t="shared" si="307"/>
        <v>0.47514737638908616</v>
      </c>
      <c r="BB478" s="146">
        <f t="shared" si="307"/>
        <v>-0.25447865998911556</v>
      </c>
      <c r="BC478" s="146">
        <f t="shared" si="307"/>
        <v>-0.99915411831967005</v>
      </c>
      <c r="BD478" s="146">
        <f t="shared" si="307"/>
        <v>0.14365782542781039</v>
      </c>
      <c r="BE478" s="146" t="e">
        <f t="shared" si="307"/>
        <v>#VALUE!</v>
      </c>
      <c r="BF478" s="146" t="e">
        <f t="shared" si="307"/>
        <v>#VALUE!</v>
      </c>
      <c r="BG478" s="146" t="e">
        <f t="shared" si="307"/>
        <v>#VALUE!</v>
      </c>
      <c r="BH478" s="146">
        <f t="shared" si="307"/>
        <v>-1.0133345033818724</v>
      </c>
      <c r="BI478" s="146">
        <f t="shared" si="307"/>
        <v>-3.7569805096178182</v>
      </c>
      <c r="BJ478" s="146" t="e">
        <f t="shared" si="307"/>
        <v>#REF!</v>
      </c>
      <c r="BK478" s="146"/>
      <c r="BL478" s="146"/>
      <c r="BM478" s="146"/>
      <c r="BN478" s="146"/>
      <c r="BO478" s="146"/>
      <c r="BP478" s="146"/>
      <c r="BQ478" s="146"/>
      <c r="BR478" s="146"/>
      <c r="BS478" s="146"/>
      <c r="BT478" s="146"/>
      <c r="BU478" s="146"/>
    </row>
    <row r="479" spans="1:73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  <c r="AE479" s="145"/>
      <c r="AF479" s="145"/>
      <c r="AG479" s="145"/>
      <c r="AH479" s="145"/>
      <c r="AI479" s="145"/>
      <c r="AJ479" s="145"/>
      <c r="AK479" s="145"/>
      <c r="AL479" s="145"/>
      <c r="AM479" s="145"/>
      <c r="AN479" s="145"/>
      <c r="AO479" s="145"/>
      <c r="AP479" s="145"/>
      <c r="AQ479" s="145"/>
      <c r="AR479" s="145"/>
      <c r="AS479" s="145"/>
      <c r="AT479" s="145"/>
      <c r="AU479" s="145"/>
      <c r="AV479" s="145"/>
      <c r="AW479" s="145"/>
      <c r="AX479" s="145"/>
      <c r="AY479" s="145"/>
      <c r="AZ479" s="145"/>
      <c r="BA479" s="145"/>
      <c r="BB479" s="145"/>
      <c r="BC479" s="145"/>
      <c r="BD479" s="145"/>
      <c r="BE479" s="145"/>
      <c r="BF479" s="145"/>
      <c r="BG479" s="145"/>
      <c r="BH479" s="145"/>
      <c r="BI479" s="145"/>
      <c r="BJ479" s="145"/>
      <c r="BK479" s="145"/>
      <c r="BL479" s="145"/>
      <c r="BM479" s="145"/>
    </row>
    <row r="480" spans="1:73" ht="15.75" thickBot="1">
      <c r="A480" s="124" t="s">
        <v>170</v>
      </c>
    </row>
    <row r="481" spans="1:73" ht="15.75" thickBot="1">
      <c r="A481" s="141"/>
      <c r="B481" s="141" t="str">
        <f t="shared" ref="B481:BM481" si="308">C2</f>
        <v xml:space="preserve">65/66 </v>
      </c>
      <c r="C481" s="141" t="str">
        <f t="shared" si="308"/>
        <v xml:space="preserve">66/67 </v>
      </c>
      <c r="D481" s="141" t="str">
        <f t="shared" si="308"/>
        <v xml:space="preserve">67/68 </v>
      </c>
      <c r="E481" s="141" t="str">
        <f t="shared" si="308"/>
        <v xml:space="preserve">68/69 </v>
      </c>
      <c r="F481" s="141" t="str">
        <f t="shared" si="308"/>
        <v xml:space="preserve">69/70 </v>
      </c>
      <c r="G481" s="141" t="str">
        <f t="shared" si="308"/>
        <v xml:space="preserve">70/71 </v>
      </c>
      <c r="H481" s="141" t="str">
        <f t="shared" si="308"/>
        <v xml:space="preserve">71/72 </v>
      </c>
      <c r="I481" s="141" t="str">
        <f t="shared" si="308"/>
        <v xml:space="preserve">72/73 </v>
      </c>
      <c r="J481" s="141" t="str">
        <f t="shared" si="308"/>
        <v xml:space="preserve">73/74 </v>
      </c>
      <c r="K481" s="141" t="str">
        <f t="shared" si="308"/>
        <v xml:space="preserve">74/75 </v>
      </c>
      <c r="L481" s="141" t="str">
        <f t="shared" si="308"/>
        <v xml:space="preserve">75/76 </v>
      </c>
      <c r="M481" s="141" t="str">
        <f t="shared" si="308"/>
        <v xml:space="preserve">76/77 </v>
      </c>
      <c r="N481" s="141" t="str">
        <f t="shared" si="308"/>
        <v xml:space="preserve">77/78 </v>
      </c>
      <c r="O481" s="141" t="str">
        <f t="shared" si="308"/>
        <v xml:space="preserve">78/79 </v>
      </c>
      <c r="P481" s="141" t="str">
        <f t="shared" si="308"/>
        <v xml:space="preserve">79/80 </v>
      </c>
      <c r="Q481" s="141" t="str">
        <f t="shared" si="308"/>
        <v xml:space="preserve">80/81 </v>
      </c>
      <c r="R481" s="141" t="str">
        <f t="shared" si="308"/>
        <v xml:space="preserve">81/82 </v>
      </c>
      <c r="S481" s="141" t="str">
        <f t="shared" si="308"/>
        <v xml:space="preserve">82/83 </v>
      </c>
      <c r="T481" s="141" t="str">
        <f t="shared" si="308"/>
        <v xml:space="preserve">83/84 </v>
      </c>
      <c r="U481" s="141" t="str">
        <f t="shared" si="308"/>
        <v xml:space="preserve">84/85 </v>
      </c>
      <c r="V481" s="141" t="str">
        <f t="shared" si="308"/>
        <v xml:space="preserve">85/86 </v>
      </c>
      <c r="W481" s="141" t="str">
        <f t="shared" si="308"/>
        <v xml:space="preserve">86/87 </v>
      </c>
      <c r="X481" s="141" t="str">
        <f t="shared" si="308"/>
        <v xml:space="preserve">87/88 </v>
      </c>
      <c r="Y481" s="141" t="str">
        <f t="shared" si="308"/>
        <v xml:space="preserve">88/89 </v>
      </c>
      <c r="Z481" s="141" t="str">
        <f t="shared" si="308"/>
        <v xml:space="preserve">89/90 </v>
      </c>
      <c r="AA481" s="141" t="str">
        <f t="shared" si="308"/>
        <v xml:space="preserve">90/91 </v>
      </c>
      <c r="AB481" s="141" t="str">
        <f t="shared" si="308"/>
        <v xml:space="preserve">91/92 </v>
      </c>
      <c r="AC481" s="141" t="str">
        <f t="shared" si="308"/>
        <v xml:space="preserve">92/93 </v>
      </c>
      <c r="AD481" s="141" t="str">
        <f t="shared" si="308"/>
        <v xml:space="preserve">93/94 </v>
      </c>
      <c r="AE481" s="141" t="str">
        <f t="shared" si="308"/>
        <v xml:space="preserve">94/95 </v>
      </c>
      <c r="AF481" s="141" t="str">
        <f t="shared" si="308"/>
        <v xml:space="preserve">95/96 </v>
      </c>
      <c r="AG481" s="141" t="str">
        <f t="shared" si="308"/>
        <v xml:space="preserve">96/97 </v>
      </c>
      <c r="AH481" s="141" t="str">
        <f t="shared" si="308"/>
        <v xml:space="preserve">97/98 </v>
      </c>
      <c r="AI481" s="141" t="str">
        <f t="shared" si="308"/>
        <v xml:space="preserve">98/99 </v>
      </c>
      <c r="AJ481" s="141" t="str">
        <f t="shared" si="308"/>
        <v xml:space="preserve">99/00 </v>
      </c>
      <c r="AK481" s="141" t="str">
        <f t="shared" si="308"/>
        <v xml:space="preserve">00/01 </v>
      </c>
      <c r="AL481" s="141" t="str">
        <f t="shared" si="308"/>
        <v xml:space="preserve">01/02 </v>
      </c>
      <c r="AM481" s="141" t="str">
        <f t="shared" si="308"/>
        <v xml:space="preserve">02/03 </v>
      </c>
      <c r="AN481" s="141" t="str">
        <f t="shared" si="308"/>
        <v xml:space="preserve">03/04 </v>
      </c>
      <c r="AO481" s="141" t="str">
        <f t="shared" si="308"/>
        <v xml:space="preserve">04/05 </v>
      </c>
      <c r="AP481" s="141" t="str">
        <f t="shared" si="308"/>
        <v xml:space="preserve">05/06 </v>
      </c>
      <c r="AQ481" s="141" t="str">
        <f t="shared" si="308"/>
        <v xml:space="preserve">06/07 </v>
      </c>
      <c r="AR481" s="141" t="str">
        <f t="shared" si="308"/>
        <v xml:space="preserve">07/08 </v>
      </c>
      <c r="AS481" s="141" t="str">
        <f t="shared" si="308"/>
        <v xml:space="preserve">08/09 </v>
      </c>
      <c r="AT481" s="141" t="str">
        <f t="shared" si="308"/>
        <v xml:space="preserve">09/10 </v>
      </c>
      <c r="AU481" s="141" t="str">
        <f t="shared" si="308"/>
        <v xml:space="preserve">10/11 </v>
      </c>
      <c r="AV481" s="141" t="str">
        <f t="shared" si="308"/>
        <v xml:space="preserve">11/12 </v>
      </c>
      <c r="AW481" s="141" t="str">
        <f t="shared" si="308"/>
        <v xml:space="preserve">12/13 </v>
      </c>
      <c r="AX481" s="141" t="str">
        <f t="shared" si="308"/>
        <v xml:space="preserve">13/14 </v>
      </c>
      <c r="AY481" s="141" t="str">
        <f t="shared" si="308"/>
        <v xml:space="preserve">14/15 </v>
      </c>
      <c r="AZ481" s="141" t="str">
        <f t="shared" si="308"/>
        <v xml:space="preserve">15/16 </v>
      </c>
      <c r="BA481" s="141" t="str">
        <f t="shared" si="308"/>
        <v xml:space="preserve">16/17 </v>
      </c>
      <c r="BB481" s="141" t="str">
        <f t="shared" si="308"/>
        <v xml:space="preserve">17/18 </v>
      </c>
      <c r="BC481" s="141" t="str">
        <f t="shared" si="308"/>
        <v xml:space="preserve">18/19 </v>
      </c>
      <c r="BD481" s="141" t="str">
        <f t="shared" si="308"/>
        <v>19/20</v>
      </c>
      <c r="BE481" s="141" t="str">
        <f t="shared" si="308"/>
        <v>20/21</v>
      </c>
      <c r="BF481" s="141" t="str">
        <f t="shared" si="308"/>
        <v>21/22</v>
      </c>
      <c r="BG481" s="141" t="str">
        <f t="shared" si="308"/>
        <v>22/23</v>
      </c>
      <c r="BH481" s="141" t="str">
        <f t="shared" si="308"/>
        <v>23/24</v>
      </c>
      <c r="BI481" s="141" t="str">
        <f t="shared" si="308"/>
        <v>24/25</v>
      </c>
      <c r="BJ481" s="141" t="str">
        <f t="shared" si="308"/>
        <v>25/26</v>
      </c>
      <c r="BK481" s="141" t="str">
        <f t="shared" si="308"/>
        <v>26/27</v>
      </c>
      <c r="BL481" s="141" t="str">
        <f t="shared" si="308"/>
        <v>27/28</v>
      </c>
      <c r="BM481" s="141" t="str">
        <f t="shared" si="308"/>
        <v>28/29</v>
      </c>
      <c r="BN481" s="142"/>
      <c r="BO481" s="142"/>
      <c r="BP481" s="142"/>
      <c r="BQ481" s="142"/>
      <c r="BR481" s="142"/>
      <c r="BS481" s="142"/>
      <c r="BT481" s="142"/>
      <c r="BU481" s="142"/>
    </row>
    <row r="482" spans="1:73">
      <c r="A482" t="s">
        <v>107</v>
      </c>
      <c r="AY482" s="146">
        <f>'[3]Monthly SBO'!$BS155</f>
        <v>3.2000950729875655</v>
      </c>
      <c r="AZ482" s="146">
        <f>'[3]Monthly SBO'!$BS167</f>
        <v>4.4901121371373378</v>
      </c>
      <c r="BA482" s="146">
        <f>'[3]Monthly SBO'!$BS179</f>
        <v>2.4997482561636417</v>
      </c>
      <c r="BB482" s="146">
        <f>'[3]Monthly SBO'!$BS191</f>
        <v>3.8401140875850857</v>
      </c>
      <c r="BC482" s="146">
        <f>'[3]Monthly SBO'!$BS203</f>
        <v>2.2298607198875828</v>
      </c>
      <c r="BD482" s="146">
        <f>'[3]Monthly SBO'!$BS215</f>
        <v>2.1600074752043668</v>
      </c>
      <c r="BE482" s="146">
        <f>'[3]Monthly SBO'!$BS227</f>
        <v>1.7000646822902077</v>
      </c>
      <c r="BF482" s="146">
        <f>'[3]Monthly SBO'!$BS239</f>
        <v>0.97023435309998618</v>
      </c>
      <c r="BG482" s="146">
        <f>'[3]Monthly SBO'!$BS251</f>
        <v>3.4999197141278628</v>
      </c>
      <c r="BH482" s="146">
        <f t="shared" ref="BH482:BH493" si="309">MROUND(BH$494*(SUM(BC482:BG482)/SUM(BC$494:BG$494)),0.5)</f>
        <v>4.5</v>
      </c>
      <c r="BI482" s="146">
        <f t="shared" ref="BI482:BM493" si="310">MROUND(BI$494*(SUM(BD482:BH482)/SUM(BD$494:BH$494)),0.5)</f>
        <v>3.5</v>
      </c>
      <c r="BJ482" s="146">
        <f t="shared" si="310"/>
        <v>3.5</v>
      </c>
      <c r="BK482" s="146">
        <f t="shared" si="310"/>
        <v>2.5</v>
      </c>
      <c r="BL482" s="146">
        <f t="shared" si="310"/>
        <v>3</v>
      </c>
      <c r="BM482" s="146">
        <f t="shared" si="310"/>
        <v>2.5</v>
      </c>
      <c r="BN482" s="146"/>
      <c r="BO482" s="146"/>
      <c r="BP482" s="146"/>
      <c r="BQ482" s="146"/>
      <c r="BR482" s="146"/>
      <c r="BS482" s="146"/>
      <c r="BT482" s="146"/>
      <c r="BU482" s="146"/>
    </row>
    <row r="483" spans="1:73">
      <c r="A483" t="s">
        <v>108</v>
      </c>
      <c r="AY483" s="146">
        <f>'[3]Monthly SBO'!$BS156</f>
        <v>4.5998815216395315</v>
      </c>
      <c r="AZ483" s="146">
        <f>'[3]Monthly SBO'!$BS168</f>
        <v>1.7898759968829125</v>
      </c>
      <c r="BA483" s="146">
        <f>'[3]Monthly SBO'!$BS180</f>
        <v>1.8152771767677223</v>
      </c>
      <c r="BB483" s="146">
        <f>'[3]Monthly SBO'!$BS192</f>
        <v>1.9499941486567778</v>
      </c>
      <c r="BC483" s="146">
        <f>'[3]Monthly SBO'!$BS204</f>
        <v>3.1601789331685808</v>
      </c>
      <c r="BD483" s="146">
        <f>'[3]Monthly SBO'!$BS216</f>
        <v>1.4301771460141453</v>
      </c>
      <c r="BE483" s="146">
        <f>'[3]Monthly SBO'!$BS228</f>
        <v>1.3303867964666942</v>
      </c>
      <c r="BF483" s="146">
        <f>'[3]Monthly SBO'!$BS240</f>
        <v>1.6401904725617342</v>
      </c>
      <c r="BG483" s="146">
        <f>'[3]Monthly SBO'!$BS252</f>
        <v>7.7700394897628726</v>
      </c>
      <c r="BH483" s="146">
        <f t="shared" si="309"/>
        <v>6.5</v>
      </c>
      <c r="BI483" s="146">
        <f t="shared" si="310"/>
        <v>5.5</v>
      </c>
      <c r="BJ483" s="146">
        <f t="shared" si="310"/>
        <v>5.5</v>
      </c>
      <c r="BK483" s="146">
        <f t="shared" si="310"/>
        <v>4.5</v>
      </c>
      <c r="BL483" s="146">
        <f t="shared" si="310"/>
        <v>5</v>
      </c>
      <c r="BM483" s="146">
        <f t="shared" si="310"/>
        <v>3.5</v>
      </c>
      <c r="BN483" s="146"/>
      <c r="BO483" s="146"/>
      <c r="BP483" s="146"/>
      <c r="BQ483" s="146"/>
      <c r="BR483" s="146"/>
      <c r="BS483" s="146"/>
      <c r="BT483" s="146"/>
      <c r="BU483" s="146"/>
    </row>
    <row r="484" spans="1:73">
      <c r="A484" t="s">
        <v>109</v>
      </c>
      <c r="AY484" s="146">
        <f>'[3]Monthly SBO'!$BS157</f>
        <v>2.8199845597113722</v>
      </c>
      <c r="AZ484" s="146">
        <f>'[3]Monthly SBO'!$BS169</f>
        <v>2.2402933473402697</v>
      </c>
      <c r="BA484" s="146">
        <f>'[3]Monthly SBO'!$BS181</f>
        <v>2.7097615827112236</v>
      </c>
      <c r="BB484" s="146">
        <f>'[3]Monthly SBO'!$BS193</f>
        <v>3.3602132247614307</v>
      </c>
      <c r="BC484" s="146">
        <f>'[3]Monthly SBO'!$BS205</f>
        <v>2.8199845597113651</v>
      </c>
      <c r="BD484" s="146">
        <f>'[3]Monthly SBO'!$BS217</f>
        <v>1.2051952670344406</v>
      </c>
      <c r="BE484" s="146">
        <f>'[3]Monthly SBO'!$BS229</f>
        <v>2.2897349296160492</v>
      </c>
      <c r="BF484" s="146">
        <f>'[3]Monthly SBO'!$BS241</f>
        <v>6.0599957725179223</v>
      </c>
      <c r="BG484" s="146">
        <f>'[3]Monthly SBO'!$BS253</f>
        <v>4.9999501048252242</v>
      </c>
      <c r="BH484" s="146">
        <f t="shared" si="309"/>
        <v>7.5</v>
      </c>
      <c r="BI484" s="146">
        <f t="shared" si="310"/>
        <v>6.5</v>
      </c>
      <c r="BJ484" s="146">
        <f t="shared" si="310"/>
        <v>6.5</v>
      </c>
      <c r="BK484" s="146">
        <f t="shared" si="310"/>
        <v>5.5</v>
      </c>
      <c r="BL484" s="146">
        <f t="shared" si="310"/>
        <v>5</v>
      </c>
      <c r="BM484" s="146">
        <f t="shared" si="310"/>
        <v>4.5</v>
      </c>
      <c r="BN484" s="146"/>
      <c r="BO484" s="146"/>
      <c r="BP484" s="146"/>
      <c r="BQ484" s="146"/>
      <c r="BR484" s="146"/>
      <c r="BS484" s="146"/>
      <c r="BT484" s="146"/>
      <c r="BU484" s="146"/>
    </row>
    <row r="485" spans="1:73">
      <c r="A485" t="s">
        <v>110</v>
      </c>
      <c r="AY485" s="146">
        <f>'[3]Monthly SBO'!$BS158</f>
        <v>2.8703333269830367</v>
      </c>
      <c r="AZ485" s="146">
        <f>'[3]Monthly SBO'!$BS170</f>
        <v>2.1899445800686053</v>
      </c>
      <c r="BA485" s="146">
        <f>'[3]Monthly SBO'!$BS182</f>
        <v>6.5902454026132453</v>
      </c>
      <c r="BB485" s="146">
        <f>'[3]Monthly SBO'!$BS194</f>
        <v>2.5197063260731305</v>
      </c>
      <c r="BC485" s="146">
        <f>'[3]Monthly SBO'!$BS206</f>
        <v>4.0097576818157492</v>
      </c>
      <c r="BD485" s="146">
        <f>'[3]Monthly SBO'!$BS218</f>
        <v>1.6401904725617413</v>
      </c>
      <c r="BE485" s="146">
        <f>'[3]Monthly SBO'!$BS230</f>
        <v>4.5998815216395421</v>
      </c>
      <c r="BF485" s="146">
        <f>'[3]Monthly SBO'!$BS242</f>
        <v>5.2099634313728203</v>
      </c>
      <c r="BG485" s="146">
        <f>'[3]Monthly SBO'!$BS254</f>
        <v>7.0801253003916429</v>
      </c>
      <c r="BH485" s="146">
        <f t="shared" si="309"/>
        <v>9.5</v>
      </c>
      <c r="BI485" s="146">
        <f t="shared" si="310"/>
        <v>8</v>
      </c>
      <c r="BJ485" s="146">
        <f t="shared" si="310"/>
        <v>8</v>
      </c>
      <c r="BK485" s="146">
        <f t="shared" si="310"/>
        <v>6.5</v>
      </c>
      <c r="BL485" s="146">
        <f t="shared" si="310"/>
        <v>6.5</v>
      </c>
      <c r="BM485" s="146">
        <f t="shared" si="310"/>
        <v>5.5</v>
      </c>
      <c r="BN485" s="146"/>
      <c r="BO485" s="146"/>
      <c r="BP485" s="146"/>
      <c r="BQ485" s="146"/>
      <c r="BR485" s="146"/>
      <c r="BS485" s="146"/>
      <c r="BT485" s="146"/>
      <c r="BU485" s="146"/>
    </row>
    <row r="486" spans="1:73">
      <c r="A486" t="s">
        <v>111</v>
      </c>
      <c r="AX486" s="146">
        <f>'[3]Monthly SBO'!$BS147</f>
        <v>3.9603160995399733</v>
      </c>
      <c r="AY486" s="146">
        <f>'[3]Monthly SBO'!$BS159</f>
        <v>4.9201178251872548</v>
      </c>
      <c r="AZ486" s="146">
        <f>'[3]Monthly SBO'!$BS171</f>
        <v>3.2400112128065501</v>
      </c>
      <c r="BA486" s="146">
        <f>'[3]Monthly SBO'!$BS183</f>
        <v>1.8601828340640729</v>
      </c>
      <c r="BB486" s="146">
        <f>'[3]Monthly SBO'!$BS195</f>
        <v>1.1398779473306533</v>
      </c>
      <c r="BC486" s="146">
        <f>'[3]Monthly SBO'!$BS207</f>
        <v>2.6698454428922531</v>
      </c>
      <c r="BD486" s="146">
        <f>'[3]Monthly SBO'!$BS219</f>
        <v>1.6701275774259727</v>
      </c>
      <c r="BE486" s="146">
        <f>'[3]Monthly SBO'!$BS231</f>
        <v>1.6996110897922669</v>
      </c>
      <c r="BF486" s="146">
        <f>'[3]Monthly SBO'!$BS243</f>
        <v>4.4302379274088715</v>
      </c>
      <c r="BG486" s="146">
        <f>'[3]Monthly SBO'!$BS255</f>
        <v>5.5701158747395212</v>
      </c>
      <c r="BH486" s="146">
        <f t="shared" si="309"/>
        <v>7</v>
      </c>
      <c r="BI486" s="146">
        <f t="shared" si="310"/>
        <v>6</v>
      </c>
      <c r="BJ486" s="146">
        <f t="shared" si="310"/>
        <v>6</v>
      </c>
      <c r="BK486" s="146">
        <f t="shared" si="310"/>
        <v>5</v>
      </c>
      <c r="BL486" s="146">
        <f t="shared" si="310"/>
        <v>5</v>
      </c>
      <c r="BM486" s="146">
        <f t="shared" si="310"/>
        <v>4</v>
      </c>
      <c r="BN486" s="146"/>
      <c r="BO486" s="146"/>
      <c r="BP486" s="146"/>
      <c r="BQ486" s="146"/>
      <c r="BR486" s="146"/>
      <c r="BS486" s="146"/>
      <c r="BT486" s="146"/>
      <c r="BU486" s="146"/>
    </row>
    <row r="487" spans="1:73">
      <c r="A487" t="s">
        <v>112</v>
      </c>
      <c r="AX487" s="146">
        <f>'[3]Monthly SBO'!$BS148</f>
        <v>2.1400494052948744</v>
      </c>
      <c r="AY487" s="146">
        <f>'[3]Monthly SBO'!$BS160</f>
        <v>5.2498795711917978</v>
      </c>
      <c r="AZ487" s="146">
        <f>'[3]Monthly SBO'!$BS172</f>
        <v>3.3597596322634899</v>
      </c>
      <c r="BA487" s="146">
        <f>'[3]Monthly SBO'!$BS184</f>
        <v>3.9598625070420219</v>
      </c>
      <c r="BB487" s="146">
        <f>'[3]Monthly SBO'!$BS196</f>
        <v>2.8000264898018834</v>
      </c>
      <c r="BC487" s="146">
        <f>'[3]Monthly SBO'!$BS208</f>
        <v>4.0700854840421634</v>
      </c>
      <c r="BD487" s="146">
        <f>'[3]Monthly SBO'!$BS220</f>
        <v>1.1598360172401456</v>
      </c>
      <c r="BE487" s="146">
        <f>'[3]Monthly SBO'!$BS232</f>
        <v>2.3301046619329746</v>
      </c>
      <c r="BF487" s="146">
        <f>'[3]Monthly SBO'!$BS244</f>
        <v>4.4501959973183602</v>
      </c>
      <c r="BG487" s="146">
        <f>'[3]Monthly SBO'!$BS256</f>
        <v>6.9299861835725167</v>
      </c>
      <c r="BH487" s="146">
        <f t="shared" si="309"/>
        <v>8</v>
      </c>
      <c r="BI487" s="146">
        <f t="shared" si="310"/>
        <v>6.5</v>
      </c>
      <c r="BJ487" s="146">
        <f t="shared" si="310"/>
        <v>6.5</v>
      </c>
      <c r="BK487" s="146">
        <f t="shared" si="310"/>
        <v>5.5</v>
      </c>
      <c r="BL487" s="146">
        <f t="shared" si="310"/>
        <v>5.5</v>
      </c>
      <c r="BM487" s="146">
        <f t="shared" si="310"/>
        <v>4.5</v>
      </c>
      <c r="BN487" s="146"/>
      <c r="BO487" s="146"/>
      <c r="BP487" s="146"/>
      <c r="BQ487" s="146"/>
      <c r="BR487" s="146"/>
      <c r="BS487" s="146"/>
      <c r="BT487" s="146"/>
      <c r="BU487" s="146"/>
    </row>
    <row r="488" spans="1:73">
      <c r="A488" t="s">
        <v>100</v>
      </c>
      <c r="AX488" s="146">
        <f>'[3]Monthly SBO'!$BS149</f>
        <v>2.0547740156815948</v>
      </c>
      <c r="AY488" s="146">
        <f>'[3]Monthly SBO'!$BS161</f>
        <v>2.7501313150281632</v>
      </c>
      <c r="AZ488" s="146">
        <f>'[3]Monthly SBO'!$BS173</f>
        <v>2.1300703703401282</v>
      </c>
      <c r="BA488" s="146">
        <f>'[3]Monthly SBO'!$BS185</f>
        <v>1.9799312535210092</v>
      </c>
      <c r="BB488" s="146">
        <f>'[3]Monthly SBO'!$BS197</f>
        <v>2.0148578758626101</v>
      </c>
      <c r="BC488" s="146">
        <f>'[3]Monthly SBO'!$BS209</f>
        <v>1.1199198774211681</v>
      </c>
      <c r="BD488" s="146">
        <f>'[3]Monthly SBO'!$BS221</f>
        <v>1.6596949499732858</v>
      </c>
      <c r="BE488" s="146">
        <f>'[3]Monthly SBO'!$BS233</f>
        <v>1.1797940871496309</v>
      </c>
      <c r="BF488" s="146">
        <f>'[3]Monthly SBO'!$BS245</f>
        <v>1.9899102884757625</v>
      </c>
      <c r="BG488" s="146">
        <f>'[3]Monthly SBO'!$BS257</f>
        <v>10.199934501243291</v>
      </c>
      <c r="BH488" s="146">
        <f t="shared" si="309"/>
        <v>7</v>
      </c>
      <c r="BI488" s="146">
        <f t="shared" si="310"/>
        <v>6.5</v>
      </c>
      <c r="BJ488" s="146">
        <f t="shared" si="310"/>
        <v>6.5</v>
      </c>
      <c r="BK488" s="146">
        <f t="shared" si="310"/>
        <v>5.5</v>
      </c>
      <c r="BL488" s="146">
        <f t="shared" si="310"/>
        <v>6</v>
      </c>
      <c r="BM488" s="146">
        <f t="shared" si="310"/>
        <v>4.5</v>
      </c>
      <c r="BN488" s="146"/>
      <c r="BO488" s="146"/>
      <c r="BP488" s="146"/>
      <c r="BQ488" s="146"/>
      <c r="BR488" s="146"/>
      <c r="BS488" s="146"/>
      <c r="BT488" s="146"/>
      <c r="BU488" s="146"/>
    </row>
    <row r="489" spans="1:73">
      <c r="A489" t="s">
        <v>102</v>
      </c>
      <c r="AX489" s="146">
        <f>'[3]Monthly SBO'!$BS150</f>
        <v>5.3496699207392524</v>
      </c>
      <c r="AY489" s="146">
        <f>'[3]Monthly SBO'!$BS162</f>
        <v>1.5100094256521075</v>
      </c>
      <c r="AZ489" s="146">
        <f>'[3]Monthly SBO'!$BS174</f>
        <v>1.9100780088377931</v>
      </c>
      <c r="BA489" s="146">
        <f>'[3]Monthly SBO'!$BS186</f>
        <v>2.0847111205458297</v>
      </c>
      <c r="BB489" s="146">
        <f>'[3]Monthly SBO'!$BS198</f>
        <v>2.0497844982042253</v>
      </c>
      <c r="BC489" s="146">
        <f>'[3]Monthly SBO'!$BS210</f>
        <v>1.4900513557426152</v>
      </c>
      <c r="BD489" s="146">
        <f>'[3]Monthly SBO'!$BS222</f>
        <v>2.4099369415709369</v>
      </c>
      <c r="BE489" s="146">
        <f>'[3]Monthly SBO'!$BS234</f>
        <v>1.9599731836115168</v>
      </c>
      <c r="BF489" s="146">
        <f>'[3]Monthly SBO'!$BS246</f>
        <v>3.7598282154491791</v>
      </c>
      <c r="BG489" s="146">
        <f>'[3]Monthly SBO'!$BS258</f>
        <v>4.2302036358160322</v>
      </c>
      <c r="BH489" s="146">
        <f t="shared" si="309"/>
        <v>6</v>
      </c>
      <c r="BI489" s="146">
        <f t="shared" si="310"/>
        <v>5.5</v>
      </c>
      <c r="BJ489" s="146">
        <f t="shared" si="310"/>
        <v>5</v>
      </c>
      <c r="BK489" s="146">
        <f t="shared" si="310"/>
        <v>4</v>
      </c>
      <c r="BL489" s="146">
        <f t="shared" si="310"/>
        <v>4</v>
      </c>
      <c r="BM489" s="146">
        <f t="shared" si="310"/>
        <v>3.5</v>
      </c>
      <c r="BN489" s="146"/>
      <c r="BO489" s="146"/>
      <c r="BP489" s="146"/>
      <c r="BQ489" s="146"/>
      <c r="BR489" s="146"/>
      <c r="BS489" s="146"/>
      <c r="BT489" s="146"/>
      <c r="BU489" s="146"/>
    </row>
    <row r="490" spans="1:73">
      <c r="A490" t="s">
        <v>103</v>
      </c>
      <c r="AX490" s="146">
        <f>'[3]Monthly SBO'!$BS151</f>
        <v>3.6001636561732582</v>
      </c>
      <c r="AY490" s="146">
        <f>'[3]Monthly SBO'!$BS163</f>
        <v>3.9099673322682946</v>
      </c>
      <c r="AZ490" s="146">
        <f>'[3]Monthly SBO'!$BS175</f>
        <v>4.0097576818157492</v>
      </c>
      <c r="BA490" s="146">
        <f>'[3]Monthly SBO'!$BS187</f>
        <v>2.6299293030732684</v>
      </c>
      <c r="BB490" s="146">
        <f>'[3]Monthly SBO'!$BS199</f>
        <v>2.2652409347271387</v>
      </c>
      <c r="BC490" s="146">
        <f>'[3]Monthly SBO'!$BS211</f>
        <v>1.2201638194665563</v>
      </c>
      <c r="BD490" s="146">
        <f>'[3]Monthly SBO'!$BS223</f>
        <v>1.0700247026474443</v>
      </c>
      <c r="BE490" s="146">
        <f>'[3]Monthly SBO'!$BS235</f>
        <v>1.8502037991093339</v>
      </c>
      <c r="BF490" s="146">
        <f>'[3]Monthly SBO'!$BS247</f>
        <v>1.7699179269734238</v>
      </c>
      <c r="BG490" s="146">
        <f>'[3]Monthly SBO'!$BS259</f>
        <v>11.670027787076421</v>
      </c>
      <c r="BH490" s="146">
        <f t="shared" si="309"/>
        <v>7.5</v>
      </c>
      <c r="BI490" s="146">
        <f t="shared" si="310"/>
        <v>7</v>
      </c>
      <c r="BJ490" s="146">
        <f t="shared" si="310"/>
        <v>7</v>
      </c>
      <c r="BK490" s="146">
        <f t="shared" si="310"/>
        <v>6</v>
      </c>
      <c r="BL490" s="146">
        <f t="shared" si="310"/>
        <v>6.5</v>
      </c>
      <c r="BM490" s="146">
        <f t="shared" si="310"/>
        <v>4.5</v>
      </c>
      <c r="BN490" s="146"/>
      <c r="BO490" s="146"/>
      <c r="BP490" s="146"/>
      <c r="BQ490" s="146"/>
      <c r="BR490" s="146"/>
      <c r="BS490" s="146"/>
      <c r="BT490" s="146"/>
      <c r="BU490" s="146"/>
    </row>
    <row r="491" spans="1:73">
      <c r="A491" t="s">
        <v>104</v>
      </c>
      <c r="AX491" s="146">
        <f>'[3]Monthly SBO'!$BS152</f>
        <v>2.8499216645756107</v>
      </c>
      <c r="AY491" s="146">
        <f>'[3]Monthly SBO'!$BS164</f>
        <v>2.7201942101639105</v>
      </c>
      <c r="AZ491" s="146">
        <f>'[3]Monthly SBO'!$BS176</f>
        <v>1.6501695075164875</v>
      </c>
      <c r="BA491" s="146">
        <f>'[3]Monthly SBO'!$BS188</f>
        <v>2.280209487159258</v>
      </c>
      <c r="BB491" s="146">
        <f>'[3]Monthly SBO'!$BS200</f>
        <v>1.7100437172449539</v>
      </c>
      <c r="BC491" s="146">
        <f>'[3]Monthly SBO'!$BS212</f>
        <v>1.3149646515366342</v>
      </c>
      <c r="BD491" s="146">
        <f>'[3]Monthly SBO'!$BS224</f>
        <v>1.569883635380581</v>
      </c>
      <c r="BE491" s="146">
        <f>'[3]Monthly SBO'!$BS236</f>
        <v>2.4602857088426013</v>
      </c>
      <c r="BF491" s="146">
        <f>'[3]Monthly SBO'!$BS248</f>
        <v>5.3002283384634659</v>
      </c>
      <c r="BG491" s="146">
        <f>'[3]Monthly SBO'!$BS260</f>
        <v>10.42990589770038</v>
      </c>
      <c r="BH491" s="146">
        <f t="shared" si="309"/>
        <v>9</v>
      </c>
      <c r="BI491" s="146">
        <f t="shared" si="310"/>
        <v>8.5</v>
      </c>
      <c r="BJ491" s="146">
        <f t="shared" si="310"/>
        <v>8.5</v>
      </c>
      <c r="BK491" s="146">
        <f t="shared" si="310"/>
        <v>7</v>
      </c>
      <c r="BL491" s="146">
        <f t="shared" si="310"/>
        <v>7</v>
      </c>
      <c r="BM491" s="146">
        <f t="shared" si="310"/>
        <v>5.5</v>
      </c>
      <c r="BN491" s="146"/>
      <c r="BO491" s="146"/>
      <c r="BP491" s="146"/>
      <c r="BQ491" s="146"/>
      <c r="BR491" s="146"/>
      <c r="BS491" s="146"/>
      <c r="BT491" s="146"/>
      <c r="BU491" s="146"/>
    </row>
    <row r="492" spans="1:73">
      <c r="A492" t="s">
        <v>105</v>
      </c>
      <c r="AX492" s="146">
        <f>'[3]Monthly SBO'!$BS153</f>
        <v>4.6502302889112102</v>
      </c>
      <c r="AY492" s="146">
        <f>'[3]Monthly SBO'!$BS165</f>
        <v>2.5346748785052498</v>
      </c>
      <c r="AZ492" s="146">
        <f>'[3]Monthly SBO'!$BS177</f>
        <v>3.3502341898066916</v>
      </c>
      <c r="BA492" s="146">
        <f>'[3]Monthly SBO'!$BS189</f>
        <v>1.0296549703305082</v>
      </c>
      <c r="BB492" s="146">
        <f>'[3]Monthly SBO'!$BS201</f>
        <v>4.0800645189969131</v>
      </c>
      <c r="BC492" s="146">
        <f>'[3]Monthly SBO'!$BS213</f>
        <v>1.749959857063935</v>
      </c>
      <c r="BD492" s="146">
        <f>'[3]Monthly SBO'!$BS225</f>
        <v>0.66995611946174449</v>
      </c>
      <c r="BE492" s="146">
        <f>'[3]Monthly SBO'!$BS237</f>
        <v>1.620232402652249</v>
      </c>
      <c r="BF492" s="146">
        <f>'[3]Monthly SBO'!$BS249</f>
        <v>2.2103562424760312</v>
      </c>
      <c r="BG492" s="146">
        <f>'[3]Monthly SBO'!$BS261</f>
        <v>5.8000872711966096</v>
      </c>
      <c r="BH492" s="146">
        <f t="shared" si="309"/>
        <v>5</v>
      </c>
      <c r="BI492" s="146">
        <f t="shared" si="310"/>
        <v>4.5</v>
      </c>
      <c r="BJ492" s="146">
        <f t="shared" si="310"/>
        <v>4.5</v>
      </c>
      <c r="BK492" s="146">
        <f t="shared" si="310"/>
        <v>4</v>
      </c>
      <c r="BL492" s="146">
        <f t="shared" si="310"/>
        <v>4</v>
      </c>
      <c r="BM492" s="146">
        <f t="shared" si="310"/>
        <v>3</v>
      </c>
      <c r="BN492" s="146"/>
      <c r="BO492" s="146"/>
      <c r="BP492" s="146"/>
      <c r="BQ492" s="146"/>
      <c r="BR492" s="146"/>
      <c r="BS492" s="146"/>
      <c r="BT492" s="146"/>
      <c r="BU492" s="146"/>
    </row>
    <row r="493" spans="1:73">
      <c r="A493" t="s">
        <v>106</v>
      </c>
      <c r="AX493" s="146">
        <f>'[3]Monthly SBO'!$BS154</f>
        <v>7.0202510906631588</v>
      </c>
      <c r="AY493" s="146">
        <f>'[3]Monthly SBO'!$BS166</f>
        <v>1.4800723207878761</v>
      </c>
      <c r="AZ493" s="146">
        <f>'[3]Monthly SBO'!$BS178</f>
        <v>2.3201256269782249</v>
      </c>
      <c r="BA493" s="146">
        <f>'[3]Monthly SBO'!$BS190</f>
        <v>1.4696396933351785</v>
      </c>
      <c r="BB493" s="146">
        <f>'[3]Monthly SBO'!$BS202</f>
        <v>2.0602171256569122</v>
      </c>
      <c r="BC493" s="146">
        <f>'[3]Monthly SBO'!$BS214</f>
        <v>2.260251417249755</v>
      </c>
      <c r="BD493" s="146">
        <f>'[3]Monthly SBO'!$BS226</f>
        <v>2.1051227829532735</v>
      </c>
      <c r="BE493" s="146">
        <f>'[3]Monthly SBO'!$BS238</f>
        <v>1.5998207402448195</v>
      </c>
      <c r="BF493" s="146">
        <f>'[3]Monthly SBO'!$BS250</f>
        <v>3.860072157494578</v>
      </c>
      <c r="BG493" s="146">
        <f>'[3]Monthly SBO'!$BS262</f>
        <v>3.1801370030780802</v>
      </c>
      <c r="BH493" s="146">
        <f t="shared" si="309"/>
        <v>5.5</v>
      </c>
      <c r="BI493" s="146">
        <f t="shared" si="310"/>
        <v>4.5</v>
      </c>
      <c r="BJ493" s="146">
        <f t="shared" si="310"/>
        <v>4.5</v>
      </c>
      <c r="BK493" s="146">
        <f t="shared" si="310"/>
        <v>3.5</v>
      </c>
      <c r="BL493" s="146">
        <f t="shared" si="310"/>
        <v>3.5</v>
      </c>
      <c r="BM493" s="146">
        <f t="shared" si="310"/>
        <v>3</v>
      </c>
      <c r="BN493" s="146"/>
      <c r="BO493" s="146"/>
      <c r="BP493" s="146"/>
      <c r="BQ493" s="146"/>
      <c r="BR493" s="146"/>
      <c r="BS493" s="146"/>
      <c r="BT493" s="146"/>
      <c r="BU493" s="146"/>
    </row>
    <row r="494" spans="1:73" ht="15.75" thickBot="1">
      <c r="A494" t="s">
        <v>169</v>
      </c>
      <c r="AY494" s="146">
        <f t="shared" ref="AY494:BG494" si="311">AVERAGE(AY482:AY493)</f>
        <v>3.2137784466755135</v>
      </c>
      <c r="AZ494" s="146">
        <f t="shared" si="311"/>
        <v>2.7233693576495202</v>
      </c>
      <c r="BA494" s="146">
        <f t="shared" si="311"/>
        <v>2.5757627989439151</v>
      </c>
      <c r="BB494" s="146">
        <f t="shared" si="311"/>
        <v>2.4825117412418094</v>
      </c>
      <c r="BC494" s="146">
        <f t="shared" si="311"/>
        <v>2.3429186499998633</v>
      </c>
      <c r="BD494" s="146">
        <f t="shared" si="311"/>
        <v>1.5625127572890065</v>
      </c>
      <c r="BE494" s="146">
        <f t="shared" si="311"/>
        <v>2.051674466945657</v>
      </c>
      <c r="BF494" s="146">
        <f t="shared" si="311"/>
        <v>3.4709275936343444</v>
      </c>
      <c r="BG494" s="146">
        <f t="shared" si="311"/>
        <v>6.780036063627537</v>
      </c>
      <c r="BH494" s="146">
        <v>7</v>
      </c>
      <c r="BI494" s="146">
        <v>6</v>
      </c>
      <c r="BJ494" s="146">
        <v>6</v>
      </c>
      <c r="BK494" s="146">
        <v>5</v>
      </c>
      <c r="BL494" s="146">
        <v>5</v>
      </c>
      <c r="BM494" s="146">
        <v>4</v>
      </c>
      <c r="BN494" s="146"/>
      <c r="BO494" s="146"/>
      <c r="BP494" s="146"/>
      <c r="BQ494" s="146"/>
      <c r="BR494" s="146"/>
      <c r="BS494" s="146"/>
      <c r="BT494" s="146"/>
      <c r="BU494" s="146"/>
    </row>
    <row r="495" spans="1:73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  <c r="AE495" s="145"/>
      <c r="AF495" s="145"/>
      <c r="AG495" s="145"/>
      <c r="AH495" s="145"/>
      <c r="AI495" s="145"/>
      <c r="AJ495" s="145"/>
      <c r="AK495" s="145"/>
      <c r="AL495" s="145"/>
      <c r="AM495" s="145"/>
      <c r="AN495" s="145"/>
      <c r="AO495" s="145"/>
      <c r="AP495" s="145"/>
      <c r="AQ495" s="145"/>
      <c r="AR495" s="145"/>
      <c r="AS495" s="145"/>
      <c r="AT495" s="145"/>
      <c r="AU495" s="145"/>
      <c r="AV495" s="145"/>
      <c r="AW495" s="145"/>
      <c r="AX495" s="145"/>
      <c r="AY495" s="145"/>
      <c r="AZ495" s="145"/>
      <c r="BA495" s="145"/>
      <c r="BB495" s="145"/>
      <c r="BC495" s="145"/>
      <c r="BD495" s="145"/>
      <c r="BE495" s="145"/>
      <c r="BF495" s="145"/>
      <c r="BG495" s="145"/>
      <c r="BH495" s="145"/>
      <c r="BI495" s="145"/>
      <c r="BJ495" s="145"/>
      <c r="BK495" s="145"/>
      <c r="BL495" s="145"/>
      <c r="BM495" s="145"/>
    </row>
    <row r="496" spans="1:73">
      <c r="BF496" s="147" t="s">
        <v>171</v>
      </c>
      <c r="BG496" t="s">
        <v>172</v>
      </c>
      <c r="BH496" t="s">
        <v>173</v>
      </c>
      <c r="BI496" t="s">
        <v>174</v>
      </c>
      <c r="BJ496" t="s">
        <v>172</v>
      </c>
      <c r="BK496" t="s">
        <v>173</v>
      </c>
      <c r="BL496" t="s">
        <v>174</v>
      </c>
    </row>
    <row r="497" spans="58:64">
      <c r="BF497" s="147" t="s">
        <v>129</v>
      </c>
      <c r="BG497" s="14">
        <f t="shared" ref="BG497:BI508" si="312">BJ497*2204.62/100</f>
        <v>1281.842521341169</v>
      </c>
      <c r="BH497" s="14">
        <f t="shared" si="312"/>
        <v>1331.4464713411692</v>
      </c>
      <c r="BI497" s="14">
        <f t="shared" si="312"/>
        <v>1232.2385713411691</v>
      </c>
      <c r="BJ497" s="23">
        <f t="shared" ref="BJ497:BJ508" si="313">BH450</f>
        <v>58.143467869345699</v>
      </c>
      <c r="BK497" s="23">
        <f t="shared" ref="BK497:BK508" si="314">BJ497+BH482/2</f>
        <v>60.393467869345699</v>
      </c>
      <c r="BL497" s="23">
        <f t="shared" ref="BL497:BL508" si="315">BJ497-BH482/2</f>
        <v>55.893467869345699</v>
      </c>
    </row>
    <row r="498" spans="58:64">
      <c r="BF498" s="147" t="s">
        <v>130</v>
      </c>
      <c r="BG498" s="14">
        <f t="shared" si="312"/>
        <v>1372.693254712146</v>
      </c>
      <c r="BH498" s="14">
        <f t="shared" si="312"/>
        <v>1444.3434047121459</v>
      </c>
      <c r="BI498" s="14">
        <f t="shared" si="312"/>
        <v>1301.0431047121458</v>
      </c>
      <c r="BJ498" s="23">
        <f t="shared" si="313"/>
        <v>62.264392716755992</v>
      </c>
      <c r="BK498" s="23">
        <f t="shared" si="314"/>
        <v>65.514392716755992</v>
      </c>
      <c r="BL498" s="23">
        <f t="shared" si="315"/>
        <v>59.014392716755992</v>
      </c>
    </row>
    <row r="499" spans="58:64">
      <c r="BF499" s="147" t="s">
        <v>131</v>
      </c>
      <c r="BG499" s="14">
        <f t="shared" si="312"/>
        <v>1219.3146833286946</v>
      </c>
      <c r="BH499" s="14">
        <f t="shared" si="312"/>
        <v>1301.9879333286945</v>
      </c>
      <c r="BI499" s="14">
        <f t="shared" si="312"/>
        <v>1136.6414333286946</v>
      </c>
      <c r="BJ499" s="23">
        <f t="shared" si="313"/>
        <v>55.307249472865827</v>
      </c>
      <c r="BK499" s="23">
        <f t="shared" si="314"/>
        <v>59.057249472865827</v>
      </c>
      <c r="BL499" s="23">
        <f t="shared" si="315"/>
        <v>51.557249472865827</v>
      </c>
    </row>
    <row r="500" spans="58:64">
      <c r="BF500" s="147" t="s">
        <v>121</v>
      </c>
      <c r="BG500" s="14">
        <f t="shared" si="312"/>
        <v>1224.0715153391998</v>
      </c>
      <c r="BH500" s="14">
        <f t="shared" si="312"/>
        <v>1328.7909653391998</v>
      </c>
      <c r="BI500" s="14">
        <f t="shared" si="312"/>
        <v>1119.3520653391997</v>
      </c>
      <c r="BJ500" s="23">
        <f t="shared" si="313"/>
        <v>55.523015999999991</v>
      </c>
      <c r="BK500" s="23">
        <f t="shared" si="314"/>
        <v>60.273015999999991</v>
      </c>
      <c r="BL500" s="23">
        <f t="shared" si="315"/>
        <v>50.773015999999991</v>
      </c>
    </row>
    <row r="501" spans="58:64">
      <c r="BF501" s="147" t="s">
        <v>123</v>
      </c>
      <c r="BG501" s="14">
        <f t="shared" si="312"/>
        <v>1167.5415426495649</v>
      </c>
      <c r="BH501" s="14">
        <f t="shared" si="312"/>
        <v>1244.703242649565</v>
      </c>
      <c r="BI501" s="14">
        <f t="shared" si="312"/>
        <v>1090.379842649565</v>
      </c>
      <c r="BJ501" s="23">
        <f t="shared" si="313"/>
        <v>52.958856521739122</v>
      </c>
      <c r="BK501" s="23">
        <f t="shared" si="314"/>
        <v>56.458856521739122</v>
      </c>
      <c r="BL501" s="23">
        <f t="shared" si="315"/>
        <v>49.458856521739122</v>
      </c>
    </row>
    <row r="502" spans="58:64">
      <c r="BF502" s="147" t="s">
        <v>124</v>
      </c>
      <c r="BG502" s="14">
        <f t="shared" si="312"/>
        <v>1129.5548703295999</v>
      </c>
      <c r="BH502" s="14">
        <f t="shared" si="312"/>
        <v>1217.7396703295999</v>
      </c>
      <c r="BI502" s="14">
        <f t="shared" si="312"/>
        <v>1041.3700703295999</v>
      </c>
      <c r="BJ502" s="23">
        <f t="shared" si="313"/>
        <v>51.235807999999999</v>
      </c>
      <c r="BK502" s="23">
        <f t="shared" si="314"/>
        <v>55.235807999999999</v>
      </c>
      <c r="BL502" s="23">
        <f t="shared" si="315"/>
        <v>47.235807999999999</v>
      </c>
    </row>
    <row r="503" spans="58:64">
      <c r="BF503" s="147" t="s">
        <v>122</v>
      </c>
      <c r="BG503" s="14">
        <f t="shared" si="312"/>
        <v>1089.8098767512001</v>
      </c>
      <c r="BH503" s="14">
        <f t="shared" si="312"/>
        <v>1166.9715767512</v>
      </c>
      <c r="BI503" s="14">
        <f t="shared" si="312"/>
        <v>1012.6481767512</v>
      </c>
      <c r="BJ503" s="23">
        <f t="shared" si="313"/>
        <v>49.433003272727277</v>
      </c>
      <c r="BK503" s="23">
        <f t="shared" si="314"/>
        <v>52.933003272727277</v>
      </c>
      <c r="BL503" s="23">
        <f t="shared" si="315"/>
        <v>45.933003272727277</v>
      </c>
    </row>
    <row r="504" spans="58:64">
      <c r="BF504" s="147" t="s">
        <v>102</v>
      </c>
      <c r="BG504" s="14">
        <f t="shared" si="312"/>
        <v>1212.877429211276</v>
      </c>
      <c r="BH504" s="14">
        <f t="shared" si="312"/>
        <v>1279.016029211276</v>
      </c>
      <c r="BI504" s="14">
        <f t="shared" si="312"/>
        <v>1146.738829211276</v>
      </c>
      <c r="BJ504" s="23">
        <f t="shared" si="313"/>
        <v>55.015260190476177</v>
      </c>
      <c r="BK504" s="23">
        <f t="shared" si="314"/>
        <v>58.015260190476177</v>
      </c>
      <c r="BL504" s="23">
        <f t="shared" si="315"/>
        <v>52.015260190476177</v>
      </c>
    </row>
    <row r="505" spans="58:64">
      <c r="BF505" s="147" t="s">
        <v>125</v>
      </c>
      <c r="BG505" s="14">
        <f t="shared" si="312"/>
        <v>1425.4579526043995</v>
      </c>
      <c r="BH505" s="14">
        <f t="shared" si="312"/>
        <v>1508.1312026043993</v>
      </c>
      <c r="BI505" s="14">
        <f t="shared" si="312"/>
        <v>1342.7847026043994</v>
      </c>
      <c r="BJ505" s="23">
        <f t="shared" si="313"/>
        <v>64.657761999999977</v>
      </c>
      <c r="BK505" s="23">
        <f t="shared" si="314"/>
        <v>68.407761999999977</v>
      </c>
      <c r="BL505" s="23">
        <f t="shared" si="315"/>
        <v>60.907761999999977</v>
      </c>
    </row>
    <row r="506" spans="58:64">
      <c r="BF506" s="147" t="s">
        <v>126</v>
      </c>
      <c r="BG506" s="14">
        <f t="shared" si="312"/>
        <v>1409.6571535052694</v>
      </c>
      <c r="BH506" s="14">
        <f t="shared" si="312"/>
        <v>1508.8650535052695</v>
      </c>
      <c r="BI506" s="14">
        <f t="shared" si="312"/>
        <v>1310.4492535052693</v>
      </c>
      <c r="BJ506" s="23">
        <f t="shared" si="313"/>
        <v>63.941048956521733</v>
      </c>
      <c r="BK506" s="23">
        <f t="shared" si="314"/>
        <v>68.44104895652174</v>
      </c>
      <c r="BL506" s="23">
        <f t="shared" si="315"/>
        <v>59.441048956521733</v>
      </c>
    </row>
    <row r="507" spans="58:64">
      <c r="BF507" s="147" t="s">
        <v>127</v>
      </c>
      <c r="BG507" s="14">
        <f t="shared" si="312"/>
        <v>1323.0244444223395</v>
      </c>
      <c r="BH507" s="14">
        <f t="shared" si="312"/>
        <v>1378.1399444223393</v>
      </c>
      <c r="BI507" s="14">
        <f t="shared" si="312"/>
        <v>1267.9089444223393</v>
      </c>
      <c r="BJ507" s="23">
        <f t="shared" si="313"/>
        <v>60.011450699999976</v>
      </c>
      <c r="BK507" s="23">
        <f t="shared" si="314"/>
        <v>62.511450699999976</v>
      </c>
      <c r="BL507" s="23">
        <f t="shared" si="315"/>
        <v>57.511450699999976</v>
      </c>
    </row>
    <row r="508" spans="58:64">
      <c r="BF508" s="147" t="s">
        <v>128</v>
      </c>
      <c r="BG508" s="14">
        <f t="shared" si="312"/>
        <v>1331.8067720205131</v>
      </c>
      <c r="BH508" s="14">
        <f t="shared" si="312"/>
        <v>1392.4338220205132</v>
      </c>
      <c r="BI508" s="14">
        <f t="shared" si="312"/>
        <v>1271.1797220205131</v>
      </c>
      <c r="BJ508" s="23">
        <f t="shared" si="313"/>
        <v>60.409810852687229</v>
      </c>
      <c r="BK508" s="23">
        <f t="shared" si="314"/>
        <v>63.159810852687229</v>
      </c>
      <c r="BL508" s="23">
        <f t="shared" si="315"/>
        <v>57.659810852687229</v>
      </c>
    </row>
  </sheetData>
  <conditionalFormatting sqref="CK10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{B62AE6C6-C5B0-49EF-92FD-42B313F1D7BD}</x14:id>
        </ext>
      </extLst>
    </cfRule>
  </conditionalFormatting>
  <conditionalFormatting sqref="CK100:CL100 CK95 CK92:CL92 CL97:CM97 CO101:CO102 CO93 CN94 CN99 CN102 CL103:CM103 CP98 CQ93 CP95:CQ9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{197C86C0-2C8D-4384-87F3-851C3EB138E0}</x14:id>
        </ext>
      </extLst>
    </cfRule>
  </conditionalFormatting>
  <conditionalFormatting sqref="CK92:CT10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{28815C13-E17C-46E9-B176-E60B2D4B9092}</x14:id>
        </ext>
      </extLst>
    </cfRule>
  </conditionalFormatting>
  <conditionalFormatting sqref="CQ100:CR100 CR103 CR97 CR92 CS94 CT101:CT102 CS99:CT99 CS96:CT96 CT9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{19C1AFD3-332F-4B0E-AA09-5ABEBCB05498}</x14:id>
        </ext>
      </extLst>
    </cfRule>
  </conditionalFormatting>
  <hyperlinks>
    <hyperlink ref="CK17" r:id="rId1" xr:uid="{07A882B7-A271-47C6-A735-3D024D862774}"/>
    <hyperlink ref="CK4" r:id="rId2" xr:uid="{07B36A89-D126-479B-A24B-4B04D9F30935}"/>
    <hyperlink ref="A75" r:id="rId3" display="https://www.magyp.gob.ar/sitio/areas/ss_mercados_agropecuarios/areas/granos/_archivos/000058_Estad%C3%ADsticas/000032_Evolucion%20de%20la%20Molienda%20(Cereales%20y%20Oleaginosas)/000002_Evoluci%C3%B3n%20de%20la%20Molienda%20Mensual%20-%20Oleaginosas/000002_Evoluci%C3%B3n%20de%20la%20Molienda%20Mensual%20-%20Oleaginosas.php" xr:uid="{75C1EF76-DAA9-4CD2-90BD-7519D7837033}"/>
  </hyperlinks>
  <printOptions verticalCentered="1"/>
  <pageMargins left="0.2" right="0.2" top="0.25" bottom="0.25" header="0" footer="0.1"/>
  <pageSetup scale="93" orientation="landscape" r:id="rId4"/>
  <headerFooter>
    <oddFooter>&amp;L&amp;"Arial,Regular"&amp;10&amp;D</oddFooter>
  </headerFooter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2AE6C6-C5B0-49EF-92FD-42B313F1D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CK104</xm:sqref>
        </x14:conditionalFormatting>
        <x14:conditionalFormatting xmlns:xm="http://schemas.microsoft.com/office/excel/2006/main">
          <x14:cfRule type="dataBar" id="{197C86C0-2C8D-4384-87F3-851C3EB138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CK100:CL100 CK95 CK92:CL92 CL97:CM97 CO101:CO102 CO93 CN94 CN99 CN102 CL103:CM103 CP98 CQ93 CP95:CQ95</xm:sqref>
        </x14:conditionalFormatting>
        <x14:conditionalFormatting xmlns:xm="http://schemas.microsoft.com/office/excel/2006/main">
          <x14:cfRule type="dataBar" id="{28815C13-E17C-46E9-B176-E60B2D4B90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CK92:CT103</xm:sqref>
        </x14:conditionalFormatting>
        <x14:conditionalFormatting xmlns:xm="http://schemas.microsoft.com/office/excel/2006/main">
          <x14:cfRule type="dataBar" id="{19C1AFD3-332F-4B0E-AA09-5ABEBCB054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CQ100:CR100 CR103 CR97 CR92 CS94 CT101:CT102 CS99:CT99 CS96:CT96 CT93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EEF2-9F89-4134-BDE6-BEE878948825}">
  <dimension ref="A1:BD161"/>
  <sheetViews>
    <sheetView zoomScale="55" zoomScaleNormal="55" workbookViewId="0">
      <pane xSplit="1" ySplit="2" topLeftCell="B48" activePane="bottomRight" state="frozen"/>
      <selection activeCell="AZ451" sqref="AZ451"/>
      <selection pane="topRight" activeCell="AZ451" sqref="AZ451"/>
      <selection pane="bottomLeft" activeCell="AZ451" sqref="AZ451"/>
      <selection pane="bottomRight" activeCell="AZ451" sqref="AZ451"/>
    </sheetView>
  </sheetViews>
  <sheetFormatPr defaultColWidth="8.7109375" defaultRowHeight="15"/>
  <cols>
    <col min="1" max="1" width="59.140625" bestFit="1" customWidth="1"/>
    <col min="2" max="8" width="8.7109375" customWidth="1"/>
    <col min="9" max="9" width="9.42578125" bestFit="1" customWidth="1"/>
    <col min="10" max="42" width="8.7109375" customWidth="1"/>
    <col min="43" max="49" width="8.7109375" hidden="1" customWidth="1"/>
    <col min="54" max="54" width="10" bestFit="1" customWidth="1"/>
  </cols>
  <sheetData>
    <row r="1" spans="1:51" ht="15.75" thickBot="1">
      <c r="A1" s="148" t="s">
        <v>175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</row>
    <row r="2" spans="1:51" ht="15.75" thickBot="1">
      <c r="A2" s="150"/>
      <c r="B2" s="151">
        <v>2016</v>
      </c>
      <c r="C2" s="151">
        <v>2017</v>
      </c>
      <c r="D2" s="151">
        <v>2018</v>
      </c>
      <c r="E2" s="151">
        <v>2019</v>
      </c>
      <c r="F2" s="151">
        <v>2020</v>
      </c>
      <c r="G2" s="151">
        <v>2021</v>
      </c>
      <c r="H2" s="151">
        <v>2022</v>
      </c>
      <c r="I2" s="151">
        <v>2023</v>
      </c>
      <c r="J2" s="151">
        <v>2024</v>
      </c>
      <c r="K2" s="151">
        <v>2025</v>
      </c>
      <c r="L2" s="151">
        <v>2026</v>
      </c>
      <c r="M2" s="151">
        <v>2027</v>
      </c>
      <c r="N2" s="151">
        <v>2028</v>
      </c>
      <c r="O2" s="151">
        <v>2029</v>
      </c>
      <c r="P2" s="151">
        <v>2030</v>
      </c>
      <c r="Q2" s="151">
        <v>2031</v>
      </c>
      <c r="R2" s="151">
        <v>2032</v>
      </c>
      <c r="S2" s="151">
        <v>2033</v>
      </c>
      <c r="T2" s="151">
        <v>2034</v>
      </c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3"/>
    </row>
    <row r="3" spans="1:51" ht="16.5">
      <c r="A3" s="9" t="s">
        <v>176</v>
      </c>
      <c r="B3" s="154"/>
      <c r="C3" s="154">
        <f>B15</f>
        <v>10</v>
      </c>
      <c r="D3" s="154">
        <f t="shared" ref="D3:J3" si="0">C15</f>
        <v>15</v>
      </c>
      <c r="E3" s="154">
        <f t="shared" si="0"/>
        <v>13</v>
      </c>
      <c r="F3" s="154">
        <f t="shared" si="0"/>
        <v>15</v>
      </c>
      <c r="G3" s="154">
        <f t="shared" si="0"/>
        <v>11</v>
      </c>
      <c r="H3" s="154">
        <f t="shared" si="0"/>
        <v>12</v>
      </c>
      <c r="I3" s="154">
        <f t="shared" si="0"/>
        <v>13</v>
      </c>
      <c r="J3" s="154">
        <f t="shared" si="0"/>
        <v>20</v>
      </c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6"/>
    </row>
    <row r="4" spans="1:51" ht="16.5">
      <c r="A4" s="9" t="s">
        <v>80</v>
      </c>
      <c r="B4" s="154">
        <f t="shared" ref="B4:S4" si="1">B34</f>
        <v>0</v>
      </c>
      <c r="C4" s="154">
        <f t="shared" si="1"/>
        <v>362.50656726953343</v>
      </c>
      <c r="D4" s="154">
        <f t="shared" si="1"/>
        <v>388.04700954780884</v>
      </c>
      <c r="E4" s="154">
        <f t="shared" si="1"/>
        <v>406.29339159938132</v>
      </c>
      <c r="F4" s="154">
        <f t="shared" si="1"/>
        <v>394.08291832975027</v>
      </c>
      <c r="G4" s="154">
        <f t="shared" si="1"/>
        <v>359.58060483650291</v>
      </c>
      <c r="H4" s="154">
        <f t="shared" si="1"/>
        <v>381.82919677392096</v>
      </c>
      <c r="I4" s="154">
        <f t="shared" si="1"/>
        <v>446.15428102795829</v>
      </c>
      <c r="J4" s="154">
        <f t="shared" si="1"/>
        <v>444.71328168949333</v>
      </c>
      <c r="K4" s="154">
        <f t="shared" si="1"/>
        <v>436.16263246688681</v>
      </c>
      <c r="L4" s="154">
        <f t="shared" si="1"/>
        <v>429.08326338287605</v>
      </c>
      <c r="M4" s="154">
        <f t="shared" si="1"/>
        <v>442.62878901482929</v>
      </c>
      <c r="N4" s="154">
        <f t="shared" si="1"/>
        <v>450.65652117504055</v>
      </c>
      <c r="O4" s="154">
        <f t="shared" si="1"/>
        <v>456.78645099730727</v>
      </c>
      <c r="P4" s="154">
        <f t="shared" si="1"/>
        <v>461.33956362517802</v>
      </c>
      <c r="Q4" s="154">
        <f t="shared" si="1"/>
        <v>466.02557317667072</v>
      </c>
      <c r="R4" s="154">
        <f t="shared" si="1"/>
        <v>470.69920271454549</v>
      </c>
      <c r="S4" s="154">
        <f t="shared" si="1"/>
        <v>477.11449825227902</v>
      </c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6"/>
      <c r="AY4" s="157"/>
    </row>
    <row r="5" spans="1:51" ht="16.5">
      <c r="A5" s="158" t="s">
        <v>81</v>
      </c>
      <c r="B5" s="154"/>
      <c r="C5" s="159">
        <v>1</v>
      </c>
      <c r="D5" s="159">
        <v>0</v>
      </c>
      <c r="E5" s="159">
        <v>4</v>
      </c>
      <c r="F5" s="159">
        <v>1</v>
      </c>
      <c r="G5" s="159">
        <v>1</v>
      </c>
      <c r="H5" s="159">
        <v>4</v>
      </c>
      <c r="I5" s="159">
        <v>0</v>
      </c>
      <c r="J5" s="159">
        <v>0</v>
      </c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6"/>
    </row>
    <row r="6" spans="1:51" ht="16.5">
      <c r="A6" s="27" t="s">
        <v>82</v>
      </c>
      <c r="B6" s="160">
        <f>SUM(B3:B5)</f>
        <v>0</v>
      </c>
      <c r="C6" s="160">
        <f>SUM(C3:C5)</f>
        <v>373.50656726953343</v>
      </c>
      <c r="D6" s="160">
        <f t="shared" ref="D6:I6" si="2">SUM(D3:D5)</f>
        <v>403.04700954780884</v>
      </c>
      <c r="E6" s="160">
        <f t="shared" si="2"/>
        <v>423.29339159938132</v>
      </c>
      <c r="F6" s="160">
        <f t="shared" si="2"/>
        <v>410.08291832975027</v>
      </c>
      <c r="G6" s="160">
        <f t="shared" si="2"/>
        <v>371.58060483650291</v>
      </c>
      <c r="H6" s="160">
        <f t="shared" si="2"/>
        <v>397.82919677392096</v>
      </c>
      <c r="I6" s="160">
        <f t="shared" si="2"/>
        <v>459.15428102795829</v>
      </c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56"/>
    </row>
    <row r="7" spans="1:51" ht="16.5">
      <c r="A7" s="9" t="s">
        <v>95</v>
      </c>
      <c r="B7" s="154">
        <f>B14-B13</f>
        <v>-16</v>
      </c>
      <c r="C7" s="154">
        <f t="shared" ref="C7:R7" si="3">C14-C13</f>
        <v>-19</v>
      </c>
      <c r="D7" s="154">
        <f t="shared" si="3"/>
        <v>-25</v>
      </c>
      <c r="E7" s="154">
        <f t="shared" si="3"/>
        <v>-29</v>
      </c>
      <c r="F7" s="154">
        <f t="shared" si="3"/>
        <v>-44</v>
      </c>
      <c r="G7" s="154">
        <f t="shared" si="3"/>
        <v>-71</v>
      </c>
      <c r="H7" s="154">
        <f t="shared" si="3"/>
        <v>-86</v>
      </c>
      <c r="I7" s="154">
        <f t="shared" si="3"/>
        <v>-137</v>
      </c>
      <c r="J7" s="154">
        <f t="shared" si="3"/>
        <v>0</v>
      </c>
      <c r="K7" s="154">
        <f t="shared" si="3"/>
        <v>0</v>
      </c>
      <c r="L7" s="154">
        <f t="shared" si="3"/>
        <v>0</v>
      </c>
      <c r="M7" s="154">
        <f t="shared" si="3"/>
        <v>0</v>
      </c>
      <c r="N7" s="154">
        <f t="shared" si="3"/>
        <v>0</v>
      </c>
      <c r="O7" s="154">
        <f t="shared" si="3"/>
        <v>0</v>
      </c>
      <c r="P7" s="154">
        <f t="shared" si="3"/>
        <v>0</v>
      </c>
      <c r="Q7" s="154">
        <f t="shared" si="3"/>
        <v>0</v>
      </c>
      <c r="R7" s="154">
        <f t="shared" si="3"/>
        <v>0</v>
      </c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6"/>
    </row>
    <row r="8" spans="1:51" ht="16.5">
      <c r="A8" s="9" t="s">
        <v>177</v>
      </c>
      <c r="B8" s="154">
        <f>B99</f>
        <v>0</v>
      </c>
      <c r="C8" s="154">
        <f>C99</f>
        <v>0</v>
      </c>
      <c r="D8" s="154">
        <f t="shared" ref="D8:J8" si="4">D99</f>
        <v>0</v>
      </c>
      <c r="E8" s="154">
        <f t="shared" si="4"/>
        <v>0</v>
      </c>
      <c r="F8" s="154">
        <f t="shared" si="4"/>
        <v>0</v>
      </c>
      <c r="G8" s="154">
        <f t="shared" si="4"/>
        <v>0</v>
      </c>
      <c r="H8" s="154">
        <f t="shared" si="4"/>
        <v>0</v>
      </c>
      <c r="I8" s="154">
        <f t="shared" si="4"/>
        <v>0</v>
      </c>
      <c r="J8" s="154">
        <f t="shared" si="4"/>
        <v>0</v>
      </c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6"/>
    </row>
    <row r="9" spans="1:51" ht="16.5">
      <c r="A9" s="9" t="s">
        <v>178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6"/>
    </row>
    <row r="10" spans="1:51" ht="16.5">
      <c r="A10" s="9" t="s">
        <v>179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6"/>
    </row>
    <row r="11" spans="1:51" ht="16.5">
      <c r="A11" s="9" t="s">
        <v>180</v>
      </c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6"/>
    </row>
    <row r="12" spans="1:51" ht="16.5">
      <c r="A12" s="9" t="s">
        <v>181</v>
      </c>
      <c r="B12" s="154">
        <f>B7</f>
        <v>-16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6"/>
    </row>
    <row r="13" spans="1:51" ht="16.5">
      <c r="A13" s="158" t="s">
        <v>84</v>
      </c>
      <c r="B13" s="162">
        <v>6</v>
      </c>
      <c r="C13" s="162">
        <v>19</v>
      </c>
      <c r="D13" s="162">
        <v>25</v>
      </c>
      <c r="E13" s="162">
        <v>29</v>
      </c>
      <c r="F13" s="162">
        <v>44</v>
      </c>
      <c r="G13" s="162">
        <v>71</v>
      </c>
      <c r="H13" s="162">
        <v>86</v>
      </c>
      <c r="I13" s="162">
        <v>137</v>
      </c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6"/>
    </row>
    <row r="14" spans="1:51" ht="16.5">
      <c r="A14" s="27" t="s">
        <v>87</v>
      </c>
      <c r="B14" s="160">
        <f>B6-B15</f>
        <v>-10</v>
      </c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56"/>
    </row>
    <row r="15" spans="1:51" ht="16.5">
      <c r="A15" s="9" t="s">
        <v>182</v>
      </c>
      <c r="B15" s="154">
        <v>10</v>
      </c>
      <c r="C15" s="154">
        <v>15</v>
      </c>
      <c r="D15" s="154">
        <v>13</v>
      </c>
      <c r="E15" s="154">
        <v>15</v>
      </c>
      <c r="F15" s="154">
        <v>11</v>
      </c>
      <c r="G15" s="154">
        <v>12</v>
      </c>
      <c r="H15" s="154">
        <v>13</v>
      </c>
      <c r="I15" s="154">
        <v>20</v>
      </c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6"/>
    </row>
    <row r="16" spans="1:51" ht="16.5">
      <c r="A16" s="9" t="s">
        <v>183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64"/>
    </row>
    <row r="17" spans="1:52" ht="17.25" thickBot="1">
      <c r="A17" s="9" t="s">
        <v>184</v>
      </c>
      <c r="B17" s="154"/>
      <c r="C17" s="154"/>
      <c r="D17" s="154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7"/>
    </row>
    <row r="18" spans="1:52">
      <c r="A18" s="168" t="s">
        <v>185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</row>
    <row r="19" spans="1:52" ht="15.75" thickBot="1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6"/>
      <c r="AC19" s="16"/>
      <c r="AD19" s="16"/>
      <c r="AE19" s="16"/>
      <c r="AF19" s="171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 spans="1:52" ht="15.75" thickBot="1">
      <c r="A20" s="172" t="s">
        <v>186</v>
      </c>
      <c r="Y20" s="16"/>
      <c r="Z20" s="16"/>
      <c r="AA20" s="16"/>
      <c r="AB20" s="16"/>
      <c r="AC20" s="173"/>
      <c r="AD20" s="173"/>
      <c r="AE20" s="173"/>
    </row>
    <row r="21" spans="1:52" ht="15.75" thickBot="1">
      <c r="A21" s="174"/>
      <c r="B21" s="174">
        <f t="shared" ref="B21:T21" si="5">B2</f>
        <v>2016</v>
      </c>
      <c r="C21" s="174">
        <f t="shared" si="5"/>
        <v>2017</v>
      </c>
      <c r="D21" s="174">
        <f t="shared" si="5"/>
        <v>2018</v>
      </c>
      <c r="E21" s="174">
        <f t="shared" si="5"/>
        <v>2019</v>
      </c>
      <c r="F21" s="174">
        <f t="shared" si="5"/>
        <v>2020</v>
      </c>
      <c r="G21" s="174">
        <f t="shared" si="5"/>
        <v>2021</v>
      </c>
      <c r="H21" s="174">
        <f t="shared" si="5"/>
        <v>2022</v>
      </c>
      <c r="I21" s="174">
        <f t="shared" si="5"/>
        <v>2023</v>
      </c>
      <c r="J21" s="174">
        <f t="shared" si="5"/>
        <v>2024</v>
      </c>
      <c r="K21" s="174">
        <f t="shared" si="5"/>
        <v>2025</v>
      </c>
      <c r="L21" s="174">
        <f t="shared" si="5"/>
        <v>2026</v>
      </c>
      <c r="M21" s="174">
        <f t="shared" si="5"/>
        <v>2027</v>
      </c>
      <c r="N21" s="174">
        <f t="shared" si="5"/>
        <v>2028</v>
      </c>
      <c r="O21" s="174">
        <f t="shared" si="5"/>
        <v>2029</v>
      </c>
      <c r="P21" s="174">
        <f t="shared" si="5"/>
        <v>2030</v>
      </c>
      <c r="Q21" s="174">
        <f t="shared" si="5"/>
        <v>2031</v>
      </c>
      <c r="R21" s="174">
        <f t="shared" si="5"/>
        <v>2032</v>
      </c>
      <c r="S21" s="174">
        <f t="shared" si="5"/>
        <v>2033</v>
      </c>
      <c r="T21" s="174">
        <f t="shared" si="5"/>
        <v>2034</v>
      </c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5"/>
    </row>
    <row r="22" spans="1:52">
      <c r="A22" s="172" t="s">
        <v>110</v>
      </c>
      <c r="B22" s="59">
        <f>B103*B135/1000</f>
        <v>0</v>
      </c>
      <c r="C22" s="59">
        <f t="shared" ref="C22:S33" si="6">C103*C135/1000</f>
        <v>29.779681206100353</v>
      </c>
      <c r="D22" s="59">
        <f t="shared" si="6"/>
        <v>30.18533965240254</v>
      </c>
      <c r="E22" s="59">
        <f t="shared" si="6"/>
        <v>31.970517211681162</v>
      </c>
      <c r="F22" s="59">
        <f t="shared" si="6"/>
        <v>29.747853952541902</v>
      </c>
      <c r="G22" s="59">
        <f t="shared" si="6"/>
        <v>26.555538694163086</v>
      </c>
      <c r="H22" s="59">
        <f t="shared" si="6"/>
        <v>27.570173874440453</v>
      </c>
      <c r="I22" s="59">
        <f t="shared" si="6"/>
        <v>34.848372498054339</v>
      </c>
      <c r="J22" s="58">
        <f t="shared" si="6"/>
        <v>32.641004538760242</v>
      </c>
      <c r="K22" s="58">
        <f t="shared" si="6"/>
        <v>32.779135646467225</v>
      </c>
      <c r="L22" s="58">
        <f t="shared" si="6"/>
        <v>31.607473401187217</v>
      </c>
      <c r="M22" s="58">
        <f t="shared" si="6"/>
        <v>32.707208352544065</v>
      </c>
      <c r="N22" s="58">
        <f t="shared" si="6"/>
        <v>33.66889304731982</v>
      </c>
      <c r="O22" s="58">
        <f t="shared" si="6"/>
        <v>34.265812378318842</v>
      </c>
      <c r="P22" s="58">
        <f t="shared" si="6"/>
        <v>34.33301759108037</v>
      </c>
      <c r="Q22" s="58">
        <f t="shared" si="6"/>
        <v>34.811521642804244</v>
      </c>
      <c r="R22" s="58">
        <f t="shared" si="6"/>
        <v>35.039937989939673</v>
      </c>
      <c r="S22" s="58">
        <f t="shared" si="6"/>
        <v>35.593488193187333</v>
      </c>
      <c r="T22" s="59"/>
      <c r="U22" s="176"/>
      <c r="V22" s="176"/>
      <c r="W22" s="176"/>
      <c r="X22" s="59"/>
      <c r="Y22" s="59"/>
      <c r="Z22" s="59"/>
      <c r="AA22" s="59"/>
      <c r="AB22" s="59"/>
      <c r="AC22" s="59"/>
      <c r="AD22" s="59"/>
      <c r="AE22" s="59"/>
      <c r="AF22" s="59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177"/>
      <c r="AY22" s="14"/>
      <c r="AZ22" s="171"/>
    </row>
    <row r="23" spans="1:52">
      <c r="A23" s="172" t="s">
        <v>111</v>
      </c>
      <c r="B23" s="59">
        <f t="shared" ref="B23:I33" si="7">B104*B136/1000</f>
        <v>0</v>
      </c>
      <c r="C23" s="59">
        <f t="shared" si="7"/>
        <v>35.830985037143343</v>
      </c>
      <c r="D23" s="59">
        <f t="shared" si="7"/>
        <v>33.936565917835424</v>
      </c>
      <c r="E23" s="59">
        <f t="shared" si="7"/>
        <v>33.621438082861452</v>
      </c>
      <c r="F23" s="59">
        <f t="shared" si="7"/>
        <v>36.866426299456947</v>
      </c>
      <c r="G23" s="59">
        <f t="shared" si="7"/>
        <v>31.15516212787886</v>
      </c>
      <c r="H23" s="59">
        <f t="shared" si="7"/>
        <v>31.34225526688007</v>
      </c>
      <c r="I23" s="59">
        <f t="shared" si="7"/>
        <v>37.918952533945529</v>
      </c>
      <c r="J23" s="58">
        <f t="shared" si="6"/>
        <v>35.49030851770442</v>
      </c>
      <c r="K23" s="58">
        <f t="shared" si="6"/>
        <v>37.224217091825928</v>
      </c>
      <c r="L23" s="58">
        <f t="shared" si="6"/>
        <v>36.40153863570589</v>
      </c>
      <c r="M23" s="58">
        <f t="shared" si="6"/>
        <v>36.82542722682134</v>
      </c>
      <c r="N23" s="58">
        <f t="shared" si="6"/>
        <v>37.902665045932956</v>
      </c>
      <c r="O23" s="58">
        <f t="shared" si="6"/>
        <v>38.009835979335421</v>
      </c>
      <c r="P23" s="58">
        <f t="shared" si="6"/>
        <v>38.540384732201787</v>
      </c>
      <c r="Q23" s="58">
        <f t="shared" si="6"/>
        <v>39.251210960611878</v>
      </c>
      <c r="R23" s="58">
        <f t="shared" si="6"/>
        <v>39.421117472516201</v>
      </c>
      <c r="S23" s="58">
        <f t="shared" si="6"/>
        <v>39.994361957542999</v>
      </c>
      <c r="T23" s="59"/>
      <c r="U23" s="176"/>
      <c r="V23" s="176"/>
      <c r="W23" s="176"/>
      <c r="X23" s="59"/>
      <c r="Y23" s="59"/>
      <c r="Z23" s="59"/>
      <c r="AA23" s="59"/>
      <c r="AB23" s="59"/>
      <c r="AC23" s="59"/>
      <c r="AD23" s="59"/>
      <c r="AE23" s="59"/>
      <c r="AF23" s="59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177"/>
      <c r="AY23" s="14"/>
      <c r="AZ23" s="171"/>
    </row>
    <row r="24" spans="1:52">
      <c r="A24" s="172" t="s">
        <v>112</v>
      </c>
      <c r="B24" s="59">
        <f t="shared" si="7"/>
        <v>0</v>
      </c>
      <c r="C24" s="59">
        <f t="shared" si="7"/>
        <v>29.521214283134057</v>
      </c>
      <c r="D24" s="59">
        <f t="shared" si="7"/>
        <v>36.216980853441896</v>
      </c>
      <c r="E24" s="59">
        <f t="shared" si="7"/>
        <v>32.069362668478874</v>
      </c>
      <c r="F24" s="59">
        <f t="shared" si="7"/>
        <v>33.616605914364918</v>
      </c>
      <c r="G24" s="59">
        <f t="shared" si="7"/>
        <v>32.883511009845662</v>
      </c>
      <c r="H24" s="59">
        <f t="shared" si="7"/>
        <v>29.438249063359969</v>
      </c>
      <c r="I24" s="59">
        <f t="shared" si="7"/>
        <v>41.249124998809002</v>
      </c>
      <c r="J24" s="58">
        <f t="shared" si="6"/>
        <v>34.544931374174375</v>
      </c>
      <c r="K24" s="58">
        <f t="shared" si="6"/>
        <v>37.67136859000145</v>
      </c>
      <c r="L24" s="58">
        <f t="shared" si="6"/>
        <v>36.772125186209216</v>
      </c>
      <c r="M24" s="58">
        <f t="shared" si="6"/>
        <v>38.2539471982967</v>
      </c>
      <c r="N24" s="58">
        <f t="shared" si="6"/>
        <v>38.623758155983161</v>
      </c>
      <c r="O24" s="58">
        <f t="shared" si="6"/>
        <v>39.374480951876905</v>
      </c>
      <c r="P24" s="58">
        <f t="shared" si="6"/>
        <v>38.977822116216274</v>
      </c>
      <c r="Q24" s="58">
        <f t="shared" si="6"/>
        <v>40.217991374908323</v>
      </c>
      <c r="R24" s="58">
        <f t="shared" si="6"/>
        <v>40.410094780753575</v>
      </c>
      <c r="S24" s="58">
        <f t="shared" si="6"/>
        <v>40.887595439710736</v>
      </c>
      <c r="T24" s="59"/>
      <c r="U24" s="176"/>
      <c r="V24" s="176"/>
      <c r="W24" s="176"/>
      <c r="X24" s="59"/>
      <c r="Y24" s="59"/>
      <c r="Z24" s="59"/>
      <c r="AA24" s="59"/>
      <c r="AB24" s="59"/>
      <c r="AC24" s="59"/>
      <c r="AD24" s="59"/>
      <c r="AE24" s="59"/>
      <c r="AF24" s="59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177"/>
      <c r="AY24" s="14"/>
      <c r="AZ24" s="171"/>
    </row>
    <row r="25" spans="1:52">
      <c r="A25" s="172" t="s">
        <v>100</v>
      </c>
      <c r="B25" s="59">
        <f t="shared" si="7"/>
        <v>0</v>
      </c>
      <c r="C25" s="59">
        <f t="shared" si="7"/>
        <v>29.627007672634267</v>
      </c>
      <c r="D25" s="59">
        <f t="shared" si="7"/>
        <v>31.736781883908272</v>
      </c>
      <c r="E25" s="59">
        <f t="shared" si="7"/>
        <v>32.341438922663649</v>
      </c>
      <c r="F25" s="59">
        <f t="shared" si="7"/>
        <v>29.565242173194587</v>
      </c>
      <c r="G25" s="59">
        <f t="shared" si="7"/>
        <v>34.896759070811989</v>
      </c>
      <c r="H25" s="59">
        <f t="shared" si="7"/>
        <v>29.543594583066749</v>
      </c>
      <c r="I25" s="59">
        <f t="shared" si="7"/>
        <v>36.038267188175638</v>
      </c>
      <c r="J25" s="58">
        <f t="shared" si="6"/>
        <v>35.677824234431526</v>
      </c>
      <c r="K25" s="58">
        <f t="shared" si="6"/>
        <v>35.225439473497019</v>
      </c>
      <c r="L25" s="58">
        <f t="shared" si="6"/>
        <v>35.103021781922692</v>
      </c>
      <c r="M25" s="58">
        <f t="shared" si="6"/>
        <v>36.792055289592327</v>
      </c>
      <c r="N25" s="58">
        <f t="shared" si="6"/>
        <v>36.476564916717898</v>
      </c>
      <c r="O25" s="58">
        <f t="shared" si="6"/>
        <v>37.29950897302416</v>
      </c>
      <c r="P25" s="58">
        <f t="shared" si="6"/>
        <v>37.696452865329341</v>
      </c>
      <c r="Q25" s="58">
        <f t="shared" si="6"/>
        <v>37.958872270615082</v>
      </c>
      <c r="R25" s="58">
        <f t="shared" si="6"/>
        <v>38.479294482236817</v>
      </c>
      <c r="S25" s="58">
        <f t="shared" si="6"/>
        <v>38.945278682036147</v>
      </c>
      <c r="T25" s="59"/>
      <c r="U25" s="176"/>
      <c r="V25" s="176"/>
      <c r="W25" s="176"/>
      <c r="X25" s="59"/>
      <c r="Y25" s="59"/>
      <c r="Z25" s="59"/>
      <c r="AA25" s="59"/>
      <c r="AB25" s="59"/>
      <c r="AC25" s="59"/>
      <c r="AD25" s="59"/>
      <c r="AE25" s="59"/>
      <c r="AF25" s="59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177"/>
      <c r="AY25" s="14"/>
      <c r="AZ25" s="171"/>
    </row>
    <row r="26" spans="1:52">
      <c r="A26" s="172" t="s">
        <v>102</v>
      </c>
      <c r="B26" s="59">
        <f t="shared" si="7"/>
        <v>0</v>
      </c>
      <c r="C26" s="59">
        <f t="shared" si="7"/>
        <v>29.403050330452466</v>
      </c>
      <c r="D26" s="59">
        <f t="shared" si="7"/>
        <v>32.233923031126395</v>
      </c>
      <c r="E26" s="59">
        <f t="shared" si="7"/>
        <v>33.990913065668593</v>
      </c>
      <c r="F26" s="59">
        <f t="shared" si="7"/>
        <v>35.70597266739847</v>
      </c>
      <c r="G26" s="59">
        <f t="shared" si="7"/>
        <v>33.99907073252065</v>
      </c>
      <c r="H26" s="59">
        <f t="shared" si="7"/>
        <v>32.087782713767858</v>
      </c>
      <c r="I26" s="59">
        <f t="shared" si="7"/>
        <v>37.909305918230807</v>
      </c>
      <c r="J26" s="58">
        <f t="shared" si="6"/>
        <v>38.090185548170048</v>
      </c>
      <c r="K26" s="58">
        <f t="shared" si="6"/>
        <v>37.839518750329212</v>
      </c>
      <c r="L26" s="58">
        <f t="shared" si="6"/>
        <v>37.862963591029292</v>
      </c>
      <c r="M26" s="58">
        <f t="shared" si="6"/>
        <v>38.533115023087269</v>
      </c>
      <c r="N26" s="58">
        <f t="shared" si="6"/>
        <v>38.694120639316573</v>
      </c>
      <c r="O26" s="58">
        <f t="shared" si="6"/>
        <v>39.757371416381666</v>
      </c>
      <c r="P26" s="58">
        <f t="shared" si="6"/>
        <v>39.953702992503167</v>
      </c>
      <c r="Q26" s="58">
        <f t="shared" si="6"/>
        <v>40.460781554706479</v>
      </c>
      <c r="R26" s="58">
        <f t="shared" si="6"/>
        <v>40.895142496235295</v>
      </c>
      <c r="S26" s="58">
        <f t="shared" si="6"/>
        <v>41.414272992773014</v>
      </c>
      <c r="T26" s="59"/>
      <c r="U26" s="176"/>
      <c r="V26" s="176"/>
      <c r="W26" s="176"/>
      <c r="X26" s="59"/>
      <c r="Y26" s="59"/>
      <c r="Z26" s="59"/>
      <c r="AA26" s="59"/>
      <c r="AB26" s="59"/>
      <c r="AC26" s="59"/>
      <c r="AD26" s="59"/>
      <c r="AE26" s="59"/>
      <c r="AF26" s="59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177"/>
      <c r="AY26" s="14"/>
      <c r="AZ26" s="171"/>
    </row>
    <row r="27" spans="1:52">
      <c r="A27" s="172" t="s">
        <v>103</v>
      </c>
      <c r="B27" s="59">
        <f t="shared" si="7"/>
        <v>0</v>
      </c>
      <c r="C27" s="59">
        <f t="shared" si="7"/>
        <v>26.230388247639031</v>
      </c>
      <c r="D27" s="59">
        <f t="shared" si="7"/>
        <v>29.936625301719651</v>
      </c>
      <c r="E27" s="59">
        <f t="shared" si="7"/>
        <v>36.199829756132338</v>
      </c>
      <c r="F27" s="59">
        <f t="shared" si="7"/>
        <v>32.897974654938643</v>
      </c>
      <c r="G27" s="59">
        <f t="shared" si="7"/>
        <v>28.057928307765248</v>
      </c>
      <c r="H27" s="59">
        <f t="shared" si="7"/>
        <v>34.072213710340286</v>
      </c>
      <c r="I27" s="59">
        <f t="shared" si="7"/>
        <v>31.998254048992848</v>
      </c>
      <c r="J27" s="58">
        <f t="shared" si="6"/>
        <v>37.021951757957886</v>
      </c>
      <c r="K27" s="58">
        <f t="shared" si="6"/>
        <v>36.273455785672425</v>
      </c>
      <c r="L27" s="58">
        <f t="shared" si="6"/>
        <v>35.0091126831406</v>
      </c>
      <c r="M27" s="58">
        <f t="shared" si="6"/>
        <v>36.084664388007468</v>
      </c>
      <c r="N27" s="58">
        <f t="shared" si="6"/>
        <v>37.554048573851084</v>
      </c>
      <c r="O27" s="58">
        <f t="shared" si="6"/>
        <v>37.442045110524937</v>
      </c>
      <c r="P27" s="58">
        <f t="shared" si="6"/>
        <v>37.961305256505071</v>
      </c>
      <c r="Q27" s="58">
        <f t="shared" si="6"/>
        <v>38.290734859082953</v>
      </c>
      <c r="R27" s="58">
        <f t="shared" si="6"/>
        <v>38.600423183623519</v>
      </c>
      <c r="S27" s="58">
        <f t="shared" si="6"/>
        <v>39.21139230016859</v>
      </c>
      <c r="T27" s="59"/>
      <c r="U27" s="176"/>
      <c r="V27" s="176"/>
      <c r="W27" s="176"/>
      <c r="X27" s="59"/>
      <c r="Y27" s="59"/>
      <c r="Z27" s="59"/>
      <c r="AA27" s="59"/>
      <c r="AB27" s="59"/>
      <c r="AC27" s="59"/>
      <c r="AD27" s="59"/>
      <c r="AE27" s="59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177"/>
      <c r="AY27" s="14"/>
      <c r="AZ27" s="171"/>
    </row>
    <row r="28" spans="1:52">
      <c r="A28" s="172" t="s">
        <v>104</v>
      </c>
      <c r="B28" s="59">
        <f t="shared" si="7"/>
        <v>0</v>
      </c>
      <c r="C28" s="59">
        <f t="shared" si="7"/>
        <v>27.347452143950996</v>
      </c>
      <c r="D28" s="59">
        <f t="shared" si="7"/>
        <v>30.229826515326781</v>
      </c>
      <c r="E28" s="59">
        <f t="shared" si="7"/>
        <v>31.512306605860527</v>
      </c>
      <c r="F28" s="59">
        <f t="shared" si="7"/>
        <v>29.469089118070308</v>
      </c>
      <c r="G28" s="59">
        <f t="shared" si="7"/>
        <v>28.847448771929823</v>
      </c>
      <c r="H28" s="59">
        <f t="shared" si="7"/>
        <v>31.013118434307096</v>
      </c>
      <c r="I28" s="59">
        <f t="shared" si="7"/>
        <v>40.415917588278958</v>
      </c>
      <c r="J28" s="58">
        <f t="shared" si="6"/>
        <v>37.154490412471695</v>
      </c>
      <c r="K28" s="58">
        <f t="shared" si="6"/>
        <v>34.560227181506214</v>
      </c>
      <c r="L28" s="58">
        <f t="shared" si="6"/>
        <v>34.438289144444042</v>
      </c>
      <c r="M28" s="58">
        <f t="shared" si="6"/>
        <v>35.584647490805345</v>
      </c>
      <c r="N28" s="58">
        <f t="shared" si="6"/>
        <v>36.242261612816051</v>
      </c>
      <c r="O28" s="58">
        <f t="shared" si="6"/>
        <v>36.999611238305377</v>
      </c>
      <c r="P28" s="58">
        <f t="shared" si="6"/>
        <v>36.807415997187839</v>
      </c>
      <c r="Q28" s="58">
        <f t="shared" si="6"/>
        <v>37.359864539616893</v>
      </c>
      <c r="R28" s="58">
        <f t="shared" si="6"/>
        <v>37.807973409775762</v>
      </c>
      <c r="S28" s="58">
        <f t="shared" si="6"/>
        <v>38.267602011688041</v>
      </c>
      <c r="T28" s="59"/>
      <c r="U28" s="176"/>
      <c r="V28" s="176"/>
      <c r="W28" s="176"/>
      <c r="X28" s="59"/>
      <c r="Y28" s="59"/>
      <c r="Z28" s="59"/>
      <c r="AA28" s="59"/>
      <c r="AB28" s="59"/>
      <c r="AC28" s="59"/>
      <c r="AD28" s="59"/>
      <c r="AE28" s="59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177"/>
      <c r="AY28" s="14"/>
      <c r="AZ28" s="171"/>
    </row>
    <row r="29" spans="1:52">
      <c r="A29" s="172" t="s">
        <v>105</v>
      </c>
      <c r="B29" s="59">
        <f t="shared" si="7"/>
        <v>0</v>
      </c>
      <c r="C29" s="59">
        <f t="shared" si="7"/>
        <v>28.37827246475285</v>
      </c>
      <c r="D29" s="59">
        <f t="shared" si="7"/>
        <v>33.164802238600501</v>
      </c>
      <c r="E29" s="59">
        <f t="shared" si="7"/>
        <v>32.089668147641824</v>
      </c>
      <c r="F29" s="59">
        <f t="shared" si="7"/>
        <v>33.753831044935801</v>
      </c>
      <c r="G29" s="59">
        <f t="shared" si="7"/>
        <v>32.204897966254372</v>
      </c>
      <c r="H29" s="59">
        <f t="shared" si="7"/>
        <v>32.264447189623226</v>
      </c>
      <c r="I29" s="59">
        <f t="shared" si="7"/>
        <v>37.694618854274395</v>
      </c>
      <c r="J29" s="58">
        <f t="shared" si="6"/>
        <v>37.560157863294428</v>
      </c>
      <c r="K29" s="58">
        <f t="shared" si="6"/>
        <v>36.994397139344784</v>
      </c>
      <c r="L29" s="58">
        <f t="shared" si="6"/>
        <v>36.642683734971861</v>
      </c>
      <c r="M29" s="58">
        <f t="shared" si="6"/>
        <v>37.746506505347767</v>
      </c>
      <c r="N29" s="58">
        <f t="shared" si="6"/>
        <v>38.224088761804772</v>
      </c>
      <c r="O29" s="58">
        <f t="shared" si="6"/>
        <v>38.947216124039933</v>
      </c>
      <c r="P29" s="58">
        <f t="shared" si="6"/>
        <v>39.252224929838476</v>
      </c>
      <c r="Q29" s="58">
        <f t="shared" si="6"/>
        <v>39.664924553201061</v>
      </c>
      <c r="R29" s="58">
        <f t="shared" si="6"/>
        <v>40.078286136326163</v>
      </c>
      <c r="S29" s="58">
        <f t="shared" si="6"/>
        <v>40.573548874387157</v>
      </c>
      <c r="T29" s="59"/>
      <c r="U29" s="176"/>
      <c r="V29" s="176"/>
      <c r="W29" s="59"/>
      <c r="X29" s="59"/>
      <c r="Y29" s="59"/>
      <c r="Z29" s="59"/>
      <c r="AA29" s="59"/>
      <c r="AB29" s="59"/>
      <c r="AC29" s="59"/>
      <c r="AD29" s="59"/>
      <c r="AE29" s="59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177"/>
      <c r="AY29" s="14"/>
      <c r="AZ29" s="171"/>
    </row>
    <row r="30" spans="1:52">
      <c r="A30" s="172" t="s">
        <v>106</v>
      </c>
      <c r="B30" s="59">
        <f t="shared" si="7"/>
        <v>0</v>
      </c>
      <c r="C30" s="59">
        <f t="shared" si="7"/>
        <v>29.220695468524212</v>
      </c>
      <c r="D30" s="59">
        <f t="shared" si="7"/>
        <v>32.574141174617118</v>
      </c>
      <c r="E30" s="59">
        <f t="shared" si="7"/>
        <v>33.400284305301305</v>
      </c>
      <c r="F30" s="59">
        <f t="shared" si="7"/>
        <v>34.047872226962454</v>
      </c>
      <c r="G30" s="59">
        <f t="shared" si="7"/>
        <v>33.948661623404568</v>
      </c>
      <c r="H30" s="59">
        <f t="shared" si="7"/>
        <v>34.560137326616527</v>
      </c>
      <c r="I30" s="59">
        <f t="shared" si="7"/>
        <v>35.765295269107263</v>
      </c>
      <c r="J30" s="58">
        <f t="shared" si="6"/>
        <v>38.808441368484353</v>
      </c>
      <c r="K30" s="58">
        <f t="shared" si="6"/>
        <v>37.81945149796109</v>
      </c>
      <c r="L30" s="58">
        <f t="shared" si="6"/>
        <v>37.395507355467636</v>
      </c>
      <c r="M30" s="58">
        <f t="shared" si="6"/>
        <v>38.188003847039433</v>
      </c>
      <c r="N30" s="58">
        <f t="shared" si="6"/>
        <v>38.367885853183807</v>
      </c>
      <c r="O30" s="58">
        <f t="shared" si="6"/>
        <v>38.916021924799409</v>
      </c>
      <c r="P30" s="58">
        <f t="shared" si="6"/>
        <v>39.695197838490813</v>
      </c>
      <c r="Q30" s="58">
        <f t="shared" si="6"/>
        <v>39.998807526754369</v>
      </c>
      <c r="R30" s="58">
        <f t="shared" si="6"/>
        <v>40.393860821783775</v>
      </c>
      <c r="S30" s="58">
        <f t="shared" si="6"/>
        <v>40.890376086954241</v>
      </c>
      <c r="T30" s="59"/>
      <c r="U30" s="176"/>
      <c r="V30" s="176"/>
      <c r="W30" s="59"/>
      <c r="X30" s="59"/>
      <c r="Y30" s="59"/>
      <c r="Z30" s="59"/>
      <c r="AA30" s="59"/>
      <c r="AB30" s="59"/>
      <c r="AC30" s="59"/>
      <c r="AD30" s="59"/>
      <c r="AE30" s="59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177"/>
      <c r="AY30" s="14"/>
      <c r="AZ30" s="171"/>
    </row>
    <row r="31" spans="1:52">
      <c r="A31" s="172" t="s">
        <v>107</v>
      </c>
      <c r="B31" s="59">
        <f t="shared" si="7"/>
        <v>0</v>
      </c>
      <c r="C31" s="59">
        <f t="shared" si="7"/>
        <v>30.257480191075558</v>
      </c>
      <c r="D31" s="59">
        <f t="shared" si="7"/>
        <v>29.590163484989109</v>
      </c>
      <c r="E31" s="59">
        <f t="shared" si="7"/>
        <v>32.576123715174475</v>
      </c>
      <c r="F31" s="59">
        <f t="shared" si="7"/>
        <v>28.862498236064912</v>
      </c>
      <c r="G31" s="59">
        <f t="shared" si="7"/>
        <v>23.347507722073249</v>
      </c>
      <c r="H31" s="59">
        <f t="shared" si="7"/>
        <v>33.917160277524701</v>
      </c>
      <c r="I31" s="59">
        <f t="shared" si="7"/>
        <v>37.703955886254782</v>
      </c>
      <c r="J31" s="58">
        <f t="shared" si="6"/>
        <v>34.098227740529509</v>
      </c>
      <c r="K31" s="58">
        <f t="shared" si="6"/>
        <v>34.437244361294468</v>
      </c>
      <c r="L31" s="58">
        <f t="shared" si="6"/>
        <v>33.607942557279323</v>
      </c>
      <c r="M31" s="58">
        <f t="shared" si="6"/>
        <v>35.583468057101122</v>
      </c>
      <c r="N31" s="58">
        <f t="shared" si="6"/>
        <v>35.985926172136374</v>
      </c>
      <c r="O31" s="58">
        <f t="shared" si="6"/>
        <v>35.913397545888174</v>
      </c>
      <c r="P31" s="58">
        <f t="shared" si="6"/>
        <v>36.61741755539741</v>
      </c>
      <c r="Q31" s="58">
        <f t="shared" si="6"/>
        <v>37.050130262996603</v>
      </c>
      <c r="R31" s="58">
        <f t="shared" si="6"/>
        <v>37.444933488180389</v>
      </c>
      <c r="S31" s="58">
        <f t="shared" si="6"/>
        <v>37.931343610216267</v>
      </c>
      <c r="T31" s="59"/>
      <c r="U31" s="176"/>
      <c r="V31" s="176"/>
      <c r="W31" s="59"/>
      <c r="X31" s="59"/>
      <c r="Y31" s="59"/>
      <c r="Z31" s="59"/>
      <c r="AA31" s="59"/>
      <c r="AB31" s="59"/>
      <c r="AC31" s="59"/>
      <c r="AD31" s="59"/>
      <c r="AE31" s="59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177"/>
      <c r="AY31" s="14"/>
      <c r="AZ31" s="171"/>
    </row>
    <row r="32" spans="1:52">
      <c r="A32" s="172" t="s">
        <v>108</v>
      </c>
      <c r="B32" s="59">
        <f t="shared" si="7"/>
        <v>0</v>
      </c>
      <c r="C32" s="59">
        <f t="shared" si="7"/>
        <v>33.211672536530543</v>
      </c>
      <c r="D32" s="59">
        <f t="shared" si="7"/>
        <v>32.926451627425081</v>
      </c>
      <c r="E32" s="59">
        <f t="shared" si="7"/>
        <v>37.402877035132811</v>
      </c>
      <c r="F32" s="59">
        <f t="shared" si="7"/>
        <v>35.81837769887899</v>
      </c>
      <c r="G32" s="59">
        <f t="shared" si="7"/>
        <v>27.964816041751497</v>
      </c>
      <c r="H32" s="59">
        <f t="shared" si="7"/>
        <v>37.404851485148512</v>
      </c>
      <c r="I32" s="59">
        <f t="shared" si="7"/>
        <v>38.599672529921584</v>
      </c>
      <c r="J32" s="58">
        <f t="shared" si="6"/>
        <v>39.510969528585619</v>
      </c>
      <c r="K32" s="58">
        <f t="shared" si="6"/>
        <v>39.413287749496114</v>
      </c>
      <c r="L32" s="58">
        <f t="shared" si="6"/>
        <v>38.865267350137458</v>
      </c>
      <c r="M32" s="58">
        <f t="shared" si="6"/>
        <v>40.087186243533594</v>
      </c>
      <c r="N32" s="58">
        <f t="shared" si="6"/>
        <v>40.811294635716521</v>
      </c>
      <c r="O32" s="58">
        <f t="shared" si="6"/>
        <v>41.015535820543185</v>
      </c>
      <c r="P32" s="58">
        <f t="shared" si="6"/>
        <v>41.724619665263802</v>
      </c>
      <c r="Q32" s="58">
        <f t="shared" si="6"/>
        <v>42.101879525451608</v>
      </c>
      <c r="R32" s="58">
        <f t="shared" si="6"/>
        <v>42.537096918685513</v>
      </c>
      <c r="S32" s="58">
        <f t="shared" si="6"/>
        <v>43.093852195449614</v>
      </c>
      <c r="T32" s="59"/>
      <c r="U32" s="176"/>
      <c r="V32" s="176"/>
      <c r="W32" s="59"/>
      <c r="X32" s="59"/>
      <c r="Y32" s="59"/>
      <c r="Z32" s="59"/>
      <c r="AA32" s="59"/>
      <c r="AB32" s="59"/>
      <c r="AC32" s="59"/>
      <c r="AD32" s="59"/>
      <c r="AE32" s="59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177"/>
      <c r="AY32" s="14"/>
      <c r="AZ32" s="171"/>
    </row>
    <row r="33" spans="1:56">
      <c r="A33" s="172" t="s">
        <v>109</v>
      </c>
      <c r="B33" s="59">
        <f t="shared" si="7"/>
        <v>0</v>
      </c>
      <c r="C33" s="59">
        <f t="shared" si="7"/>
        <v>33.698667687595709</v>
      </c>
      <c r="D33" s="59">
        <f t="shared" si="7"/>
        <v>35.315407866416059</v>
      </c>
      <c r="E33" s="59">
        <f t="shared" si="7"/>
        <v>39.118632082784288</v>
      </c>
      <c r="F33" s="59">
        <f t="shared" si="7"/>
        <v>33.73117434294231</v>
      </c>
      <c r="G33" s="59">
        <f t="shared" si="7"/>
        <v>25.719302768103969</v>
      </c>
      <c r="H33" s="59">
        <f t="shared" si="7"/>
        <v>28.615212848845449</v>
      </c>
      <c r="I33" s="59">
        <f t="shared" si="7"/>
        <v>36.01254371391321</v>
      </c>
      <c r="J33" s="58">
        <f t="shared" si="6"/>
        <v>44.114788804929226</v>
      </c>
      <c r="K33" s="58">
        <f t="shared" si="6"/>
        <v>35.924889199490835</v>
      </c>
      <c r="L33" s="58">
        <f t="shared" si="6"/>
        <v>35.377337961380739</v>
      </c>
      <c r="M33" s="58">
        <f t="shared" si="6"/>
        <v>36.242559392652822</v>
      </c>
      <c r="N33" s="58">
        <f t="shared" si="6"/>
        <v>38.105013760261549</v>
      </c>
      <c r="O33" s="58">
        <f t="shared" si="6"/>
        <v>38.84561353426929</v>
      </c>
      <c r="P33" s="58">
        <f t="shared" si="6"/>
        <v>39.780002085163673</v>
      </c>
      <c r="Q33" s="58">
        <f t="shared" si="6"/>
        <v>38.858854105921189</v>
      </c>
      <c r="R33" s="58">
        <f t="shared" si="6"/>
        <v>39.591041534488873</v>
      </c>
      <c r="S33" s="58">
        <f t="shared" si="6"/>
        <v>40.311385908164816</v>
      </c>
      <c r="T33" s="59"/>
      <c r="U33" s="176"/>
      <c r="V33" s="176"/>
      <c r="W33" s="59"/>
      <c r="X33" s="59"/>
      <c r="Y33" s="59"/>
      <c r="Z33" s="59"/>
      <c r="AA33" s="59"/>
      <c r="AB33" s="59"/>
      <c r="AC33" s="59"/>
      <c r="AD33" s="59"/>
      <c r="AE33" s="59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177"/>
      <c r="AY33" s="14"/>
      <c r="AZ33" s="171"/>
    </row>
    <row r="34" spans="1:56" ht="15.75" thickBot="1">
      <c r="A34" s="172" t="s">
        <v>113</v>
      </c>
      <c r="B34" s="59">
        <f t="shared" ref="B34:S34" si="8">SUM(B22:B33)</f>
        <v>0</v>
      </c>
      <c r="C34" s="59">
        <f t="shared" si="8"/>
        <v>362.50656726953343</v>
      </c>
      <c r="D34" s="59">
        <f t="shared" si="8"/>
        <v>388.04700954780884</v>
      </c>
      <c r="E34" s="59">
        <f t="shared" si="8"/>
        <v>406.29339159938132</v>
      </c>
      <c r="F34" s="59">
        <f t="shared" si="8"/>
        <v>394.08291832975027</v>
      </c>
      <c r="G34" s="59">
        <f t="shared" si="8"/>
        <v>359.58060483650291</v>
      </c>
      <c r="H34" s="59">
        <f t="shared" si="8"/>
        <v>381.82919677392096</v>
      </c>
      <c r="I34" s="59">
        <f t="shared" si="8"/>
        <v>446.15428102795829</v>
      </c>
      <c r="J34" s="58">
        <f t="shared" si="8"/>
        <v>444.71328168949333</v>
      </c>
      <c r="K34" s="58">
        <f t="shared" si="8"/>
        <v>436.16263246688681</v>
      </c>
      <c r="L34" s="58">
        <f t="shared" si="8"/>
        <v>429.08326338287605</v>
      </c>
      <c r="M34" s="58">
        <f t="shared" si="8"/>
        <v>442.62878901482929</v>
      </c>
      <c r="N34" s="58">
        <f t="shared" si="8"/>
        <v>450.65652117504055</v>
      </c>
      <c r="O34" s="58">
        <f t="shared" si="8"/>
        <v>456.78645099730727</v>
      </c>
      <c r="P34" s="58">
        <f t="shared" si="8"/>
        <v>461.33956362517802</v>
      </c>
      <c r="Q34" s="58">
        <f t="shared" si="8"/>
        <v>466.02557317667072</v>
      </c>
      <c r="R34" s="58">
        <f t="shared" si="8"/>
        <v>470.69920271454549</v>
      </c>
      <c r="S34" s="58">
        <f t="shared" si="8"/>
        <v>477.11449825227902</v>
      </c>
      <c r="T34" s="176"/>
      <c r="U34" s="176"/>
      <c r="V34" s="176"/>
      <c r="W34" s="176"/>
      <c r="X34" s="59"/>
      <c r="Y34" s="59"/>
      <c r="Z34" s="59"/>
      <c r="AA34" s="59"/>
      <c r="AB34" s="59"/>
      <c r="AC34" s="59"/>
      <c r="AD34" s="59"/>
      <c r="AE34" s="59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177"/>
    </row>
    <row r="35" spans="1:56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9"/>
      <c r="AA35" s="179"/>
      <c r="AB35" s="179"/>
      <c r="AC35" s="179"/>
      <c r="AD35" s="179"/>
      <c r="AE35" s="179"/>
      <c r="AF35" s="179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7"/>
      <c r="AY35" s="180"/>
      <c r="AZ35" s="180"/>
    </row>
    <row r="36" spans="1:56" ht="15.75" thickBot="1">
      <c r="A36" s="172" t="s">
        <v>187</v>
      </c>
      <c r="AY36" s="180"/>
      <c r="AZ36" s="180"/>
    </row>
    <row r="37" spans="1:56" ht="15.75" thickBot="1">
      <c r="A37" s="174"/>
      <c r="B37" s="174">
        <f t="shared" ref="B37:I37" si="9">B2</f>
        <v>2016</v>
      </c>
      <c r="C37" s="174">
        <f t="shared" si="9"/>
        <v>2017</v>
      </c>
      <c r="D37" s="174">
        <f t="shared" si="9"/>
        <v>2018</v>
      </c>
      <c r="E37" s="174">
        <f t="shared" si="9"/>
        <v>2019</v>
      </c>
      <c r="F37" s="174">
        <f t="shared" si="9"/>
        <v>2020</v>
      </c>
      <c r="G37" s="174">
        <f t="shared" si="9"/>
        <v>2021</v>
      </c>
      <c r="H37" s="174">
        <f t="shared" si="9"/>
        <v>2022</v>
      </c>
      <c r="I37" s="174">
        <f t="shared" si="9"/>
        <v>2023</v>
      </c>
      <c r="J37" s="174">
        <v>2024</v>
      </c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5"/>
      <c r="AY37" s="99"/>
    </row>
    <row r="38" spans="1:56">
      <c r="A38" s="172" t="s">
        <v>110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Z38" s="76"/>
      <c r="BA38" s="14"/>
      <c r="BC38" s="14"/>
      <c r="BD38" s="14"/>
    </row>
    <row r="39" spans="1:56">
      <c r="A39" s="172" t="s">
        <v>111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Z39" s="76"/>
      <c r="BA39" s="14"/>
      <c r="BC39" s="14"/>
      <c r="BD39" s="14"/>
    </row>
    <row r="40" spans="1:56">
      <c r="A40" s="172" t="s">
        <v>112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Z40" s="76"/>
      <c r="BA40" s="14"/>
      <c r="BC40" s="14"/>
      <c r="BD40" s="14"/>
    </row>
    <row r="41" spans="1:56">
      <c r="A41" s="172" t="s">
        <v>100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Z41" s="76"/>
      <c r="BA41" s="14"/>
      <c r="BC41" s="14"/>
      <c r="BD41" s="14"/>
    </row>
    <row r="42" spans="1:56">
      <c r="A42" s="172" t="s">
        <v>102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Z42" s="76"/>
      <c r="BA42" s="14"/>
      <c r="BC42" s="14"/>
      <c r="BD42" s="14"/>
    </row>
    <row r="43" spans="1:56">
      <c r="A43" s="172" t="s">
        <v>103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Z43" s="76"/>
      <c r="BA43" s="14"/>
      <c r="BC43" s="14"/>
      <c r="BD43" s="14"/>
    </row>
    <row r="44" spans="1:56">
      <c r="A44" s="172" t="s">
        <v>104</v>
      </c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Z44" s="76"/>
      <c r="BA44" s="14"/>
      <c r="BC44" s="14"/>
      <c r="BD44" s="14"/>
    </row>
    <row r="45" spans="1:56">
      <c r="A45" s="172" t="s">
        <v>105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Z45" s="76"/>
      <c r="BA45" s="14"/>
      <c r="BC45" s="14"/>
      <c r="BD45" s="14"/>
    </row>
    <row r="46" spans="1:56">
      <c r="A46" s="172" t="s">
        <v>106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Z46" s="76"/>
      <c r="BA46" s="14"/>
      <c r="BC46" s="14"/>
      <c r="BD46" s="14"/>
    </row>
    <row r="47" spans="1:56">
      <c r="A47" s="172" t="s">
        <v>107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Z47" s="76"/>
      <c r="BA47" s="14"/>
      <c r="BC47" s="14"/>
      <c r="BD47" s="14"/>
    </row>
    <row r="48" spans="1:56">
      <c r="A48" s="172" t="s">
        <v>108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Z48" s="76"/>
      <c r="BA48" s="14"/>
      <c r="BC48" s="14"/>
      <c r="BD48" s="14"/>
    </row>
    <row r="49" spans="1:56">
      <c r="A49" s="172" t="s">
        <v>109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Z49" s="76"/>
      <c r="BA49" s="14"/>
      <c r="BC49" s="14"/>
      <c r="BD49" s="14"/>
    </row>
    <row r="50" spans="1:56" ht="15.75" thickBot="1">
      <c r="A50" s="172" t="s">
        <v>113</v>
      </c>
      <c r="B50" s="59">
        <v>4.3150255000000003E-5</v>
      </c>
      <c r="C50" s="59">
        <v>5.7053489999999998E-5</v>
      </c>
      <c r="D50" s="59">
        <v>5.3073216000000009E-5</v>
      </c>
      <c r="E50" s="59">
        <v>5.8500564000000002E-5</v>
      </c>
      <c r="F50" s="59">
        <v>9.4646640999999988E-5</v>
      </c>
      <c r="G50" s="59">
        <v>7.812982E-5</v>
      </c>
      <c r="H50" s="59">
        <v>7.4532396999999997E-5</v>
      </c>
      <c r="I50" s="59">
        <v>4.7458780999999995E-5</v>
      </c>
      <c r="J50" s="59">
        <v>0</v>
      </c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BC50" s="14"/>
      <c r="BD50" s="14"/>
    </row>
    <row r="51" spans="1:56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4"/>
    </row>
    <row r="52" spans="1:56" ht="15.75" thickBot="1">
      <c r="A52" s="172" t="s">
        <v>188</v>
      </c>
    </row>
    <row r="53" spans="1:56" ht="15.75" thickBot="1">
      <c r="A53" s="174"/>
      <c r="B53" s="174">
        <f t="shared" ref="B53:I53" si="10">B2</f>
        <v>2016</v>
      </c>
      <c r="C53" s="174">
        <f t="shared" si="10"/>
        <v>2017</v>
      </c>
      <c r="D53" s="174">
        <f t="shared" si="10"/>
        <v>2018</v>
      </c>
      <c r="E53" s="174">
        <f t="shared" si="10"/>
        <v>2019</v>
      </c>
      <c r="F53" s="174">
        <f t="shared" si="10"/>
        <v>2020</v>
      </c>
      <c r="G53" s="174">
        <f t="shared" si="10"/>
        <v>2021</v>
      </c>
      <c r="H53" s="174">
        <f t="shared" si="10"/>
        <v>2022</v>
      </c>
      <c r="I53" s="174">
        <f t="shared" si="10"/>
        <v>2023</v>
      </c>
      <c r="J53" s="174">
        <v>2024</v>
      </c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5"/>
    </row>
    <row r="54" spans="1:56">
      <c r="A54" s="172" t="s">
        <v>110</v>
      </c>
      <c r="B54" s="59"/>
      <c r="C54" s="59">
        <v>0.107741</v>
      </c>
      <c r="D54" s="59">
        <v>9.3590000000000007E-2</v>
      </c>
      <c r="E54" s="59">
        <v>0.23493</v>
      </c>
      <c r="F54" s="59">
        <v>0.29482599999999998</v>
      </c>
      <c r="G54" s="59">
        <v>0.55168517000000006</v>
      </c>
      <c r="H54" s="59">
        <v>0.52719926000000006</v>
      </c>
      <c r="I54" s="59">
        <v>0.26357746999999998</v>
      </c>
      <c r="J54" s="59">
        <v>0.32207853999999997</v>
      </c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14"/>
      <c r="AZ54" s="14"/>
    </row>
    <row r="55" spans="1:56">
      <c r="A55" s="172" t="s">
        <v>111</v>
      </c>
      <c r="B55" s="59"/>
      <c r="C55" s="59">
        <v>0.205543</v>
      </c>
      <c r="D55" s="59">
        <v>0.10942919999999999</v>
      </c>
      <c r="E55" s="59">
        <v>0.1232987</v>
      </c>
      <c r="F55" s="59">
        <v>0.27216608000000003</v>
      </c>
      <c r="G55" s="59">
        <v>0.28347403999999998</v>
      </c>
      <c r="H55" s="59">
        <v>0.37468781000000001</v>
      </c>
      <c r="I55" s="59">
        <v>0.27016055999999999</v>
      </c>
      <c r="J55" s="59">
        <v>0.27868080000000001</v>
      </c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14"/>
      <c r="AZ55" s="14"/>
      <c r="BA55" s="171"/>
    </row>
    <row r="56" spans="1:56">
      <c r="A56" s="172" t="s">
        <v>112</v>
      </c>
      <c r="B56" s="59"/>
      <c r="C56" s="59">
        <v>0.176983</v>
      </c>
      <c r="D56" s="59">
        <v>0.14295040000000001</v>
      </c>
      <c r="E56" s="59">
        <v>0.13073850000000001</v>
      </c>
      <c r="F56" s="59">
        <v>0.11690053</v>
      </c>
      <c r="G56" s="59">
        <v>0.40792824</v>
      </c>
      <c r="H56" s="59">
        <v>0.39345445000000001</v>
      </c>
      <c r="I56" s="59">
        <v>0.28176802000000001</v>
      </c>
      <c r="J56" s="59">
        <v>0.27261490999999999</v>
      </c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</row>
    <row r="57" spans="1:56">
      <c r="A57" s="172" t="s">
        <v>100</v>
      </c>
      <c r="B57" s="59"/>
      <c r="C57" s="59">
        <v>7.52057E-2</v>
      </c>
      <c r="D57" s="59">
        <v>7.3995000000000005E-2</v>
      </c>
      <c r="E57" s="59">
        <v>0.21870899999999999</v>
      </c>
      <c r="F57" s="59">
        <v>0.24070655999999999</v>
      </c>
      <c r="G57" s="59">
        <v>0.44711945000000003</v>
      </c>
      <c r="H57" s="59">
        <v>0.31006228000000002</v>
      </c>
      <c r="I57" s="59">
        <v>0.30966159000000004</v>
      </c>
      <c r="J57" s="59">
        <v>0</v>
      </c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</row>
    <row r="58" spans="1:56">
      <c r="A58" s="172" t="s">
        <v>102</v>
      </c>
      <c r="B58" s="59"/>
      <c r="C58" s="59">
        <v>0.10345439999999999</v>
      </c>
      <c r="D58" s="59">
        <v>0.106002</v>
      </c>
      <c r="E58" s="59">
        <v>0.17808399999999999</v>
      </c>
      <c r="F58" s="59">
        <v>0.17008454000000001</v>
      </c>
      <c r="G58" s="59">
        <v>0.50413695999999997</v>
      </c>
      <c r="H58" s="59">
        <v>0.25249360999999998</v>
      </c>
      <c r="I58" s="59">
        <v>0.24640703</v>
      </c>
      <c r="J58" s="59">
        <v>0</v>
      </c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</row>
    <row r="59" spans="1:56">
      <c r="A59" s="172" t="s">
        <v>103</v>
      </c>
      <c r="B59" s="59"/>
      <c r="C59" s="59">
        <v>6.7540199999999995E-2</v>
      </c>
      <c r="D59" s="59">
        <v>0.20333499999999999</v>
      </c>
      <c r="E59" s="59">
        <v>0.27656959999999997</v>
      </c>
      <c r="F59" s="59">
        <v>0.14256807000000002</v>
      </c>
      <c r="G59" s="59">
        <v>0.30109827</v>
      </c>
      <c r="H59" s="59">
        <v>0.28669952000000004</v>
      </c>
      <c r="I59" s="59">
        <v>0.18630260999999998</v>
      </c>
      <c r="J59" s="59">
        <v>0</v>
      </c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</row>
    <row r="60" spans="1:56">
      <c r="A60" s="172" t="s">
        <v>104</v>
      </c>
      <c r="B60" s="59"/>
      <c r="C60" s="59">
        <v>0.14147989999999999</v>
      </c>
      <c r="D60" s="59">
        <v>0.1560964</v>
      </c>
      <c r="E60" s="59">
        <v>0.1943985</v>
      </c>
      <c r="F60" s="59">
        <v>0.23205973000000002</v>
      </c>
      <c r="G60" s="59">
        <v>0.29966799</v>
      </c>
      <c r="H60" s="59">
        <v>0.33042465000000004</v>
      </c>
      <c r="I60" s="59">
        <v>0.30618784000000004</v>
      </c>
      <c r="J60" s="59">
        <v>0</v>
      </c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</row>
    <row r="61" spans="1:56">
      <c r="A61" s="172" t="s">
        <v>105</v>
      </c>
      <c r="B61" s="59"/>
      <c r="C61" s="59">
        <v>0.11622552999999999</v>
      </c>
      <c r="D61" s="59">
        <v>0.232243</v>
      </c>
      <c r="E61" s="59">
        <v>0.19907900000000001</v>
      </c>
      <c r="F61" s="59">
        <v>0.26566878000000005</v>
      </c>
      <c r="G61" s="59">
        <v>0.81468037999999998</v>
      </c>
      <c r="H61" s="59">
        <v>0.28783432000000003</v>
      </c>
      <c r="I61" s="59">
        <v>0.34390485999999998</v>
      </c>
      <c r="J61" s="59">
        <v>0</v>
      </c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 spans="1:56">
      <c r="A62" s="172" t="s">
        <v>106</v>
      </c>
      <c r="B62" s="59"/>
      <c r="C62" s="59">
        <v>0.10011303000000001</v>
      </c>
      <c r="D62" s="59">
        <v>0.18735099999999999</v>
      </c>
      <c r="E62" s="59">
        <v>0.28598499999999999</v>
      </c>
      <c r="F62" s="59">
        <v>0.43188375000000001</v>
      </c>
      <c r="G62" s="59">
        <v>0.61756913000000002</v>
      </c>
      <c r="H62" s="59">
        <v>0.32094416999999997</v>
      </c>
      <c r="I62" s="59">
        <v>0.33923623999999997</v>
      </c>
      <c r="J62" s="59">
        <v>0</v>
      </c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</row>
    <row r="63" spans="1:56">
      <c r="A63" s="172" t="s">
        <v>107</v>
      </c>
      <c r="B63" s="59"/>
      <c r="C63" s="59">
        <v>0.14686299999999999</v>
      </c>
      <c r="D63" s="59">
        <v>0.25529499999999999</v>
      </c>
      <c r="E63" s="59">
        <v>0.39571329999999999</v>
      </c>
      <c r="F63" s="59">
        <v>0.39809401</v>
      </c>
      <c r="G63" s="59">
        <v>0.53797117000000005</v>
      </c>
      <c r="H63" s="59">
        <v>0.32892850000000001</v>
      </c>
      <c r="I63" s="59">
        <v>0.1518766</v>
      </c>
      <c r="J63" s="59">
        <v>0</v>
      </c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</row>
    <row r="64" spans="1:56">
      <c r="A64" s="172" t="s">
        <v>108</v>
      </c>
      <c r="B64" s="59"/>
      <c r="C64" s="59">
        <v>0.13231499999999999</v>
      </c>
      <c r="D64" s="59">
        <v>0.185002</v>
      </c>
      <c r="E64" s="59">
        <v>0.26969090000000001</v>
      </c>
      <c r="F64" s="59">
        <v>0.46478334999999998</v>
      </c>
      <c r="G64" s="59">
        <v>0.45790025000000001</v>
      </c>
      <c r="H64" s="59">
        <v>0.28484501000000001</v>
      </c>
      <c r="I64" s="59">
        <v>0.19467094000000001</v>
      </c>
      <c r="J64" s="59">
        <v>0</v>
      </c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</row>
    <row r="65" spans="1:50">
      <c r="A65" s="172" t="s">
        <v>109</v>
      </c>
      <c r="B65" s="59"/>
      <c r="C65" s="59">
        <v>0.21435979999999999</v>
      </c>
      <c r="D65" s="59">
        <v>0.25993899999999998</v>
      </c>
      <c r="E65" s="59">
        <v>0.23058500000000001</v>
      </c>
      <c r="F65" s="59">
        <v>0.29358971</v>
      </c>
      <c r="G65" s="59">
        <v>0.41100968999999998</v>
      </c>
      <c r="H65" s="59">
        <v>0.40945136999999998</v>
      </c>
      <c r="I65" s="59">
        <v>0.38568946999999998</v>
      </c>
      <c r="J65" s="59">
        <v>0</v>
      </c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</row>
    <row r="66" spans="1:50" ht="15.75" customHeight="1" thickBot="1">
      <c r="A66" s="172" t="s">
        <v>113</v>
      </c>
      <c r="B66" s="59">
        <v>1.3230380000000001E-6</v>
      </c>
      <c r="C66" s="59">
        <f>SUM(C54:C65)</f>
        <v>1.5878235599999999</v>
      </c>
      <c r="D66" s="59">
        <f t="shared" ref="D66:J66" si="11">SUM(D54:D65)</f>
        <v>2.0052280000000002</v>
      </c>
      <c r="E66" s="59">
        <f t="shared" si="11"/>
        <v>2.7377815000000001</v>
      </c>
      <c r="F66" s="59">
        <f t="shared" si="11"/>
        <v>3.3233311099999998</v>
      </c>
      <c r="G66" s="59">
        <f t="shared" si="11"/>
        <v>5.6342407399999992</v>
      </c>
      <c r="H66" s="59">
        <f t="shared" si="11"/>
        <v>4.1070249499999996</v>
      </c>
      <c r="I66" s="59">
        <f t="shared" si="11"/>
        <v>3.27944323</v>
      </c>
      <c r="J66" s="59">
        <f t="shared" si="11"/>
        <v>0.87337424999999991</v>
      </c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</row>
    <row r="67" spans="1:50">
      <c r="A67" s="178"/>
      <c r="B67" s="178"/>
      <c r="C67" s="181">
        <f t="shared" ref="C67:I67" si="12">C68-B68</f>
        <v>-0.49026700000000001</v>
      </c>
      <c r="D67" s="181">
        <f t="shared" si="12"/>
        <v>-0.95325915999999977</v>
      </c>
      <c r="E67" s="181">
        <f t="shared" si="12"/>
        <v>-0.70469944000000018</v>
      </c>
      <c r="F67" s="181">
        <f t="shared" si="12"/>
        <v>-0.78448130999999988</v>
      </c>
      <c r="G67" s="181">
        <f t="shared" si="12"/>
        <v>-0.9498190399999995</v>
      </c>
      <c r="H67" s="181">
        <f t="shared" si="12"/>
        <v>-1.8039688600000008</v>
      </c>
      <c r="I67" s="181">
        <f t="shared" si="12"/>
        <v>2.0593053299999999</v>
      </c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4"/>
    </row>
    <row r="68" spans="1:50" ht="15.75" thickBot="1">
      <c r="A68" s="172" t="s">
        <v>189</v>
      </c>
      <c r="B68" s="14">
        <f t="shared" ref="B68:I68" si="13">(SUM(A41:A49,B38:B40)-SUM(A57:A65,B54:B56))</f>
        <v>0</v>
      </c>
      <c r="C68" s="14">
        <f t="shared" si="13"/>
        <v>-0.49026700000000001</v>
      </c>
      <c r="D68" s="14">
        <f t="shared" si="13"/>
        <v>-1.4435261599999998</v>
      </c>
      <c r="E68" s="14">
        <f t="shared" si="13"/>
        <v>-2.1482256</v>
      </c>
      <c r="F68" s="14">
        <f t="shared" si="13"/>
        <v>-2.9327069099999998</v>
      </c>
      <c r="G68" s="14">
        <f t="shared" si="13"/>
        <v>-3.8825259499999993</v>
      </c>
      <c r="H68" s="14">
        <f t="shared" si="13"/>
        <v>-5.6864948100000001</v>
      </c>
      <c r="I68" s="14">
        <f t="shared" si="13"/>
        <v>-3.6271894800000002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50" ht="15.75" thickBot="1">
      <c r="A69" s="174"/>
      <c r="B69" s="174">
        <f t="shared" ref="B69:I69" si="14">B2</f>
        <v>2016</v>
      </c>
      <c r="C69" s="174">
        <f t="shared" si="14"/>
        <v>2017</v>
      </c>
      <c r="D69" s="174">
        <f t="shared" si="14"/>
        <v>2018</v>
      </c>
      <c r="E69" s="174">
        <f t="shared" si="14"/>
        <v>2019</v>
      </c>
      <c r="F69" s="174">
        <f t="shared" si="14"/>
        <v>2020</v>
      </c>
      <c r="G69" s="174">
        <f t="shared" si="14"/>
        <v>2021</v>
      </c>
      <c r="H69" s="174">
        <f t="shared" si="14"/>
        <v>2022</v>
      </c>
      <c r="I69" s="174">
        <f t="shared" si="14"/>
        <v>2023</v>
      </c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5"/>
    </row>
    <row r="70" spans="1:50">
      <c r="A70" s="172" t="s">
        <v>110</v>
      </c>
      <c r="B70" s="59" t="e">
        <f>B3+B22+B38-B54-#REF!</f>
        <v>#REF!</v>
      </c>
      <c r="C70" s="59" t="e">
        <f>#REF!+C22+C38-C54-#REF!</f>
        <v>#REF!</v>
      </c>
      <c r="D70" s="59" t="e">
        <f>#REF!+D22+D38-D54-#REF!</f>
        <v>#REF!</v>
      </c>
      <c r="E70" s="59" t="e">
        <f>#REF!+E22+E38-E54-#REF!</f>
        <v>#REF!</v>
      </c>
      <c r="F70" s="59" t="e">
        <f>#REF!+F22+F38-F54-#REF!</f>
        <v>#REF!</v>
      </c>
      <c r="G70" s="59" t="e">
        <f>#REF!+G22+G38-G54-#REF!</f>
        <v>#REF!</v>
      </c>
      <c r="H70" s="59" t="e">
        <f>#REF!+H22+H38-H54-#REF!</f>
        <v>#REF!</v>
      </c>
      <c r="I70" s="59" t="e">
        <f>#REF!+I22+I38-I54-#REF!</f>
        <v>#REF!</v>
      </c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 spans="1:50">
      <c r="A71" s="172" t="s">
        <v>111</v>
      </c>
      <c r="B71" s="59" t="e">
        <f>#REF!+B23+B39-B55-#REF!</f>
        <v>#REF!</v>
      </c>
      <c r="C71" s="59" t="e">
        <f>#REF!+C23+C39-C55-#REF!</f>
        <v>#REF!</v>
      </c>
      <c r="D71" s="59" t="e">
        <f>#REF!+D23+D39-D55-#REF!</f>
        <v>#REF!</v>
      </c>
      <c r="E71" s="59" t="e">
        <f>#REF!+E23+E39-E55-#REF!</f>
        <v>#REF!</v>
      </c>
      <c r="F71" s="59" t="e">
        <f>#REF!+F23+F39-F55-#REF!</f>
        <v>#REF!</v>
      </c>
      <c r="G71" s="59" t="e">
        <f>#REF!+G23+G39-G55-#REF!</f>
        <v>#REF!</v>
      </c>
      <c r="H71" s="59" t="e">
        <f>#REF!+H23+H39-H55-#REF!</f>
        <v>#REF!</v>
      </c>
      <c r="I71" s="59" t="e">
        <f>#REF!+I23+I39-I55-#REF!</f>
        <v>#REF!</v>
      </c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</row>
    <row r="72" spans="1:50">
      <c r="A72" s="172" t="s">
        <v>112</v>
      </c>
      <c r="B72" s="59" t="e">
        <f>#REF!+B24+B40-B56-#REF!</f>
        <v>#REF!</v>
      </c>
      <c r="C72" s="59" t="e">
        <f>#REF!+C24+C40-C56-#REF!</f>
        <v>#REF!</v>
      </c>
      <c r="D72" s="59" t="e">
        <f>#REF!+D24+D40-D56-#REF!</f>
        <v>#REF!</v>
      </c>
      <c r="E72" s="59" t="e">
        <f>#REF!+E24+E40-E56-#REF!</f>
        <v>#REF!</v>
      </c>
      <c r="F72" s="59" t="e">
        <f>#REF!+F24+F40-F56-#REF!</f>
        <v>#REF!</v>
      </c>
      <c r="G72" s="59" t="e">
        <f>#REF!+G24+G40-G56-#REF!</f>
        <v>#REF!</v>
      </c>
      <c r="H72" s="59" t="e">
        <f>#REF!+H24+H40-H56-#REF!</f>
        <v>#REF!</v>
      </c>
      <c r="I72" s="59" t="e">
        <f>#REF!+I24+I40-I56-#REF!</f>
        <v>#REF!</v>
      </c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</row>
    <row r="73" spans="1:50">
      <c r="A73" s="172" t="s">
        <v>100</v>
      </c>
      <c r="B73" s="59" t="e">
        <f>#REF!+B25+B41-B57-#REF!</f>
        <v>#REF!</v>
      </c>
      <c r="C73" s="59" t="e">
        <f>#REF!+C25+C41-C57-#REF!</f>
        <v>#REF!</v>
      </c>
      <c r="D73" s="59" t="e">
        <f>#REF!+D25+D41-D57-#REF!</f>
        <v>#REF!</v>
      </c>
      <c r="E73" s="59" t="e">
        <f>#REF!+E25+E41-E57-#REF!</f>
        <v>#REF!</v>
      </c>
      <c r="F73" s="59" t="e">
        <f>#REF!+F25+F41-F57-#REF!</f>
        <v>#REF!</v>
      </c>
      <c r="G73" s="59" t="e">
        <f>#REF!+G25+G41-G57-#REF!</f>
        <v>#REF!</v>
      </c>
      <c r="H73" s="59" t="e">
        <f>#REF!+H25+H41-H57-#REF!</f>
        <v>#REF!</v>
      </c>
      <c r="I73" s="59" t="e">
        <f>#REF!+I25+I41-I57-#REF!</f>
        <v>#REF!</v>
      </c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</row>
    <row r="74" spans="1:50">
      <c r="A74" s="172" t="s">
        <v>102</v>
      </c>
      <c r="B74" s="59" t="e">
        <f>#REF!+B26+B42-B58-#REF!</f>
        <v>#REF!</v>
      </c>
      <c r="C74" s="59" t="e">
        <f>#REF!+C26+C42-C58-#REF!</f>
        <v>#REF!</v>
      </c>
      <c r="D74" s="59" t="e">
        <f>#REF!+D26+D42-D58-#REF!</f>
        <v>#REF!</v>
      </c>
      <c r="E74" s="59" t="e">
        <f>#REF!+E26+E42-E58-#REF!</f>
        <v>#REF!</v>
      </c>
      <c r="F74" s="59" t="e">
        <f>#REF!+F26+F42-F58-#REF!</f>
        <v>#REF!</v>
      </c>
      <c r="G74" s="59" t="e">
        <f>#REF!+G26+G42-G58-#REF!</f>
        <v>#REF!</v>
      </c>
      <c r="H74" s="59" t="e">
        <f>#REF!+H26+H42-H58-#REF!</f>
        <v>#REF!</v>
      </c>
      <c r="I74" s="59" t="e">
        <f>#REF!+I26+I42-I58-#REF!</f>
        <v>#REF!</v>
      </c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</row>
    <row r="75" spans="1:50">
      <c r="A75" s="172" t="s">
        <v>103</v>
      </c>
      <c r="B75" s="59" t="e">
        <f>#REF!+B27+B43-B59-#REF!</f>
        <v>#REF!</v>
      </c>
      <c r="C75" s="59" t="e">
        <f>#REF!+C27+C43-C59-#REF!</f>
        <v>#REF!</v>
      </c>
      <c r="D75" s="59" t="e">
        <f>#REF!+D27+D43-D59-#REF!</f>
        <v>#REF!</v>
      </c>
      <c r="E75" s="59" t="e">
        <f>#REF!+E27+E43-E59-#REF!</f>
        <v>#REF!</v>
      </c>
      <c r="F75" s="59" t="e">
        <f>#REF!+F27+F43-F59-#REF!</f>
        <v>#REF!</v>
      </c>
      <c r="G75" s="59" t="e">
        <f>#REF!+G27+G43-G59-#REF!</f>
        <v>#REF!</v>
      </c>
      <c r="H75" s="59" t="e">
        <f>#REF!+H27+H43-H59-#REF!</f>
        <v>#REF!</v>
      </c>
      <c r="I75" s="59" t="e">
        <f>#REF!+I27+I43-I59-#REF!</f>
        <v>#REF!</v>
      </c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</row>
    <row r="76" spans="1:50">
      <c r="A76" s="172" t="s">
        <v>104</v>
      </c>
      <c r="B76" s="59" t="e">
        <f>#REF!+B28+B44-B60-#REF!</f>
        <v>#REF!</v>
      </c>
      <c r="C76" s="59" t="e">
        <f>#REF!+C28+C44-C60-#REF!</f>
        <v>#REF!</v>
      </c>
      <c r="D76" s="59" t="e">
        <f>#REF!+D28+D44-D60-#REF!</f>
        <v>#REF!</v>
      </c>
      <c r="E76" s="59" t="e">
        <f>#REF!+E28+E44-E60-#REF!</f>
        <v>#REF!</v>
      </c>
      <c r="F76" s="59" t="e">
        <f>#REF!+F28+F44-F60-#REF!</f>
        <v>#REF!</v>
      </c>
      <c r="G76" s="59" t="e">
        <f>#REF!+G28+G44-G60-#REF!</f>
        <v>#REF!</v>
      </c>
      <c r="H76" s="59" t="e">
        <f>#REF!+H28+H44-H60-#REF!</f>
        <v>#REF!</v>
      </c>
      <c r="I76" s="59" t="e">
        <f>#REF!+I28+I44-I60-#REF!</f>
        <v>#REF!</v>
      </c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</row>
    <row r="77" spans="1:50">
      <c r="A77" s="172" t="s">
        <v>105</v>
      </c>
      <c r="B77" s="59" t="e">
        <f>#REF!+B29+B45-B61-#REF!</f>
        <v>#REF!</v>
      </c>
      <c r="C77" s="59" t="e">
        <f>#REF!+C29+C45-C61-#REF!</f>
        <v>#REF!</v>
      </c>
      <c r="D77" s="59" t="e">
        <f>#REF!+D29+D45-D61-#REF!</f>
        <v>#REF!</v>
      </c>
      <c r="E77" s="59" t="e">
        <f>#REF!+E29+E45-E61-#REF!</f>
        <v>#REF!</v>
      </c>
      <c r="F77" s="59" t="e">
        <f>#REF!+F29+F45-F61-#REF!</f>
        <v>#REF!</v>
      </c>
      <c r="G77" s="59" t="e">
        <f>#REF!+G29+G45-G61-#REF!</f>
        <v>#REF!</v>
      </c>
      <c r="H77" s="59" t="e">
        <f>#REF!+H29+H45-H61-#REF!</f>
        <v>#REF!</v>
      </c>
      <c r="I77" s="59" t="e">
        <f>#REF!+I29+I45-I61-#REF!</f>
        <v>#REF!</v>
      </c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</row>
    <row r="78" spans="1:50">
      <c r="A78" s="172" t="s">
        <v>106</v>
      </c>
      <c r="B78" s="59" t="e">
        <f>#REF!+B30+B46-B62-#REF!</f>
        <v>#REF!</v>
      </c>
      <c r="C78" s="59" t="e">
        <f>#REF!+C30+C46-C62-#REF!</f>
        <v>#REF!</v>
      </c>
      <c r="D78" s="59" t="e">
        <f>#REF!+D30+D46-D62-#REF!</f>
        <v>#REF!</v>
      </c>
      <c r="E78" s="59" t="e">
        <f>#REF!+E30+E46-E62-#REF!</f>
        <v>#REF!</v>
      </c>
      <c r="F78" s="59" t="e">
        <f>#REF!+F30+F46-F62-#REF!</f>
        <v>#REF!</v>
      </c>
      <c r="G78" s="59" t="e">
        <f>#REF!+G30+G46-G62-#REF!</f>
        <v>#REF!</v>
      </c>
      <c r="H78" s="59" t="e">
        <f>#REF!+H30+H46-H62-#REF!</f>
        <v>#REF!</v>
      </c>
      <c r="I78" s="59" t="e">
        <f>#REF!+I30+I46-I62-#REF!</f>
        <v>#REF!</v>
      </c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</row>
    <row r="79" spans="1:50">
      <c r="A79" s="172" t="s">
        <v>107</v>
      </c>
      <c r="B79" s="59" t="e">
        <f>#REF!+B31+B47-B63-#REF!</f>
        <v>#REF!</v>
      </c>
      <c r="C79" s="59" t="e">
        <f>#REF!+C31+C47-C63-#REF!</f>
        <v>#REF!</v>
      </c>
      <c r="D79" s="59" t="e">
        <f>#REF!+D31+D47-D63-#REF!</f>
        <v>#REF!</v>
      </c>
      <c r="E79" s="59" t="e">
        <f>#REF!+E31+E47-E63-#REF!</f>
        <v>#REF!</v>
      </c>
      <c r="F79" s="59" t="e">
        <f>#REF!+F31+F47-F63-#REF!</f>
        <v>#REF!</v>
      </c>
      <c r="G79" s="59" t="e">
        <f>#REF!+G31+G47-G63-#REF!</f>
        <v>#REF!</v>
      </c>
      <c r="H79" s="59" t="e">
        <f>#REF!+H31+H47-H63-#REF!</f>
        <v>#REF!</v>
      </c>
      <c r="I79" s="59" t="e">
        <f>#REF!+I31+I47-I63-#REF!</f>
        <v>#REF!</v>
      </c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</row>
    <row r="80" spans="1:50">
      <c r="A80" s="172" t="s">
        <v>108</v>
      </c>
      <c r="B80" s="59" t="e">
        <f>#REF!+B32+B48-B64-#REF!</f>
        <v>#REF!</v>
      </c>
      <c r="C80" s="59" t="e">
        <f>#REF!+C32+C48-C64-#REF!</f>
        <v>#REF!</v>
      </c>
      <c r="D80" s="59" t="e">
        <f>#REF!+D32+D48-D64-#REF!</f>
        <v>#REF!</v>
      </c>
      <c r="E80" s="59" t="e">
        <f>#REF!+E32+E48-E64-#REF!</f>
        <v>#REF!</v>
      </c>
      <c r="F80" s="59" t="e">
        <f>#REF!+F32+F48-F64-#REF!</f>
        <v>#REF!</v>
      </c>
      <c r="G80" s="59" t="e">
        <f>#REF!+G32+G48-G64-#REF!</f>
        <v>#REF!</v>
      </c>
      <c r="H80" s="59" t="e">
        <f>#REF!+H32+H48-H64-#REF!</f>
        <v>#REF!</v>
      </c>
      <c r="I80" s="59" t="e">
        <f>#REF!+I32+I48-I64-#REF!</f>
        <v>#REF!</v>
      </c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</row>
    <row r="81" spans="1:54">
      <c r="A81" s="172" t="s">
        <v>109</v>
      </c>
      <c r="B81" s="59" t="e">
        <f>#REF!+B33+B49-B65-#REF!</f>
        <v>#REF!</v>
      </c>
      <c r="C81" s="59" t="e">
        <f>#REF!+C33+C49-C65-#REF!</f>
        <v>#REF!</v>
      </c>
      <c r="D81" s="59" t="e">
        <f>#REF!+D33+D49-D65-#REF!</f>
        <v>#REF!</v>
      </c>
      <c r="E81" s="59" t="e">
        <f>#REF!+E33+E49-E65-#REF!</f>
        <v>#REF!</v>
      </c>
      <c r="F81" s="59" t="e">
        <f>#REF!+F33+F49-F65-#REF!</f>
        <v>#REF!</v>
      </c>
      <c r="G81" s="59" t="e">
        <f>#REF!+G33+G49-G65-#REF!</f>
        <v>#REF!</v>
      </c>
      <c r="H81" s="59" t="e">
        <f>#REF!+H33+H49-H65-#REF!</f>
        <v>#REF!</v>
      </c>
      <c r="I81" s="59" t="e">
        <f>#REF!+I33+I49-I65-#REF!</f>
        <v>#REF!</v>
      </c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</row>
    <row r="82" spans="1:54" ht="15.75" thickBot="1">
      <c r="A82" s="172" t="s">
        <v>113</v>
      </c>
      <c r="B82" s="59" t="e">
        <f>SUM(B70:B81)</f>
        <v>#REF!</v>
      </c>
      <c r="C82" s="59" t="e">
        <f>SUM(C70:C81)</f>
        <v>#REF!</v>
      </c>
      <c r="D82" s="59" t="e">
        <f t="shared" ref="D82:I82" si="15">SUM(D70:D81)</f>
        <v>#REF!</v>
      </c>
      <c r="E82" s="59" t="e">
        <f t="shared" si="15"/>
        <v>#REF!</v>
      </c>
      <c r="F82" s="59" t="e">
        <f t="shared" si="15"/>
        <v>#REF!</v>
      </c>
      <c r="G82" s="59" t="e">
        <f t="shared" si="15"/>
        <v>#REF!</v>
      </c>
      <c r="H82" s="59" t="e">
        <f t="shared" si="15"/>
        <v>#REF!</v>
      </c>
      <c r="I82" s="59" t="e">
        <f t="shared" si="15"/>
        <v>#REF!</v>
      </c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</row>
    <row r="83" spans="1:54" ht="15.75" thickBot="1">
      <c r="A83" s="178"/>
      <c r="B83" s="181">
        <f>B7</f>
        <v>-16</v>
      </c>
      <c r="C83" s="181">
        <f t="shared" ref="C83:I83" si="16">C7</f>
        <v>-19</v>
      </c>
      <c r="D83" s="181">
        <f t="shared" si="16"/>
        <v>-25</v>
      </c>
      <c r="E83" s="181">
        <f t="shared" si="16"/>
        <v>-29</v>
      </c>
      <c r="F83" s="181">
        <f t="shared" si="16"/>
        <v>-44</v>
      </c>
      <c r="G83" s="181">
        <f t="shared" si="16"/>
        <v>-71</v>
      </c>
      <c r="H83" s="181">
        <f t="shared" si="16"/>
        <v>-86</v>
      </c>
      <c r="I83" s="181">
        <f t="shared" si="16"/>
        <v>-137</v>
      </c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4"/>
      <c r="AY83" s="14"/>
    </row>
    <row r="84" spans="1:54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82"/>
      <c r="AA84" s="182"/>
      <c r="AB84" s="182"/>
      <c r="AC84" s="182"/>
      <c r="AD84" s="182"/>
      <c r="AE84" s="182"/>
      <c r="AF84" s="182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</row>
    <row r="85" spans="1:54" ht="15.75" thickBot="1">
      <c r="A85" s="172" t="s">
        <v>190</v>
      </c>
      <c r="C85">
        <v>0.92</v>
      </c>
    </row>
    <row r="86" spans="1:54" ht="15.75" thickBot="1">
      <c r="A86" s="174"/>
      <c r="B86" s="174">
        <f t="shared" ref="B86:T86" si="17">B2</f>
        <v>2016</v>
      </c>
      <c r="C86" s="174">
        <f t="shared" si="17"/>
        <v>2017</v>
      </c>
      <c r="D86" s="174">
        <f t="shared" si="17"/>
        <v>2018</v>
      </c>
      <c r="E86" s="174">
        <f t="shared" si="17"/>
        <v>2019</v>
      </c>
      <c r="F86" s="174">
        <f t="shared" si="17"/>
        <v>2020</v>
      </c>
      <c r="G86" s="174">
        <f t="shared" si="17"/>
        <v>2021</v>
      </c>
      <c r="H86" s="174">
        <f t="shared" si="17"/>
        <v>2022</v>
      </c>
      <c r="I86" s="174">
        <f t="shared" si="17"/>
        <v>2023</v>
      </c>
      <c r="J86" s="174">
        <f t="shared" si="17"/>
        <v>2024</v>
      </c>
      <c r="K86" s="174">
        <f t="shared" si="17"/>
        <v>2025</v>
      </c>
      <c r="L86" s="174">
        <f t="shared" si="17"/>
        <v>2026</v>
      </c>
      <c r="M86" s="174">
        <f t="shared" si="17"/>
        <v>2027</v>
      </c>
      <c r="N86" s="174">
        <f t="shared" si="17"/>
        <v>2028</v>
      </c>
      <c r="O86" s="174">
        <f t="shared" si="17"/>
        <v>2029</v>
      </c>
      <c r="P86" s="174">
        <f t="shared" si="17"/>
        <v>2030</v>
      </c>
      <c r="Q86" s="174">
        <f t="shared" si="17"/>
        <v>2031</v>
      </c>
      <c r="R86" s="174">
        <f t="shared" si="17"/>
        <v>2032</v>
      </c>
      <c r="S86" s="174">
        <f t="shared" si="17"/>
        <v>2033</v>
      </c>
      <c r="T86" s="174">
        <f t="shared" si="17"/>
        <v>2034</v>
      </c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  <c r="AM86" s="174"/>
      <c r="AN86" s="174"/>
      <c r="AO86" s="174"/>
      <c r="AP86" s="174"/>
      <c r="AQ86" s="174"/>
      <c r="AR86" s="174"/>
      <c r="AS86" s="174"/>
      <c r="AT86" s="174"/>
      <c r="AU86" s="174"/>
      <c r="AV86" s="174"/>
      <c r="AW86" s="174"/>
      <c r="AX86" s="175"/>
    </row>
    <row r="87" spans="1:54">
      <c r="A87" s="172" t="s">
        <v>110</v>
      </c>
      <c r="B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59"/>
      <c r="W87" s="59"/>
      <c r="X87" s="59"/>
      <c r="Y87" s="59"/>
      <c r="Z87" s="59"/>
      <c r="AA87" s="59"/>
      <c r="AB87" s="59"/>
      <c r="AC87" s="59"/>
      <c r="AD87" s="119"/>
      <c r="AE87" s="119"/>
      <c r="AF87" s="119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Z87" s="183"/>
      <c r="BA87" s="14"/>
      <c r="BB87" s="14"/>
    </row>
    <row r="88" spans="1:54">
      <c r="A88" s="172" t="s">
        <v>111</v>
      </c>
      <c r="B88" s="74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119"/>
      <c r="AE88" s="119"/>
      <c r="AF88" s="119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Z88" s="183"/>
      <c r="BA88" s="14"/>
      <c r="BB88" s="14"/>
    </row>
    <row r="89" spans="1:54">
      <c r="A89" s="172" t="s">
        <v>112</v>
      </c>
      <c r="B89" s="74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119"/>
      <c r="AE89" s="119"/>
      <c r="AF89" s="119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Z89" s="183"/>
      <c r="BA89" s="14"/>
      <c r="BB89" s="14"/>
    </row>
    <row r="90" spans="1:54">
      <c r="A90" s="172" t="s">
        <v>100</v>
      </c>
      <c r="B90" s="74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119"/>
      <c r="AD90" s="119"/>
      <c r="AE90" s="119"/>
      <c r="AF90" s="119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118"/>
      <c r="AV90" s="118"/>
      <c r="AW90" s="118"/>
      <c r="AX90" s="58"/>
      <c r="AZ90" s="183"/>
      <c r="BA90" s="14"/>
      <c r="BB90" s="14"/>
    </row>
    <row r="91" spans="1:54">
      <c r="A91" s="172" t="s">
        <v>102</v>
      </c>
      <c r="B91" s="74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119"/>
      <c r="AD91" s="119"/>
      <c r="AE91" s="119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118"/>
      <c r="AV91" s="118"/>
      <c r="AW91" s="118"/>
      <c r="AX91" s="58"/>
      <c r="AZ91" s="183"/>
      <c r="BA91" s="14"/>
      <c r="BB91" s="14"/>
    </row>
    <row r="92" spans="1:54">
      <c r="A92" s="172" t="s">
        <v>103</v>
      </c>
      <c r="B92" s="74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119"/>
      <c r="AD92" s="119"/>
      <c r="AE92" s="119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118"/>
      <c r="AV92" s="118"/>
      <c r="AW92" s="118"/>
      <c r="AX92" s="58"/>
      <c r="AZ92" s="183"/>
      <c r="BA92" s="14"/>
      <c r="BB92" s="14"/>
    </row>
    <row r="93" spans="1:54">
      <c r="A93" s="172" t="s">
        <v>104</v>
      </c>
      <c r="B93" s="74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119"/>
      <c r="AD93" s="119"/>
      <c r="AE93" s="119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118"/>
      <c r="AV93" s="118"/>
      <c r="AW93" s="118"/>
      <c r="AX93" s="58"/>
      <c r="AZ93" s="183"/>
      <c r="BA93" s="14"/>
      <c r="BB93" s="14"/>
    </row>
    <row r="94" spans="1:54">
      <c r="A94" s="172" t="s">
        <v>105</v>
      </c>
      <c r="B94" s="74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119"/>
      <c r="AD94" s="119"/>
      <c r="AE94" s="119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118"/>
      <c r="AV94" s="118"/>
      <c r="AW94" s="118"/>
      <c r="AX94" s="58"/>
      <c r="AZ94" s="183"/>
      <c r="BA94" s="14"/>
      <c r="BB94" s="14"/>
    </row>
    <row r="95" spans="1:54">
      <c r="A95" s="172" t="s">
        <v>106</v>
      </c>
      <c r="B95" s="74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119"/>
      <c r="AD95" s="119"/>
      <c r="AE95" s="119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118"/>
      <c r="AV95" s="118"/>
      <c r="AW95" s="118"/>
      <c r="AX95" s="58"/>
      <c r="AZ95" s="183"/>
      <c r="BA95" s="14"/>
      <c r="BB95" s="14"/>
    </row>
    <row r="96" spans="1:54">
      <c r="A96" s="172" t="s">
        <v>107</v>
      </c>
      <c r="B96" s="74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119"/>
      <c r="AD96" s="119"/>
      <c r="AE96" s="119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118"/>
      <c r="AV96" s="118"/>
      <c r="AW96" s="118"/>
      <c r="AX96" s="58"/>
      <c r="AZ96" s="183"/>
      <c r="BA96" s="14"/>
      <c r="BB96" s="14"/>
    </row>
    <row r="97" spans="1:54">
      <c r="A97" s="172" t="s">
        <v>108</v>
      </c>
      <c r="B97" s="74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119"/>
      <c r="AD97" s="119"/>
      <c r="AE97" s="119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118"/>
      <c r="AV97" s="118"/>
      <c r="AW97" s="118"/>
      <c r="AX97" s="58"/>
      <c r="AY97" s="14"/>
      <c r="AZ97" s="183"/>
      <c r="BA97" s="14"/>
      <c r="BB97" s="14"/>
    </row>
    <row r="98" spans="1:54">
      <c r="A98" s="172" t="s">
        <v>109</v>
      </c>
      <c r="B98" s="74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119"/>
      <c r="AD98" s="119"/>
      <c r="AE98" s="119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118"/>
      <c r="AV98" s="118"/>
      <c r="AW98" s="118"/>
      <c r="AX98" s="58"/>
      <c r="AZ98" s="183"/>
      <c r="BA98" s="14"/>
      <c r="BB98" s="14"/>
    </row>
    <row r="99" spans="1:54" ht="16.5">
      <c r="A99" s="172" t="s">
        <v>113</v>
      </c>
      <c r="B99" s="184"/>
      <c r="C99" s="59">
        <f>SUM(C87:C98)</f>
        <v>0</v>
      </c>
      <c r="D99" s="59">
        <f>SUM(D87:D98)</f>
        <v>0</v>
      </c>
      <c r="E99" s="59">
        <f>SUM(E87:E98)</f>
        <v>0</v>
      </c>
      <c r="F99" s="59">
        <f>SUM(F87:F98)</f>
        <v>0</v>
      </c>
      <c r="G99" s="59">
        <f>SUM(G87:G98)</f>
        <v>0</v>
      </c>
      <c r="H99" s="59">
        <f t="shared" ref="H99:I99" si="18">SUM(H87:H98)</f>
        <v>0</v>
      </c>
      <c r="I99" s="59">
        <f t="shared" si="18"/>
        <v>0</v>
      </c>
      <c r="J99" s="58">
        <f>SUM(J87:J98)</f>
        <v>0</v>
      </c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Z99" s="183"/>
      <c r="BA99" s="14"/>
      <c r="BB99" s="14"/>
    </row>
    <row r="100" spans="1:54" ht="16.5">
      <c r="A100" s="172"/>
      <c r="B100" s="184"/>
      <c r="C100" s="99"/>
      <c r="D100" s="184"/>
      <c r="E100" s="99"/>
      <c r="F100" s="184"/>
      <c r="G100" s="99"/>
      <c r="H100" s="184"/>
      <c r="I100" s="99"/>
      <c r="J100" s="184"/>
      <c r="K100" s="99"/>
      <c r="L100" s="184"/>
      <c r="M100" s="99"/>
      <c r="N100" s="184"/>
      <c r="O100" s="99"/>
      <c r="P100" s="184"/>
      <c r="Q100" s="99"/>
      <c r="R100" s="184"/>
      <c r="S100" s="99"/>
      <c r="T100" s="184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Z100" s="183"/>
      <c r="BA100" s="14"/>
      <c r="BB100" s="14"/>
    </row>
    <row r="101" spans="1:54" ht="15.75" thickBot="1">
      <c r="A101" s="172" t="s">
        <v>191</v>
      </c>
    </row>
    <row r="102" spans="1:54" ht="15.75" thickBot="1">
      <c r="A102" s="185"/>
      <c r="B102" s="174">
        <f>B2</f>
        <v>2016</v>
      </c>
      <c r="C102" s="174">
        <f t="shared" ref="C102:T102" si="19">C2</f>
        <v>2017</v>
      </c>
      <c r="D102" s="174">
        <f t="shared" si="19"/>
        <v>2018</v>
      </c>
      <c r="E102" s="174">
        <f t="shared" si="19"/>
        <v>2019</v>
      </c>
      <c r="F102" s="174">
        <f t="shared" si="19"/>
        <v>2020</v>
      </c>
      <c r="G102" s="174">
        <f t="shared" si="19"/>
        <v>2021</v>
      </c>
      <c r="H102" s="174">
        <f t="shared" si="19"/>
        <v>2022</v>
      </c>
      <c r="I102" s="174">
        <f t="shared" si="19"/>
        <v>2023</v>
      </c>
      <c r="J102" s="174">
        <f t="shared" si="19"/>
        <v>2024</v>
      </c>
      <c r="K102" s="174">
        <f t="shared" si="19"/>
        <v>2025</v>
      </c>
      <c r="L102" s="174">
        <f t="shared" si="19"/>
        <v>2026</v>
      </c>
      <c r="M102" s="174">
        <f t="shared" si="19"/>
        <v>2027</v>
      </c>
      <c r="N102" s="174">
        <f t="shared" si="19"/>
        <v>2028</v>
      </c>
      <c r="O102" s="174">
        <f t="shared" si="19"/>
        <v>2029</v>
      </c>
      <c r="P102" s="174">
        <f t="shared" si="19"/>
        <v>2030</v>
      </c>
      <c r="Q102" s="174">
        <f t="shared" si="19"/>
        <v>2031</v>
      </c>
      <c r="R102" s="174">
        <f t="shared" si="19"/>
        <v>2032</v>
      </c>
      <c r="S102" s="174">
        <f t="shared" si="19"/>
        <v>2033</v>
      </c>
      <c r="T102" s="174">
        <f t="shared" si="19"/>
        <v>2034</v>
      </c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185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53"/>
    </row>
    <row r="103" spans="1:54">
      <c r="A103" s="172" t="s">
        <v>110</v>
      </c>
      <c r="B103" s="112"/>
      <c r="C103" s="186">
        <v>1017</v>
      </c>
      <c r="D103" s="186">
        <v>1128.422</v>
      </c>
      <c r="E103" s="186">
        <v>1128.125</v>
      </c>
      <c r="F103" s="186">
        <v>1167</v>
      </c>
      <c r="G103" s="186">
        <v>1082</v>
      </c>
      <c r="H103" s="186">
        <v>1132</v>
      </c>
      <c r="I103" s="186">
        <v>1196.1300000000001</v>
      </c>
      <c r="J103" s="75">
        <v>1161.8230000000001</v>
      </c>
      <c r="K103" s="75">
        <f t="shared" ref="J103:T113" si="20">K$115*(SUM(E103:I103)/SUM(E$115:I$115))</f>
        <v>1197.43459230744</v>
      </c>
      <c r="L103" s="75">
        <f t="shared" si="20"/>
        <v>1213.6720781596703</v>
      </c>
      <c r="M103" s="75">
        <f t="shared" si="20"/>
        <v>1226.3344444569598</v>
      </c>
      <c r="N103" s="75">
        <f t="shared" si="20"/>
        <v>1239.1639399930184</v>
      </c>
      <c r="O103" s="75">
        <f t="shared" si="20"/>
        <v>1251.4933057371118</v>
      </c>
      <c r="P103" s="75">
        <f t="shared" si="20"/>
        <v>1268.2140067606294</v>
      </c>
      <c r="Q103" s="75">
        <f t="shared" si="20"/>
        <v>1285.8892821446839</v>
      </c>
      <c r="R103" s="75">
        <f t="shared" si="20"/>
        <v>1299.1660007710097</v>
      </c>
      <c r="S103" s="75">
        <f t="shared" si="20"/>
        <v>1313.1780084424265</v>
      </c>
      <c r="T103" s="75">
        <f t="shared" si="20"/>
        <v>1327.3192621188289</v>
      </c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</row>
    <row r="104" spans="1:54">
      <c r="A104" s="172" t="s">
        <v>111</v>
      </c>
      <c r="B104" s="112"/>
      <c r="C104" s="186">
        <v>1017</v>
      </c>
      <c r="D104" s="186">
        <v>1016.032</v>
      </c>
      <c r="E104" s="186">
        <v>989.65200000000004</v>
      </c>
      <c r="F104" s="186">
        <v>1167</v>
      </c>
      <c r="G104" s="186">
        <v>1082</v>
      </c>
      <c r="H104" s="186">
        <v>1132</v>
      </c>
      <c r="I104" s="186">
        <v>1052.684</v>
      </c>
      <c r="J104" s="75">
        <v>1051.192</v>
      </c>
      <c r="K104" s="75">
        <f t="shared" si="20"/>
        <v>1138.2646581276845</v>
      </c>
      <c r="L104" s="75">
        <f t="shared" si="20"/>
        <v>1159.9399495636399</v>
      </c>
      <c r="M104" s="75">
        <f t="shared" si="20"/>
        <v>1159.7510335040583</v>
      </c>
      <c r="N104" s="75">
        <f t="shared" si="20"/>
        <v>1162.1019804944469</v>
      </c>
      <c r="O104" s="75">
        <f t="shared" si="20"/>
        <v>1160.9904091652911</v>
      </c>
      <c r="P104" s="75">
        <f t="shared" si="20"/>
        <v>1191.0977725744749</v>
      </c>
      <c r="Q104" s="75">
        <f t="shared" si="20"/>
        <v>1213.0659896337961</v>
      </c>
      <c r="R104" s="75">
        <f t="shared" si="20"/>
        <v>1222.6697011111789</v>
      </c>
      <c r="S104" s="75">
        <f t="shared" si="20"/>
        <v>1232.7493678770568</v>
      </c>
      <c r="T104" s="75">
        <f t="shared" si="20"/>
        <v>1244.8837717084461</v>
      </c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</row>
    <row r="105" spans="1:54">
      <c r="A105" s="172" t="s">
        <v>112</v>
      </c>
      <c r="B105" s="112"/>
      <c r="C105" s="186">
        <v>1017</v>
      </c>
      <c r="D105" s="186">
        <v>1144.461</v>
      </c>
      <c r="E105" s="186">
        <v>1011.3</v>
      </c>
      <c r="F105" s="186">
        <v>1167</v>
      </c>
      <c r="G105" s="186">
        <v>1082</v>
      </c>
      <c r="H105" s="186">
        <v>1132</v>
      </c>
      <c r="I105" s="186">
        <v>1296.184</v>
      </c>
      <c r="J105" s="75">
        <v>1053.8109999999999</v>
      </c>
      <c r="K105" s="75">
        <f t="shared" si="20"/>
        <v>1193.9146487558216</v>
      </c>
      <c r="L105" s="75">
        <f t="shared" si="20"/>
        <v>1211.9891226801612</v>
      </c>
      <c r="M105" s="75">
        <f t="shared" si="20"/>
        <v>1223.8947058705544</v>
      </c>
      <c r="N105" s="75">
        <f t="shared" si="20"/>
        <v>1236.400281869227</v>
      </c>
      <c r="O105" s="75">
        <f t="shared" si="20"/>
        <v>1248.2367902905335</v>
      </c>
      <c r="P105" s="75">
        <f t="shared" si="20"/>
        <v>1243.3433384426426</v>
      </c>
      <c r="Q105" s="75">
        <f t="shared" si="20"/>
        <v>1283.0223466882799</v>
      </c>
      <c r="R105" s="75">
        <f t="shared" si="20"/>
        <v>1291.8278345530489</v>
      </c>
      <c r="S105" s="75">
        <f t="shared" si="20"/>
        <v>1305.5981867303447</v>
      </c>
      <c r="T105" s="75">
        <f t="shared" si="20"/>
        <v>1318.7208905611965</v>
      </c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</row>
    <row r="106" spans="1:54">
      <c r="A106" s="172" t="s">
        <v>100</v>
      </c>
      <c r="B106" s="112"/>
      <c r="C106" s="186">
        <v>1008</v>
      </c>
      <c r="D106" s="186">
        <v>1097.9490000000001</v>
      </c>
      <c r="E106" s="186">
        <v>1194</v>
      </c>
      <c r="F106" s="186">
        <v>1167</v>
      </c>
      <c r="G106" s="186">
        <v>1082</v>
      </c>
      <c r="H106" s="186">
        <v>1132</v>
      </c>
      <c r="I106" s="186">
        <v>1178.7560000000001</v>
      </c>
      <c r="J106" s="75">
        <f t="shared" si="20"/>
        <v>1194.6936160672237</v>
      </c>
      <c r="K106" s="75">
        <f t="shared" si="20"/>
        <v>1207.6141154245493</v>
      </c>
      <c r="L106" s="75">
        <f t="shared" si="20"/>
        <v>1216.9492979289819</v>
      </c>
      <c r="M106" s="75">
        <f t="shared" si="20"/>
        <v>1231.7921353086549</v>
      </c>
      <c r="N106" s="75">
        <f t="shared" si="20"/>
        <v>1245.2438578993881</v>
      </c>
      <c r="O106" s="75">
        <f t="shared" si="20"/>
        <v>1258.6763528645001</v>
      </c>
      <c r="P106" s="75">
        <f t="shared" si="20"/>
        <v>1280.3670310055709</v>
      </c>
      <c r="Q106" s="75">
        <f t="shared" si="20"/>
        <v>1292.6412253696344</v>
      </c>
      <c r="R106" s="75">
        <f t="shared" si="20"/>
        <v>1306.3233750014872</v>
      </c>
      <c r="S106" s="75">
        <f t="shared" si="20"/>
        <v>1321.0568782903404</v>
      </c>
      <c r="T106" s="75">
        <f t="shared" si="20"/>
        <v>1335.5471690508559</v>
      </c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</row>
    <row r="107" spans="1:54">
      <c r="A107" s="172" t="s">
        <v>102</v>
      </c>
      <c r="B107" s="112"/>
      <c r="C107" s="186">
        <v>1008</v>
      </c>
      <c r="D107" s="186">
        <v>1142.0509999999999</v>
      </c>
      <c r="E107" s="186">
        <v>1194</v>
      </c>
      <c r="F107" s="186">
        <v>1167</v>
      </c>
      <c r="G107" s="186">
        <v>1082</v>
      </c>
      <c r="H107" s="186">
        <v>1132</v>
      </c>
      <c r="I107" s="186">
        <v>1287.4880000000001</v>
      </c>
      <c r="J107" s="75">
        <f t="shared" si="20"/>
        <v>1203.981268372188</v>
      </c>
      <c r="K107" s="75">
        <f t="shared" si="20"/>
        <v>1230.4350862822537</v>
      </c>
      <c r="L107" s="75">
        <f t="shared" si="20"/>
        <v>1241.9080589916089</v>
      </c>
      <c r="M107" s="75">
        <f t="shared" si="20"/>
        <v>1261.7290574862279</v>
      </c>
      <c r="N107" s="75">
        <f t="shared" si="20"/>
        <v>1280.060082387552</v>
      </c>
      <c r="O107" s="75">
        <f t="shared" si="20"/>
        <v>1299.5348306321457</v>
      </c>
      <c r="P107" s="75">
        <f t="shared" si="20"/>
        <v>1305.952249903926</v>
      </c>
      <c r="Q107" s="75">
        <f t="shared" si="20"/>
        <v>1324.8280946887194</v>
      </c>
      <c r="R107" s="75">
        <f t="shared" si="20"/>
        <v>1339.050597479348</v>
      </c>
      <c r="S107" s="75">
        <f t="shared" si="20"/>
        <v>1355.2697070078204</v>
      </c>
      <c r="T107" s="75">
        <f t="shared" si="20"/>
        <v>1370.3152211432905</v>
      </c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</row>
    <row r="108" spans="1:54">
      <c r="A108" s="172" t="s">
        <v>103</v>
      </c>
      <c r="B108" s="112"/>
      <c r="C108" s="186">
        <v>1008</v>
      </c>
      <c r="D108" s="186">
        <v>1108.796</v>
      </c>
      <c r="E108" s="186">
        <v>1194</v>
      </c>
      <c r="F108" s="186">
        <v>1167</v>
      </c>
      <c r="G108" s="186">
        <v>1082</v>
      </c>
      <c r="H108" s="186">
        <v>1132</v>
      </c>
      <c r="I108" s="186">
        <v>1318.788</v>
      </c>
      <c r="J108" s="75">
        <f t="shared" si="20"/>
        <v>1196.9779379699028</v>
      </c>
      <c r="K108" s="75">
        <f t="shared" si="20"/>
        <v>1237.0044162664917</v>
      </c>
      <c r="L108" s="75">
        <f t="shared" si="20"/>
        <v>1247.0463114712891</v>
      </c>
      <c r="M108" s="75">
        <f t="shared" si="20"/>
        <v>1268.2898991430463</v>
      </c>
      <c r="N108" s="75">
        <f t="shared" si="20"/>
        <v>1287.6206178392572</v>
      </c>
      <c r="O108" s="75">
        <f t="shared" si="20"/>
        <v>1308.4199729306501</v>
      </c>
      <c r="P108" s="75">
        <f t="shared" si="20"/>
        <v>1309.9060813286849</v>
      </c>
      <c r="Q108" s="75">
        <f t="shared" si="20"/>
        <v>1332.1123269102084</v>
      </c>
      <c r="R108" s="75">
        <f t="shared" si="20"/>
        <v>1345.7778496703743</v>
      </c>
      <c r="S108" s="75">
        <f t="shared" si="20"/>
        <v>1362.4405812369253</v>
      </c>
      <c r="T108" s="75">
        <f t="shared" si="20"/>
        <v>1377.5149222057792</v>
      </c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117"/>
    </row>
    <row r="109" spans="1:54">
      <c r="A109" s="172" t="s">
        <v>104</v>
      </c>
      <c r="B109" s="112"/>
      <c r="C109" s="186">
        <v>1060</v>
      </c>
      <c r="D109" s="186">
        <v>1129.144</v>
      </c>
      <c r="E109" s="186">
        <v>1194</v>
      </c>
      <c r="F109" s="186">
        <v>1167</v>
      </c>
      <c r="G109" s="186">
        <v>1082</v>
      </c>
      <c r="H109" s="186">
        <v>1132</v>
      </c>
      <c r="I109" s="186">
        <v>1291.8910000000001</v>
      </c>
      <c r="J109" s="75">
        <f t="shared" si="20"/>
        <v>1201.2631211611736</v>
      </c>
      <c r="K109" s="75">
        <f t="shared" si="20"/>
        <v>1231.3592000177359</v>
      </c>
      <c r="L109" s="75">
        <f t="shared" si="20"/>
        <v>1242.2643711596647</v>
      </c>
      <c r="M109" s="75">
        <f t="shared" si="20"/>
        <v>1262.2836164341579</v>
      </c>
      <c r="N109" s="75">
        <f t="shared" si="20"/>
        <v>1280.6827614711401</v>
      </c>
      <c r="O109" s="75">
        <f t="shared" si="20"/>
        <v>1300.269570193861</v>
      </c>
      <c r="P109" s="75">
        <f t="shared" si="20"/>
        <v>1305.8975421991902</v>
      </c>
      <c r="Q109" s="75">
        <f t="shared" si="20"/>
        <v>1325.4979725528112</v>
      </c>
      <c r="R109" s="75">
        <f t="shared" si="20"/>
        <v>1339.514521862458</v>
      </c>
      <c r="S109" s="75">
        <f t="shared" si="20"/>
        <v>1355.7988960671232</v>
      </c>
      <c r="T109" s="75">
        <f t="shared" si="20"/>
        <v>1370.8250049291657</v>
      </c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117"/>
    </row>
    <row r="110" spans="1:54">
      <c r="A110" s="172" t="s">
        <v>105</v>
      </c>
      <c r="B110" s="112"/>
      <c r="C110" s="186">
        <v>1060</v>
      </c>
      <c r="D110" s="186">
        <v>1187.806</v>
      </c>
      <c r="E110" s="186">
        <v>1194</v>
      </c>
      <c r="F110" s="186">
        <v>1167</v>
      </c>
      <c r="G110" s="186">
        <v>1082</v>
      </c>
      <c r="H110" s="186">
        <v>1132</v>
      </c>
      <c r="I110" s="186">
        <v>1239.6769999999999</v>
      </c>
      <c r="J110" s="75">
        <f t="shared" si="20"/>
        <v>1213.6170338978709</v>
      </c>
      <c r="K110" s="75">
        <f t="shared" si="20"/>
        <v>1220.4003822606435</v>
      </c>
      <c r="L110" s="75">
        <f t="shared" si="20"/>
        <v>1233.834771728466</v>
      </c>
      <c r="M110" s="75">
        <f t="shared" si="20"/>
        <v>1251.4816079611628</v>
      </c>
      <c r="N110" s="75">
        <f t="shared" si="20"/>
        <v>1268.2411638065091</v>
      </c>
      <c r="O110" s="75">
        <f t="shared" si="20"/>
        <v>1285.6470539241889</v>
      </c>
      <c r="P110" s="75">
        <f t="shared" si="20"/>
        <v>1299.5384163475164</v>
      </c>
      <c r="Q110" s="75">
        <f t="shared" si="20"/>
        <v>1313.4839684544443</v>
      </c>
      <c r="R110" s="75">
        <f t="shared" si="20"/>
        <v>1328.4790747417635</v>
      </c>
      <c r="S110" s="75">
        <f t="shared" si="20"/>
        <v>1344.0223004880224</v>
      </c>
      <c r="T110" s="75">
        <f t="shared" si="20"/>
        <v>1359.00940616138</v>
      </c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117"/>
    </row>
    <row r="111" spans="1:54">
      <c r="A111" s="172" t="s">
        <v>106</v>
      </c>
      <c r="B111" s="112"/>
      <c r="C111" s="186">
        <v>1060</v>
      </c>
      <c r="D111" s="186">
        <v>1032.95</v>
      </c>
      <c r="E111" s="186">
        <v>1194</v>
      </c>
      <c r="F111" s="186">
        <v>1167</v>
      </c>
      <c r="G111" s="186">
        <v>1082</v>
      </c>
      <c r="H111" s="186">
        <v>1132</v>
      </c>
      <c r="I111" s="186">
        <v>1162.7860000000001</v>
      </c>
      <c r="J111" s="75">
        <f t="shared" si="20"/>
        <v>1181.0051640203685</v>
      </c>
      <c r="K111" s="75">
        <f t="shared" si="20"/>
        <v>1204.2622879533581</v>
      </c>
      <c r="L111" s="75">
        <f t="shared" si="20"/>
        <v>1210.6771372873618</v>
      </c>
      <c r="M111" s="75">
        <f t="shared" si="20"/>
        <v>1224.7755079549806</v>
      </c>
      <c r="N111" s="75">
        <f t="shared" si="20"/>
        <v>1236.9949354957719</v>
      </c>
      <c r="O111" s="75">
        <f t="shared" si="20"/>
        <v>1249.0117716970035</v>
      </c>
      <c r="P111" s="75">
        <f t="shared" si="20"/>
        <v>1272.26473240726</v>
      </c>
      <c r="Q111" s="75">
        <f t="shared" si="20"/>
        <v>1285.3905631397847</v>
      </c>
      <c r="R111" s="75">
        <f t="shared" si="20"/>
        <v>1298.0858860448095</v>
      </c>
      <c r="S111" s="75">
        <f t="shared" si="20"/>
        <v>1312.6215300172873</v>
      </c>
      <c r="T111" s="75">
        <f t="shared" si="20"/>
        <v>1326.8634309218005</v>
      </c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117"/>
    </row>
    <row r="112" spans="1:54">
      <c r="A112" s="172" t="s">
        <v>107</v>
      </c>
      <c r="B112" s="112"/>
      <c r="C112" s="186">
        <v>1121</v>
      </c>
      <c r="D112" s="186">
        <v>1210.7670000000001</v>
      </c>
      <c r="E112" s="186">
        <v>1194</v>
      </c>
      <c r="F112" s="186">
        <v>1167</v>
      </c>
      <c r="G112" s="186">
        <v>1082</v>
      </c>
      <c r="H112" s="186">
        <v>1132</v>
      </c>
      <c r="I112" s="186">
        <v>1166.8579999999999</v>
      </c>
      <c r="J112" s="75">
        <f t="shared" si="20"/>
        <v>1218.4525013273364</v>
      </c>
      <c r="K112" s="75">
        <f t="shared" si="20"/>
        <v>1205.1169304995506</v>
      </c>
      <c r="L112" s="75">
        <f t="shared" si="20"/>
        <v>1219.4576344256309</v>
      </c>
      <c r="M112" s="75">
        <f t="shared" si="20"/>
        <v>1233.7824727690527</v>
      </c>
      <c r="N112" s="75">
        <f t="shared" si="20"/>
        <v>1247.7368677582472</v>
      </c>
      <c r="O112" s="75">
        <f t="shared" si="20"/>
        <v>1261.5700189514509</v>
      </c>
      <c r="P112" s="75">
        <f t="shared" si="20"/>
        <v>1286.3009159823962</v>
      </c>
      <c r="Q112" s="75">
        <f t="shared" si="20"/>
        <v>1294.1915206815929</v>
      </c>
      <c r="R112" s="75">
        <f t="shared" si="20"/>
        <v>1309.6387835092048</v>
      </c>
      <c r="S112" s="75">
        <f t="shared" si="20"/>
        <v>1324.1688376538216</v>
      </c>
      <c r="T112" s="75">
        <f t="shared" si="20"/>
        <v>1338.9337689514564</v>
      </c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117"/>
    </row>
    <row r="113" spans="1:53">
      <c r="A113" s="172" t="s">
        <v>108</v>
      </c>
      <c r="B113" s="112"/>
      <c r="C113" s="186">
        <v>1121</v>
      </c>
      <c r="D113" s="186">
        <v>1129.7750000000001</v>
      </c>
      <c r="E113" s="186">
        <v>1194</v>
      </c>
      <c r="F113" s="186">
        <v>1167</v>
      </c>
      <c r="G113" s="186">
        <v>1082</v>
      </c>
      <c r="H113" s="186">
        <v>1132</v>
      </c>
      <c r="I113" s="186">
        <v>1241.952</v>
      </c>
      <c r="J113" s="75">
        <f t="shared" si="20"/>
        <v>1201.3960064862024</v>
      </c>
      <c r="K113" s="75">
        <f t="shared" si="20"/>
        <v>1220.8778655102967</v>
      </c>
      <c r="L113" s="75">
        <f t="shared" si="20"/>
        <v>1231.7313888016233</v>
      </c>
      <c r="M113" s="75">
        <f t="shared" si="20"/>
        <v>1249.468985016533</v>
      </c>
      <c r="N113" s="75">
        <f t="shared" si="20"/>
        <v>1265.8111740139123</v>
      </c>
      <c r="O113" s="75">
        <f t="shared" si="20"/>
        <v>1282.8113815559552</v>
      </c>
      <c r="P113" s="75">
        <f t="shared" si="20"/>
        <v>1295.6971764795082</v>
      </c>
      <c r="Q113" s="75">
        <f t="shared" si="20"/>
        <v>1311.6155591854679</v>
      </c>
      <c r="R113" s="75">
        <f t="shared" si="20"/>
        <v>1325.7078066189438</v>
      </c>
      <c r="S113" s="75">
        <f t="shared" si="20"/>
        <v>1341.3026048560573</v>
      </c>
      <c r="T113" s="75">
        <f t="shared" si="20"/>
        <v>1356.1332537419878</v>
      </c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187"/>
    </row>
    <row r="114" spans="1:53">
      <c r="A114" s="172" t="s">
        <v>109</v>
      </c>
      <c r="B114" s="112"/>
      <c r="C114" s="186">
        <v>1121</v>
      </c>
      <c r="D114" s="186">
        <v>1124.6780000000001</v>
      </c>
      <c r="E114" s="186">
        <v>1194</v>
      </c>
      <c r="F114" s="186">
        <v>1167</v>
      </c>
      <c r="G114" s="186">
        <v>1082</v>
      </c>
      <c r="H114" s="186">
        <v>1132</v>
      </c>
      <c r="I114" s="186">
        <v>1083.808</v>
      </c>
      <c r="J114" s="75">
        <f t="shared" ref="J114:T114" si="21">J115-SUM(J103:J113)</f>
        <v>1421.7873506977321</v>
      </c>
      <c r="K114" s="75">
        <f t="shared" si="21"/>
        <v>1188.3158165941768</v>
      </c>
      <c r="L114" s="75">
        <f t="shared" si="21"/>
        <v>1245.5298778019005</v>
      </c>
      <c r="M114" s="75">
        <f t="shared" si="21"/>
        <v>1256.4165340946111</v>
      </c>
      <c r="N114" s="75">
        <f t="shared" si="21"/>
        <v>1274.9423369715296</v>
      </c>
      <c r="O114" s="75">
        <f t="shared" si="21"/>
        <v>1293.3385420573068</v>
      </c>
      <c r="P114" s="75">
        <f t="shared" si="21"/>
        <v>1341.4207365681978</v>
      </c>
      <c r="Q114" s="75">
        <f t="shared" si="21"/>
        <v>1313.2611505505756</v>
      </c>
      <c r="R114" s="75">
        <f t="shared" si="21"/>
        <v>1343.7585686363745</v>
      </c>
      <c r="S114" s="75">
        <f t="shared" si="21"/>
        <v>1356.7931013327743</v>
      </c>
      <c r="T114" s="75">
        <f t="shared" si="21"/>
        <v>1373.9338985058112</v>
      </c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117"/>
    </row>
    <row r="115" spans="1:53" ht="15.75" thickBot="1">
      <c r="A115" s="172" t="s">
        <v>113</v>
      </c>
      <c r="B115" s="59">
        <f t="shared" ref="B115:I115" si="22">SUM(B103:B114)</f>
        <v>0</v>
      </c>
      <c r="C115" s="112">
        <f>SUM(C103:C114)</f>
        <v>12618</v>
      </c>
      <c r="D115" s="188">
        <f t="shared" si="22"/>
        <v>13452.831</v>
      </c>
      <c r="E115" s="188">
        <f>SUM(E103:E114)</f>
        <v>13875.077000000001</v>
      </c>
      <c r="F115" s="188">
        <f>SUM(F103:F114)</f>
        <v>14004</v>
      </c>
      <c r="G115" s="188">
        <v>12987</v>
      </c>
      <c r="H115" s="188">
        <f>SUM(H103:H114)</f>
        <v>13584</v>
      </c>
      <c r="I115" s="188">
        <f t="shared" si="22"/>
        <v>14517.002</v>
      </c>
      <c r="J115" s="58">
        <f>MROUND(FORECAST(J116,$C$115:$I115,$C116:$I$116),25)</f>
        <v>14300</v>
      </c>
      <c r="K115" s="58">
        <f>MROUND(FORECAST(K116,$C$115:$I115,$C116:$I$116),25)</f>
        <v>14475</v>
      </c>
      <c r="L115" s="58">
        <f>MROUND(FORECAST(L116,$C$115:$I115,$C116:$I$116),25)</f>
        <v>14675</v>
      </c>
      <c r="M115" s="58">
        <f>MROUND(FORECAST(M116,$C$115:$I115,$C116:$I$116),25)</f>
        <v>14850</v>
      </c>
      <c r="N115" s="58">
        <f>MROUND(FORECAST(N116,$C$115:$I115,$C116:$I$116),25)</f>
        <v>15025</v>
      </c>
      <c r="O115" s="58">
        <f>MROUND(FORECAST(O116,$C$115:$I115,$C116:$I$116),25)</f>
        <v>15200</v>
      </c>
      <c r="P115" s="58">
        <f>MROUND(FORECAST(P116,$C$115:$I115,$C116:$I$116),25)</f>
        <v>15400</v>
      </c>
      <c r="Q115" s="58">
        <f>MROUND(FORECAST(Q116,$C$115:$I115,$C116:$I$116),25)</f>
        <v>15575</v>
      </c>
      <c r="R115" s="58">
        <f>MROUND(FORECAST(R116,$C$115:$I115,$C116:$I$116),25)</f>
        <v>15750</v>
      </c>
      <c r="S115" s="58">
        <f>MROUND(FORECAST(S116,$C$115:$I115,$C116:$I$116),25)</f>
        <v>15925</v>
      </c>
      <c r="T115" s="58">
        <f>MROUND(FORECAST(T116,$C$115:$I115,$C116:$I$116),25)</f>
        <v>16100</v>
      </c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</row>
    <row r="116" spans="1:53">
      <c r="A116" s="178"/>
      <c r="B116" s="178">
        <v>2016</v>
      </c>
      <c r="C116" s="178">
        <v>2017</v>
      </c>
      <c r="D116" s="178">
        <v>2018</v>
      </c>
      <c r="E116" s="178">
        <v>2019</v>
      </c>
      <c r="F116" s="178">
        <v>2020</v>
      </c>
      <c r="G116" s="178">
        <v>2021</v>
      </c>
      <c r="H116" s="178">
        <v>2022</v>
      </c>
      <c r="I116" s="178">
        <v>2023</v>
      </c>
      <c r="J116" s="178">
        <v>2024</v>
      </c>
      <c r="K116" s="178">
        <v>2025</v>
      </c>
      <c r="L116" s="178">
        <v>2026</v>
      </c>
      <c r="M116" s="178">
        <v>2027</v>
      </c>
      <c r="N116" s="178">
        <v>2028</v>
      </c>
      <c r="O116" s="178">
        <v>2029</v>
      </c>
      <c r="P116" s="178">
        <v>2030</v>
      </c>
      <c r="Q116" s="178">
        <v>2031</v>
      </c>
      <c r="R116" s="178">
        <v>2032</v>
      </c>
      <c r="S116" s="178">
        <v>2033</v>
      </c>
      <c r="T116" s="178">
        <v>2034</v>
      </c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</row>
    <row r="117" spans="1:53" ht="15.75" thickBot="1">
      <c r="A117" s="172" t="s">
        <v>192</v>
      </c>
      <c r="AA117" s="16"/>
      <c r="AB117" s="16"/>
      <c r="AC117" s="16"/>
      <c r="AD117" s="16"/>
      <c r="AE117" s="16"/>
    </row>
    <row r="118" spans="1:53" ht="15.75" thickBot="1">
      <c r="A118" s="174"/>
      <c r="B118" s="174">
        <f t="shared" ref="B118:T118" si="23">B2</f>
        <v>2016</v>
      </c>
      <c r="C118" s="174">
        <f t="shared" si="23"/>
        <v>2017</v>
      </c>
      <c r="D118" s="174">
        <f t="shared" si="23"/>
        <v>2018</v>
      </c>
      <c r="E118" s="174">
        <f t="shared" si="23"/>
        <v>2019</v>
      </c>
      <c r="F118" s="174">
        <f t="shared" si="23"/>
        <v>2020</v>
      </c>
      <c r="G118" s="174">
        <f t="shared" si="23"/>
        <v>2021</v>
      </c>
      <c r="H118" s="174">
        <f t="shared" si="23"/>
        <v>2022</v>
      </c>
      <c r="I118" s="174">
        <f t="shared" si="23"/>
        <v>2023</v>
      </c>
      <c r="J118" s="174">
        <f t="shared" si="23"/>
        <v>2024</v>
      </c>
      <c r="K118" s="174">
        <f t="shared" si="23"/>
        <v>2025</v>
      </c>
      <c r="L118" s="174">
        <f t="shared" si="23"/>
        <v>2026</v>
      </c>
      <c r="M118" s="174">
        <f t="shared" si="23"/>
        <v>2027</v>
      </c>
      <c r="N118" s="174">
        <f t="shared" si="23"/>
        <v>2028</v>
      </c>
      <c r="O118" s="174">
        <f t="shared" si="23"/>
        <v>2029</v>
      </c>
      <c r="P118" s="174">
        <f t="shared" si="23"/>
        <v>2030</v>
      </c>
      <c r="Q118" s="174">
        <f t="shared" si="23"/>
        <v>2031</v>
      </c>
      <c r="R118" s="174">
        <f t="shared" si="23"/>
        <v>2032</v>
      </c>
      <c r="S118" s="174">
        <f t="shared" si="23"/>
        <v>2033</v>
      </c>
      <c r="T118" s="174">
        <f t="shared" si="23"/>
        <v>2034</v>
      </c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4"/>
      <c r="AT118" s="174"/>
      <c r="AU118" s="174"/>
      <c r="AV118" s="174"/>
      <c r="AW118" s="174"/>
      <c r="AX118" s="175"/>
      <c r="AY118" s="189"/>
      <c r="BA118" s="190"/>
    </row>
    <row r="119" spans="1:53">
      <c r="A119" s="172" t="s">
        <v>110</v>
      </c>
      <c r="B119" s="59"/>
      <c r="C119" s="59"/>
      <c r="D119" s="59"/>
      <c r="E119" s="59"/>
      <c r="F119" s="59"/>
      <c r="G119" s="59"/>
      <c r="H119" s="59"/>
      <c r="I119" s="59"/>
      <c r="J119" s="191">
        <f t="shared" ref="J119:J130" si="24">J103*(SUM(E119:I119)/SUM(E103:I103))</f>
        <v>0</v>
      </c>
      <c r="K119" s="191">
        <f t="shared" ref="K119:K130" si="25">K103*(SUM(F119:J119)/SUM(F103:J103))</f>
        <v>0</v>
      </c>
      <c r="L119" s="191">
        <f t="shared" ref="L119:T130" si="26">L103*(SUM(G119:K119)/SUM(G103:K103))</f>
        <v>0</v>
      </c>
      <c r="M119" s="191">
        <f t="shared" si="26"/>
        <v>0</v>
      </c>
      <c r="N119" s="191">
        <f t="shared" si="26"/>
        <v>0</v>
      </c>
      <c r="O119" s="191">
        <f t="shared" si="26"/>
        <v>0</v>
      </c>
      <c r="P119" s="191">
        <f t="shared" si="26"/>
        <v>0</v>
      </c>
      <c r="Q119" s="191">
        <f t="shared" si="26"/>
        <v>0</v>
      </c>
      <c r="R119" s="191">
        <f t="shared" si="26"/>
        <v>0</v>
      </c>
      <c r="S119" s="191">
        <f t="shared" si="26"/>
        <v>0</v>
      </c>
      <c r="T119" s="191">
        <f t="shared" si="26"/>
        <v>0</v>
      </c>
      <c r="U119" s="59"/>
      <c r="V119" s="59"/>
      <c r="W119" s="59"/>
      <c r="X119" s="59"/>
      <c r="Y119" s="59"/>
      <c r="Z119" s="192"/>
      <c r="AA119" s="192"/>
      <c r="AB119" s="192"/>
      <c r="AC119" s="192"/>
      <c r="AD119" s="192"/>
      <c r="AE119" s="192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</row>
    <row r="120" spans="1:53">
      <c r="A120" s="172" t="s">
        <v>111</v>
      </c>
      <c r="B120" s="59"/>
      <c r="C120" s="59"/>
      <c r="D120" s="59"/>
      <c r="E120" s="59"/>
      <c r="F120" s="59"/>
      <c r="G120" s="59"/>
      <c r="H120" s="59"/>
      <c r="I120" s="59"/>
      <c r="J120" s="191">
        <f t="shared" si="24"/>
        <v>0</v>
      </c>
      <c r="K120" s="191">
        <f t="shared" si="25"/>
        <v>0</v>
      </c>
      <c r="L120" s="191">
        <f t="shared" si="26"/>
        <v>0</v>
      </c>
      <c r="M120" s="191">
        <f t="shared" si="26"/>
        <v>0</v>
      </c>
      <c r="N120" s="191">
        <f t="shared" si="26"/>
        <v>0</v>
      </c>
      <c r="O120" s="191">
        <f t="shared" si="26"/>
        <v>0</v>
      </c>
      <c r="P120" s="191">
        <f t="shared" si="26"/>
        <v>0</v>
      </c>
      <c r="Q120" s="191">
        <f t="shared" si="26"/>
        <v>0</v>
      </c>
      <c r="R120" s="191">
        <f t="shared" si="26"/>
        <v>0</v>
      </c>
      <c r="S120" s="191">
        <f t="shared" si="26"/>
        <v>0</v>
      </c>
      <c r="T120" s="191">
        <f t="shared" si="26"/>
        <v>0</v>
      </c>
      <c r="U120" s="59"/>
      <c r="V120" s="59"/>
      <c r="W120" s="59"/>
      <c r="X120" s="59"/>
      <c r="Y120" s="59"/>
      <c r="Z120" s="192"/>
      <c r="AA120" s="192"/>
      <c r="AB120" s="192"/>
      <c r="AC120" s="192"/>
      <c r="AD120" s="192"/>
      <c r="AE120" s="192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</row>
    <row r="121" spans="1:53">
      <c r="A121" s="172" t="s">
        <v>112</v>
      </c>
      <c r="B121" s="59"/>
      <c r="C121" s="59"/>
      <c r="D121" s="59"/>
      <c r="E121" s="59"/>
      <c r="F121" s="59"/>
      <c r="G121" s="59"/>
      <c r="H121" s="59"/>
      <c r="I121" s="59"/>
      <c r="J121" s="191">
        <f t="shared" si="24"/>
        <v>0</v>
      </c>
      <c r="K121" s="191">
        <f t="shared" si="25"/>
        <v>0</v>
      </c>
      <c r="L121" s="191">
        <f t="shared" si="26"/>
        <v>0</v>
      </c>
      <c r="M121" s="191">
        <f t="shared" si="26"/>
        <v>0</v>
      </c>
      <c r="N121" s="191">
        <f t="shared" si="26"/>
        <v>0</v>
      </c>
      <c r="O121" s="191">
        <f t="shared" si="26"/>
        <v>0</v>
      </c>
      <c r="P121" s="191">
        <f t="shared" si="26"/>
        <v>0</v>
      </c>
      <c r="Q121" s="191">
        <f t="shared" si="26"/>
        <v>0</v>
      </c>
      <c r="R121" s="191">
        <f t="shared" si="26"/>
        <v>0</v>
      </c>
      <c r="S121" s="191">
        <f t="shared" si="26"/>
        <v>0</v>
      </c>
      <c r="T121" s="191">
        <f t="shared" si="26"/>
        <v>0</v>
      </c>
      <c r="U121" s="59"/>
      <c r="V121" s="59"/>
      <c r="W121" s="59"/>
      <c r="X121" s="59"/>
      <c r="Y121" s="59"/>
      <c r="Z121" s="192"/>
      <c r="AA121" s="192"/>
      <c r="AB121" s="192"/>
      <c r="AC121" s="192"/>
      <c r="AD121" s="192"/>
      <c r="AE121" s="192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</row>
    <row r="122" spans="1:53">
      <c r="A122" s="172" t="s">
        <v>100</v>
      </c>
      <c r="B122" s="59"/>
      <c r="C122" s="59"/>
      <c r="D122" s="59"/>
      <c r="E122" s="59"/>
      <c r="F122" s="59"/>
      <c r="G122" s="59"/>
      <c r="H122" s="59"/>
      <c r="I122" s="59"/>
      <c r="J122" s="191">
        <f t="shared" si="24"/>
        <v>0</v>
      </c>
      <c r="K122" s="191">
        <f t="shared" si="25"/>
        <v>0</v>
      </c>
      <c r="L122" s="191">
        <f t="shared" si="26"/>
        <v>0</v>
      </c>
      <c r="M122" s="191">
        <f t="shared" si="26"/>
        <v>0</v>
      </c>
      <c r="N122" s="191">
        <f t="shared" si="26"/>
        <v>0</v>
      </c>
      <c r="O122" s="191">
        <f t="shared" si="26"/>
        <v>0</v>
      </c>
      <c r="P122" s="191">
        <f t="shared" si="26"/>
        <v>0</v>
      </c>
      <c r="Q122" s="191">
        <f t="shared" si="26"/>
        <v>0</v>
      </c>
      <c r="R122" s="191">
        <f t="shared" si="26"/>
        <v>0</v>
      </c>
      <c r="S122" s="191">
        <f t="shared" si="26"/>
        <v>0</v>
      </c>
      <c r="T122" s="191">
        <f t="shared" si="26"/>
        <v>0</v>
      </c>
      <c r="U122" s="59"/>
      <c r="V122" s="59"/>
      <c r="W122" s="59"/>
      <c r="X122" s="59"/>
      <c r="Y122" s="59"/>
      <c r="Z122" s="192"/>
      <c r="AA122" s="192"/>
      <c r="AB122" s="192"/>
      <c r="AC122" s="192"/>
      <c r="AD122" s="192"/>
      <c r="AE122" s="192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</row>
    <row r="123" spans="1:53">
      <c r="A123" s="172" t="s">
        <v>102</v>
      </c>
      <c r="B123" s="59"/>
      <c r="C123" s="59"/>
      <c r="D123" s="59"/>
      <c r="E123" s="59"/>
      <c r="F123" s="59"/>
      <c r="G123" s="59"/>
      <c r="H123" s="59"/>
      <c r="I123" s="59"/>
      <c r="J123" s="191">
        <f t="shared" si="24"/>
        <v>0</v>
      </c>
      <c r="K123" s="191">
        <f t="shared" si="25"/>
        <v>0</v>
      </c>
      <c r="L123" s="191">
        <f t="shared" si="26"/>
        <v>0</v>
      </c>
      <c r="M123" s="191">
        <f t="shared" si="26"/>
        <v>0</v>
      </c>
      <c r="N123" s="191">
        <f t="shared" si="26"/>
        <v>0</v>
      </c>
      <c r="O123" s="191">
        <f t="shared" si="26"/>
        <v>0</v>
      </c>
      <c r="P123" s="191">
        <f t="shared" si="26"/>
        <v>0</v>
      </c>
      <c r="Q123" s="191">
        <f t="shared" si="26"/>
        <v>0</v>
      </c>
      <c r="R123" s="191">
        <f t="shared" si="26"/>
        <v>0</v>
      </c>
      <c r="S123" s="191">
        <f t="shared" si="26"/>
        <v>0</v>
      </c>
      <c r="T123" s="191">
        <f t="shared" si="26"/>
        <v>0</v>
      </c>
      <c r="U123" s="59"/>
      <c r="V123" s="59"/>
      <c r="W123" s="59"/>
      <c r="X123" s="59"/>
      <c r="Y123" s="59"/>
      <c r="Z123" s="192"/>
      <c r="AA123" s="192"/>
      <c r="AB123" s="192"/>
      <c r="AC123" s="192"/>
      <c r="AD123" s="192"/>
      <c r="AE123" s="192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</row>
    <row r="124" spans="1:53">
      <c r="A124" s="172" t="s">
        <v>103</v>
      </c>
      <c r="B124" s="59"/>
      <c r="C124" s="59"/>
      <c r="D124" s="59"/>
      <c r="E124" s="59"/>
      <c r="F124" s="59"/>
      <c r="G124" s="59"/>
      <c r="H124" s="59"/>
      <c r="I124" s="59"/>
      <c r="J124" s="191">
        <f t="shared" si="24"/>
        <v>0</v>
      </c>
      <c r="K124" s="191">
        <f t="shared" si="25"/>
        <v>0</v>
      </c>
      <c r="L124" s="191">
        <f t="shared" si="26"/>
        <v>0</v>
      </c>
      <c r="M124" s="191">
        <f t="shared" si="26"/>
        <v>0</v>
      </c>
      <c r="N124" s="191">
        <f t="shared" si="26"/>
        <v>0</v>
      </c>
      <c r="O124" s="191">
        <f t="shared" si="26"/>
        <v>0</v>
      </c>
      <c r="P124" s="191">
        <f t="shared" si="26"/>
        <v>0</v>
      </c>
      <c r="Q124" s="191">
        <f t="shared" si="26"/>
        <v>0</v>
      </c>
      <c r="R124" s="191">
        <f t="shared" si="26"/>
        <v>0</v>
      </c>
      <c r="S124" s="191">
        <f t="shared" si="26"/>
        <v>0</v>
      </c>
      <c r="T124" s="191">
        <f t="shared" si="26"/>
        <v>0</v>
      </c>
      <c r="U124" s="59"/>
      <c r="V124" s="59"/>
      <c r="W124" s="59"/>
      <c r="X124" s="59"/>
      <c r="Y124" s="59"/>
      <c r="Z124" s="192"/>
      <c r="AA124" s="192"/>
      <c r="AB124" s="192"/>
      <c r="AC124" s="192"/>
      <c r="AD124" s="192"/>
      <c r="AE124" s="192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</row>
    <row r="125" spans="1:53">
      <c r="A125" s="172" t="s">
        <v>104</v>
      </c>
      <c r="B125" s="59"/>
      <c r="C125" s="59"/>
      <c r="D125" s="59"/>
      <c r="E125" s="59"/>
      <c r="F125" s="59"/>
      <c r="G125" s="59"/>
      <c r="H125" s="59"/>
      <c r="I125" s="59"/>
      <c r="J125" s="191">
        <f t="shared" si="24"/>
        <v>0</v>
      </c>
      <c r="K125" s="191">
        <f t="shared" si="25"/>
        <v>0</v>
      </c>
      <c r="L125" s="191">
        <f t="shared" si="26"/>
        <v>0</v>
      </c>
      <c r="M125" s="191">
        <f t="shared" si="26"/>
        <v>0</v>
      </c>
      <c r="N125" s="191">
        <f t="shared" si="26"/>
        <v>0</v>
      </c>
      <c r="O125" s="191">
        <f t="shared" si="26"/>
        <v>0</v>
      </c>
      <c r="P125" s="191">
        <f t="shared" si="26"/>
        <v>0</v>
      </c>
      <c r="Q125" s="191">
        <f t="shared" si="26"/>
        <v>0</v>
      </c>
      <c r="R125" s="191">
        <f t="shared" si="26"/>
        <v>0</v>
      </c>
      <c r="S125" s="191">
        <f t="shared" si="26"/>
        <v>0</v>
      </c>
      <c r="T125" s="191">
        <f t="shared" si="26"/>
        <v>0</v>
      </c>
      <c r="U125" s="59"/>
      <c r="V125" s="59"/>
      <c r="W125" s="59"/>
      <c r="X125" s="59"/>
      <c r="Y125" s="59"/>
      <c r="Z125" s="192"/>
      <c r="AA125" s="192"/>
      <c r="AB125" s="192"/>
      <c r="AC125" s="192"/>
      <c r="AD125" s="192"/>
      <c r="AE125" s="192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</row>
    <row r="126" spans="1:53">
      <c r="A126" s="172" t="s">
        <v>105</v>
      </c>
      <c r="B126" s="59"/>
      <c r="C126" s="59"/>
      <c r="D126" s="59"/>
      <c r="E126" s="59"/>
      <c r="F126" s="59"/>
      <c r="G126" s="59"/>
      <c r="H126" s="59"/>
      <c r="I126" s="59"/>
      <c r="J126" s="191">
        <f t="shared" si="24"/>
        <v>0</v>
      </c>
      <c r="K126" s="191">
        <f t="shared" si="25"/>
        <v>0</v>
      </c>
      <c r="L126" s="191">
        <f t="shared" si="26"/>
        <v>0</v>
      </c>
      <c r="M126" s="191">
        <f t="shared" si="26"/>
        <v>0</v>
      </c>
      <c r="N126" s="191">
        <f t="shared" si="26"/>
        <v>0</v>
      </c>
      <c r="O126" s="191">
        <f t="shared" si="26"/>
        <v>0</v>
      </c>
      <c r="P126" s="191">
        <f t="shared" si="26"/>
        <v>0</v>
      </c>
      <c r="Q126" s="191">
        <f t="shared" si="26"/>
        <v>0</v>
      </c>
      <c r="R126" s="191">
        <f t="shared" si="26"/>
        <v>0</v>
      </c>
      <c r="S126" s="191">
        <f t="shared" si="26"/>
        <v>0</v>
      </c>
      <c r="T126" s="191">
        <f t="shared" si="26"/>
        <v>0</v>
      </c>
      <c r="U126" s="59"/>
      <c r="V126" s="59"/>
      <c r="W126" s="59"/>
      <c r="X126" s="59"/>
      <c r="Y126" s="59"/>
      <c r="Z126" s="192"/>
      <c r="AA126" s="192"/>
      <c r="AB126" s="192"/>
      <c r="AC126" s="192"/>
      <c r="AD126" s="192"/>
      <c r="AE126" s="192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</row>
    <row r="127" spans="1:53">
      <c r="A127" s="172" t="s">
        <v>106</v>
      </c>
      <c r="B127" s="59"/>
      <c r="C127" s="59"/>
      <c r="D127" s="59"/>
      <c r="E127" s="59"/>
      <c r="F127" s="59"/>
      <c r="G127" s="59"/>
      <c r="H127" s="59"/>
      <c r="I127" s="59"/>
      <c r="J127" s="191">
        <f t="shared" si="24"/>
        <v>0</v>
      </c>
      <c r="K127" s="191">
        <f t="shared" si="25"/>
        <v>0</v>
      </c>
      <c r="L127" s="191">
        <f t="shared" si="26"/>
        <v>0</v>
      </c>
      <c r="M127" s="191">
        <f t="shared" si="26"/>
        <v>0</v>
      </c>
      <c r="N127" s="191">
        <f t="shared" si="26"/>
        <v>0</v>
      </c>
      <c r="O127" s="191">
        <f t="shared" si="26"/>
        <v>0</v>
      </c>
      <c r="P127" s="191">
        <f t="shared" si="26"/>
        <v>0</v>
      </c>
      <c r="Q127" s="191">
        <f t="shared" si="26"/>
        <v>0</v>
      </c>
      <c r="R127" s="191">
        <f t="shared" si="26"/>
        <v>0</v>
      </c>
      <c r="S127" s="191">
        <f t="shared" si="26"/>
        <v>0</v>
      </c>
      <c r="T127" s="191">
        <f t="shared" si="26"/>
        <v>0</v>
      </c>
      <c r="U127" s="59"/>
      <c r="V127" s="59"/>
      <c r="W127" s="59"/>
      <c r="X127" s="59"/>
      <c r="Y127" s="59"/>
      <c r="Z127" s="192"/>
      <c r="AA127" s="192"/>
      <c r="AB127" s="192"/>
      <c r="AC127" s="192"/>
      <c r="AD127" s="192"/>
      <c r="AE127" s="192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</row>
    <row r="128" spans="1:53">
      <c r="A128" s="172" t="s">
        <v>107</v>
      </c>
      <c r="B128" s="59"/>
      <c r="C128" s="59"/>
      <c r="D128" s="59"/>
      <c r="E128" s="59"/>
      <c r="F128" s="59"/>
      <c r="G128" s="59"/>
      <c r="H128" s="59"/>
      <c r="I128" s="59"/>
      <c r="J128" s="191">
        <f t="shared" si="24"/>
        <v>0</v>
      </c>
      <c r="K128" s="191">
        <f t="shared" si="25"/>
        <v>0</v>
      </c>
      <c r="L128" s="191">
        <f t="shared" si="26"/>
        <v>0</v>
      </c>
      <c r="M128" s="191">
        <f t="shared" si="26"/>
        <v>0</v>
      </c>
      <c r="N128" s="191">
        <f t="shared" si="26"/>
        <v>0</v>
      </c>
      <c r="O128" s="191">
        <f t="shared" si="26"/>
        <v>0</v>
      </c>
      <c r="P128" s="191">
        <f t="shared" si="26"/>
        <v>0</v>
      </c>
      <c r="Q128" s="191">
        <f t="shared" si="26"/>
        <v>0</v>
      </c>
      <c r="R128" s="191">
        <f t="shared" si="26"/>
        <v>0</v>
      </c>
      <c r="S128" s="191">
        <f t="shared" si="26"/>
        <v>0</v>
      </c>
      <c r="T128" s="191">
        <f t="shared" si="26"/>
        <v>0</v>
      </c>
      <c r="U128" s="59"/>
      <c r="V128" s="59"/>
      <c r="W128" s="59"/>
      <c r="X128" s="59"/>
      <c r="Y128" s="59"/>
      <c r="Z128" s="192"/>
      <c r="AA128" s="192"/>
      <c r="AB128" s="192"/>
      <c r="AC128" s="192"/>
      <c r="AD128" s="192"/>
      <c r="AE128" s="192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</row>
    <row r="129" spans="1:51">
      <c r="A129" s="172" t="s">
        <v>108</v>
      </c>
      <c r="B129" s="59"/>
      <c r="C129" s="59"/>
      <c r="D129" s="59"/>
      <c r="E129" s="59"/>
      <c r="F129" s="59"/>
      <c r="G129" s="59"/>
      <c r="H129" s="59"/>
      <c r="I129" s="59"/>
      <c r="J129" s="191">
        <f t="shared" si="24"/>
        <v>0</v>
      </c>
      <c r="K129" s="191">
        <f t="shared" si="25"/>
        <v>0</v>
      </c>
      <c r="L129" s="191">
        <f t="shared" si="26"/>
        <v>0</v>
      </c>
      <c r="M129" s="191">
        <f t="shared" si="26"/>
        <v>0</v>
      </c>
      <c r="N129" s="191">
        <f t="shared" si="26"/>
        <v>0</v>
      </c>
      <c r="O129" s="191">
        <f t="shared" si="26"/>
        <v>0</v>
      </c>
      <c r="P129" s="191">
        <f t="shared" si="26"/>
        <v>0</v>
      </c>
      <c r="Q129" s="191">
        <f t="shared" si="26"/>
        <v>0</v>
      </c>
      <c r="R129" s="191">
        <f t="shared" si="26"/>
        <v>0</v>
      </c>
      <c r="S129" s="191">
        <f t="shared" si="26"/>
        <v>0</v>
      </c>
      <c r="T129" s="191">
        <f t="shared" si="26"/>
        <v>0</v>
      </c>
      <c r="U129" s="59"/>
      <c r="V129" s="59"/>
      <c r="W129" s="59"/>
      <c r="X129" s="59"/>
      <c r="Y129" s="59"/>
      <c r="Z129" s="192"/>
      <c r="AA129" s="192"/>
      <c r="AB129" s="192"/>
      <c r="AC129" s="192"/>
      <c r="AD129" s="192"/>
      <c r="AE129" s="192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87"/>
    </row>
    <row r="130" spans="1:51">
      <c r="A130" s="172" t="s">
        <v>109</v>
      </c>
      <c r="B130" s="59"/>
      <c r="C130" s="59"/>
      <c r="D130" s="59"/>
      <c r="E130" s="59"/>
      <c r="F130" s="59"/>
      <c r="G130" s="59"/>
      <c r="H130" s="59"/>
      <c r="I130" s="59"/>
      <c r="J130" s="191">
        <f t="shared" si="24"/>
        <v>0</v>
      </c>
      <c r="K130" s="191">
        <f t="shared" si="25"/>
        <v>0</v>
      </c>
      <c r="L130" s="191">
        <f t="shared" si="26"/>
        <v>0</v>
      </c>
      <c r="M130" s="191">
        <f t="shared" si="26"/>
        <v>0</v>
      </c>
      <c r="N130" s="191">
        <f t="shared" si="26"/>
        <v>0</v>
      </c>
      <c r="O130" s="191">
        <f t="shared" si="26"/>
        <v>0</v>
      </c>
      <c r="P130" s="191">
        <f t="shared" si="26"/>
        <v>0</v>
      </c>
      <c r="Q130" s="191">
        <f t="shared" si="26"/>
        <v>0</v>
      </c>
      <c r="R130" s="191">
        <f t="shared" si="26"/>
        <v>0</v>
      </c>
      <c r="S130" s="191">
        <f t="shared" si="26"/>
        <v>0</v>
      </c>
      <c r="T130" s="191">
        <f t="shared" si="26"/>
        <v>0</v>
      </c>
      <c r="U130" s="59"/>
      <c r="V130" s="59"/>
      <c r="W130" s="59"/>
      <c r="X130" s="59"/>
      <c r="Y130" s="59"/>
      <c r="Z130" s="192"/>
      <c r="AA130" s="192"/>
      <c r="AB130" s="192"/>
      <c r="AC130" s="192"/>
      <c r="AD130" s="192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</row>
    <row r="131" spans="1:51">
      <c r="A131" s="172" t="s">
        <v>113</v>
      </c>
      <c r="B131" s="59"/>
      <c r="C131" s="59"/>
      <c r="D131" s="59"/>
      <c r="E131" s="59"/>
      <c r="F131" s="59"/>
      <c r="G131" s="59"/>
      <c r="H131" s="59"/>
      <c r="I131" s="59"/>
      <c r="J131" s="58">
        <f t="shared" ref="J131" si="27">SUM(J119:J130)</f>
        <v>0</v>
      </c>
      <c r="K131" s="58">
        <f t="shared" ref="K131:T131" si="28">SUM(K119:K130)</f>
        <v>0</v>
      </c>
      <c r="L131" s="58">
        <f t="shared" si="28"/>
        <v>0</v>
      </c>
      <c r="M131" s="58">
        <f t="shared" si="28"/>
        <v>0</v>
      </c>
      <c r="N131" s="58">
        <f t="shared" si="28"/>
        <v>0</v>
      </c>
      <c r="O131" s="58">
        <f t="shared" si="28"/>
        <v>0</v>
      </c>
      <c r="P131" s="58">
        <f t="shared" si="28"/>
        <v>0</v>
      </c>
      <c r="Q131" s="58">
        <f t="shared" si="28"/>
        <v>0</v>
      </c>
      <c r="R131" s="58">
        <f t="shared" si="28"/>
        <v>0</v>
      </c>
      <c r="S131" s="58">
        <f t="shared" si="28"/>
        <v>0</v>
      </c>
      <c r="T131" s="58">
        <f t="shared" si="28"/>
        <v>0</v>
      </c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</row>
    <row r="134" spans="1:51">
      <c r="A134" t="s">
        <v>193</v>
      </c>
    </row>
    <row r="135" spans="1:51">
      <c r="A135" t="s">
        <v>110</v>
      </c>
      <c r="B135" s="193">
        <v>29.331765005086471</v>
      </c>
      <c r="C135" s="193">
        <v>29.281889091544102</v>
      </c>
      <c r="D135" s="193">
        <v>26.750045330915686</v>
      </c>
      <c r="E135" s="193">
        <v>28.339516641933439</v>
      </c>
      <c r="F135" s="193">
        <v>25.490877422915084</v>
      </c>
      <c r="G135" s="193">
        <v>24.543011732128544</v>
      </c>
      <c r="H135" s="193">
        <v>24.355277274240684</v>
      </c>
      <c r="I135" s="193">
        <v>29.134268430734402</v>
      </c>
      <c r="J135" s="194">
        <v>28.094644828653106</v>
      </c>
      <c r="K135" s="194">
        <v>27.374468598992355</v>
      </c>
      <c r="L135" s="194">
        <v>26.042844661232248</v>
      </c>
      <c r="M135" s="194">
        <v>26.670708386591333</v>
      </c>
      <c r="N135" s="194">
        <v>27.170652696292564</v>
      </c>
      <c r="O135" s="194">
        <v>27.379940604745595</v>
      </c>
      <c r="P135" s="194">
        <v>27.071943227292081</v>
      </c>
      <c r="Q135" s="194">
        <v>27.071943227292078</v>
      </c>
      <c r="R135" s="194">
        <v>26.971101436725323</v>
      </c>
      <c r="S135" s="194">
        <v>27.104846383625571</v>
      </c>
      <c r="T135">
        <v>27.104846383625574</v>
      </c>
    </row>
    <row r="136" spans="1:51">
      <c r="A136" t="s">
        <v>111</v>
      </c>
      <c r="B136" s="193">
        <v>30.668951067266139</v>
      </c>
      <c r="C136" s="193">
        <v>35.232040351173396</v>
      </c>
      <c r="D136" s="193">
        <v>33.401079806379549</v>
      </c>
      <c r="E136" s="193">
        <v>33.972990589481405</v>
      </c>
      <c r="F136" s="193">
        <v>31.590768037238171</v>
      </c>
      <c r="G136" s="193">
        <v>28.794050025766044</v>
      </c>
      <c r="H136" s="193">
        <v>27.687504652720911</v>
      </c>
      <c r="I136" s="193">
        <v>36.021211050937914</v>
      </c>
      <c r="J136" s="194">
        <v>33.761965956461253</v>
      </c>
      <c r="K136" s="194">
        <v>32.702602884161863</v>
      </c>
      <c r="L136" s="194">
        <v>31.38226133982182</v>
      </c>
      <c r="M136" s="194">
        <v>31.752872955463051</v>
      </c>
      <c r="N136" s="194">
        <v>32.615610060148306</v>
      </c>
      <c r="O136" s="194">
        <v>32.739147265362057</v>
      </c>
      <c r="P136" s="194">
        <v>32.357028633257734</v>
      </c>
      <c r="Q136" s="194">
        <v>32.357028633257741</v>
      </c>
      <c r="R136" s="194">
        <v>32.241837216289689</v>
      </c>
      <c r="S136" s="194">
        <v>32.443222442221256</v>
      </c>
      <c r="T136">
        <v>32.443222442221263</v>
      </c>
    </row>
    <row r="137" spans="1:51">
      <c r="A137" t="s">
        <v>112</v>
      </c>
      <c r="B137" s="193">
        <v>28.323862515291424</v>
      </c>
      <c r="C137" s="193">
        <v>29.027742657948924</v>
      </c>
      <c r="D137" s="193">
        <v>31.645447816432274</v>
      </c>
      <c r="E137" s="193">
        <v>31.71102805149696</v>
      </c>
      <c r="F137" s="193">
        <v>28.806003354211587</v>
      </c>
      <c r="G137" s="193">
        <v>30.391414981373071</v>
      </c>
      <c r="H137" s="193">
        <v>26.005520373992905</v>
      </c>
      <c r="I137" s="193">
        <v>31.823510395753225</v>
      </c>
      <c r="J137" s="194">
        <v>32.780955384005651</v>
      </c>
      <c r="K137" s="194">
        <v>31.552815462360542</v>
      </c>
      <c r="L137" s="194">
        <v>30.34030957711262</v>
      </c>
      <c r="M137" s="194">
        <v>31.255913613162274</v>
      </c>
      <c r="N137" s="194">
        <v>31.23887847840879</v>
      </c>
      <c r="O137" s="194">
        <v>31.544079823758675</v>
      </c>
      <c r="P137" s="194">
        <v>31.349202517977204</v>
      </c>
      <c r="Q137" s="194">
        <v>31.34629063844325</v>
      </c>
      <c r="R137" s="194">
        <v>31.281331536516092</v>
      </c>
      <c r="S137" s="194">
        <v>31.3171355898609</v>
      </c>
      <c r="T137">
        <v>31.32560823097884</v>
      </c>
    </row>
    <row r="138" spans="1:51">
      <c r="A138" t="s">
        <v>100</v>
      </c>
      <c r="B138" s="193">
        <v>28.582665725789717</v>
      </c>
      <c r="C138" s="193">
        <v>29.391872691105423</v>
      </c>
      <c r="D138" s="193">
        <v>28.905515542077335</v>
      </c>
      <c r="E138" s="193">
        <v>27.086632263537396</v>
      </c>
      <c r="F138" s="193">
        <v>25.334397749095618</v>
      </c>
      <c r="G138" s="193">
        <v>32.252087865815149</v>
      </c>
      <c r="H138" s="193">
        <v>26.098581787161439</v>
      </c>
      <c r="I138" s="193">
        <v>30.573135736467627</v>
      </c>
      <c r="J138" s="194">
        <v>29.863576530925389</v>
      </c>
      <c r="K138" s="194">
        <v>29.169449929055485</v>
      </c>
      <c r="L138" s="194">
        <v>28.845098018184824</v>
      </c>
      <c r="M138" s="194">
        <v>29.868720732149502</v>
      </c>
      <c r="N138" s="194">
        <v>29.292708159388564</v>
      </c>
      <c r="O138" s="194">
        <v>29.633915730710125</v>
      </c>
      <c r="P138" s="194">
        <v>29.44191153978981</v>
      </c>
      <c r="Q138" s="194">
        <v>29.365357939718063</v>
      </c>
      <c r="R138" s="194">
        <v>29.456178476629503</v>
      </c>
      <c r="S138" s="194">
        <v>29.480395070072671</v>
      </c>
      <c r="T138">
        <v>29.421149318712455</v>
      </c>
    </row>
    <row r="139" spans="1:51">
      <c r="A139" t="s">
        <v>102</v>
      </c>
      <c r="B139" s="193">
        <v>28.995686570724338</v>
      </c>
      <c r="C139" s="193">
        <v>29.169692788147287</v>
      </c>
      <c r="D139" s="193">
        <v>28.224591573516765</v>
      </c>
      <c r="E139" s="193">
        <v>28.468101395032324</v>
      </c>
      <c r="F139" s="193">
        <v>30.59637760702525</v>
      </c>
      <c r="G139" s="193">
        <v>31.422431360924818</v>
      </c>
      <c r="H139" s="193">
        <v>28.346097803681854</v>
      </c>
      <c r="I139" s="193">
        <v>29.444395534739588</v>
      </c>
      <c r="J139" s="194">
        <v>31.63685893524648</v>
      </c>
      <c r="K139" s="194">
        <v>30.752958178932388</v>
      </c>
      <c r="L139" s="194">
        <v>30.48773483422988</v>
      </c>
      <c r="M139" s="194">
        <v>30.539928358198935</v>
      </c>
      <c r="N139" s="194">
        <v>30.22836284930062</v>
      </c>
      <c r="O139" s="194">
        <v>30.593540457120408</v>
      </c>
      <c r="P139" s="194">
        <v>30.593540457120397</v>
      </c>
      <c r="Q139" s="194">
        <v>30.540401216516411</v>
      </c>
      <c r="R139" s="194">
        <v>30.540401216516404</v>
      </c>
      <c r="S139" s="194">
        <v>30.557956677278582</v>
      </c>
      <c r="T139">
        <v>30.558114296717736</v>
      </c>
    </row>
    <row r="140" spans="1:51">
      <c r="A140" t="s">
        <v>103</v>
      </c>
      <c r="B140" s="193">
        <v>26.814024390243905</v>
      </c>
      <c r="C140" s="193">
        <v>26.02221056313396</v>
      </c>
      <c r="D140" s="193">
        <v>26.999218342886923</v>
      </c>
      <c r="E140" s="193">
        <v>30.318115373645178</v>
      </c>
      <c r="F140" s="193">
        <v>28.190209644334736</v>
      </c>
      <c r="G140" s="193">
        <v>25.931541874089877</v>
      </c>
      <c r="H140" s="193">
        <v>30.099128719381881</v>
      </c>
      <c r="I140" s="193">
        <v>24.26337974639809</v>
      </c>
      <c r="J140" s="194">
        <v>30.929518902201171</v>
      </c>
      <c r="K140" s="194">
        <v>29.323626745935499</v>
      </c>
      <c r="L140" s="194">
        <v>28.073626745935503</v>
      </c>
      <c r="M140" s="194">
        <v>28.451432446469084</v>
      </c>
      <c r="N140" s="194">
        <v>29.165460737084299</v>
      </c>
      <c r="O140" s="194">
        <v>28.61622864611336</v>
      </c>
      <c r="P140" s="194">
        <v>28.980173309829627</v>
      </c>
      <c r="Q140" s="194">
        <v>28.744373943222246</v>
      </c>
      <c r="R140" s="194">
        <v>28.682611467470689</v>
      </c>
      <c r="S140" s="194">
        <v>28.780258633055073</v>
      </c>
      <c r="T140">
        <v>28.802386240174183</v>
      </c>
    </row>
    <row r="141" spans="1:51">
      <c r="A141" t="s">
        <v>104</v>
      </c>
      <c r="B141" s="193">
        <v>26.97533233666007</v>
      </c>
      <c r="C141" s="193">
        <v>25.799483154670749</v>
      </c>
      <c r="D141" s="193">
        <v>26.772339502602662</v>
      </c>
      <c r="E141" s="193">
        <v>26.392216587822887</v>
      </c>
      <c r="F141" s="193">
        <v>25.25200438566436</v>
      </c>
      <c r="G141" s="193">
        <v>26.661228070175436</v>
      </c>
      <c r="H141" s="193">
        <v>27.396747733486833</v>
      </c>
      <c r="I141" s="193">
        <v>31.28430927088969</v>
      </c>
      <c r="J141" s="194">
        <v>30.929518902201171</v>
      </c>
      <c r="K141" s="194">
        <v>28.066730797161721</v>
      </c>
      <c r="L141" s="194">
        <v>27.722190174620874</v>
      </c>
      <c r="M141" s="194">
        <v>28.19069108361629</v>
      </c>
      <c r="N141" s="194">
        <v>28.299171897327643</v>
      </c>
      <c r="O141" s="194">
        <v>28.455338866992786</v>
      </c>
      <c r="P141" s="194">
        <v>28.185531259368556</v>
      </c>
      <c r="Q141" s="194">
        <v>28.185531259368549</v>
      </c>
      <c r="R141" s="194">
        <v>28.225131413437492</v>
      </c>
      <c r="S141" s="194">
        <v>28.225131413437499</v>
      </c>
      <c r="T141">
        <v>28.236611523377899</v>
      </c>
    </row>
    <row r="142" spans="1:51">
      <c r="A142" t="s">
        <v>105</v>
      </c>
      <c r="B142" s="193">
        <v>27.640605686032139</v>
      </c>
      <c r="C142" s="193">
        <v>26.771955155427218</v>
      </c>
      <c r="D142" s="193">
        <v>27.921059700490233</v>
      </c>
      <c r="E142" s="193">
        <v>26.875768967874226</v>
      </c>
      <c r="F142" s="193">
        <v>28.923591298145507</v>
      </c>
      <c r="G142" s="193">
        <v>29.76423102241624</v>
      </c>
      <c r="H142" s="193">
        <v>28.502161828289069</v>
      </c>
      <c r="I142" s="193">
        <v>30.406806655503331</v>
      </c>
      <c r="J142" s="194">
        <v>30.948937608974941</v>
      </c>
      <c r="K142" s="194">
        <v>30.313328049616931</v>
      </c>
      <c r="L142" s="194">
        <v>29.698209658688352</v>
      </c>
      <c r="M142" s="194">
        <v>30.161455242512165</v>
      </c>
      <c r="N142" s="194">
        <v>30.139448121269528</v>
      </c>
      <c r="O142" s="194">
        <v>30.293863315877477</v>
      </c>
      <c r="P142" s="194">
        <v>30.204743804466208</v>
      </c>
      <c r="Q142" s="194">
        <v>30.198255559886391</v>
      </c>
      <c r="R142" s="194">
        <v>30.168549056082636</v>
      </c>
      <c r="S142" s="194">
        <v>30.188151535621589</v>
      </c>
      <c r="T142">
        <v>30.190516140145078</v>
      </c>
    </row>
    <row r="143" spans="1:51">
      <c r="A143" t="s">
        <v>106</v>
      </c>
      <c r="B143" s="193">
        <v>29.673767800557403</v>
      </c>
      <c r="C143" s="193">
        <v>27.566693838230389</v>
      </c>
      <c r="D143" s="193">
        <v>31.535060917389146</v>
      </c>
      <c r="E143" s="193">
        <v>27.973437441625883</v>
      </c>
      <c r="F143" s="193">
        <v>29.175554607508531</v>
      </c>
      <c r="G143" s="193">
        <v>31.375842535494051</v>
      </c>
      <c r="H143" s="193">
        <v>30.530156648954527</v>
      </c>
      <c r="I143" s="193">
        <v>30.758278194876155</v>
      </c>
      <c r="J143" s="194">
        <v>32.860517930652364</v>
      </c>
      <c r="K143" s="194">
        <v>31.404663150446396</v>
      </c>
      <c r="L143" s="194">
        <v>30.88809245977491</v>
      </c>
      <c r="M143" s="194">
        <v>31.179594626938865</v>
      </c>
      <c r="N143" s="194">
        <v>31.01701126836582</v>
      </c>
      <c r="O143" s="194">
        <v>31.157450079053387</v>
      </c>
      <c r="P143" s="194">
        <v>31.200423015250362</v>
      </c>
      <c r="Q143" s="194">
        <v>31.118018658119357</v>
      </c>
      <c r="R143" s="194">
        <v>31.118018658119354</v>
      </c>
      <c r="S143" s="194">
        <v>31.151687788037204</v>
      </c>
      <c r="T143">
        <v>31.131162465097365</v>
      </c>
    </row>
    <row r="144" spans="1:51">
      <c r="A144" t="s">
        <v>107</v>
      </c>
      <c r="B144" s="193">
        <v>27.345185538718532</v>
      </c>
      <c r="C144" s="193">
        <v>26.991507752966601</v>
      </c>
      <c r="D144" s="193">
        <v>24.439188947988431</v>
      </c>
      <c r="E144" s="193">
        <v>27.283185691100897</v>
      </c>
      <c r="F144" s="193">
        <v>24.732217854382959</v>
      </c>
      <c r="G144" s="193">
        <v>21.578103255150879</v>
      </c>
      <c r="H144" s="193">
        <v>29.962155722194968</v>
      </c>
      <c r="I144" s="193">
        <v>32.312377244064649</v>
      </c>
      <c r="J144" s="194">
        <v>27.984864164490762</v>
      </c>
      <c r="K144" s="194">
        <v>28.575853089226275</v>
      </c>
      <c r="L144" s="194">
        <v>27.559745913689568</v>
      </c>
      <c r="M144" s="194">
        <v>28.840957658637336</v>
      </c>
      <c r="N144" s="194">
        <v>28.840957658637333</v>
      </c>
      <c r="O144" s="194">
        <v>28.467224970784784</v>
      </c>
      <c r="P144" s="194">
        <v>28.467224970784788</v>
      </c>
      <c r="Q144" s="194">
        <v>28.62801190621613</v>
      </c>
      <c r="R144" s="194">
        <v>28.591802533402301</v>
      </c>
      <c r="S144" s="194">
        <v>28.645398178546085</v>
      </c>
      <c r="T144">
        <v>28.562346470134404</v>
      </c>
    </row>
    <row r="145" spans="1:20">
      <c r="A145" t="s">
        <v>108</v>
      </c>
      <c r="B145" s="193">
        <v>33.0980533054612</v>
      </c>
      <c r="C145" s="193">
        <v>29.62682652678906</v>
      </c>
      <c r="D145" s="193">
        <v>29.144255827421453</v>
      </c>
      <c r="E145" s="193">
        <v>31.325692659240215</v>
      </c>
      <c r="F145" s="193">
        <v>30.692697256965719</v>
      </c>
      <c r="G145" s="193">
        <v>25.845486175371068</v>
      </c>
      <c r="H145" s="193">
        <v>33.043155022215998</v>
      </c>
      <c r="I145" s="193">
        <v>31.079842481771909</v>
      </c>
      <c r="J145" s="194">
        <v>32.887548581209131</v>
      </c>
      <c r="K145" s="194">
        <v>32.282744132659275</v>
      </c>
      <c r="L145" s="194">
        <v>31.553362773315595</v>
      </c>
      <c r="M145" s="194">
        <v>32.08337839854677</v>
      </c>
      <c r="N145" s="194">
        <v>32.241218495727999</v>
      </c>
      <c r="O145" s="194">
        <v>31.973161768173881</v>
      </c>
      <c r="P145" s="194">
        <v>32.202447008978019</v>
      </c>
      <c r="Q145" s="194">
        <v>32.099252887482884</v>
      </c>
      <c r="R145" s="194">
        <v>32.086329058566228</v>
      </c>
      <c r="S145" s="194">
        <v>32.128359431669232</v>
      </c>
      <c r="T145">
        <v>32.129342985009053</v>
      </c>
    </row>
    <row r="146" spans="1:20">
      <c r="A146" t="s">
        <v>109</v>
      </c>
      <c r="B146" s="193">
        <v>29.277748328168322</v>
      </c>
      <c r="C146" s="193">
        <v>30.061255742725876</v>
      </c>
      <c r="D146" s="193">
        <v>31.400461168811038</v>
      </c>
      <c r="E146" s="193">
        <v>32.762673436167745</v>
      </c>
      <c r="F146" s="193">
        <v>28.904176814860591</v>
      </c>
      <c r="G146" s="193">
        <v>23.770150432628437</v>
      </c>
      <c r="H146" s="193">
        <v>25.278456580252161</v>
      </c>
      <c r="I146" s="193">
        <v>33.227789159992554</v>
      </c>
      <c r="J146" s="194">
        <v>31.027698187974597</v>
      </c>
      <c r="K146" s="194">
        <v>30.231768943760162</v>
      </c>
      <c r="L146" s="194">
        <v>28.403443861029118</v>
      </c>
      <c r="M146" s="194">
        <v>28.845974570662307</v>
      </c>
      <c r="N146" s="194">
        <v>29.887636997587965</v>
      </c>
      <c r="O146" s="194">
        <v>30.035147234132353</v>
      </c>
      <c r="P146" s="194">
        <v>29.655126837336809</v>
      </c>
      <c r="Q146" s="194">
        <v>29.589586267460877</v>
      </c>
      <c r="R146" s="194">
        <v>29.462912801862355</v>
      </c>
      <c r="S146" s="194">
        <v>29.710783367461882</v>
      </c>
      <c r="T146">
        <v>29.710783367461875</v>
      </c>
    </row>
    <row r="147" spans="1:20">
      <c r="B147" s="193">
        <v>28.893970689166636</v>
      </c>
      <c r="C147" s="193">
        <v>28.745264192821917</v>
      </c>
      <c r="D147" s="193">
        <v>28.928188706409291</v>
      </c>
      <c r="E147" s="193">
        <v>29.375779924913214</v>
      </c>
      <c r="F147" s="193">
        <v>28.140739669362347</v>
      </c>
      <c r="G147" s="193">
        <v>27.694131610944467</v>
      </c>
      <c r="H147" s="193">
        <v>28.108745345547774</v>
      </c>
      <c r="I147" s="193">
        <v>30.860775325177425</v>
      </c>
      <c r="J147" s="194">
        <v>30.990473477582935</v>
      </c>
      <c r="K147" s="194">
        <v>30.145917496859074</v>
      </c>
      <c r="L147" s="194">
        <v>29.24974333480294</v>
      </c>
      <c r="M147" s="194">
        <v>29.820135672745653</v>
      </c>
      <c r="N147" s="194">
        <v>30.011426451628282</v>
      </c>
      <c r="O147" s="194">
        <v>30.074086563568741</v>
      </c>
      <c r="P147" s="194">
        <v>29.975774715120966</v>
      </c>
      <c r="Q147" s="194">
        <v>29.937004344748662</v>
      </c>
      <c r="R147" s="194">
        <v>29.902183739301503</v>
      </c>
      <c r="S147" s="194">
        <v>29.977777209240628</v>
      </c>
      <c r="T147">
        <v>29.968007488637976</v>
      </c>
    </row>
    <row r="150" spans="1:20">
      <c r="B150" s="195">
        <v>182.64630762027005</v>
      </c>
      <c r="C150" s="195">
        <v>182.44310575245726</v>
      </c>
      <c r="D150" s="195">
        <v>182.70080298731855</v>
      </c>
      <c r="E150" s="195">
        <v>183.11771770224553</v>
      </c>
      <c r="F150" s="195">
        <v>182.69818681401006</v>
      </c>
      <c r="G150" s="195">
        <v>182.72080178011484</v>
      </c>
      <c r="H150" s="195">
        <v>182.73612834473494</v>
      </c>
      <c r="I150" s="195">
        <v>182.79488809684082</v>
      </c>
    </row>
    <row r="151" spans="1:20">
      <c r="B151" s="195">
        <v>183.64287885834054</v>
      </c>
      <c r="C151" s="195">
        <v>183.39136848280447</v>
      </c>
      <c r="D151" s="195">
        <v>183.6239776377314</v>
      </c>
      <c r="E151" s="195">
        <v>183.84260005134013</v>
      </c>
      <c r="F151" s="195">
        <v>183.6157461325881</v>
      </c>
      <c r="G151" s="195">
        <v>183.62344280002858</v>
      </c>
      <c r="H151" s="195">
        <v>183.619300592239</v>
      </c>
      <c r="I151" s="195">
        <v>183.66489119499332</v>
      </c>
    </row>
    <row r="152" spans="1:20">
      <c r="B152" s="195">
        <v>182.77564200264538</v>
      </c>
      <c r="C152" s="195">
        <v>182.79393904398739</v>
      </c>
      <c r="D152" s="195">
        <v>183.17130430428855</v>
      </c>
      <c r="E152" s="195">
        <v>183.50465445175013</v>
      </c>
      <c r="F152" s="195">
        <v>183.35645218377232</v>
      </c>
      <c r="G152" s="195">
        <v>183.12064961384053</v>
      </c>
      <c r="H152" s="195">
        <v>183.19093460102025</v>
      </c>
      <c r="I152" s="195">
        <v>183.26891357246586</v>
      </c>
    </row>
    <row r="153" spans="1:20">
      <c r="B153" s="195">
        <v>181.29580894153136</v>
      </c>
      <c r="C153" s="195">
        <v>182.60595468098418</v>
      </c>
      <c r="D153" s="195">
        <v>183.15429374291594</v>
      </c>
      <c r="E153" s="195">
        <v>183.48038948147652</v>
      </c>
      <c r="F153" s="195">
        <v>183.05937373536474</v>
      </c>
      <c r="G153" s="195">
        <v>182.70643324328987</v>
      </c>
      <c r="H153" s="195">
        <v>183.00061619019613</v>
      </c>
      <c r="I153" s="195">
        <v>183.08068351826239</v>
      </c>
    </row>
    <row r="154" spans="1:20">
      <c r="B154" s="195">
        <v>181.01072176079191</v>
      </c>
      <c r="C154" s="195">
        <v>182.16566372902875</v>
      </c>
      <c r="D154" s="195">
        <v>182.87360038018855</v>
      </c>
      <c r="E154" s="195">
        <v>182.99726489901542</v>
      </c>
      <c r="F154" s="195">
        <v>182.76153313655479</v>
      </c>
      <c r="G154" s="195">
        <v>182.35554415664461</v>
      </c>
      <c r="H154" s="195">
        <v>182.63049813992825</v>
      </c>
      <c r="I154" s="195">
        <v>182.72355002494569</v>
      </c>
    </row>
    <row r="155" spans="1:20">
      <c r="B155" s="195">
        <v>180.40905181399765</v>
      </c>
      <c r="C155" s="195">
        <v>180.86397936373771</v>
      </c>
      <c r="D155" s="195">
        <v>181.70179336947601</v>
      </c>
      <c r="E155" s="195">
        <v>181.65383334536727</v>
      </c>
      <c r="F155" s="195">
        <v>181.5848950014261</v>
      </c>
      <c r="G155" s="195">
        <v>181.23801747227262</v>
      </c>
      <c r="H155" s="195">
        <v>181.40963290727805</v>
      </c>
      <c r="I155" s="195">
        <v>181.51768621614275</v>
      </c>
    </row>
    <row r="156" spans="1:20">
      <c r="B156" s="195">
        <v>179.34076713425486</v>
      </c>
      <c r="C156" s="195">
        <v>179.74745270758814</v>
      </c>
      <c r="D156" s="195">
        <v>180.50609045320635</v>
      </c>
      <c r="E156" s="195">
        <v>180.76849297498185</v>
      </c>
      <c r="F156" s="195">
        <v>180.56864083943643</v>
      </c>
      <c r="G156" s="195">
        <v>180.18637313944856</v>
      </c>
      <c r="H156" s="195">
        <v>180.35236434710734</v>
      </c>
      <c r="I156" s="195">
        <v>180.47591002674389</v>
      </c>
    </row>
    <row r="157" spans="1:20">
      <c r="B157" s="195">
        <v>179.01267697502394</v>
      </c>
      <c r="C157" s="195">
        <v>178.75965476749005</v>
      </c>
      <c r="D157" s="195">
        <v>179.67129939487282</v>
      </c>
      <c r="E157" s="195">
        <v>179.51836645795723</v>
      </c>
      <c r="F157" s="195">
        <v>179.25480716725085</v>
      </c>
      <c r="G157" s="195">
        <v>179.23771922799014</v>
      </c>
      <c r="H157" s="195">
        <v>179.28593588592273</v>
      </c>
      <c r="I157" s="195">
        <v>179.3927431765737</v>
      </c>
    </row>
    <row r="158" spans="1:20">
      <c r="B158" s="195">
        <v>177.85986321836438</v>
      </c>
      <c r="C158" s="195">
        <v>178.46808277297947</v>
      </c>
      <c r="D158" s="195">
        <v>179.12257883666007</v>
      </c>
      <c r="E158" s="195">
        <v>178.53750417456848</v>
      </c>
      <c r="F158" s="195">
        <v>178.39534880066358</v>
      </c>
      <c r="G158" s="195">
        <v>178.47472307817881</v>
      </c>
      <c r="H158" s="195">
        <v>178.59966845974586</v>
      </c>
      <c r="I158" s="195">
        <v>178.62620443725888</v>
      </c>
    </row>
    <row r="159" spans="1:20">
      <c r="B159" s="195">
        <v>178.88705117042824</v>
      </c>
      <c r="C159" s="195">
        <v>179.35593200478374</v>
      </c>
      <c r="D159" s="195">
        <v>179.82582222103639</v>
      </c>
      <c r="E159" s="195">
        <v>179.14501441475988</v>
      </c>
      <c r="F159" s="195">
        <v>179.10099726214591</v>
      </c>
      <c r="G159" s="195">
        <v>179.26889053301588</v>
      </c>
      <c r="H159" s="195">
        <v>179.34165366686599</v>
      </c>
      <c r="I159" s="195">
        <v>179.33868814933868</v>
      </c>
    </row>
    <row r="160" spans="1:20">
      <c r="B160" s="195">
        <v>180.2909811301848</v>
      </c>
      <c r="C160" s="195">
        <v>180.49848414920808</v>
      </c>
      <c r="D160" s="195">
        <v>180.83490026170415</v>
      </c>
      <c r="E160" s="195">
        <v>180.29677443043281</v>
      </c>
      <c r="F160" s="195">
        <v>180.29450000044855</v>
      </c>
      <c r="G160" s="195">
        <v>180.44325715928372</v>
      </c>
      <c r="H160" s="195">
        <v>180.4741241036204</v>
      </c>
      <c r="I160" s="195">
        <v>180.46916937244356</v>
      </c>
    </row>
    <row r="161" spans="2:9">
      <c r="B161" s="195">
        <v>182.06785426690243</v>
      </c>
      <c r="C161" s="195">
        <v>182.14477608425463</v>
      </c>
      <c r="D161" s="195">
        <v>182.50662533944171</v>
      </c>
      <c r="E161" s="195">
        <v>182.06043328858317</v>
      </c>
      <c r="F161" s="195">
        <v>182.11423498629779</v>
      </c>
      <c r="G161" s="195">
        <v>182.17904314155859</v>
      </c>
      <c r="H161" s="195">
        <v>182.20036116114537</v>
      </c>
      <c r="I161" s="195">
        <v>182.21202309548144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A17E-EC89-4F7A-821B-A6547CBBB74D}">
  <dimension ref="A1:BD161"/>
  <sheetViews>
    <sheetView zoomScale="93" zoomScaleNormal="70" workbookViewId="0">
      <pane xSplit="1" ySplit="2" topLeftCell="B3" activePane="bottomRight" state="frozen"/>
      <selection activeCell="AZ451" sqref="AZ451"/>
      <selection pane="topRight" activeCell="AZ451" sqref="AZ451"/>
      <selection pane="bottomLeft" activeCell="AZ451" sqref="AZ451"/>
      <selection pane="bottomRight" activeCell="AZ451" sqref="AZ451"/>
    </sheetView>
  </sheetViews>
  <sheetFormatPr defaultColWidth="8.7109375" defaultRowHeight="15"/>
  <cols>
    <col min="1" max="1" width="59.140625" bestFit="1" customWidth="1"/>
    <col min="2" max="3" width="8.7109375" customWidth="1"/>
    <col min="4" max="4" width="9.140625" customWidth="1"/>
    <col min="5" max="8" width="8.7109375" customWidth="1"/>
    <col min="9" max="9" width="10" bestFit="1" customWidth="1"/>
    <col min="10" max="21" width="8.7109375" style="198" customWidth="1"/>
    <col min="22" max="42" width="8.7109375" customWidth="1"/>
    <col min="43" max="49" width="8.7109375" hidden="1" customWidth="1"/>
    <col min="54" max="54" width="10" bestFit="1" customWidth="1"/>
  </cols>
  <sheetData>
    <row r="1" spans="1:51" ht="15.75" thickBot="1">
      <c r="A1" s="148" t="s">
        <v>194</v>
      </c>
      <c r="B1" s="149"/>
      <c r="C1" s="149"/>
      <c r="D1" s="149"/>
      <c r="E1" s="149"/>
      <c r="F1" s="149"/>
      <c r="G1" s="149"/>
      <c r="H1" s="149"/>
      <c r="I1" s="149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</row>
    <row r="2" spans="1:51" ht="15.75" thickBot="1">
      <c r="A2" s="150"/>
      <c r="B2" s="151">
        <v>2016</v>
      </c>
      <c r="C2" s="151">
        <v>2017</v>
      </c>
      <c r="D2" s="151">
        <v>2018</v>
      </c>
      <c r="E2" s="151">
        <v>2019</v>
      </c>
      <c r="F2" s="151">
        <v>2020</v>
      </c>
      <c r="G2" s="151">
        <v>2021</v>
      </c>
      <c r="H2" s="151">
        <v>2022</v>
      </c>
      <c r="I2" s="151">
        <v>2023</v>
      </c>
      <c r="J2" s="151">
        <v>2024</v>
      </c>
      <c r="K2" s="151">
        <v>2025</v>
      </c>
      <c r="L2" s="151">
        <v>2026</v>
      </c>
      <c r="M2" s="151">
        <v>2027</v>
      </c>
      <c r="N2" s="151">
        <v>2028</v>
      </c>
      <c r="O2" s="151">
        <v>2029</v>
      </c>
      <c r="P2" s="151">
        <v>2030</v>
      </c>
      <c r="Q2" s="151">
        <v>2031</v>
      </c>
      <c r="R2" s="151">
        <v>2032</v>
      </c>
      <c r="S2" s="151">
        <v>2033</v>
      </c>
      <c r="T2" s="151">
        <v>2034</v>
      </c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3"/>
    </row>
    <row r="3" spans="1:51" ht="16.5">
      <c r="A3" s="9" t="s">
        <v>176</v>
      </c>
      <c r="B3" s="154">
        <v>1</v>
      </c>
      <c r="C3" s="154">
        <v>1</v>
      </c>
      <c r="D3" s="154">
        <v>1</v>
      </c>
      <c r="E3" s="154">
        <v>1</v>
      </c>
      <c r="F3" s="154">
        <v>1</v>
      </c>
      <c r="G3" s="154">
        <v>1</v>
      </c>
      <c r="H3" s="154">
        <v>1</v>
      </c>
      <c r="I3" s="154">
        <v>1</v>
      </c>
      <c r="J3" s="155">
        <v>1</v>
      </c>
      <c r="K3" s="155">
        <v>1</v>
      </c>
      <c r="L3" s="155">
        <v>1</v>
      </c>
      <c r="M3" s="155">
        <v>1</v>
      </c>
      <c r="N3" s="155">
        <v>1</v>
      </c>
      <c r="O3" s="155">
        <v>1</v>
      </c>
      <c r="P3" s="155">
        <v>1</v>
      </c>
      <c r="Q3" s="155">
        <v>1</v>
      </c>
      <c r="R3" s="155">
        <v>1</v>
      </c>
      <c r="S3" s="155">
        <v>1</v>
      </c>
      <c r="T3" s="155"/>
      <c r="U3" s="155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6"/>
    </row>
    <row r="4" spans="1:51" ht="16.5">
      <c r="A4" s="9" t="s">
        <v>80</v>
      </c>
      <c r="B4" s="154">
        <f t="shared" ref="B4:S4" si="0">B34</f>
        <v>0</v>
      </c>
      <c r="C4" s="154">
        <f t="shared" si="0"/>
        <v>11.178760730533401</v>
      </c>
      <c r="D4" s="154">
        <f t="shared" si="0"/>
        <v>11.637801602846908</v>
      </c>
      <c r="E4" s="154">
        <f t="shared" si="0"/>
        <v>12.050066818084241</v>
      </c>
      <c r="F4" s="154">
        <f t="shared" si="0"/>
        <v>12.52709736919798</v>
      </c>
      <c r="G4" s="154">
        <f t="shared" si="0"/>
        <v>10.863463266520164</v>
      </c>
      <c r="H4" s="154">
        <f t="shared" si="0"/>
        <v>9.6769518295511947</v>
      </c>
      <c r="I4" s="154">
        <f t="shared" si="0"/>
        <v>10.398302963916221</v>
      </c>
      <c r="J4" s="155">
        <f t="shared" si="0"/>
        <v>10.843095509667734</v>
      </c>
      <c r="K4" s="155">
        <f t="shared" si="0"/>
        <v>10.515244328343305</v>
      </c>
      <c r="L4" s="155">
        <f t="shared" si="0"/>
        <v>10.616241227969219</v>
      </c>
      <c r="M4" s="155">
        <f t="shared" si="0"/>
        <v>10.620461204620794</v>
      </c>
      <c r="N4" s="155">
        <f t="shared" si="0"/>
        <v>10.867405836499156</v>
      </c>
      <c r="O4" s="155">
        <f t="shared" si="0"/>
        <v>10.765397393164934</v>
      </c>
      <c r="P4" s="155">
        <f t="shared" si="0"/>
        <v>10.87410139984819</v>
      </c>
      <c r="Q4" s="155">
        <f t="shared" si="0"/>
        <v>11.0327806819689</v>
      </c>
      <c r="R4" s="155">
        <f t="shared" si="0"/>
        <v>11.279365694523371</v>
      </c>
      <c r="S4" s="155">
        <f t="shared" si="0"/>
        <v>11.227943770930903</v>
      </c>
      <c r="T4" s="155"/>
      <c r="U4" s="155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6"/>
      <c r="AY4" s="157"/>
    </row>
    <row r="5" spans="1:51" ht="16.5">
      <c r="A5" s="9" t="s">
        <v>81</v>
      </c>
      <c r="B5" s="154"/>
      <c r="C5" s="154"/>
      <c r="D5" s="154"/>
      <c r="E5" s="154"/>
      <c r="F5" s="154"/>
      <c r="G5" s="154"/>
      <c r="H5" s="154"/>
      <c r="I5" s="154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6"/>
    </row>
    <row r="6" spans="1:51" ht="16.5">
      <c r="A6" s="27" t="s">
        <v>82</v>
      </c>
      <c r="B6" s="160">
        <f>SUM(B3:B5)</f>
        <v>1</v>
      </c>
      <c r="C6" s="160">
        <f>SUM(C3:C5)</f>
        <v>12.178760730533401</v>
      </c>
      <c r="D6" s="160">
        <f t="shared" ref="D6:S6" si="1">SUM(D3:D5)</f>
        <v>12.637801602846908</v>
      </c>
      <c r="E6" s="160">
        <f t="shared" si="1"/>
        <v>13.050066818084241</v>
      </c>
      <c r="F6" s="160">
        <f t="shared" si="1"/>
        <v>13.52709736919798</v>
      </c>
      <c r="G6" s="160">
        <f t="shared" si="1"/>
        <v>11.863463266520164</v>
      </c>
      <c r="H6" s="160">
        <f t="shared" si="1"/>
        <v>10.676951829551195</v>
      </c>
      <c r="I6" s="160">
        <f t="shared" si="1"/>
        <v>11.398302963916221</v>
      </c>
      <c r="J6" s="161">
        <f t="shared" si="1"/>
        <v>11.843095509667734</v>
      </c>
      <c r="K6" s="161">
        <f t="shared" si="1"/>
        <v>11.515244328343305</v>
      </c>
      <c r="L6" s="161">
        <f t="shared" si="1"/>
        <v>11.616241227969219</v>
      </c>
      <c r="M6" s="161">
        <f t="shared" si="1"/>
        <v>11.620461204620794</v>
      </c>
      <c r="N6" s="161">
        <f t="shared" si="1"/>
        <v>11.867405836499156</v>
      </c>
      <c r="O6" s="161">
        <f t="shared" si="1"/>
        <v>11.765397393164934</v>
      </c>
      <c r="P6" s="161">
        <f t="shared" si="1"/>
        <v>11.87410139984819</v>
      </c>
      <c r="Q6" s="161">
        <f t="shared" si="1"/>
        <v>12.0327806819689</v>
      </c>
      <c r="R6" s="161">
        <f t="shared" si="1"/>
        <v>12.279365694523371</v>
      </c>
      <c r="S6" s="161">
        <f t="shared" si="1"/>
        <v>12.227943770930903</v>
      </c>
      <c r="T6" s="161"/>
      <c r="U6" s="161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56"/>
    </row>
    <row r="7" spans="1:51" ht="16.5">
      <c r="A7" s="9" t="s">
        <v>95</v>
      </c>
      <c r="B7" s="154"/>
      <c r="C7" s="154"/>
      <c r="D7" s="154"/>
      <c r="E7" s="154"/>
      <c r="F7" s="154"/>
      <c r="G7" s="154"/>
      <c r="H7" s="154"/>
      <c r="I7" s="154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6"/>
    </row>
    <row r="8" spans="1:51" ht="16.5">
      <c r="A8" s="9" t="s">
        <v>177</v>
      </c>
      <c r="B8" s="154"/>
      <c r="C8" s="154"/>
      <c r="D8" s="154"/>
      <c r="E8" s="154"/>
      <c r="F8" s="154"/>
      <c r="G8" s="154"/>
      <c r="H8" s="154"/>
      <c r="I8" s="154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6"/>
    </row>
    <row r="9" spans="1:51" ht="16.5" hidden="1">
      <c r="A9" s="9" t="s">
        <v>178</v>
      </c>
      <c r="B9" s="154"/>
      <c r="C9" s="154"/>
      <c r="D9" s="154"/>
      <c r="E9" s="154"/>
      <c r="F9" s="154"/>
      <c r="G9" s="154"/>
      <c r="H9" s="154"/>
      <c r="I9" s="154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6"/>
    </row>
    <row r="10" spans="1:51" ht="16.5" hidden="1">
      <c r="A10" s="9" t="s">
        <v>179</v>
      </c>
      <c r="B10" s="154"/>
      <c r="C10" s="154"/>
      <c r="D10" s="154"/>
      <c r="E10" s="154"/>
      <c r="F10" s="154"/>
      <c r="G10" s="154"/>
      <c r="H10" s="154"/>
      <c r="I10" s="154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6"/>
    </row>
    <row r="11" spans="1:51" ht="16.5" hidden="1">
      <c r="A11" s="9" t="s">
        <v>180</v>
      </c>
      <c r="B11" s="154"/>
      <c r="C11" s="154"/>
      <c r="D11" s="154"/>
      <c r="E11" s="154"/>
      <c r="F11" s="154"/>
      <c r="G11" s="154"/>
      <c r="H11" s="154"/>
      <c r="I11" s="154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6"/>
    </row>
    <row r="12" spans="1:51" ht="16.5">
      <c r="A12" s="9" t="s">
        <v>181</v>
      </c>
      <c r="B12" s="154"/>
      <c r="C12" s="154"/>
      <c r="D12" s="154"/>
      <c r="E12" s="154"/>
      <c r="F12" s="154"/>
      <c r="G12" s="154"/>
      <c r="H12" s="154"/>
      <c r="I12" s="154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6"/>
    </row>
    <row r="13" spans="1:51" ht="16.5">
      <c r="A13" s="9" t="s">
        <v>84</v>
      </c>
      <c r="B13" s="154"/>
      <c r="C13" s="154"/>
      <c r="D13" s="154"/>
      <c r="E13" s="154"/>
      <c r="F13" s="154"/>
      <c r="G13" s="154"/>
      <c r="H13" s="154"/>
      <c r="I13" s="154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6"/>
    </row>
    <row r="14" spans="1:51" ht="16.5">
      <c r="A14" s="27" t="s">
        <v>87</v>
      </c>
      <c r="B14" s="160">
        <f t="shared" ref="B14:S14" si="2">B6-B15</f>
        <v>0</v>
      </c>
      <c r="C14" s="160">
        <f t="shared" si="2"/>
        <v>11.178760730533401</v>
      </c>
      <c r="D14" s="160">
        <f t="shared" si="2"/>
        <v>11.637801602846908</v>
      </c>
      <c r="E14" s="160">
        <f t="shared" si="2"/>
        <v>12.050066818084241</v>
      </c>
      <c r="F14" s="160">
        <f t="shared" si="2"/>
        <v>12.52709736919798</v>
      </c>
      <c r="G14" s="160">
        <f t="shared" si="2"/>
        <v>10.863463266520164</v>
      </c>
      <c r="H14" s="160">
        <f t="shared" si="2"/>
        <v>9.6769518295511947</v>
      </c>
      <c r="I14" s="160">
        <f t="shared" si="2"/>
        <v>10.398302963916221</v>
      </c>
      <c r="J14" s="161">
        <f t="shared" si="2"/>
        <v>10.843095509667734</v>
      </c>
      <c r="K14" s="161">
        <f t="shared" si="2"/>
        <v>10.515244328343305</v>
      </c>
      <c r="L14" s="161">
        <f t="shared" si="2"/>
        <v>10.616241227969219</v>
      </c>
      <c r="M14" s="161">
        <f t="shared" si="2"/>
        <v>10.620461204620794</v>
      </c>
      <c r="N14" s="161">
        <f t="shared" si="2"/>
        <v>10.867405836499156</v>
      </c>
      <c r="O14" s="161">
        <f t="shared" si="2"/>
        <v>10.765397393164934</v>
      </c>
      <c r="P14" s="161">
        <f t="shared" si="2"/>
        <v>10.87410139984819</v>
      </c>
      <c r="Q14" s="161">
        <f t="shared" si="2"/>
        <v>11.0327806819689</v>
      </c>
      <c r="R14" s="161">
        <f t="shared" si="2"/>
        <v>11.279365694523371</v>
      </c>
      <c r="S14" s="161">
        <f t="shared" si="2"/>
        <v>11.227943770930903</v>
      </c>
      <c r="T14" s="161"/>
      <c r="U14" s="161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56"/>
    </row>
    <row r="15" spans="1:51" ht="16.5">
      <c r="A15" s="9" t="s">
        <v>182</v>
      </c>
      <c r="B15" s="154">
        <v>1</v>
      </c>
      <c r="C15" s="154">
        <v>1</v>
      </c>
      <c r="D15" s="154">
        <v>1</v>
      </c>
      <c r="E15" s="154">
        <v>1</v>
      </c>
      <c r="F15" s="154">
        <v>1</v>
      </c>
      <c r="G15" s="154">
        <v>1</v>
      </c>
      <c r="H15" s="154">
        <v>1</v>
      </c>
      <c r="I15" s="154">
        <v>1</v>
      </c>
      <c r="J15" s="155">
        <v>1</v>
      </c>
      <c r="K15" s="155">
        <v>1</v>
      </c>
      <c r="L15" s="155">
        <v>1</v>
      </c>
      <c r="M15" s="155">
        <v>1</v>
      </c>
      <c r="N15" s="155">
        <v>1</v>
      </c>
      <c r="O15" s="155">
        <v>1</v>
      </c>
      <c r="P15" s="155">
        <v>1</v>
      </c>
      <c r="Q15" s="155">
        <v>1</v>
      </c>
      <c r="R15" s="155">
        <v>1</v>
      </c>
      <c r="S15" s="155">
        <v>1</v>
      </c>
      <c r="T15" s="155"/>
      <c r="U15" s="155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6"/>
    </row>
    <row r="16" spans="1:51" ht="16.5">
      <c r="A16" s="9" t="s">
        <v>183</v>
      </c>
      <c r="B16" s="163"/>
      <c r="C16" s="163"/>
      <c r="D16" s="163"/>
      <c r="E16" s="163"/>
      <c r="F16" s="163"/>
      <c r="G16" s="163"/>
      <c r="H16" s="163"/>
      <c r="I16" s="163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64"/>
    </row>
    <row r="17" spans="1:52" ht="17.25" thickBot="1">
      <c r="A17" s="9" t="s">
        <v>184</v>
      </c>
      <c r="B17" s="154"/>
      <c r="C17" s="154"/>
      <c r="D17" s="154"/>
      <c r="E17" s="165"/>
      <c r="F17" s="165"/>
      <c r="G17" s="165"/>
      <c r="H17" s="165"/>
      <c r="I17" s="165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7"/>
    </row>
    <row r="18" spans="1:52">
      <c r="A18" s="168" t="s">
        <v>185</v>
      </c>
      <c r="B18" s="169"/>
      <c r="C18" s="169"/>
      <c r="D18" s="169"/>
      <c r="E18" s="169"/>
      <c r="F18" s="169"/>
      <c r="G18" s="169"/>
      <c r="H18" s="169"/>
      <c r="I18" s="169" t="s">
        <v>195</v>
      </c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</row>
    <row r="19" spans="1:52" ht="15.75" thickBot="1">
      <c r="C19" s="14"/>
      <c r="D19" s="14"/>
      <c r="E19" s="14"/>
      <c r="F19" s="14"/>
      <c r="G19" s="14"/>
      <c r="H19" s="14"/>
      <c r="I19" s="14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14"/>
      <c r="W19" s="14"/>
      <c r="X19" s="14"/>
      <c r="Y19" s="14"/>
      <c r="Z19" s="14"/>
      <c r="AA19" s="14"/>
      <c r="AB19" s="16"/>
      <c r="AC19" s="16"/>
      <c r="AD19" s="16"/>
      <c r="AE19" s="16"/>
      <c r="AF19" s="171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 spans="1:52" ht="15.75" thickBot="1">
      <c r="A20" s="172" t="s">
        <v>196</v>
      </c>
      <c r="Y20" s="16"/>
      <c r="Z20" s="16"/>
      <c r="AA20" s="16"/>
      <c r="AB20" s="16"/>
      <c r="AC20" s="173"/>
      <c r="AD20" s="173"/>
      <c r="AE20" s="173"/>
    </row>
    <row r="21" spans="1:52" ht="15.75" thickBot="1">
      <c r="A21" s="174"/>
      <c r="B21" s="174">
        <f t="shared" ref="B21:T21" si="3">B2</f>
        <v>2016</v>
      </c>
      <c r="C21" s="174">
        <f t="shared" si="3"/>
        <v>2017</v>
      </c>
      <c r="D21" s="174">
        <f t="shared" si="3"/>
        <v>2018</v>
      </c>
      <c r="E21" s="174">
        <f t="shared" si="3"/>
        <v>2019</v>
      </c>
      <c r="F21" s="174">
        <f t="shared" si="3"/>
        <v>2020</v>
      </c>
      <c r="G21" s="174">
        <f t="shared" si="3"/>
        <v>2021</v>
      </c>
      <c r="H21" s="174">
        <f t="shared" si="3"/>
        <v>2022</v>
      </c>
      <c r="I21" s="174">
        <f t="shared" si="3"/>
        <v>2023</v>
      </c>
      <c r="J21" s="174">
        <f t="shared" si="3"/>
        <v>2024</v>
      </c>
      <c r="K21" s="174">
        <f t="shared" si="3"/>
        <v>2025</v>
      </c>
      <c r="L21" s="174">
        <f t="shared" si="3"/>
        <v>2026</v>
      </c>
      <c r="M21" s="174">
        <f t="shared" si="3"/>
        <v>2027</v>
      </c>
      <c r="N21" s="174">
        <f t="shared" si="3"/>
        <v>2028</v>
      </c>
      <c r="O21" s="174">
        <f t="shared" si="3"/>
        <v>2029</v>
      </c>
      <c r="P21" s="174">
        <f t="shared" si="3"/>
        <v>2030</v>
      </c>
      <c r="Q21" s="174">
        <f t="shared" si="3"/>
        <v>2031</v>
      </c>
      <c r="R21" s="174">
        <f t="shared" si="3"/>
        <v>2032</v>
      </c>
      <c r="S21" s="174">
        <f t="shared" si="3"/>
        <v>2033</v>
      </c>
      <c r="T21" s="174">
        <f t="shared" si="3"/>
        <v>2034</v>
      </c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5"/>
    </row>
    <row r="22" spans="1:52">
      <c r="A22" s="172" t="s">
        <v>110</v>
      </c>
      <c r="B22" s="59">
        <f>B103*B135/1000</f>
        <v>0</v>
      </c>
      <c r="C22" s="59">
        <f>C103*C135/1000</f>
        <v>0.94966599682691988</v>
      </c>
      <c r="D22" s="59">
        <f t="shared" ref="D22:S33" si="4">D103*D135/1000</f>
        <v>0.89059568206665107</v>
      </c>
      <c r="E22" s="59">
        <f t="shared" si="4"/>
        <v>1.016351586619914</v>
      </c>
      <c r="F22" s="59">
        <f t="shared" si="4"/>
        <v>0.93420162590467548</v>
      </c>
      <c r="G22" s="59">
        <f t="shared" si="4"/>
        <v>0.83486246184699608</v>
      </c>
      <c r="H22" s="59">
        <f t="shared" si="4"/>
        <v>0.7320915209307941</v>
      </c>
      <c r="I22" s="59">
        <f t="shared" si="4"/>
        <v>0.8057802747225522</v>
      </c>
      <c r="J22" s="58">
        <f t="shared" si="4"/>
        <v>0.8439162774460568</v>
      </c>
      <c r="K22" s="58">
        <f t="shared" si="4"/>
        <v>0.88455413107600378</v>
      </c>
      <c r="L22" s="58">
        <f t="shared" si="4"/>
        <v>0.90370600460639727</v>
      </c>
      <c r="M22" s="58">
        <f t="shared" si="4"/>
        <v>0.90594961643805161</v>
      </c>
      <c r="N22" s="58">
        <f t="shared" si="4"/>
        <v>0.93205327890864453</v>
      </c>
      <c r="O22" s="58">
        <f t="shared" si="4"/>
        <v>0.92810730869382696</v>
      </c>
      <c r="P22" s="58">
        <f t="shared" si="4"/>
        <v>0.93126831445739766</v>
      </c>
      <c r="Q22" s="58">
        <f t="shared" si="4"/>
        <v>0.94121308701293194</v>
      </c>
      <c r="R22" s="58">
        <f t="shared" si="4"/>
        <v>0.96564184282013987</v>
      </c>
      <c r="S22" s="58">
        <f t="shared" si="4"/>
        <v>0.96163128178236035</v>
      </c>
      <c r="T22" s="58"/>
      <c r="U22" s="176"/>
      <c r="V22" s="176"/>
      <c r="W22" s="176"/>
      <c r="X22" s="59"/>
      <c r="Y22" s="59"/>
      <c r="Z22" s="59"/>
      <c r="AA22" s="59"/>
      <c r="AB22" s="59"/>
      <c r="AC22" s="59"/>
      <c r="AD22" s="59"/>
      <c r="AE22" s="59"/>
      <c r="AF22" s="59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177"/>
      <c r="AY22" s="14"/>
      <c r="AZ22" s="171"/>
    </row>
    <row r="23" spans="1:52">
      <c r="A23" s="172" t="s">
        <v>111</v>
      </c>
      <c r="B23" s="59">
        <f t="shared" ref="B23:I33" si="5">B104*B136/1000</f>
        <v>0</v>
      </c>
      <c r="C23" s="59">
        <f>C104*C136/1000</f>
        <v>1.1208282545142454</v>
      </c>
      <c r="D23" s="59">
        <f t="shared" si="5"/>
        <v>1.1115272346798131</v>
      </c>
      <c r="E23" s="59">
        <f t="shared" si="5"/>
        <v>1.1306462370437569</v>
      </c>
      <c r="F23" s="59">
        <f t="shared" si="5"/>
        <v>1.1568015646868055</v>
      </c>
      <c r="G23" s="59">
        <f t="shared" si="5"/>
        <v>0.96235078727956402</v>
      </c>
      <c r="H23" s="59">
        <f t="shared" si="5"/>
        <v>0.82159648149526421</v>
      </c>
      <c r="I23" s="59">
        <f t="shared" si="5"/>
        <v>0.90453962493914586</v>
      </c>
      <c r="J23" s="58">
        <f t="shared" si="4"/>
        <v>0.9669091358293429</v>
      </c>
      <c r="K23" s="58">
        <f t="shared" si="4"/>
        <v>0.85670939900421039</v>
      </c>
      <c r="L23" s="58">
        <f t="shared" si="4"/>
        <v>0.85027301143373313</v>
      </c>
      <c r="M23" s="58">
        <f t="shared" si="4"/>
        <v>0.84684463055486225</v>
      </c>
      <c r="N23" s="58">
        <f t="shared" si="4"/>
        <v>0.86087276507804622</v>
      </c>
      <c r="O23" s="58">
        <f t="shared" si="4"/>
        <v>0.8457846584470623</v>
      </c>
      <c r="P23" s="58">
        <f t="shared" si="4"/>
        <v>0.86263056541099803</v>
      </c>
      <c r="Q23" s="58">
        <f t="shared" si="4"/>
        <v>0.88051739637757331</v>
      </c>
      <c r="R23" s="58">
        <f t="shared" si="4"/>
        <v>0.89541018355252244</v>
      </c>
      <c r="S23" s="58">
        <f t="shared" si="4"/>
        <v>0.89073017244248753</v>
      </c>
      <c r="T23" s="58"/>
      <c r="U23" s="176"/>
      <c r="V23" s="176"/>
      <c r="W23" s="176"/>
      <c r="X23" s="59"/>
      <c r="Y23" s="59"/>
      <c r="Z23" s="59"/>
      <c r="AA23" s="59"/>
      <c r="AB23" s="59"/>
      <c r="AC23" s="59"/>
      <c r="AD23" s="59"/>
      <c r="AE23" s="59"/>
      <c r="AF23" s="59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177"/>
      <c r="AY23" s="14"/>
      <c r="AZ23" s="171"/>
    </row>
    <row r="24" spans="1:52">
      <c r="A24" s="172" t="s">
        <v>112</v>
      </c>
      <c r="B24" s="59">
        <f t="shared" si="5"/>
        <v>0</v>
      </c>
      <c r="C24" s="59">
        <f t="shared" si="5"/>
        <v>0.95726165296941979</v>
      </c>
      <c r="D24" s="59">
        <f t="shared" si="5"/>
        <v>1.019475003526698</v>
      </c>
      <c r="E24" s="59">
        <f t="shared" si="5"/>
        <v>1.0669842210170204</v>
      </c>
      <c r="F24" s="59">
        <f t="shared" si="5"/>
        <v>1.001224315508445</v>
      </c>
      <c r="G24" s="59">
        <f t="shared" si="5"/>
        <v>0.80290847160788181</v>
      </c>
      <c r="H24" s="59">
        <f t="shared" si="5"/>
        <v>0.70457679182819188</v>
      </c>
      <c r="I24" s="59">
        <f t="shared" si="5"/>
        <v>0.77731939332222244</v>
      </c>
      <c r="J24" s="58">
        <f t="shared" si="4"/>
        <v>0.86389145529027345</v>
      </c>
      <c r="K24" s="58">
        <f t="shared" si="4"/>
        <v>0.87402958552972232</v>
      </c>
      <c r="L24" s="58">
        <f t="shared" si="4"/>
        <v>0.8826772466610644</v>
      </c>
      <c r="M24" s="58">
        <f t="shared" si="4"/>
        <v>0.88277756037125665</v>
      </c>
      <c r="N24" s="58">
        <f t="shared" si="4"/>
        <v>0.90413033383676544</v>
      </c>
      <c r="O24" s="58">
        <f t="shared" si="4"/>
        <v>0.89581633698323127</v>
      </c>
      <c r="P24" s="58">
        <f t="shared" si="4"/>
        <v>0.90394235119178556</v>
      </c>
      <c r="Q24" s="58">
        <f t="shared" si="4"/>
        <v>0.9174753007727503</v>
      </c>
      <c r="R24" s="58">
        <f t="shared" si="4"/>
        <v>0.93799638190524992</v>
      </c>
      <c r="S24" s="58">
        <f t="shared" si="4"/>
        <v>0.93375311910593817</v>
      </c>
      <c r="T24" s="58"/>
      <c r="U24" s="176"/>
      <c r="V24" s="176"/>
      <c r="W24" s="176"/>
      <c r="X24" s="59"/>
      <c r="Y24" s="59"/>
      <c r="Z24" s="59"/>
      <c r="AA24" s="59"/>
      <c r="AB24" s="59"/>
      <c r="AC24" s="59"/>
      <c r="AD24" s="59"/>
      <c r="AE24" s="59"/>
      <c r="AF24" s="59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177"/>
      <c r="AY24" s="14"/>
      <c r="AZ24" s="171"/>
    </row>
    <row r="25" spans="1:52">
      <c r="A25" s="172" t="s">
        <v>100</v>
      </c>
      <c r="B25" s="59">
        <f t="shared" si="5"/>
        <v>0</v>
      </c>
      <c r="C25" s="59">
        <f t="shared" si="5"/>
        <v>1.0324005554854172</v>
      </c>
      <c r="D25" s="59">
        <f t="shared" si="5"/>
        <v>0.95983836471717887</v>
      </c>
      <c r="E25" s="59">
        <f t="shared" si="5"/>
        <v>0.94708413427840121</v>
      </c>
      <c r="F25" s="59">
        <f t="shared" si="5"/>
        <v>0.95429548420011912</v>
      </c>
      <c r="G25" s="59">
        <f t="shared" si="5"/>
        <v>0.83086292830680486</v>
      </c>
      <c r="H25" s="59">
        <f t="shared" si="5"/>
        <v>0.71945957235194624</v>
      </c>
      <c r="I25" s="59">
        <f t="shared" si="5"/>
        <v>0.88346448871295014</v>
      </c>
      <c r="J25" s="58">
        <f t="shared" si="4"/>
        <v>0.86389145529027345</v>
      </c>
      <c r="K25" s="58">
        <f t="shared" si="4"/>
        <v>0.87402958552972232</v>
      </c>
      <c r="L25" s="58">
        <f t="shared" si="4"/>
        <v>0.8826772466610644</v>
      </c>
      <c r="M25" s="58">
        <f t="shared" si="4"/>
        <v>0.88277756037125665</v>
      </c>
      <c r="N25" s="58">
        <f t="shared" si="4"/>
        <v>0.90413033383676544</v>
      </c>
      <c r="O25" s="58">
        <f t="shared" si="4"/>
        <v>0.89581633698323127</v>
      </c>
      <c r="P25" s="58">
        <f t="shared" si="4"/>
        <v>0.90394235119178556</v>
      </c>
      <c r="Q25" s="58">
        <f t="shared" si="4"/>
        <v>0.9174753007727503</v>
      </c>
      <c r="R25" s="58">
        <f t="shared" si="4"/>
        <v>0.93799638190524992</v>
      </c>
      <c r="S25" s="58">
        <f t="shared" si="4"/>
        <v>0.93375311910593817</v>
      </c>
      <c r="T25" s="58"/>
      <c r="U25" s="176"/>
      <c r="V25" s="176"/>
      <c r="W25" s="176"/>
      <c r="X25" s="59"/>
      <c r="Y25" s="59"/>
      <c r="Z25" s="59"/>
      <c r="AA25" s="59"/>
      <c r="AB25" s="59"/>
      <c r="AC25" s="59"/>
      <c r="AD25" s="59"/>
      <c r="AE25" s="59"/>
      <c r="AF25" s="59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177"/>
      <c r="AY25" s="14"/>
      <c r="AZ25" s="171"/>
    </row>
    <row r="26" spans="1:52">
      <c r="A26" s="172" t="s">
        <v>102</v>
      </c>
      <c r="B26" s="59">
        <f t="shared" si="5"/>
        <v>0</v>
      </c>
      <c r="C26" s="59">
        <f t="shared" si="5"/>
        <v>0.96130550000564929</v>
      </c>
      <c r="D26" s="59">
        <f t="shared" si="5"/>
        <v>0.98686515962903476</v>
      </c>
      <c r="E26" s="59">
        <f t="shared" si="5"/>
        <v>1.0521130724863093</v>
      </c>
      <c r="F26" s="59">
        <f t="shared" si="5"/>
        <v>1.1997323121213908</v>
      </c>
      <c r="G26" s="59">
        <f t="shared" si="5"/>
        <v>0.98377685036174167</v>
      </c>
      <c r="H26" s="59">
        <f t="shared" si="5"/>
        <v>0.78680773937028636</v>
      </c>
      <c r="I26" s="59">
        <f t="shared" si="5"/>
        <v>0.90298625788030984</v>
      </c>
      <c r="J26" s="58">
        <f t="shared" si="4"/>
        <v>0.86389145529027345</v>
      </c>
      <c r="K26" s="58">
        <f t="shared" si="4"/>
        <v>0.87566817113330231</v>
      </c>
      <c r="L26" s="58">
        <f t="shared" si="4"/>
        <v>0.88433144873977709</v>
      </c>
      <c r="M26" s="58">
        <f t="shared" si="4"/>
        <v>0.88476654530155463</v>
      </c>
      <c r="N26" s="58">
        <f t="shared" si="4"/>
        <v>0.90649580911452299</v>
      </c>
      <c r="O26" s="58">
        <f t="shared" si="4"/>
        <v>0.89855719010019863</v>
      </c>
      <c r="P26" s="58">
        <f t="shared" si="4"/>
        <v>0.90550646532975165</v>
      </c>
      <c r="Q26" s="58">
        <f t="shared" si="4"/>
        <v>0.91962145828731157</v>
      </c>
      <c r="R26" s="58">
        <f t="shared" si="4"/>
        <v>0.94016075714834857</v>
      </c>
      <c r="S26" s="58">
        <f t="shared" si="4"/>
        <v>0.93599328188946995</v>
      </c>
      <c r="T26" s="58"/>
      <c r="U26" s="176"/>
      <c r="V26" s="176"/>
      <c r="W26" s="176"/>
      <c r="X26" s="59"/>
      <c r="Y26" s="59"/>
      <c r="Z26" s="59"/>
      <c r="AA26" s="59"/>
      <c r="AB26" s="59"/>
      <c r="AC26" s="59"/>
      <c r="AD26" s="59"/>
      <c r="AE26" s="59"/>
      <c r="AF26" s="59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177"/>
      <c r="AY26" s="14"/>
      <c r="AZ26" s="171"/>
    </row>
    <row r="27" spans="1:52">
      <c r="A27" s="172" t="s">
        <v>103</v>
      </c>
      <c r="B27" s="59">
        <f t="shared" si="5"/>
        <v>0</v>
      </c>
      <c r="C27" s="59">
        <f t="shared" si="5"/>
        <v>1.0255208713540089</v>
      </c>
      <c r="D27" s="59">
        <f t="shared" si="5"/>
        <v>1.0324384270786304</v>
      </c>
      <c r="E27" s="59">
        <f t="shared" si="5"/>
        <v>1.1186552058670465</v>
      </c>
      <c r="F27" s="59">
        <f t="shared" si="5"/>
        <v>1.0085210284612893</v>
      </c>
      <c r="G27" s="59">
        <f t="shared" si="5"/>
        <v>0.85651072844718268</v>
      </c>
      <c r="H27" s="59">
        <f t="shared" si="5"/>
        <v>0.82577552166469004</v>
      </c>
      <c r="I27" s="59">
        <f t="shared" si="5"/>
        <v>0.84215637349267558</v>
      </c>
      <c r="J27" s="58">
        <f t="shared" si="4"/>
        <v>0.86389145529027345</v>
      </c>
      <c r="K27" s="58">
        <f t="shared" si="4"/>
        <v>0.87402958552972232</v>
      </c>
      <c r="L27" s="58">
        <f t="shared" si="4"/>
        <v>0.8826772466610644</v>
      </c>
      <c r="M27" s="58">
        <f t="shared" si="4"/>
        <v>0.88277756037125665</v>
      </c>
      <c r="N27" s="58">
        <f t="shared" si="4"/>
        <v>0.90413033383676544</v>
      </c>
      <c r="O27" s="58">
        <f t="shared" si="4"/>
        <v>0.89581633698323127</v>
      </c>
      <c r="P27" s="58">
        <f t="shared" si="4"/>
        <v>0.90394235119178556</v>
      </c>
      <c r="Q27" s="58">
        <f t="shared" si="4"/>
        <v>0.9174753007727503</v>
      </c>
      <c r="R27" s="58">
        <f t="shared" si="4"/>
        <v>0.93799638190524992</v>
      </c>
      <c r="S27" s="58">
        <f t="shared" si="4"/>
        <v>0.93375311910593817</v>
      </c>
      <c r="T27" s="58"/>
      <c r="U27" s="176"/>
      <c r="V27" s="176"/>
      <c r="W27" s="176"/>
      <c r="X27" s="59"/>
      <c r="Y27" s="59"/>
      <c r="Z27" s="59"/>
      <c r="AA27" s="59"/>
      <c r="AB27" s="59"/>
      <c r="AC27" s="59"/>
      <c r="AD27" s="59"/>
      <c r="AE27" s="59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177"/>
      <c r="AY27" s="14"/>
      <c r="AZ27" s="171"/>
    </row>
    <row r="28" spans="1:52">
      <c r="A28" s="172" t="s">
        <v>104</v>
      </c>
      <c r="B28" s="59">
        <f t="shared" si="5"/>
        <v>0</v>
      </c>
      <c r="C28" s="59">
        <f t="shared" si="5"/>
        <v>0.9877478905172109</v>
      </c>
      <c r="D28" s="59">
        <f t="shared" si="5"/>
        <v>0.94877763210378641</v>
      </c>
      <c r="E28" s="59">
        <f t="shared" si="5"/>
        <v>0.98417766627063952</v>
      </c>
      <c r="F28" s="59">
        <f t="shared" si="5"/>
        <v>0.95501407284993367</v>
      </c>
      <c r="G28" s="59">
        <f t="shared" si="5"/>
        <v>0.84947115878884338</v>
      </c>
      <c r="H28" s="59">
        <f t="shared" si="5"/>
        <v>0.81961339273485567</v>
      </c>
      <c r="I28" s="59">
        <f t="shared" si="5"/>
        <v>0.85186112272749093</v>
      </c>
      <c r="J28" s="58">
        <f t="shared" si="4"/>
        <v>0.86389145529027345</v>
      </c>
      <c r="K28" s="58">
        <f t="shared" si="4"/>
        <v>0.87075522011982875</v>
      </c>
      <c r="L28" s="58">
        <f t="shared" si="4"/>
        <v>0.8793716750414452</v>
      </c>
      <c r="M28" s="58">
        <f t="shared" si="4"/>
        <v>0.87880299630677428</v>
      </c>
      <c r="N28" s="58">
        <f t="shared" si="4"/>
        <v>0.89940343375261622</v>
      </c>
      <c r="O28" s="58">
        <f t="shared" si="4"/>
        <v>0.89033932399093474</v>
      </c>
      <c r="P28" s="58">
        <f t="shared" si="4"/>
        <v>0.90081680119348639</v>
      </c>
      <c r="Q28" s="58">
        <f t="shared" si="4"/>
        <v>0.91318666067087839</v>
      </c>
      <c r="R28" s="58">
        <f t="shared" si="4"/>
        <v>0.9336713375410437</v>
      </c>
      <c r="S28" s="58">
        <f t="shared" si="4"/>
        <v>0.92927662943405143</v>
      </c>
      <c r="T28" s="58"/>
      <c r="U28" s="176"/>
      <c r="V28" s="176"/>
      <c r="W28" s="176"/>
      <c r="X28" s="59"/>
      <c r="Y28" s="59"/>
      <c r="Z28" s="59"/>
      <c r="AA28" s="59"/>
      <c r="AB28" s="59"/>
      <c r="AC28" s="59"/>
      <c r="AD28" s="59"/>
      <c r="AE28" s="59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177"/>
      <c r="AY28" s="14"/>
      <c r="AZ28" s="171"/>
    </row>
    <row r="29" spans="1:52">
      <c r="A29" s="172" t="s">
        <v>105</v>
      </c>
      <c r="B29" s="59">
        <f t="shared" si="5"/>
        <v>0</v>
      </c>
      <c r="C29" s="59">
        <f t="shared" si="5"/>
        <v>1.0012115012534155</v>
      </c>
      <c r="D29" s="59">
        <f t="shared" si="5"/>
        <v>0.79694898787788093</v>
      </c>
      <c r="E29" s="59">
        <f t="shared" si="5"/>
        <v>1.1123951869234869</v>
      </c>
      <c r="F29" s="59">
        <f t="shared" si="5"/>
        <v>1.1147266677488659</v>
      </c>
      <c r="G29" s="59">
        <f t="shared" si="5"/>
        <v>0.81993673058040628</v>
      </c>
      <c r="H29" s="59">
        <f t="shared" si="5"/>
        <v>0.8683681238588068</v>
      </c>
      <c r="I29" s="59">
        <f t="shared" si="5"/>
        <v>0.93753137368921946</v>
      </c>
      <c r="J29" s="58">
        <f t="shared" si="4"/>
        <v>0.86389145529027345</v>
      </c>
      <c r="K29" s="58">
        <f t="shared" si="4"/>
        <v>0.87402958552972232</v>
      </c>
      <c r="L29" s="58">
        <f t="shared" si="4"/>
        <v>0.8826772466610644</v>
      </c>
      <c r="M29" s="58">
        <f t="shared" si="4"/>
        <v>0.88277756037125665</v>
      </c>
      <c r="N29" s="58">
        <f t="shared" si="4"/>
        <v>0.90413033383676544</v>
      </c>
      <c r="O29" s="58">
        <f t="shared" si="4"/>
        <v>0.89581633698323127</v>
      </c>
      <c r="P29" s="58">
        <f t="shared" si="4"/>
        <v>0.90394235119178556</v>
      </c>
      <c r="Q29" s="58">
        <f t="shared" si="4"/>
        <v>0.9174753007727503</v>
      </c>
      <c r="R29" s="58">
        <f t="shared" si="4"/>
        <v>0.93799638190524992</v>
      </c>
      <c r="S29" s="58">
        <f t="shared" si="4"/>
        <v>0.93375311910593817</v>
      </c>
      <c r="T29" s="58"/>
      <c r="U29" s="176"/>
      <c r="V29" s="176"/>
      <c r="W29" s="59"/>
      <c r="X29" s="59"/>
      <c r="Y29" s="59"/>
      <c r="Z29" s="59"/>
      <c r="AA29" s="59"/>
      <c r="AB29" s="59"/>
      <c r="AC29" s="59"/>
      <c r="AD29" s="59"/>
      <c r="AE29" s="59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177"/>
      <c r="AY29" s="14"/>
      <c r="AZ29" s="171"/>
    </row>
    <row r="30" spans="1:52">
      <c r="A30" s="172" t="s">
        <v>106</v>
      </c>
      <c r="B30" s="59">
        <f t="shared" si="5"/>
        <v>0</v>
      </c>
      <c r="C30" s="59">
        <f t="shared" si="5"/>
        <v>1.0645123495870044</v>
      </c>
      <c r="D30" s="59">
        <f t="shared" si="5"/>
        <v>0.87576111772474763</v>
      </c>
      <c r="E30" s="59">
        <f t="shared" si="5"/>
        <v>1.0640386999898215</v>
      </c>
      <c r="F30" s="59">
        <f t="shared" si="5"/>
        <v>1.1369492059956938</v>
      </c>
      <c r="G30" s="59">
        <f t="shared" si="5"/>
        <v>0.81213236728088145</v>
      </c>
      <c r="H30" s="59">
        <f t="shared" si="5"/>
        <v>0.87300914384808759</v>
      </c>
      <c r="I30" s="59">
        <f t="shared" si="5"/>
        <v>0.92837087035645804</v>
      </c>
      <c r="J30" s="58">
        <f t="shared" si="4"/>
        <v>0.86389145529027345</v>
      </c>
      <c r="K30" s="58">
        <f t="shared" si="4"/>
        <v>0.87402958552972232</v>
      </c>
      <c r="L30" s="58">
        <f t="shared" si="4"/>
        <v>0.8826772466610644</v>
      </c>
      <c r="M30" s="58">
        <f t="shared" si="4"/>
        <v>0.88277756037125665</v>
      </c>
      <c r="N30" s="58">
        <f t="shared" si="4"/>
        <v>0.90413033383676544</v>
      </c>
      <c r="O30" s="58">
        <f t="shared" si="4"/>
        <v>0.89581633698323127</v>
      </c>
      <c r="P30" s="58">
        <f t="shared" si="4"/>
        <v>0.90394235119178556</v>
      </c>
      <c r="Q30" s="58">
        <f t="shared" si="4"/>
        <v>0.9174753007727503</v>
      </c>
      <c r="R30" s="58">
        <f t="shared" si="4"/>
        <v>0.93799638190524992</v>
      </c>
      <c r="S30" s="58">
        <f t="shared" si="4"/>
        <v>0.93375311910593817</v>
      </c>
      <c r="T30" s="58"/>
      <c r="U30" s="176"/>
      <c r="V30" s="176"/>
      <c r="W30" s="59"/>
      <c r="X30" s="59"/>
      <c r="Y30" s="59"/>
      <c r="Z30" s="59"/>
      <c r="AA30" s="59"/>
      <c r="AB30" s="59"/>
      <c r="AC30" s="59"/>
      <c r="AD30" s="59"/>
      <c r="AE30" s="59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177"/>
      <c r="AY30" s="14"/>
      <c r="AZ30" s="171"/>
    </row>
    <row r="31" spans="1:52">
      <c r="A31" s="172" t="s">
        <v>107</v>
      </c>
      <c r="B31" s="59">
        <f>B112*B146/1000</f>
        <v>0</v>
      </c>
      <c r="C31" s="59">
        <f t="shared" si="5"/>
        <v>1.0030696100638989</v>
      </c>
      <c r="D31" s="59">
        <f t="shared" si="5"/>
        <v>0.90560226079919848</v>
      </c>
      <c r="E31" s="59">
        <f t="shared" si="5"/>
        <v>0.78243598578454288</v>
      </c>
      <c r="F31" s="59">
        <f t="shared" si="5"/>
        <v>0.94438712211137332</v>
      </c>
      <c r="G31" s="59">
        <f t="shared" si="5"/>
        <v>0.97038880790322024</v>
      </c>
      <c r="H31" s="59">
        <f t="shared" si="5"/>
        <v>0.83522727594117718</v>
      </c>
      <c r="I31" s="59">
        <f t="shared" si="5"/>
        <v>0.82843541613877758</v>
      </c>
      <c r="J31" s="58">
        <f t="shared" si="4"/>
        <v>0.88280853727891773</v>
      </c>
      <c r="K31" s="58">
        <f t="shared" si="4"/>
        <v>0.87519960298981281</v>
      </c>
      <c r="L31" s="58">
        <f t="shared" si="4"/>
        <v>0.88385841492617268</v>
      </c>
      <c r="M31" s="58">
        <f t="shared" si="4"/>
        <v>0.88419777735059635</v>
      </c>
      <c r="N31" s="58">
        <f t="shared" si="4"/>
        <v>0.9058193803963972</v>
      </c>
      <c r="O31" s="58">
        <f t="shared" si="4"/>
        <v>0.89777341874654537</v>
      </c>
      <c r="P31" s="58">
        <f t="shared" si="4"/>
        <v>0.90505919296495652</v>
      </c>
      <c r="Q31" s="58">
        <f t="shared" si="4"/>
        <v>0.91900774543640107</v>
      </c>
      <c r="R31" s="58">
        <f t="shared" si="4"/>
        <v>0.93954183477575004</v>
      </c>
      <c r="S31" s="58">
        <f t="shared" si="4"/>
        <v>0.93535268739486421</v>
      </c>
      <c r="T31" s="58"/>
      <c r="U31" s="176"/>
      <c r="V31" s="176"/>
      <c r="W31" s="59"/>
      <c r="X31" s="59"/>
      <c r="Y31" s="59"/>
      <c r="Z31" s="59"/>
      <c r="AA31" s="59"/>
      <c r="AB31" s="59"/>
      <c r="AC31" s="59"/>
      <c r="AD31" s="59"/>
      <c r="AE31" s="59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177"/>
      <c r="AY31" s="14"/>
      <c r="AZ31" s="171"/>
    </row>
    <row r="32" spans="1:52">
      <c r="A32" s="172" t="s">
        <v>108</v>
      </c>
      <c r="B32" s="59">
        <f t="shared" si="5"/>
        <v>0</v>
      </c>
      <c r="C32" s="59">
        <f t="shared" si="5"/>
        <v>1.075236547956208</v>
      </c>
      <c r="D32" s="59">
        <f t="shared" si="5"/>
        <v>1.0183692150196391</v>
      </c>
      <c r="E32" s="59">
        <f t="shared" si="5"/>
        <v>0.86886841011484262</v>
      </c>
      <c r="F32" s="59">
        <f t="shared" si="5"/>
        <v>1.1469942407562774</v>
      </c>
      <c r="G32" s="59">
        <f t="shared" si="5"/>
        <v>1.113144202581547</v>
      </c>
      <c r="H32" s="59">
        <f t="shared" si="5"/>
        <v>0.83841745436155712</v>
      </c>
      <c r="I32" s="59">
        <f t="shared" si="5"/>
        <v>0.91336364268814585</v>
      </c>
      <c r="J32" s="58">
        <f t="shared" si="4"/>
        <v>1.1247214409506092</v>
      </c>
      <c r="K32" s="58">
        <f t="shared" si="4"/>
        <v>0.87653516248862107</v>
      </c>
      <c r="L32" s="58">
        <f t="shared" si="4"/>
        <v>0.88520670292183568</v>
      </c>
      <c r="M32" s="58">
        <f t="shared" si="4"/>
        <v>0.88581893630063357</v>
      </c>
      <c r="N32" s="58">
        <f t="shared" si="4"/>
        <v>0.90774740476662419</v>
      </c>
      <c r="O32" s="58">
        <f t="shared" si="4"/>
        <v>0.90000740176653937</v>
      </c>
      <c r="P32" s="58">
        <f t="shared" si="4"/>
        <v>0.90633405311850446</v>
      </c>
      <c r="Q32" s="58">
        <f t="shared" si="4"/>
        <v>0.92075701080785843</v>
      </c>
      <c r="R32" s="58">
        <f t="shared" si="4"/>
        <v>0.94130594884375507</v>
      </c>
      <c r="S32" s="58">
        <f t="shared" si="4"/>
        <v>0.9371785734992496</v>
      </c>
      <c r="T32" s="58"/>
      <c r="U32" s="176"/>
      <c r="V32" s="176"/>
      <c r="W32" s="59"/>
      <c r="X32" s="59"/>
      <c r="Y32" s="59"/>
      <c r="Z32" s="59"/>
      <c r="AA32" s="59"/>
      <c r="AB32" s="59"/>
      <c r="AC32" s="59"/>
      <c r="AD32" s="59"/>
      <c r="AE32" s="59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177"/>
      <c r="AY32" s="14"/>
      <c r="AZ32" s="171"/>
    </row>
    <row r="33" spans="1:56">
      <c r="A33" s="172" t="s">
        <v>109</v>
      </c>
      <c r="B33" s="59">
        <f t="shared" si="5"/>
        <v>0</v>
      </c>
      <c r="C33" s="59">
        <f t="shared" si="5"/>
        <v>0.99063997070437582</v>
      </c>
      <c r="D33" s="59">
        <f t="shared" si="5"/>
        <v>1.091602517623647</v>
      </c>
      <c r="E33" s="59">
        <f t="shared" si="5"/>
        <v>0.90631641168846011</v>
      </c>
      <c r="F33" s="59">
        <f t="shared" si="5"/>
        <v>0.97424972885311112</v>
      </c>
      <c r="G33" s="59">
        <f t="shared" si="5"/>
        <v>1.0271177715350948</v>
      </c>
      <c r="H33" s="59">
        <f t="shared" si="5"/>
        <v>0.85200881116553573</v>
      </c>
      <c r="I33" s="59">
        <f t="shared" si="5"/>
        <v>0.82249412524627308</v>
      </c>
      <c r="J33" s="58">
        <f t="shared" si="4"/>
        <v>0.97749993113089406</v>
      </c>
      <c r="K33" s="58">
        <f t="shared" si="4"/>
        <v>0.9056747138829141</v>
      </c>
      <c r="L33" s="58">
        <f t="shared" si="4"/>
        <v>0.91610773699453585</v>
      </c>
      <c r="M33" s="58">
        <f t="shared" si="4"/>
        <v>0.92019290051203706</v>
      </c>
      <c r="N33" s="58">
        <f t="shared" si="4"/>
        <v>0.93436209529847458</v>
      </c>
      <c r="O33" s="58">
        <f t="shared" si="4"/>
        <v>0.92574640650367035</v>
      </c>
      <c r="P33" s="58">
        <f t="shared" si="4"/>
        <v>0.94277425141416571</v>
      </c>
      <c r="Q33" s="58">
        <f t="shared" si="4"/>
        <v>0.95110081951219594</v>
      </c>
      <c r="R33" s="58">
        <f t="shared" si="4"/>
        <v>0.97365188031556127</v>
      </c>
      <c r="S33" s="58">
        <f t="shared" si="4"/>
        <v>0.96901554895872999</v>
      </c>
      <c r="T33" s="58"/>
      <c r="U33" s="176"/>
      <c r="V33" s="176"/>
      <c r="W33" s="59"/>
      <c r="X33" s="59"/>
      <c r="Y33" s="59"/>
      <c r="Z33" s="59"/>
      <c r="AA33" s="59"/>
      <c r="AB33" s="59"/>
      <c r="AC33" s="59"/>
      <c r="AD33" s="59"/>
      <c r="AE33" s="59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177"/>
      <c r="AY33" s="14"/>
      <c r="AZ33" s="171"/>
    </row>
    <row r="34" spans="1:56" ht="15.75" thickBot="1">
      <c r="A34" s="172" t="s">
        <v>113</v>
      </c>
      <c r="B34" s="59">
        <f t="shared" ref="B34:S34" si="6">SUM(B22:B33)</f>
        <v>0</v>
      </c>
      <c r="C34" s="59">
        <f>SUM(C22:C32)</f>
        <v>11.178760730533401</v>
      </c>
      <c r="D34" s="59">
        <f t="shared" si="6"/>
        <v>11.637801602846908</v>
      </c>
      <c r="E34" s="59">
        <f t="shared" si="6"/>
        <v>12.050066818084241</v>
      </c>
      <c r="F34" s="59">
        <f t="shared" si="6"/>
        <v>12.52709736919798</v>
      </c>
      <c r="G34" s="59">
        <f t="shared" si="6"/>
        <v>10.863463266520164</v>
      </c>
      <c r="H34" s="59">
        <f t="shared" si="6"/>
        <v>9.6769518295511947</v>
      </c>
      <c r="I34" s="59">
        <f t="shared" si="6"/>
        <v>10.398302963916221</v>
      </c>
      <c r="J34" s="58">
        <f t="shared" si="6"/>
        <v>10.843095509667734</v>
      </c>
      <c r="K34" s="58">
        <f t="shared" si="6"/>
        <v>10.515244328343305</v>
      </c>
      <c r="L34" s="58">
        <f t="shared" si="6"/>
        <v>10.616241227969219</v>
      </c>
      <c r="M34" s="58">
        <f t="shared" si="6"/>
        <v>10.620461204620794</v>
      </c>
      <c r="N34" s="58">
        <f t="shared" si="6"/>
        <v>10.867405836499156</v>
      </c>
      <c r="O34" s="58">
        <f t="shared" si="6"/>
        <v>10.765397393164934</v>
      </c>
      <c r="P34" s="58">
        <f t="shared" si="6"/>
        <v>10.87410139984819</v>
      </c>
      <c r="Q34" s="58">
        <f t="shared" si="6"/>
        <v>11.0327806819689</v>
      </c>
      <c r="R34" s="58">
        <f t="shared" si="6"/>
        <v>11.279365694523371</v>
      </c>
      <c r="S34" s="58">
        <f t="shared" si="6"/>
        <v>11.227943770930903</v>
      </c>
      <c r="T34" s="176"/>
      <c r="U34" s="176"/>
      <c r="V34" s="176"/>
      <c r="W34" s="176"/>
      <c r="X34" s="59"/>
      <c r="Y34" s="59"/>
      <c r="Z34" s="59"/>
      <c r="AA34" s="59"/>
      <c r="AB34" s="59"/>
      <c r="AC34" s="59"/>
      <c r="AD34" s="59"/>
      <c r="AE34" s="59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177"/>
    </row>
    <row r="35" spans="1:56">
      <c r="A35" s="178"/>
      <c r="B35" s="178"/>
      <c r="C35" s="178"/>
      <c r="D35" s="178"/>
      <c r="E35" s="178"/>
      <c r="F35" s="178"/>
      <c r="G35" s="178"/>
      <c r="H35" s="178"/>
      <c r="I35" s="178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78"/>
      <c r="W35" s="178"/>
      <c r="X35" s="178"/>
      <c r="Y35" s="178"/>
      <c r="Z35" s="179"/>
      <c r="AA35" s="179"/>
      <c r="AB35" s="179"/>
      <c r="AC35" s="179"/>
      <c r="AD35" s="179"/>
      <c r="AE35" s="179"/>
      <c r="AF35" s="179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7"/>
      <c r="AY35" s="180"/>
      <c r="AZ35" s="180"/>
    </row>
    <row r="36" spans="1:56" ht="15.75" thickBot="1">
      <c r="A36" s="172" t="s">
        <v>197</v>
      </c>
      <c r="AY36" s="180"/>
      <c r="AZ36" s="180"/>
    </row>
    <row r="37" spans="1:56" ht="15.75" thickBot="1">
      <c r="A37" s="174"/>
      <c r="B37" s="174">
        <f t="shared" ref="B37:T37" si="7">B2</f>
        <v>2016</v>
      </c>
      <c r="C37" s="174">
        <f t="shared" si="7"/>
        <v>2017</v>
      </c>
      <c r="D37" s="174">
        <f t="shared" si="7"/>
        <v>2018</v>
      </c>
      <c r="E37" s="174">
        <f t="shared" si="7"/>
        <v>2019</v>
      </c>
      <c r="F37" s="174">
        <f t="shared" si="7"/>
        <v>2020</v>
      </c>
      <c r="G37" s="174">
        <f t="shared" si="7"/>
        <v>2021</v>
      </c>
      <c r="H37" s="174">
        <f t="shared" si="7"/>
        <v>2022</v>
      </c>
      <c r="I37" s="174">
        <f t="shared" si="7"/>
        <v>2023</v>
      </c>
      <c r="J37" s="174">
        <f t="shared" si="7"/>
        <v>2024</v>
      </c>
      <c r="K37" s="174">
        <f t="shared" si="7"/>
        <v>2025</v>
      </c>
      <c r="L37" s="174">
        <f t="shared" si="7"/>
        <v>2026</v>
      </c>
      <c r="M37" s="174">
        <f t="shared" si="7"/>
        <v>2027</v>
      </c>
      <c r="N37" s="174">
        <f t="shared" si="7"/>
        <v>2028</v>
      </c>
      <c r="O37" s="174">
        <f t="shared" si="7"/>
        <v>2029</v>
      </c>
      <c r="P37" s="174">
        <f t="shared" si="7"/>
        <v>2030</v>
      </c>
      <c r="Q37" s="174">
        <f t="shared" si="7"/>
        <v>2031</v>
      </c>
      <c r="R37" s="174">
        <f t="shared" si="7"/>
        <v>2032</v>
      </c>
      <c r="S37" s="174">
        <f t="shared" si="7"/>
        <v>2033</v>
      </c>
      <c r="T37" s="174">
        <f t="shared" si="7"/>
        <v>2034</v>
      </c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5"/>
      <c r="AY37" s="99"/>
    </row>
    <row r="38" spans="1:56">
      <c r="A38" s="172" t="s">
        <v>110</v>
      </c>
      <c r="B38" s="200"/>
      <c r="C38" s="200"/>
      <c r="D38" s="200"/>
      <c r="E38" s="200"/>
      <c r="F38" s="200"/>
      <c r="G38" s="200"/>
      <c r="H38" s="200"/>
      <c r="I38" s="200"/>
      <c r="J38" s="201"/>
      <c r="K38" s="58" t="e">
        <f>K$50*(SUM(E38:I38)/SUM(E$50:I$50))</f>
        <v>#DIV/0!</v>
      </c>
      <c r="L38" s="58" t="e">
        <f t="shared" ref="L38:S48" si="8">L$50*(SUM(F38:J38)/SUM(F$50:J$50))</f>
        <v>#DIV/0!</v>
      </c>
      <c r="M38" s="58" t="e">
        <f t="shared" si="8"/>
        <v>#DIV/0!</v>
      </c>
      <c r="N38" s="58" t="e">
        <f t="shared" si="8"/>
        <v>#DIV/0!</v>
      </c>
      <c r="O38" s="58" t="e">
        <f t="shared" si="8"/>
        <v>#DIV/0!</v>
      </c>
      <c r="P38" s="58" t="e">
        <f t="shared" si="8"/>
        <v>#DIV/0!</v>
      </c>
      <c r="Q38" s="58" t="e">
        <f t="shared" si="8"/>
        <v>#DIV/0!</v>
      </c>
      <c r="R38" s="58" t="e">
        <f t="shared" si="8"/>
        <v>#DIV/0!</v>
      </c>
      <c r="S38" s="58" t="e">
        <f t="shared" si="8"/>
        <v>#DIV/0!</v>
      </c>
      <c r="T38" s="58"/>
      <c r="U38" s="58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Z38" s="76"/>
      <c r="BA38" s="14"/>
      <c r="BC38" s="14"/>
      <c r="BD38" s="14"/>
    </row>
    <row r="39" spans="1:56">
      <c r="A39" s="172" t="s">
        <v>111</v>
      </c>
      <c r="B39" s="200"/>
      <c r="C39" s="200"/>
      <c r="D39" s="200"/>
      <c r="E39" s="200"/>
      <c r="F39" s="200"/>
      <c r="G39" s="200"/>
      <c r="H39" s="200"/>
      <c r="I39" s="200"/>
      <c r="J39" s="201"/>
      <c r="K39" s="58" t="e">
        <f t="shared" ref="K39:K48" si="9">K$50*(SUM(E39:I39)/SUM(E$50:I$50))</f>
        <v>#DIV/0!</v>
      </c>
      <c r="L39" s="58" t="e">
        <f t="shared" si="8"/>
        <v>#DIV/0!</v>
      </c>
      <c r="M39" s="58" t="e">
        <f t="shared" si="8"/>
        <v>#DIV/0!</v>
      </c>
      <c r="N39" s="58" t="e">
        <f t="shared" si="8"/>
        <v>#DIV/0!</v>
      </c>
      <c r="O39" s="58" t="e">
        <f t="shared" si="8"/>
        <v>#DIV/0!</v>
      </c>
      <c r="P39" s="58" t="e">
        <f t="shared" si="8"/>
        <v>#DIV/0!</v>
      </c>
      <c r="Q39" s="58" t="e">
        <f t="shared" si="8"/>
        <v>#DIV/0!</v>
      </c>
      <c r="R39" s="58" t="e">
        <f t="shared" si="8"/>
        <v>#DIV/0!</v>
      </c>
      <c r="S39" s="58" t="e">
        <f t="shared" si="8"/>
        <v>#DIV/0!</v>
      </c>
      <c r="T39" s="58"/>
      <c r="U39" s="58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Z39" s="76"/>
      <c r="BA39" s="14"/>
      <c r="BC39" s="14"/>
      <c r="BD39" s="14"/>
    </row>
    <row r="40" spans="1:56">
      <c r="A40" s="172" t="s">
        <v>112</v>
      </c>
      <c r="B40" s="200"/>
      <c r="C40" s="200"/>
      <c r="D40" s="200"/>
      <c r="E40" s="200"/>
      <c r="F40" s="200"/>
      <c r="G40" s="200"/>
      <c r="H40" s="200"/>
      <c r="I40" s="200"/>
      <c r="J40" s="201"/>
      <c r="K40" s="58" t="e">
        <f t="shared" si="9"/>
        <v>#DIV/0!</v>
      </c>
      <c r="L40" s="58" t="e">
        <f t="shared" si="8"/>
        <v>#DIV/0!</v>
      </c>
      <c r="M40" s="58" t="e">
        <f t="shared" si="8"/>
        <v>#DIV/0!</v>
      </c>
      <c r="N40" s="58" t="e">
        <f t="shared" si="8"/>
        <v>#DIV/0!</v>
      </c>
      <c r="O40" s="58" t="e">
        <f t="shared" si="8"/>
        <v>#DIV/0!</v>
      </c>
      <c r="P40" s="58" t="e">
        <f t="shared" si="8"/>
        <v>#DIV/0!</v>
      </c>
      <c r="Q40" s="58" t="e">
        <f t="shared" si="8"/>
        <v>#DIV/0!</v>
      </c>
      <c r="R40" s="58" t="e">
        <f t="shared" si="8"/>
        <v>#DIV/0!</v>
      </c>
      <c r="S40" s="58" t="e">
        <f t="shared" si="8"/>
        <v>#DIV/0!</v>
      </c>
      <c r="T40" s="58"/>
      <c r="U40" s="58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Z40" s="76"/>
      <c r="BA40" s="14"/>
      <c r="BC40" s="14"/>
      <c r="BD40" s="14"/>
    </row>
    <row r="41" spans="1:56">
      <c r="A41" s="172" t="s">
        <v>100</v>
      </c>
      <c r="B41" s="200"/>
      <c r="C41" s="200"/>
      <c r="D41" s="200"/>
      <c r="E41" s="200"/>
      <c r="F41" s="200"/>
      <c r="G41" s="200"/>
      <c r="H41" s="200"/>
      <c r="I41" s="200"/>
      <c r="J41" s="58" t="e">
        <f t="shared" ref="J41:J48" si="10">J$50*(SUM(D41:H41)/SUM(D$50:H$50))</f>
        <v>#DIV/0!</v>
      </c>
      <c r="K41" s="58" t="e">
        <f t="shared" si="9"/>
        <v>#DIV/0!</v>
      </c>
      <c r="L41" s="58" t="e">
        <f t="shared" si="8"/>
        <v>#DIV/0!</v>
      </c>
      <c r="M41" s="58" t="e">
        <f t="shared" si="8"/>
        <v>#DIV/0!</v>
      </c>
      <c r="N41" s="58" t="e">
        <f t="shared" si="8"/>
        <v>#DIV/0!</v>
      </c>
      <c r="O41" s="58" t="e">
        <f t="shared" si="8"/>
        <v>#DIV/0!</v>
      </c>
      <c r="P41" s="58" t="e">
        <f t="shared" si="8"/>
        <v>#DIV/0!</v>
      </c>
      <c r="Q41" s="58" t="e">
        <f t="shared" si="8"/>
        <v>#DIV/0!</v>
      </c>
      <c r="R41" s="58" t="e">
        <f t="shared" si="8"/>
        <v>#DIV/0!</v>
      </c>
      <c r="S41" s="58" t="e">
        <f t="shared" si="8"/>
        <v>#DIV/0!</v>
      </c>
      <c r="T41" s="58"/>
      <c r="U41" s="58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Z41" s="76"/>
      <c r="BA41" s="14"/>
      <c r="BC41" s="14"/>
      <c r="BD41" s="14"/>
    </row>
    <row r="42" spans="1:56">
      <c r="A42" s="172" t="s">
        <v>102</v>
      </c>
      <c r="B42" s="200"/>
      <c r="C42" s="200"/>
      <c r="D42" s="200"/>
      <c r="E42" s="200"/>
      <c r="F42" s="200"/>
      <c r="G42" s="200"/>
      <c r="H42" s="200"/>
      <c r="I42" s="200"/>
      <c r="J42" s="58" t="e">
        <f t="shared" si="10"/>
        <v>#DIV/0!</v>
      </c>
      <c r="K42" s="58" t="e">
        <f t="shared" si="9"/>
        <v>#DIV/0!</v>
      </c>
      <c r="L42" s="58" t="e">
        <f t="shared" si="8"/>
        <v>#DIV/0!</v>
      </c>
      <c r="M42" s="58" t="e">
        <f t="shared" si="8"/>
        <v>#DIV/0!</v>
      </c>
      <c r="N42" s="58" t="e">
        <f t="shared" si="8"/>
        <v>#DIV/0!</v>
      </c>
      <c r="O42" s="58" t="e">
        <f t="shared" si="8"/>
        <v>#DIV/0!</v>
      </c>
      <c r="P42" s="58" t="e">
        <f t="shared" si="8"/>
        <v>#DIV/0!</v>
      </c>
      <c r="Q42" s="58" t="e">
        <f t="shared" si="8"/>
        <v>#DIV/0!</v>
      </c>
      <c r="R42" s="58" t="e">
        <f t="shared" si="8"/>
        <v>#DIV/0!</v>
      </c>
      <c r="S42" s="58" t="e">
        <f t="shared" si="8"/>
        <v>#DIV/0!</v>
      </c>
      <c r="T42" s="58"/>
      <c r="U42" s="58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Z42" s="76"/>
      <c r="BA42" s="14"/>
      <c r="BC42" s="14"/>
      <c r="BD42" s="14"/>
    </row>
    <row r="43" spans="1:56">
      <c r="A43" s="172" t="s">
        <v>103</v>
      </c>
      <c r="B43" s="200"/>
      <c r="C43" s="200"/>
      <c r="D43" s="200"/>
      <c r="E43" s="200"/>
      <c r="F43" s="200"/>
      <c r="G43" s="200"/>
      <c r="H43" s="200"/>
      <c r="I43" s="200"/>
      <c r="J43" s="58" t="e">
        <f t="shared" si="10"/>
        <v>#DIV/0!</v>
      </c>
      <c r="K43" s="58" t="e">
        <f t="shared" si="9"/>
        <v>#DIV/0!</v>
      </c>
      <c r="L43" s="58" t="e">
        <f t="shared" si="8"/>
        <v>#DIV/0!</v>
      </c>
      <c r="M43" s="58" t="e">
        <f t="shared" si="8"/>
        <v>#DIV/0!</v>
      </c>
      <c r="N43" s="58" t="e">
        <f t="shared" si="8"/>
        <v>#DIV/0!</v>
      </c>
      <c r="O43" s="58" t="e">
        <f t="shared" si="8"/>
        <v>#DIV/0!</v>
      </c>
      <c r="P43" s="58" t="e">
        <f t="shared" si="8"/>
        <v>#DIV/0!</v>
      </c>
      <c r="Q43" s="58" t="e">
        <f t="shared" si="8"/>
        <v>#DIV/0!</v>
      </c>
      <c r="R43" s="58" t="e">
        <f t="shared" si="8"/>
        <v>#DIV/0!</v>
      </c>
      <c r="S43" s="58" t="e">
        <f t="shared" si="8"/>
        <v>#DIV/0!</v>
      </c>
      <c r="T43" s="58"/>
      <c r="U43" s="58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Z43" s="76"/>
      <c r="BA43" s="14"/>
      <c r="BC43" s="14"/>
      <c r="BD43" s="14"/>
    </row>
    <row r="44" spans="1:56">
      <c r="A44" s="172" t="s">
        <v>104</v>
      </c>
      <c r="B44" s="200"/>
      <c r="C44" s="200"/>
      <c r="D44" s="200"/>
      <c r="E44" s="200"/>
      <c r="F44" s="200"/>
      <c r="G44" s="200"/>
      <c r="H44" s="200"/>
      <c r="I44" s="200"/>
      <c r="J44" s="58" t="e">
        <f t="shared" si="10"/>
        <v>#DIV/0!</v>
      </c>
      <c r="K44" s="58" t="e">
        <f t="shared" si="9"/>
        <v>#DIV/0!</v>
      </c>
      <c r="L44" s="58" t="e">
        <f t="shared" si="8"/>
        <v>#DIV/0!</v>
      </c>
      <c r="M44" s="58" t="e">
        <f t="shared" si="8"/>
        <v>#DIV/0!</v>
      </c>
      <c r="N44" s="58" t="e">
        <f t="shared" si="8"/>
        <v>#DIV/0!</v>
      </c>
      <c r="O44" s="58" t="e">
        <f t="shared" si="8"/>
        <v>#DIV/0!</v>
      </c>
      <c r="P44" s="58" t="e">
        <f t="shared" si="8"/>
        <v>#DIV/0!</v>
      </c>
      <c r="Q44" s="58" t="e">
        <f t="shared" si="8"/>
        <v>#DIV/0!</v>
      </c>
      <c r="R44" s="58" t="e">
        <f t="shared" si="8"/>
        <v>#DIV/0!</v>
      </c>
      <c r="S44" s="58" t="e">
        <f t="shared" si="8"/>
        <v>#DIV/0!</v>
      </c>
      <c r="T44" s="58"/>
      <c r="U44" s="58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Z44" s="76"/>
      <c r="BA44" s="14"/>
      <c r="BC44" s="14"/>
      <c r="BD44" s="14"/>
    </row>
    <row r="45" spans="1:56">
      <c r="A45" s="172" t="s">
        <v>105</v>
      </c>
      <c r="B45" s="200"/>
      <c r="C45" s="200"/>
      <c r="D45" s="200"/>
      <c r="E45" s="200"/>
      <c r="F45" s="200"/>
      <c r="G45" s="200"/>
      <c r="H45" s="200"/>
      <c r="I45" s="200"/>
      <c r="J45" s="58" t="e">
        <f t="shared" si="10"/>
        <v>#DIV/0!</v>
      </c>
      <c r="K45" s="58" t="e">
        <f t="shared" si="9"/>
        <v>#DIV/0!</v>
      </c>
      <c r="L45" s="58" t="e">
        <f t="shared" si="8"/>
        <v>#DIV/0!</v>
      </c>
      <c r="M45" s="58" t="e">
        <f t="shared" si="8"/>
        <v>#DIV/0!</v>
      </c>
      <c r="N45" s="58" t="e">
        <f t="shared" si="8"/>
        <v>#DIV/0!</v>
      </c>
      <c r="O45" s="58" t="e">
        <f t="shared" si="8"/>
        <v>#DIV/0!</v>
      </c>
      <c r="P45" s="58" t="e">
        <f t="shared" si="8"/>
        <v>#DIV/0!</v>
      </c>
      <c r="Q45" s="58" t="e">
        <f t="shared" si="8"/>
        <v>#DIV/0!</v>
      </c>
      <c r="R45" s="58" t="e">
        <f t="shared" si="8"/>
        <v>#DIV/0!</v>
      </c>
      <c r="S45" s="58" t="e">
        <f t="shared" si="8"/>
        <v>#DIV/0!</v>
      </c>
      <c r="T45" s="58"/>
      <c r="U45" s="58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Z45" s="76"/>
      <c r="BA45" s="14"/>
      <c r="BC45" s="14"/>
      <c r="BD45" s="14"/>
    </row>
    <row r="46" spans="1:56">
      <c r="A46" s="172" t="s">
        <v>106</v>
      </c>
      <c r="B46" s="200"/>
      <c r="C46" s="200"/>
      <c r="D46" s="200"/>
      <c r="E46" s="200"/>
      <c r="F46" s="200"/>
      <c r="G46" s="200"/>
      <c r="H46" s="200"/>
      <c r="I46" s="200"/>
      <c r="J46" s="58" t="e">
        <f t="shared" si="10"/>
        <v>#DIV/0!</v>
      </c>
      <c r="K46" s="58" t="e">
        <f t="shared" si="9"/>
        <v>#DIV/0!</v>
      </c>
      <c r="L46" s="58" t="e">
        <f t="shared" si="8"/>
        <v>#DIV/0!</v>
      </c>
      <c r="M46" s="58" t="e">
        <f t="shared" si="8"/>
        <v>#DIV/0!</v>
      </c>
      <c r="N46" s="58" t="e">
        <f t="shared" si="8"/>
        <v>#DIV/0!</v>
      </c>
      <c r="O46" s="58" t="e">
        <f t="shared" si="8"/>
        <v>#DIV/0!</v>
      </c>
      <c r="P46" s="58" t="e">
        <f t="shared" si="8"/>
        <v>#DIV/0!</v>
      </c>
      <c r="Q46" s="58" t="e">
        <f t="shared" si="8"/>
        <v>#DIV/0!</v>
      </c>
      <c r="R46" s="58" t="e">
        <f t="shared" si="8"/>
        <v>#DIV/0!</v>
      </c>
      <c r="S46" s="58" t="e">
        <f t="shared" si="8"/>
        <v>#DIV/0!</v>
      </c>
      <c r="T46" s="58"/>
      <c r="U46" s="58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Z46" s="76"/>
      <c r="BA46" s="14"/>
      <c r="BC46" s="14"/>
      <c r="BD46" s="14"/>
    </row>
    <row r="47" spans="1:56">
      <c r="A47" s="172" t="s">
        <v>107</v>
      </c>
      <c r="B47" s="200"/>
      <c r="C47" s="200"/>
      <c r="D47" s="200"/>
      <c r="E47" s="200"/>
      <c r="F47" s="200"/>
      <c r="G47" s="200"/>
      <c r="H47" s="200"/>
      <c r="I47" s="200"/>
      <c r="J47" s="58" t="e">
        <f t="shared" si="10"/>
        <v>#DIV/0!</v>
      </c>
      <c r="K47" s="58" t="e">
        <f t="shared" si="9"/>
        <v>#DIV/0!</v>
      </c>
      <c r="L47" s="58" t="e">
        <f t="shared" si="8"/>
        <v>#DIV/0!</v>
      </c>
      <c r="M47" s="58" t="e">
        <f t="shared" si="8"/>
        <v>#DIV/0!</v>
      </c>
      <c r="N47" s="58" t="e">
        <f t="shared" si="8"/>
        <v>#DIV/0!</v>
      </c>
      <c r="O47" s="58" t="e">
        <f t="shared" si="8"/>
        <v>#DIV/0!</v>
      </c>
      <c r="P47" s="58" t="e">
        <f t="shared" si="8"/>
        <v>#DIV/0!</v>
      </c>
      <c r="Q47" s="58" t="e">
        <f t="shared" si="8"/>
        <v>#DIV/0!</v>
      </c>
      <c r="R47" s="58" t="e">
        <f t="shared" si="8"/>
        <v>#DIV/0!</v>
      </c>
      <c r="S47" s="58" t="e">
        <f t="shared" si="8"/>
        <v>#DIV/0!</v>
      </c>
      <c r="T47" s="58"/>
      <c r="U47" s="58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Z47" s="76"/>
      <c r="BA47" s="14"/>
      <c r="BC47" s="14"/>
      <c r="BD47" s="14"/>
    </row>
    <row r="48" spans="1:56">
      <c r="A48" s="172" t="s">
        <v>108</v>
      </c>
      <c r="B48" s="200"/>
      <c r="C48" s="200"/>
      <c r="D48" s="200"/>
      <c r="E48" s="200"/>
      <c r="F48" s="200"/>
      <c r="G48" s="200"/>
      <c r="H48" s="200"/>
      <c r="I48" s="200"/>
      <c r="J48" s="58" t="e">
        <f t="shared" si="10"/>
        <v>#DIV/0!</v>
      </c>
      <c r="K48" s="58" t="e">
        <f t="shared" si="9"/>
        <v>#DIV/0!</v>
      </c>
      <c r="L48" s="58" t="e">
        <f t="shared" si="8"/>
        <v>#DIV/0!</v>
      </c>
      <c r="M48" s="58" t="e">
        <f t="shared" si="8"/>
        <v>#DIV/0!</v>
      </c>
      <c r="N48" s="58" t="e">
        <f t="shared" si="8"/>
        <v>#DIV/0!</v>
      </c>
      <c r="O48" s="58" t="e">
        <f t="shared" si="8"/>
        <v>#DIV/0!</v>
      </c>
      <c r="P48" s="58" t="e">
        <f t="shared" si="8"/>
        <v>#DIV/0!</v>
      </c>
      <c r="Q48" s="58" t="e">
        <f t="shared" si="8"/>
        <v>#DIV/0!</v>
      </c>
      <c r="R48" s="58" t="e">
        <f t="shared" si="8"/>
        <v>#DIV/0!</v>
      </c>
      <c r="S48" s="58" t="e">
        <f t="shared" si="8"/>
        <v>#DIV/0!</v>
      </c>
      <c r="T48" s="58"/>
      <c r="U48" s="58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Z48" s="76"/>
      <c r="BA48" s="14"/>
      <c r="BC48" s="14"/>
      <c r="BD48" s="14"/>
    </row>
    <row r="49" spans="1:56">
      <c r="A49" s="172" t="s">
        <v>109</v>
      </c>
      <c r="B49" s="200"/>
      <c r="C49" s="200"/>
      <c r="D49" s="200"/>
      <c r="E49" s="200"/>
      <c r="F49" s="200"/>
      <c r="G49" s="200"/>
      <c r="H49" s="200"/>
      <c r="I49" s="200"/>
      <c r="J49" s="58" t="e">
        <f>J50-SUM(J38:J48)</f>
        <v>#DIV/0!</v>
      </c>
      <c r="K49" s="58" t="e">
        <f>K50-SUM(K38:K48)</f>
        <v>#DIV/0!</v>
      </c>
      <c r="L49" s="58" t="e">
        <f t="shared" ref="L49:S49" si="11">L50-SUM(L38:L48)</f>
        <v>#DIV/0!</v>
      </c>
      <c r="M49" s="58" t="e">
        <f t="shared" si="11"/>
        <v>#DIV/0!</v>
      </c>
      <c r="N49" s="58" t="e">
        <f t="shared" si="11"/>
        <v>#DIV/0!</v>
      </c>
      <c r="O49" s="58" t="e">
        <f t="shared" si="11"/>
        <v>#DIV/0!</v>
      </c>
      <c r="P49" s="58" t="e">
        <f t="shared" si="11"/>
        <v>#DIV/0!</v>
      </c>
      <c r="Q49" s="58" t="e">
        <f t="shared" si="11"/>
        <v>#DIV/0!</v>
      </c>
      <c r="R49" s="58" t="e">
        <f t="shared" si="11"/>
        <v>#DIV/0!</v>
      </c>
      <c r="S49" s="58" t="e">
        <f t="shared" si="11"/>
        <v>#DIV/0!</v>
      </c>
      <c r="T49" s="58"/>
      <c r="U49" s="58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Z49" s="76"/>
      <c r="BA49" s="14"/>
      <c r="BC49" s="14"/>
      <c r="BD49" s="14"/>
    </row>
    <row r="50" spans="1:56" ht="15.75" thickBot="1">
      <c r="A50" s="172" t="s">
        <v>113</v>
      </c>
      <c r="B50" s="59">
        <f t="shared" ref="B50:I50" si="12">SUM(B38:B49)</f>
        <v>0</v>
      </c>
      <c r="C50" s="59">
        <f t="shared" si="12"/>
        <v>0</v>
      </c>
      <c r="D50" s="59">
        <f t="shared" si="12"/>
        <v>0</v>
      </c>
      <c r="E50" s="59">
        <f t="shared" si="12"/>
        <v>0</v>
      </c>
      <c r="F50" s="59">
        <f t="shared" si="12"/>
        <v>0</v>
      </c>
      <c r="G50" s="59">
        <f t="shared" si="12"/>
        <v>0</v>
      </c>
      <c r="H50" s="59">
        <f t="shared" si="12"/>
        <v>0</v>
      </c>
      <c r="I50" s="59">
        <f t="shared" si="12"/>
        <v>0</v>
      </c>
      <c r="J50" s="58">
        <f>J5</f>
        <v>0</v>
      </c>
      <c r="K50" s="58">
        <f t="shared" ref="K50:S50" si="13">K5</f>
        <v>0</v>
      </c>
      <c r="L50" s="58">
        <f t="shared" si="13"/>
        <v>0</v>
      </c>
      <c r="M50" s="58">
        <f t="shared" si="13"/>
        <v>0</v>
      </c>
      <c r="N50" s="58">
        <f t="shared" si="13"/>
        <v>0</v>
      </c>
      <c r="O50" s="58">
        <f t="shared" si="13"/>
        <v>0</v>
      </c>
      <c r="P50" s="58">
        <f t="shared" si="13"/>
        <v>0</v>
      </c>
      <c r="Q50" s="58">
        <f t="shared" si="13"/>
        <v>0</v>
      </c>
      <c r="R50" s="58">
        <f t="shared" si="13"/>
        <v>0</v>
      </c>
      <c r="S50" s="58">
        <f t="shared" si="13"/>
        <v>0</v>
      </c>
      <c r="T50" s="58"/>
      <c r="U50" s="58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BC50" s="14"/>
      <c r="BD50" s="14"/>
    </row>
    <row r="51" spans="1:56">
      <c r="A51" s="178"/>
      <c r="B51" s="178"/>
      <c r="C51" s="178"/>
      <c r="D51" s="178"/>
      <c r="E51" s="178"/>
      <c r="F51" s="178"/>
      <c r="G51" s="178"/>
      <c r="H51" s="178"/>
      <c r="I51" s="178"/>
      <c r="J51" s="199"/>
      <c r="K51" s="199"/>
      <c r="L51" s="199"/>
      <c r="M51" s="199"/>
      <c r="N51" s="199"/>
      <c r="O51" s="202"/>
      <c r="P51" s="202"/>
      <c r="Q51" s="202"/>
      <c r="R51" s="202"/>
      <c r="S51" s="202"/>
      <c r="T51" s="202"/>
      <c r="U51" s="202"/>
      <c r="V51" s="181"/>
      <c r="W51" s="181"/>
      <c r="X51" s="181"/>
      <c r="Y51" s="181"/>
      <c r="Z51" s="181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4"/>
    </row>
    <row r="52" spans="1:56" ht="15.75" thickBot="1">
      <c r="A52" s="172" t="s">
        <v>198</v>
      </c>
      <c r="E52" s="59">
        <v>1000000</v>
      </c>
    </row>
    <row r="53" spans="1:56" ht="15.75" thickBot="1">
      <c r="A53" s="174"/>
      <c r="B53" s="174">
        <f t="shared" ref="B53:T53" si="14">B2</f>
        <v>2016</v>
      </c>
      <c r="C53" s="174">
        <f t="shared" si="14"/>
        <v>2017</v>
      </c>
      <c r="D53" s="174">
        <f t="shared" si="14"/>
        <v>2018</v>
      </c>
      <c r="E53" s="174">
        <f t="shared" si="14"/>
        <v>2019</v>
      </c>
      <c r="F53" s="174">
        <f t="shared" si="14"/>
        <v>2020</v>
      </c>
      <c r="G53" s="174">
        <f t="shared" si="14"/>
        <v>2021</v>
      </c>
      <c r="H53" s="174">
        <f t="shared" si="14"/>
        <v>2022</v>
      </c>
      <c r="I53" s="174">
        <f t="shared" si="14"/>
        <v>2023</v>
      </c>
      <c r="J53" s="174">
        <f t="shared" si="14"/>
        <v>2024</v>
      </c>
      <c r="K53" s="174">
        <f t="shared" si="14"/>
        <v>2025</v>
      </c>
      <c r="L53" s="174">
        <f t="shared" si="14"/>
        <v>2026</v>
      </c>
      <c r="M53" s="174">
        <f t="shared" si="14"/>
        <v>2027</v>
      </c>
      <c r="N53" s="174">
        <f t="shared" si="14"/>
        <v>2028</v>
      </c>
      <c r="O53" s="174">
        <f t="shared" si="14"/>
        <v>2029</v>
      </c>
      <c r="P53" s="174">
        <f t="shared" si="14"/>
        <v>2030</v>
      </c>
      <c r="Q53" s="174">
        <f t="shared" si="14"/>
        <v>2031</v>
      </c>
      <c r="R53" s="174">
        <f t="shared" si="14"/>
        <v>2032</v>
      </c>
      <c r="S53" s="174">
        <f t="shared" si="14"/>
        <v>2033</v>
      </c>
      <c r="T53" s="174">
        <f t="shared" si="14"/>
        <v>2034</v>
      </c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5"/>
    </row>
    <row r="54" spans="1:56">
      <c r="A54" s="172" t="s">
        <v>110</v>
      </c>
      <c r="B54" s="200"/>
      <c r="C54" s="200"/>
      <c r="D54" s="200"/>
      <c r="E54" s="200"/>
      <c r="F54" s="200"/>
      <c r="G54" s="200"/>
      <c r="H54" s="200"/>
      <c r="I54" s="200"/>
      <c r="J54" s="201"/>
      <c r="K54" s="58" t="e">
        <f t="shared" ref="K54:S64" si="15">K$66*(SUM(E54:I54)/SUM(E$66:I$66))</f>
        <v>#DIV/0!</v>
      </c>
      <c r="L54" s="58" t="e">
        <f t="shared" ref="L54:L55" si="16">L$66*(SUM(F54:J54)/SUM(F$66:J$66))</f>
        <v>#DIV/0!</v>
      </c>
      <c r="M54" s="58" t="e">
        <f t="shared" ref="M54:S55" si="17">M$66*(SUM(G54:K54)/SUM(G$66:K$66))</f>
        <v>#DIV/0!</v>
      </c>
      <c r="N54" s="58" t="e">
        <f t="shared" si="17"/>
        <v>#DIV/0!</v>
      </c>
      <c r="O54" s="58" t="e">
        <f t="shared" si="17"/>
        <v>#DIV/0!</v>
      </c>
      <c r="P54" s="58" t="e">
        <f t="shared" si="17"/>
        <v>#DIV/0!</v>
      </c>
      <c r="Q54" s="58" t="e">
        <f t="shared" si="17"/>
        <v>#DIV/0!</v>
      </c>
      <c r="R54" s="58" t="e">
        <f t="shared" si="17"/>
        <v>#DIV/0!</v>
      </c>
      <c r="S54" s="58" t="e">
        <f t="shared" si="17"/>
        <v>#DIV/0!</v>
      </c>
      <c r="T54" s="58"/>
      <c r="U54" s="58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14"/>
      <c r="AZ54" s="14"/>
    </row>
    <row r="55" spans="1:56">
      <c r="A55" s="172" t="s">
        <v>111</v>
      </c>
      <c r="B55" s="200"/>
      <c r="C55" s="200"/>
      <c r="D55" s="200"/>
      <c r="E55" s="200"/>
      <c r="F55" s="200"/>
      <c r="G55" s="200"/>
      <c r="H55" s="200"/>
      <c r="I55" s="200"/>
      <c r="J55" s="201"/>
      <c r="K55" s="58" t="e">
        <f t="shared" si="15"/>
        <v>#DIV/0!</v>
      </c>
      <c r="L55" s="58" t="e">
        <f t="shared" si="16"/>
        <v>#DIV/0!</v>
      </c>
      <c r="M55" s="58" t="e">
        <f t="shared" si="17"/>
        <v>#DIV/0!</v>
      </c>
      <c r="N55" s="58" t="e">
        <f t="shared" si="17"/>
        <v>#DIV/0!</v>
      </c>
      <c r="O55" s="58" t="e">
        <f t="shared" si="17"/>
        <v>#DIV/0!</v>
      </c>
      <c r="P55" s="58" t="e">
        <f t="shared" si="17"/>
        <v>#DIV/0!</v>
      </c>
      <c r="Q55" s="58" t="e">
        <f t="shared" si="17"/>
        <v>#DIV/0!</v>
      </c>
      <c r="R55" s="58" t="e">
        <f t="shared" si="17"/>
        <v>#DIV/0!</v>
      </c>
      <c r="S55" s="58" t="e">
        <f t="shared" si="17"/>
        <v>#DIV/0!</v>
      </c>
      <c r="T55" s="58"/>
      <c r="U55" s="58">
        <v>1000</v>
      </c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14"/>
      <c r="AZ55" s="14"/>
      <c r="BA55" s="171"/>
    </row>
    <row r="56" spans="1:56">
      <c r="A56" s="172" t="s">
        <v>112</v>
      </c>
      <c r="B56" s="200"/>
      <c r="C56" s="200"/>
      <c r="D56" s="200"/>
      <c r="E56" s="200"/>
      <c r="F56" s="200"/>
      <c r="G56" s="200"/>
      <c r="H56" s="200"/>
      <c r="I56" s="200"/>
      <c r="J56" s="201"/>
      <c r="K56" s="58" t="e">
        <f t="shared" si="15"/>
        <v>#DIV/0!</v>
      </c>
      <c r="L56" s="58" t="e">
        <f t="shared" si="15"/>
        <v>#DIV/0!</v>
      </c>
      <c r="M56" s="58" t="e">
        <f t="shared" si="15"/>
        <v>#DIV/0!</v>
      </c>
      <c r="N56" s="58" t="e">
        <f t="shared" si="15"/>
        <v>#DIV/0!</v>
      </c>
      <c r="O56" s="58" t="e">
        <f t="shared" si="15"/>
        <v>#DIV/0!</v>
      </c>
      <c r="P56" s="58" t="e">
        <f t="shared" si="15"/>
        <v>#DIV/0!</v>
      </c>
      <c r="Q56" s="58" t="e">
        <f t="shared" si="15"/>
        <v>#DIV/0!</v>
      </c>
      <c r="R56" s="58" t="e">
        <f t="shared" si="15"/>
        <v>#DIV/0!</v>
      </c>
      <c r="S56" s="58" t="e">
        <f t="shared" si="15"/>
        <v>#DIV/0!</v>
      </c>
      <c r="T56" s="58"/>
      <c r="U56" s="58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</row>
    <row r="57" spans="1:56">
      <c r="A57" s="172" t="s">
        <v>100</v>
      </c>
      <c r="B57" s="200"/>
      <c r="C57" s="200"/>
      <c r="D57" s="200"/>
      <c r="E57" s="200"/>
      <c r="F57" s="200"/>
      <c r="G57" s="200"/>
      <c r="H57" s="200"/>
      <c r="I57" s="200"/>
      <c r="J57" s="58" t="e">
        <f t="shared" ref="J57:J64" si="18">J$66*(SUM(D57:H57)/SUM(D$66:H$66))</f>
        <v>#DIV/0!</v>
      </c>
      <c r="K57" s="58" t="e">
        <f t="shared" si="15"/>
        <v>#DIV/0!</v>
      </c>
      <c r="L57" s="58" t="e">
        <f t="shared" si="15"/>
        <v>#DIV/0!</v>
      </c>
      <c r="M57" s="58" t="e">
        <f t="shared" si="15"/>
        <v>#DIV/0!</v>
      </c>
      <c r="N57" s="58" t="e">
        <f t="shared" si="15"/>
        <v>#DIV/0!</v>
      </c>
      <c r="O57" s="58" t="e">
        <f t="shared" si="15"/>
        <v>#DIV/0!</v>
      </c>
      <c r="P57" s="58" t="e">
        <f t="shared" si="15"/>
        <v>#DIV/0!</v>
      </c>
      <c r="Q57" s="58" t="e">
        <f t="shared" si="15"/>
        <v>#DIV/0!</v>
      </c>
      <c r="R57" s="58" t="e">
        <f t="shared" si="15"/>
        <v>#DIV/0!</v>
      </c>
      <c r="S57" s="58" t="e">
        <f t="shared" si="15"/>
        <v>#DIV/0!</v>
      </c>
      <c r="T57" s="58"/>
      <c r="U57" s="58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</row>
    <row r="58" spans="1:56">
      <c r="A58" s="172" t="s">
        <v>102</v>
      </c>
      <c r="B58" s="200"/>
      <c r="C58" s="200"/>
      <c r="D58" s="200"/>
      <c r="E58" s="200"/>
      <c r="F58" s="200"/>
      <c r="G58" s="200"/>
      <c r="H58" s="200"/>
      <c r="I58" s="200"/>
      <c r="J58" s="58" t="e">
        <f t="shared" si="18"/>
        <v>#DIV/0!</v>
      </c>
      <c r="K58" s="58" t="e">
        <f t="shared" si="15"/>
        <v>#DIV/0!</v>
      </c>
      <c r="L58" s="58" t="e">
        <f t="shared" si="15"/>
        <v>#DIV/0!</v>
      </c>
      <c r="M58" s="58" t="e">
        <f t="shared" si="15"/>
        <v>#DIV/0!</v>
      </c>
      <c r="N58" s="58" t="e">
        <f t="shared" si="15"/>
        <v>#DIV/0!</v>
      </c>
      <c r="O58" s="58" t="e">
        <f t="shared" si="15"/>
        <v>#DIV/0!</v>
      </c>
      <c r="P58" s="58" t="e">
        <f t="shared" si="15"/>
        <v>#DIV/0!</v>
      </c>
      <c r="Q58" s="58" t="e">
        <f t="shared" si="15"/>
        <v>#DIV/0!</v>
      </c>
      <c r="R58" s="58" t="e">
        <f t="shared" si="15"/>
        <v>#DIV/0!</v>
      </c>
      <c r="S58" s="58" t="e">
        <f t="shared" si="15"/>
        <v>#DIV/0!</v>
      </c>
      <c r="T58" s="58"/>
      <c r="U58" s="58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</row>
    <row r="59" spans="1:56">
      <c r="A59" s="172" t="s">
        <v>103</v>
      </c>
      <c r="B59" s="200"/>
      <c r="C59" s="200"/>
      <c r="D59" s="200"/>
      <c r="E59" s="200"/>
      <c r="F59" s="200"/>
      <c r="G59" s="200"/>
      <c r="H59" s="200"/>
      <c r="I59" s="200"/>
      <c r="J59" s="58" t="e">
        <f t="shared" si="18"/>
        <v>#DIV/0!</v>
      </c>
      <c r="K59" s="58" t="e">
        <f t="shared" si="15"/>
        <v>#DIV/0!</v>
      </c>
      <c r="L59" s="58" t="e">
        <f t="shared" si="15"/>
        <v>#DIV/0!</v>
      </c>
      <c r="M59" s="58" t="e">
        <f t="shared" si="15"/>
        <v>#DIV/0!</v>
      </c>
      <c r="N59" s="58" t="e">
        <f t="shared" si="15"/>
        <v>#DIV/0!</v>
      </c>
      <c r="O59" s="58" t="e">
        <f t="shared" si="15"/>
        <v>#DIV/0!</v>
      </c>
      <c r="P59" s="58" t="e">
        <f t="shared" si="15"/>
        <v>#DIV/0!</v>
      </c>
      <c r="Q59" s="58" t="e">
        <f t="shared" si="15"/>
        <v>#DIV/0!</v>
      </c>
      <c r="R59" s="58" t="e">
        <f t="shared" si="15"/>
        <v>#DIV/0!</v>
      </c>
      <c r="S59" s="58" t="e">
        <f t="shared" si="15"/>
        <v>#DIV/0!</v>
      </c>
      <c r="T59" s="58"/>
      <c r="U59" s="58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</row>
    <row r="60" spans="1:56">
      <c r="A60" s="172" t="s">
        <v>104</v>
      </c>
      <c r="B60" s="200"/>
      <c r="C60" s="200"/>
      <c r="D60" s="200"/>
      <c r="E60" s="200"/>
      <c r="F60" s="200"/>
      <c r="G60" s="200"/>
      <c r="H60" s="200"/>
      <c r="I60" s="200"/>
      <c r="J60" s="58" t="e">
        <f t="shared" si="18"/>
        <v>#DIV/0!</v>
      </c>
      <c r="K60" s="58" t="e">
        <f t="shared" si="15"/>
        <v>#DIV/0!</v>
      </c>
      <c r="L60" s="58" t="e">
        <f t="shared" si="15"/>
        <v>#DIV/0!</v>
      </c>
      <c r="M60" s="58" t="e">
        <f t="shared" si="15"/>
        <v>#DIV/0!</v>
      </c>
      <c r="N60" s="58" t="e">
        <f t="shared" si="15"/>
        <v>#DIV/0!</v>
      </c>
      <c r="O60" s="58" t="e">
        <f t="shared" si="15"/>
        <v>#DIV/0!</v>
      </c>
      <c r="P60" s="58" t="e">
        <f t="shared" si="15"/>
        <v>#DIV/0!</v>
      </c>
      <c r="Q60" s="58" t="e">
        <f t="shared" si="15"/>
        <v>#DIV/0!</v>
      </c>
      <c r="R60" s="58" t="e">
        <f t="shared" si="15"/>
        <v>#DIV/0!</v>
      </c>
      <c r="S60" s="58" t="e">
        <f t="shared" si="15"/>
        <v>#DIV/0!</v>
      </c>
      <c r="T60" s="58"/>
      <c r="U60" s="58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</row>
    <row r="61" spans="1:56">
      <c r="A61" s="172" t="s">
        <v>105</v>
      </c>
      <c r="B61" s="200"/>
      <c r="C61" s="200"/>
      <c r="D61" s="200"/>
      <c r="E61" s="200"/>
      <c r="F61" s="200"/>
      <c r="G61" s="200"/>
      <c r="H61" s="200"/>
      <c r="I61" s="200"/>
      <c r="J61" s="58" t="e">
        <f t="shared" si="18"/>
        <v>#DIV/0!</v>
      </c>
      <c r="K61" s="58" t="e">
        <f t="shared" si="15"/>
        <v>#DIV/0!</v>
      </c>
      <c r="L61" s="58" t="e">
        <f t="shared" si="15"/>
        <v>#DIV/0!</v>
      </c>
      <c r="M61" s="58" t="e">
        <f t="shared" si="15"/>
        <v>#DIV/0!</v>
      </c>
      <c r="N61" s="58" t="e">
        <f t="shared" si="15"/>
        <v>#DIV/0!</v>
      </c>
      <c r="O61" s="58" t="e">
        <f t="shared" si="15"/>
        <v>#DIV/0!</v>
      </c>
      <c r="P61" s="58" t="e">
        <f t="shared" si="15"/>
        <v>#DIV/0!</v>
      </c>
      <c r="Q61" s="58" t="e">
        <f t="shared" si="15"/>
        <v>#DIV/0!</v>
      </c>
      <c r="R61" s="58" t="e">
        <f t="shared" si="15"/>
        <v>#DIV/0!</v>
      </c>
      <c r="S61" s="58" t="e">
        <f t="shared" si="15"/>
        <v>#DIV/0!</v>
      </c>
      <c r="T61" s="58"/>
      <c r="U61" s="58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 spans="1:56">
      <c r="A62" s="172" t="s">
        <v>106</v>
      </c>
      <c r="B62" s="200"/>
      <c r="C62" s="200"/>
      <c r="D62" s="200"/>
      <c r="E62" s="200"/>
      <c r="F62" s="200"/>
      <c r="G62" s="200"/>
      <c r="H62" s="200"/>
      <c r="I62" s="200"/>
      <c r="J62" s="58" t="e">
        <f t="shared" si="18"/>
        <v>#DIV/0!</v>
      </c>
      <c r="K62" s="58" t="e">
        <f t="shared" si="15"/>
        <v>#DIV/0!</v>
      </c>
      <c r="L62" s="58" t="e">
        <f t="shared" si="15"/>
        <v>#DIV/0!</v>
      </c>
      <c r="M62" s="58" t="e">
        <f t="shared" si="15"/>
        <v>#DIV/0!</v>
      </c>
      <c r="N62" s="58" t="e">
        <f t="shared" si="15"/>
        <v>#DIV/0!</v>
      </c>
      <c r="O62" s="58" t="e">
        <f t="shared" si="15"/>
        <v>#DIV/0!</v>
      </c>
      <c r="P62" s="58" t="e">
        <f t="shared" si="15"/>
        <v>#DIV/0!</v>
      </c>
      <c r="Q62" s="58" t="e">
        <f t="shared" si="15"/>
        <v>#DIV/0!</v>
      </c>
      <c r="R62" s="58" t="e">
        <f t="shared" si="15"/>
        <v>#DIV/0!</v>
      </c>
      <c r="S62" s="58" t="e">
        <f t="shared" si="15"/>
        <v>#DIV/0!</v>
      </c>
      <c r="T62" s="58"/>
      <c r="U62" s="58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</row>
    <row r="63" spans="1:56">
      <c r="A63" s="172" t="s">
        <v>107</v>
      </c>
      <c r="B63" s="200"/>
      <c r="C63" s="200"/>
      <c r="D63" s="200"/>
      <c r="E63" s="200"/>
      <c r="F63" s="200"/>
      <c r="G63" s="200"/>
      <c r="H63" s="200"/>
      <c r="I63" s="200"/>
      <c r="J63" s="58" t="e">
        <f t="shared" si="18"/>
        <v>#DIV/0!</v>
      </c>
      <c r="K63" s="58" t="e">
        <f t="shared" si="15"/>
        <v>#DIV/0!</v>
      </c>
      <c r="L63" s="58" t="e">
        <f t="shared" si="15"/>
        <v>#DIV/0!</v>
      </c>
      <c r="M63" s="58" t="e">
        <f t="shared" si="15"/>
        <v>#DIV/0!</v>
      </c>
      <c r="N63" s="58" t="e">
        <f t="shared" si="15"/>
        <v>#DIV/0!</v>
      </c>
      <c r="O63" s="58" t="e">
        <f t="shared" si="15"/>
        <v>#DIV/0!</v>
      </c>
      <c r="P63" s="58" t="e">
        <f t="shared" si="15"/>
        <v>#DIV/0!</v>
      </c>
      <c r="Q63" s="58" t="e">
        <f t="shared" si="15"/>
        <v>#DIV/0!</v>
      </c>
      <c r="R63" s="58" t="e">
        <f t="shared" si="15"/>
        <v>#DIV/0!</v>
      </c>
      <c r="S63" s="58" t="e">
        <f t="shared" si="15"/>
        <v>#DIV/0!</v>
      </c>
      <c r="T63" s="58"/>
      <c r="U63" s="58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</row>
    <row r="64" spans="1:56">
      <c r="A64" s="172" t="s">
        <v>108</v>
      </c>
      <c r="B64" s="200"/>
      <c r="C64" s="200"/>
      <c r="D64" s="200"/>
      <c r="E64" s="200"/>
      <c r="F64" s="200"/>
      <c r="G64" s="200"/>
      <c r="H64" s="200"/>
      <c r="I64" s="200"/>
      <c r="J64" s="58" t="e">
        <f t="shared" si="18"/>
        <v>#DIV/0!</v>
      </c>
      <c r="K64" s="58" t="e">
        <f t="shared" si="15"/>
        <v>#DIV/0!</v>
      </c>
      <c r="L64" s="58" t="e">
        <f t="shared" si="15"/>
        <v>#DIV/0!</v>
      </c>
      <c r="M64" s="58" t="e">
        <f t="shared" si="15"/>
        <v>#DIV/0!</v>
      </c>
      <c r="N64" s="58" t="e">
        <f t="shared" si="15"/>
        <v>#DIV/0!</v>
      </c>
      <c r="O64" s="58" t="e">
        <f t="shared" si="15"/>
        <v>#DIV/0!</v>
      </c>
      <c r="P64" s="58" t="e">
        <f t="shared" si="15"/>
        <v>#DIV/0!</v>
      </c>
      <c r="Q64" s="58" t="e">
        <f t="shared" si="15"/>
        <v>#DIV/0!</v>
      </c>
      <c r="R64" s="58" t="e">
        <f t="shared" si="15"/>
        <v>#DIV/0!</v>
      </c>
      <c r="S64" s="58" t="e">
        <f t="shared" si="15"/>
        <v>#DIV/0!</v>
      </c>
      <c r="T64" s="58"/>
      <c r="U64" s="58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</row>
    <row r="65" spans="1:50">
      <c r="A65" s="172" t="s">
        <v>109</v>
      </c>
      <c r="B65" s="200"/>
      <c r="C65" s="200"/>
      <c r="D65" s="200"/>
      <c r="E65" s="200"/>
      <c r="F65" s="200"/>
      <c r="G65" s="200"/>
      <c r="H65" s="200"/>
      <c r="I65" s="200"/>
      <c r="J65" s="58" t="e">
        <f>J66-SUM(J54:J64)</f>
        <v>#DIV/0!</v>
      </c>
      <c r="K65" s="58" t="e">
        <f t="shared" ref="K65:S65" si="19">K66-SUM(K54:K64)</f>
        <v>#DIV/0!</v>
      </c>
      <c r="L65" s="58" t="e">
        <f t="shared" si="19"/>
        <v>#DIV/0!</v>
      </c>
      <c r="M65" s="58" t="e">
        <f t="shared" si="19"/>
        <v>#DIV/0!</v>
      </c>
      <c r="N65" s="58" t="e">
        <f t="shared" si="19"/>
        <v>#DIV/0!</v>
      </c>
      <c r="O65" s="58" t="e">
        <f t="shared" si="19"/>
        <v>#DIV/0!</v>
      </c>
      <c r="P65" s="58" t="e">
        <f t="shared" si="19"/>
        <v>#DIV/0!</v>
      </c>
      <c r="Q65" s="58" t="e">
        <f t="shared" si="19"/>
        <v>#DIV/0!</v>
      </c>
      <c r="R65" s="58" t="e">
        <f t="shared" si="19"/>
        <v>#DIV/0!</v>
      </c>
      <c r="S65" s="58" t="e">
        <f t="shared" si="19"/>
        <v>#DIV/0!</v>
      </c>
      <c r="T65" s="58"/>
      <c r="U65" s="58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</row>
    <row r="66" spans="1:50" ht="15.75" customHeight="1" thickBot="1">
      <c r="A66" s="172" t="s">
        <v>113</v>
      </c>
      <c r="B66" s="59">
        <f>SUM(B54:B65)</f>
        <v>0</v>
      </c>
      <c r="C66" s="59">
        <f t="shared" ref="C66:I66" si="20">SUM(C54:C65)</f>
        <v>0</v>
      </c>
      <c r="D66" s="59">
        <f t="shared" si="20"/>
        <v>0</v>
      </c>
      <c r="E66" s="59">
        <f t="shared" si="20"/>
        <v>0</v>
      </c>
      <c r="F66" s="59">
        <f>SUM(F54:F65)</f>
        <v>0</v>
      </c>
      <c r="G66" s="59">
        <f t="shared" si="20"/>
        <v>0</v>
      </c>
      <c r="H66" s="59">
        <f t="shared" si="20"/>
        <v>0</v>
      </c>
      <c r="I66" s="59">
        <f t="shared" si="20"/>
        <v>0</v>
      </c>
      <c r="J66" s="58">
        <f>J13</f>
        <v>0</v>
      </c>
      <c r="K66" s="58">
        <f t="shared" ref="K66:S66" si="21">K13</f>
        <v>0</v>
      </c>
      <c r="L66" s="58">
        <f t="shared" si="21"/>
        <v>0</v>
      </c>
      <c r="M66" s="58">
        <f t="shared" si="21"/>
        <v>0</v>
      </c>
      <c r="N66" s="58">
        <f t="shared" si="21"/>
        <v>0</v>
      </c>
      <c r="O66" s="58">
        <f t="shared" si="21"/>
        <v>0</v>
      </c>
      <c r="P66" s="58">
        <f t="shared" si="21"/>
        <v>0</v>
      </c>
      <c r="Q66" s="58">
        <f t="shared" si="21"/>
        <v>0</v>
      </c>
      <c r="R66" s="58">
        <f t="shared" si="21"/>
        <v>0</v>
      </c>
      <c r="S66" s="58">
        <f t="shared" si="21"/>
        <v>0</v>
      </c>
      <c r="T66" s="58"/>
      <c r="U66" s="58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</row>
    <row r="67" spans="1:50">
      <c r="A67" s="178"/>
      <c r="B67" s="178"/>
      <c r="C67" s="181">
        <f t="shared" ref="C67:I67" si="22">C68-B68</f>
        <v>0</v>
      </c>
      <c r="D67" s="181">
        <f t="shared" si="22"/>
        <v>0</v>
      </c>
      <c r="E67" s="181">
        <f t="shared" si="22"/>
        <v>0</v>
      </c>
      <c r="F67" s="181">
        <f t="shared" si="22"/>
        <v>0</v>
      </c>
      <c r="G67" s="181">
        <f t="shared" si="22"/>
        <v>0</v>
      </c>
      <c r="H67" s="181">
        <f t="shared" si="22"/>
        <v>0</v>
      </c>
      <c r="I67" s="181">
        <f t="shared" si="22"/>
        <v>0</v>
      </c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4"/>
    </row>
    <row r="68" spans="1:50" ht="15.75" thickBot="1">
      <c r="A68" s="172" t="s">
        <v>199</v>
      </c>
      <c r="B68" s="14">
        <f t="shared" ref="B68:I68" si="23">(SUM(A41:A49,B38:B40)-SUM(A57:A65,B54:B56))</f>
        <v>0</v>
      </c>
      <c r="C68" s="14">
        <f t="shared" si="23"/>
        <v>0</v>
      </c>
      <c r="D68" s="14">
        <f t="shared" si="23"/>
        <v>0</v>
      </c>
      <c r="E68" s="14">
        <f t="shared" si="23"/>
        <v>0</v>
      </c>
      <c r="F68" s="14">
        <f t="shared" si="23"/>
        <v>0</v>
      </c>
      <c r="G68" s="14">
        <f t="shared" si="23"/>
        <v>0</v>
      </c>
      <c r="H68" s="14">
        <f t="shared" si="23"/>
        <v>0</v>
      </c>
      <c r="I68" s="14">
        <f t="shared" si="23"/>
        <v>0</v>
      </c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50" ht="15.75" thickBot="1">
      <c r="A69" s="174"/>
      <c r="B69" s="174">
        <f t="shared" ref="B69:I69" si="24">B2</f>
        <v>2016</v>
      </c>
      <c r="C69" s="174">
        <f t="shared" si="24"/>
        <v>2017</v>
      </c>
      <c r="D69" s="174">
        <f t="shared" si="24"/>
        <v>2018</v>
      </c>
      <c r="E69" s="174">
        <f t="shared" si="24"/>
        <v>2019</v>
      </c>
      <c r="F69" s="174">
        <f t="shared" si="24"/>
        <v>2020</v>
      </c>
      <c r="G69" s="174">
        <f t="shared" si="24"/>
        <v>2021</v>
      </c>
      <c r="H69" s="174">
        <f t="shared" si="24"/>
        <v>2022</v>
      </c>
      <c r="I69" s="174">
        <f t="shared" si="24"/>
        <v>2023</v>
      </c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5"/>
    </row>
    <row r="70" spans="1:50">
      <c r="A70" s="172" t="s">
        <v>107</v>
      </c>
      <c r="B70" s="59" t="e">
        <f>B3+B22+B38-B54-#REF!</f>
        <v>#REF!</v>
      </c>
      <c r="C70" s="59" t="e">
        <f>#REF!+C22+C38-C54-#REF!</f>
        <v>#REF!</v>
      </c>
      <c r="D70" s="59" t="e">
        <f>#REF!+D22+D38-D54-#REF!</f>
        <v>#REF!</v>
      </c>
      <c r="E70" s="59" t="e">
        <f>#REF!+E22+E38-E54-#REF!</f>
        <v>#REF!</v>
      </c>
      <c r="F70" s="59" t="e">
        <f>#REF!+F22+F38-F54-#REF!</f>
        <v>#REF!</v>
      </c>
      <c r="G70" s="59" t="e">
        <f>#REF!+G22+G38-G54-#REF!</f>
        <v>#REF!</v>
      </c>
      <c r="H70" s="59" t="e">
        <f>#REF!+H22+H38-H54-#REF!</f>
        <v>#REF!</v>
      </c>
      <c r="I70" s="59" t="e">
        <f>#REF!+I22+I38-I54-#REF!</f>
        <v>#REF!</v>
      </c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 spans="1:50">
      <c r="A71" s="172" t="s">
        <v>108</v>
      </c>
      <c r="B71" s="59" t="e">
        <f>#REF!+B23+B39-B55-#REF!</f>
        <v>#REF!</v>
      </c>
      <c r="C71" s="59" t="e">
        <f>#REF!+C23+C39-C55-#REF!</f>
        <v>#REF!</v>
      </c>
      <c r="D71" s="59" t="e">
        <f>#REF!+D23+D39-D55-#REF!</f>
        <v>#REF!</v>
      </c>
      <c r="E71" s="59" t="e">
        <f>#REF!+E23+E39-E55-#REF!</f>
        <v>#REF!</v>
      </c>
      <c r="F71" s="59" t="e">
        <f>#REF!+F23+F39-F55-#REF!</f>
        <v>#REF!</v>
      </c>
      <c r="G71" s="59" t="e">
        <f>#REF!+G23+G39-G55-#REF!</f>
        <v>#REF!</v>
      </c>
      <c r="H71" s="59" t="e">
        <f>#REF!+H23+H39-H55-#REF!</f>
        <v>#REF!</v>
      </c>
      <c r="I71" s="59" t="e">
        <f>#REF!+I23+I39-I55-#REF!</f>
        <v>#REF!</v>
      </c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</row>
    <row r="72" spans="1:50">
      <c r="A72" s="172" t="s">
        <v>109</v>
      </c>
      <c r="B72" s="59" t="e">
        <f>#REF!+B24+B40-B56-#REF!</f>
        <v>#REF!</v>
      </c>
      <c r="C72" s="59" t="e">
        <f>#REF!+C24+C40-C56-#REF!</f>
        <v>#REF!</v>
      </c>
      <c r="D72" s="59" t="e">
        <f>#REF!+D24+D40-D56-#REF!</f>
        <v>#REF!</v>
      </c>
      <c r="E72" s="59" t="e">
        <f>#REF!+E24+E40-E56-#REF!</f>
        <v>#REF!</v>
      </c>
      <c r="F72" s="59" t="e">
        <f>#REF!+F24+F40-F56-#REF!</f>
        <v>#REF!</v>
      </c>
      <c r="G72" s="59" t="e">
        <f>#REF!+G24+G40-G56-#REF!</f>
        <v>#REF!</v>
      </c>
      <c r="H72" s="59" t="e">
        <f>#REF!+H24+H40-H56-#REF!</f>
        <v>#REF!</v>
      </c>
      <c r="I72" s="59" t="e">
        <f>#REF!+I24+I40-I56-#REF!</f>
        <v>#REF!</v>
      </c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</row>
    <row r="73" spans="1:50">
      <c r="A73" s="172" t="s">
        <v>110</v>
      </c>
      <c r="B73" s="59" t="e">
        <f>#REF!+B25+B41-B57-#REF!</f>
        <v>#REF!</v>
      </c>
      <c r="C73" s="59" t="e">
        <f>#REF!+C25+C41-C57-#REF!</f>
        <v>#REF!</v>
      </c>
      <c r="D73" s="59" t="e">
        <f>#REF!+D25+D41-D57-#REF!</f>
        <v>#REF!</v>
      </c>
      <c r="E73" s="59" t="e">
        <f>#REF!+E25+E41-E57-#REF!</f>
        <v>#REF!</v>
      </c>
      <c r="F73" s="59" t="e">
        <f>#REF!+F25+F41-F57-#REF!</f>
        <v>#REF!</v>
      </c>
      <c r="G73" s="59" t="e">
        <f>#REF!+G25+G41-G57-#REF!</f>
        <v>#REF!</v>
      </c>
      <c r="H73" s="59" t="e">
        <f>#REF!+H25+H41-H57-#REF!</f>
        <v>#REF!</v>
      </c>
      <c r="I73" s="59" t="e">
        <f>#REF!+I25+I41-I57-#REF!</f>
        <v>#REF!</v>
      </c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</row>
    <row r="74" spans="1:50">
      <c r="A74" s="172" t="s">
        <v>111</v>
      </c>
      <c r="B74" s="59" t="e">
        <f>#REF!+B26+B42-B58-#REF!</f>
        <v>#REF!</v>
      </c>
      <c r="C74" s="59" t="e">
        <f>#REF!+C26+C42-C58-#REF!</f>
        <v>#REF!</v>
      </c>
      <c r="D74" s="59" t="e">
        <f>#REF!+D26+D42-D58-#REF!</f>
        <v>#REF!</v>
      </c>
      <c r="E74" s="59" t="e">
        <f>#REF!+E26+E42-E58-#REF!</f>
        <v>#REF!</v>
      </c>
      <c r="F74" s="59" t="e">
        <f>#REF!+F26+F42-F58-#REF!</f>
        <v>#REF!</v>
      </c>
      <c r="G74" s="59" t="e">
        <f>#REF!+G26+G42-G58-#REF!</f>
        <v>#REF!</v>
      </c>
      <c r="H74" s="59" t="e">
        <f>#REF!+H26+H42-H58-#REF!</f>
        <v>#REF!</v>
      </c>
      <c r="I74" s="59" t="e">
        <f>#REF!+I26+I42-I58-#REF!</f>
        <v>#REF!</v>
      </c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</row>
    <row r="75" spans="1:50">
      <c r="A75" s="172" t="s">
        <v>112</v>
      </c>
      <c r="B75" s="59" t="e">
        <f>#REF!+B27+B43-B59-#REF!</f>
        <v>#REF!</v>
      </c>
      <c r="C75" s="59" t="e">
        <f>#REF!+C27+C43-C59-#REF!</f>
        <v>#REF!</v>
      </c>
      <c r="D75" s="59" t="e">
        <f>#REF!+D27+D43-D59-#REF!</f>
        <v>#REF!</v>
      </c>
      <c r="E75" s="59" t="e">
        <f>#REF!+E27+E43-E59-#REF!</f>
        <v>#REF!</v>
      </c>
      <c r="F75" s="59" t="e">
        <f>#REF!+F27+F43-F59-#REF!</f>
        <v>#REF!</v>
      </c>
      <c r="G75" s="59" t="e">
        <f>#REF!+G27+G43-G59-#REF!</f>
        <v>#REF!</v>
      </c>
      <c r="H75" s="59" t="e">
        <f>#REF!+H27+H43-H59-#REF!</f>
        <v>#REF!</v>
      </c>
      <c r="I75" s="59" t="e">
        <f>#REF!+I27+I43-I59-#REF!</f>
        <v>#REF!</v>
      </c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</row>
    <row r="76" spans="1:50">
      <c r="A76" s="172" t="s">
        <v>100</v>
      </c>
      <c r="B76" s="59" t="e">
        <f>#REF!+B28+B44-B60-#REF!</f>
        <v>#REF!</v>
      </c>
      <c r="C76" s="59" t="e">
        <f>#REF!+C28+C44-C60-#REF!</f>
        <v>#REF!</v>
      </c>
      <c r="D76" s="59" t="e">
        <f>#REF!+D28+D44-D60-#REF!</f>
        <v>#REF!</v>
      </c>
      <c r="E76" s="59" t="e">
        <f>#REF!+E28+E44-E60-#REF!</f>
        <v>#REF!</v>
      </c>
      <c r="F76" s="59" t="e">
        <f>#REF!+F28+F44-F60-#REF!</f>
        <v>#REF!</v>
      </c>
      <c r="G76" s="59" t="e">
        <f>#REF!+G28+G44-G60-#REF!</f>
        <v>#REF!</v>
      </c>
      <c r="H76" s="59" t="e">
        <f>#REF!+H28+H44-H60-#REF!</f>
        <v>#REF!</v>
      </c>
      <c r="I76" s="59" t="e">
        <f>#REF!+I28+I44-I60-#REF!</f>
        <v>#REF!</v>
      </c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</row>
    <row r="77" spans="1:50">
      <c r="A77" s="172" t="s">
        <v>102</v>
      </c>
      <c r="B77" s="59" t="e">
        <f>#REF!+B29+B45-B61-#REF!</f>
        <v>#REF!</v>
      </c>
      <c r="C77" s="59" t="e">
        <f>#REF!+C29+C45-C61-#REF!</f>
        <v>#REF!</v>
      </c>
      <c r="D77" s="59" t="e">
        <f>#REF!+D29+D45-D61-#REF!</f>
        <v>#REF!</v>
      </c>
      <c r="E77" s="59" t="e">
        <f>#REF!+E29+E45-E61-#REF!</f>
        <v>#REF!</v>
      </c>
      <c r="F77" s="59" t="e">
        <f>#REF!+F29+F45-F61-#REF!</f>
        <v>#REF!</v>
      </c>
      <c r="G77" s="59" t="e">
        <f>#REF!+G29+G45-G61-#REF!</f>
        <v>#REF!</v>
      </c>
      <c r="H77" s="59" t="e">
        <f>#REF!+H29+H45-H61-#REF!</f>
        <v>#REF!</v>
      </c>
      <c r="I77" s="59" t="e">
        <f>#REF!+I29+I45-I61-#REF!</f>
        <v>#REF!</v>
      </c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</row>
    <row r="78" spans="1:50">
      <c r="A78" s="172" t="s">
        <v>103</v>
      </c>
      <c r="B78" s="59" t="e">
        <f>#REF!+B30+B46-B62-#REF!</f>
        <v>#REF!</v>
      </c>
      <c r="C78" s="59" t="e">
        <f>#REF!+C30+C46-C62-#REF!</f>
        <v>#REF!</v>
      </c>
      <c r="D78" s="59" t="e">
        <f>#REF!+D30+D46-D62-#REF!</f>
        <v>#REF!</v>
      </c>
      <c r="E78" s="59" t="e">
        <f>#REF!+E30+E46-E62-#REF!</f>
        <v>#REF!</v>
      </c>
      <c r="F78" s="59" t="e">
        <f>#REF!+F30+F46-F62-#REF!</f>
        <v>#REF!</v>
      </c>
      <c r="G78" s="59" t="e">
        <f>#REF!+G30+G46-G62-#REF!</f>
        <v>#REF!</v>
      </c>
      <c r="H78" s="59" t="e">
        <f>#REF!+H30+H46-H62-#REF!</f>
        <v>#REF!</v>
      </c>
      <c r="I78" s="59" t="e">
        <f>#REF!+I30+I46-I62-#REF!</f>
        <v>#REF!</v>
      </c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</row>
    <row r="79" spans="1:50">
      <c r="A79" s="172" t="s">
        <v>104</v>
      </c>
      <c r="B79" s="59" t="e">
        <f>#REF!+B31+B47-B63-#REF!</f>
        <v>#REF!</v>
      </c>
      <c r="C79" s="59" t="e">
        <f>#REF!+C31+C47-C63-#REF!</f>
        <v>#REF!</v>
      </c>
      <c r="D79" s="59" t="e">
        <f>#REF!+D31+D47-D63-#REF!</f>
        <v>#REF!</v>
      </c>
      <c r="E79" s="59" t="e">
        <f>#REF!+E31+E47-E63-#REF!</f>
        <v>#REF!</v>
      </c>
      <c r="F79" s="59" t="e">
        <f>#REF!+F31+F47-F63-#REF!</f>
        <v>#REF!</v>
      </c>
      <c r="G79" s="59" t="e">
        <f>#REF!+G31+G47-G63-#REF!</f>
        <v>#REF!</v>
      </c>
      <c r="H79" s="59" t="e">
        <f>#REF!+H31+H47-H63-#REF!</f>
        <v>#REF!</v>
      </c>
      <c r="I79" s="59" t="e">
        <f>#REF!+I31+I47-I63-#REF!</f>
        <v>#REF!</v>
      </c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</row>
    <row r="80" spans="1:50">
      <c r="A80" s="172" t="s">
        <v>105</v>
      </c>
      <c r="B80" s="59" t="e">
        <f>#REF!+B32+B48-B64-#REF!</f>
        <v>#REF!</v>
      </c>
      <c r="C80" s="59" t="e">
        <f>#REF!+C32+C48-C64-#REF!</f>
        <v>#REF!</v>
      </c>
      <c r="D80" s="59" t="e">
        <f>#REF!+D32+D48-D64-#REF!</f>
        <v>#REF!</v>
      </c>
      <c r="E80" s="59" t="e">
        <f>#REF!+E32+E48-E64-#REF!</f>
        <v>#REF!</v>
      </c>
      <c r="F80" s="59" t="e">
        <f>#REF!+F32+F48-F64-#REF!</f>
        <v>#REF!</v>
      </c>
      <c r="G80" s="59" t="e">
        <f>#REF!+G32+G48-G64-#REF!</f>
        <v>#REF!</v>
      </c>
      <c r="H80" s="59" t="e">
        <f>#REF!+H32+H48-H64-#REF!</f>
        <v>#REF!</v>
      </c>
      <c r="I80" s="59" t="e">
        <f>#REF!+I32+I48-I64-#REF!</f>
        <v>#REF!</v>
      </c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</row>
    <row r="81" spans="1:54">
      <c r="A81" s="172" t="s">
        <v>106</v>
      </c>
      <c r="B81" s="59" t="e">
        <f>#REF!+B33+B49-B65-#REF!</f>
        <v>#REF!</v>
      </c>
      <c r="C81" s="59" t="e">
        <f>#REF!+C33+C49-C65-#REF!</f>
        <v>#REF!</v>
      </c>
      <c r="D81" s="59" t="e">
        <f>#REF!+D33+D49-D65-#REF!</f>
        <v>#REF!</v>
      </c>
      <c r="E81" s="59" t="e">
        <f>#REF!+E33+E49-E65-#REF!</f>
        <v>#REF!</v>
      </c>
      <c r="F81" s="59" t="e">
        <f>#REF!+F33+F49-F65-#REF!</f>
        <v>#REF!</v>
      </c>
      <c r="G81" s="59" t="e">
        <f>#REF!+G33+G49-G65-#REF!</f>
        <v>#REF!</v>
      </c>
      <c r="H81" s="59" t="e">
        <f>#REF!+H33+H49-H65-#REF!</f>
        <v>#REF!</v>
      </c>
      <c r="I81" s="59" t="e">
        <f>#REF!+I33+I49-I65-#REF!</f>
        <v>#REF!</v>
      </c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</row>
    <row r="82" spans="1:54" ht="15.75" thickBot="1">
      <c r="A82" s="172" t="s">
        <v>113</v>
      </c>
      <c r="B82" s="59" t="e">
        <f>SUM(B70:B81)</f>
        <v>#REF!</v>
      </c>
      <c r="C82" s="59" t="e">
        <f>SUM(C70:C81)</f>
        <v>#REF!</v>
      </c>
      <c r="D82" s="59" t="e">
        <f t="shared" ref="D82:I82" si="25">SUM(D70:D81)</f>
        <v>#REF!</v>
      </c>
      <c r="E82" s="59" t="e">
        <f t="shared" si="25"/>
        <v>#REF!</v>
      </c>
      <c r="F82" s="59" t="e">
        <f t="shared" si="25"/>
        <v>#REF!</v>
      </c>
      <c r="G82" s="59" t="e">
        <f t="shared" si="25"/>
        <v>#REF!</v>
      </c>
      <c r="H82" s="59" t="e">
        <f t="shared" si="25"/>
        <v>#REF!</v>
      </c>
      <c r="I82" s="59" t="e">
        <f t="shared" si="25"/>
        <v>#REF!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</row>
    <row r="83" spans="1:54" ht="15.75" thickBot="1">
      <c r="A83" s="178"/>
      <c r="B83" s="181">
        <f>B7</f>
        <v>0</v>
      </c>
      <c r="C83" s="181">
        <f t="shared" ref="C83:I83" si="26">C7</f>
        <v>0</v>
      </c>
      <c r="D83" s="181">
        <f t="shared" si="26"/>
        <v>0</v>
      </c>
      <c r="E83" s="181">
        <f t="shared" si="26"/>
        <v>0</v>
      </c>
      <c r="F83" s="181">
        <f t="shared" si="26"/>
        <v>0</v>
      </c>
      <c r="G83" s="181">
        <f t="shared" si="26"/>
        <v>0</v>
      </c>
      <c r="H83" s="181">
        <f t="shared" si="26"/>
        <v>0</v>
      </c>
      <c r="I83" s="181">
        <f t="shared" si="26"/>
        <v>0</v>
      </c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4"/>
      <c r="AY83" s="14"/>
    </row>
    <row r="84" spans="1:54">
      <c r="A84" s="178"/>
      <c r="B84" s="178"/>
      <c r="C84" s="178"/>
      <c r="D84" s="178"/>
      <c r="E84" s="178"/>
      <c r="F84" s="178"/>
      <c r="G84" s="178"/>
      <c r="H84" s="178"/>
      <c r="I84" s="178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78"/>
      <c r="W84" s="178"/>
      <c r="X84" s="178"/>
      <c r="Y84" s="178"/>
      <c r="Z84" s="182"/>
      <c r="AA84" s="182"/>
      <c r="AB84" s="182"/>
      <c r="AC84" s="182"/>
      <c r="AD84" s="182"/>
      <c r="AE84" s="182"/>
      <c r="AF84" s="182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</row>
    <row r="85" spans="1:54" ht="15.75" thickBot="1">
      <c r="A85" s="172" t="s">
        <v>200</v>
      </c>
      <c r="C85">
        <v>0.92</v>
      </c>
    </row>
    <row r="86" spans="1:54" ht="15.75" thickBot="1">
      <c r="A86" s="174"/>
      <c r="B86" s="174">
        <f t="shared" ref="B86:T86" si="27">B2</f>
        <v>2016</v>
      </c>
      <c r="C86" s="174">
        <f t="shared" si="27"/>
        <v>2017</v>
      </c>
      <c r="D86" s="174">
        <f t="shared" si="27"/>
        <v>2018</v>
      </c>
      <c r="E86" s="174">
        <f t="shared" si="27"/>
        <v>2019</v>
      </c>
      <c r="F86" s="174">
        <f t="shared" si="27"/>
        <v>2020</v>
      </c>
      <c r="G86" s="174">
        <f t="shared" si="27"/>
        <v>2021</v>
      </c>
      <c r="H86" s="174">
        <f t="shared" si="27"/>
        <v>2022</v>
      </c>
      <c r="I86" s="174">
        <f t="shared" si="27"/>
        <v>2023</v>
      </c>
      <c r="J86" s="174">
        <f t="shared" si="27"/>
        <v>2024</v>
      </c>
      <c r="K86" s="174">
        <f t="shared" si="27"/>
        <v>2025</v>
      </c>
      <c r="L86" s="174">
        <f t="shared" si="27"/>
        <v>2026</v>
      </c>
      <c r="M86" s="174">
        <f t="shared" si="27"/>
        <v>2027</v>
      </c>
      <c r="N86" s="174">
        <f t="shared" si="27"/>
        <v>2028</v>
      </c>
      <c r="O86" s="174">
        <f t="shared" si="27"/>
        <v>2029</v>
      </c>
      <c r="P86" s="174">
        <f t="shared" si="27"/>
        <v>2030</v>
      </c>
      <c r="Q86" s="174">
        <f t="shared" si="27"/>
        <v>2031</v>
      </c>
      <c r="R86" s="174">
        <f t="shared" si="27"/>
        <v>2032</v>
      </c>
      <c r="S86" s="174">
        <f t="shared" si="27"/>
        <v>2033</v>
      </c>
      <c r="T86" s="174">
        <f t="shared" si="27"/>
        <v>2034</v>
      </c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  <c r="AM86" s="174"/>
      <c r="AN86" s="174"/>
      <c r="AO86" s="174"/>
      <c r="AP86" s="174"/>
      <c r="AQ86" s="174"/>
      <c r="AR86" s="174"/>
      <c r="AS86" s="174"/>
      <c r="AT86" s="174"/>
      <c r="AU86" s="174"/>
      <c r="AV86" s="174"/>
      <c r="AW86" s="174"/>
      <c r="AX86" s="175"/>
    </row>
    <row r="87" spans="1:54">
      <c r="A87" s="172" t="s">
        <v>110</v>
      </c>
      <c r="B87" s="74"/>
      <c r="C87" s="193"/>
      <c r="D87" s="193"/>
      <c r="E87" s="193"/>
      <c r="F87" s="193"/>
      <c r="G87" s="193"/>
      <c r="H87" s="193"/>
      <c r="I87" s="193"/>
      <c r="J87" s="194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59"/>
      <c r="W87" s="59"/>
      <c r="X87" s="59"/>
      <c r="Y87" s="59"/>
      <c r="Z87" s="59"/>
      <c r="AA87" s="59"/>
      <c r="AB87" s="59"/>
      <c r="AC87" s="59"/>
      <c r="AD87" s="119"/>
      <c r="AE87" s="119"/>
      <c r="AF87" s="119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Z87" s="183"/>
      <c r="BA87" s="14"/>
      <c r="BB87" s="14"/>
    </row>
    <row r="88" spans="1:54">
      <c r="A88" s="172" t="s">
        <v>111</v>
      </c>
      <c r="B88" s="74"/>
      <c r="C88" s="193"/>
      <c r="D88" s="193"/>
      <c r="E88" s="193"/>
      <c r="F88" s="193"/>
      <c r="G88" s="193"/>
      <c r="H88" s="193"/>
      <c r="I88" s="193"/>
      <c r="J88" s="194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9"/>
      <c r="W88" s="59"/>
      <c r="X88" s="59"/>
      <c r="Y88" s="59"/>
      <c r="Z88" s="59"/>
      <c r="AA88" s="59"/>
      <c r="AB88" s="59"/>
      <c r="AC88" s="59"/>
      <c r="AD88" s="119"/>
      <c r="AE88" s="119"/>
      <c r="AF88" s="119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Z88" s="183"/>
      <c r="BA88" s="14"/>
      <c r="BB88" s="14"/>
    </row>
    <row r="89" spans="1:54">
      <c r="A89" s="172" t="s">
        <v>112</v>
      </c>
      <c r="B89" s="74"/>
      <c r="C89" s="193"/>
      <c r="D89" s="193"/>
      <c r="E89" s="193"/>
      <c r="F89" s="193"/>
      <c r="G89" s="193"/>
      <c r="H89" s="193"/>
      <c r="I89" s="193"/>
      <c r="J89" s="194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9"/>
      <c r="W89" s="59"/>
      <c r="X89" s="59"/>
      <c r="Y89" s="59"/>
      <c r="Z89" s="59"/>
      <c r="AA89" s="59"/>
      <c r="AB89" s="59"/>
      <c r="AC89" s="59"/>
      <c r="AD89" s="119"/>
      <c r="AE89" s="119"/>
      <c r="AF89" s="119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Z89" s="183"/>
      <c r="BA89" s="14"/>
      <c r="BB89" s="14"/>
    </row>
    <row r="90" spans="1:54">
      <c r="A90" s="172" t="s">
        <v>100</v>
      </c>
      <c r="B90" s="74"/>
      <c r="C90" s="193"/>
      <c r="D90" s="193"/>
      <c r="E90" s="193"/>
      <c r="F90" s="193"/>
      <c r="G90" s="193"/>
      <c r="H90" s="193"/>
      <c r="I90" s="193"/>
      <c r="J90" s="116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9"/>
      <c r="W90" s="59"/>
      <c r="X90" s="59"/>
      <c r="Y90" s="59"/>
      <c r="Z90" s="59"/>
      <c r="AA90" s="59"/>
      <c r="AB90" s="59"/>
      <c r="AC90" s="119"/>
      <c r="AD90" s="119"/>
      <c r="AE90" s="119"/>
      <c r="AF90" s="119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118"/>
      <c r="AV90" s="118"/>
      <c r="AW90" s="118"/>
      <c r="AX90" s="58"/>
      <c r="AZ90" s="183"/>
      <c r="BA90" s="14"/>
      <c r="BB90" s="14"/>
    </row>
    <row r="91" spans="1:54">
      <c r="A91" s="172" t="s">
        <v>102</v>
      </c>
      <c r="B91" s="74"/>
      <c r="C91" s="193"/>
      <c r="D91" s="193"/>
      <c r="E91" s="193"/>
      <c r="F91" s="193"/>
      <c r="G91" s="193"/>
      <c r="H91" s="193"/>
      <c r="I91" s="193"/>
      <c r="J91" s="116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9"/>
      <c r="W91" s="59"/>
      <c r="X91" s="59"/>
      <c r="Y91" s="59"/>
      <c r="Z91" s="59"/>
      <c r="AA91" s="59"/>
      <c r="AB91" s="59"/>
      <c r="AC91" s="119"/>
      <c r="AD91" s="119"/>
      <c r="AE91" s="119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118"/>
      <c r="AV91" s="118"/>
      <c r="AW91" s="118"/>
      <c r="AX91" s="58"/>
      <c r="AZ91" s="183"/>
      <c r="BA91" s="14"/>
      <c r="BB91" s="14"/>
    </row>
    <row r="92" spans="1:54">
      <c r="A92" s="172" t="s">
        <v>103</v>
      </c>
      <c r="B92" s="74"/>
      <c r="C92" s="193"/>
      <c r="D92" s="193"/>
      <c r="E92" s="193"/>
      <c r="F92" s="193"/>
      <c r="G92" s="193"/>
      <c r="H92" s="193"/>
      <c r="I92" s="193"/>
      <c r="J92" s="116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9"/>
      <c r="W92" s="59"/>
      <c r="X92" s="59"/>
      <c r="Y92" s="59"/>
      <c r="Z92" s="59"/>
      <c r="AA92" s="59"/>
      <c r="AB92" s="59"/>
      <c r="AC92" s="119"/>
      <c r="AD92" s="119"/>
      <c r="AE92" s="119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118"/>
      <c r="AV92" s="118"/>
      <c r="AW92" s="118"/>
      <c r="AX92" s="58"/>
      <c r="AZ92" s="183"/>
      <c r="BA92" s="14"/>
      <c r="BB92" s="14"/>
    </row>
    <row r="93" spans="1:54">
      <c r="A93" s="172" t="s">
        <v>104</v>
      </c>
      <c r="B93" s="74"/>
      <c r="C93" s="193"/>
      <c r="D93" s="193"/>
      <c r="E93" s="193"/>
      <c r="F93" s="193"/>
      <c r="G93" s="193"/>
      <c r="H93" s="193"/>
      <c r="I93" s="193"/>
      <c r="J93" s="116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9"/>
      <c r="W93" s="59"/>
      <c r="X93" s="59"/>
      <c r="Y93" s="59"/>
      <c r="Z93" s="59"/>
      <c r="AA93" s="59"/>
      <c r="AB93" s="59"/>
      <c r="AC93" s="119"/>
      <c r="AD93" s="119"/>
      <c r="AE93" s="119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118"/>
      <c r="AV93" s="118"/>
      <c r="AW93" s="118"/>
      <c r="AX93" s="58"/>
      <c r="AZ93" s="183"/>
      <c r="BA93" s="14"/>
      <c r="BB93" s="14"/>
    </row>
    <row r="94" spans="1:54">
      <c r="A94" s="172" t="s">
        <v>105</v>
      </c>
      <c r="B94" s="74"/>
      <c r="C94" s="193"/>
      <c r="D94" s="193"/>
      <c r="E94" s="193"/>
      <c r="F94" s="193"/>
      <c r="G94" s="193"/>
      <c r="H94" s="193"/>
      <c r="I94" s="193"/>
      <c r="J94" s="116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9"/>
      <c r="W94" s="59"/>
      <c r="X94" s="59"/>
      <c r="Y94" s="59"/>
      <c r="Z94" s="59"/>
      <c r="AA94" s="59"/>
      <c r="AB94" s="59"/>
      <c r="AC94" s="119"/>
      <c r="AD94" s="119"/>
      <c r="AE94" s="119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118"/>
      <c r="AV94" s="118"/>
      <c r="AW94" s="118"/>
      <c r="AX94" s="58"/>
      <c r="AZ94" s="183"/>
      <c r="BA94" s="14"/>
      <c r="BB94" s="14"/>
    </row>
    <row r="95" spans="1:54">
      <c r="A95" s="172" t="s">
        <v>106</v>
      </c>
      <c r="B95" s="74"/>
      <c r="C95" s="193"/>
      <c r="D95" s="193"/>
      <c r="E95" s="193"/>
      <c r="F95" s="193"/>
      <c r="G95" s="193"/>
      <c r="H95" s="193"/>
      <c r="I95" s="193"/>
      <c r="J95" s="116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9"/>
      <c r="W95" s="59"/>
      <c r="X95" s="59"/>
      <c r="Y95" s="59"/>
      <c r="Z95" s="59"/>
      <c r="AA95" s="59"/>
      <c r="AB95" s="59"/>
      <c r="AC95" s="119"/>
      <c r="AD95" s="119"/>
      <c r="AE95" s="119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118"/>
      <c r="AV95" s="118"/>
      <c r="AW95" s="118"/>
      <c r="AX95" s="58"/>
      <c r="AZ95" s="183"/>
      <c r="BA95" s="14"/>
      <c r="BB95" s="14"/>
    </row>
    <row r="96" spans="1:54">
      <c r="A96" s="172" t="s">
        <v>107</v>
      </c>
      <c r="B96" s="74"/>
      <c r="C96" s="193"/>
      <c r="D96" s="193"/>
      <c r="E96" s="193"/>
      <c r="F96" s="193"/>
      <c r="G96" s="193"/>
      <c r="H96" s="193"/>
      <c r="I96" s="193"/>
      <c r="J96" s="116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9"/>
      <c r="W96" s="59"/>
      <c r="X96" s="59"/>
      <c r="Y96" s="59"/>
      <c r="Z96" s="59"/>
      <c r="AA96" s="59"/>
      <c r="AB96" s="59"/>
      <c r="AC96" s="119"/>
      <c r="AD96" s="119"/>
      <c r="AE96" s="119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118"/>
      <c r="AV96" s="118"/>
      <c r="AW96" s="118"/>
      <c r="AX96" s="58"/>
      <c r="AZ96" s="183"/>
      <c r="BA96" s="14"/>
      <c r="BB96" s="14"/>
    </row>
    <row r="97" spans="1:54">
      <c r="A97" s="172" t="s">
        <v>108</v>
      </c>
      <c r="B97" s="74"/>
      <c r="C97" s="193"/>
      <c r="D97" s="193"/>
      <c r="E97" s="193"/>
      <c r="F97" s="193"/>
      <c r="G97" s="193"/>
      <c r="H97" s="193"/>
      <c r="I97" s="193"/>
      <c r="J97" s="116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9"/>
      <c r="W97" s="59"/>
      <c r="X97" s="59"/>
      <c r="Y97" s="59"/>
      <c r="Z97" s="59"/>
      <c r="AA97" s="59"/>
      <c r="AB97" s="59"/>
      <c r="AC97" s="119"/>
      <c r="AD97" s="119"/>
      <c r="AE97" s="119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118"/>
      <c r="AV97" s="118"/>
      <c r="AW97" s="118"/>
      <c r="AX97" s="58"/>
      <c r="AY97" s="14"/>
      <c r="AZ97" s="183"/>
      <c r="BA97" s="14"/>
      <c r="BB97" s="14"/>
    </row>
    <row r="98" spans="1:54">
      <c r="A98" s="172" t="s">
        <v>109</v>
      </c>
      <c r="B98" s="74"/>
      <c r="C98" s="193"/>
      <c r="D98" s="193"/>
      <c r="E98" s="193"/>
      <c r="F98" s="193"/>
      <c r="G98" s="193"/>
      <c r="H98" s="193"/>
      <c r="I98" s="193"/>
      <c r="J98" s="116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9"/>
      <c r="W98" s="59"/>
      <c r="X98" s="59"/>
      <c r="Y98" s="59"/>
      <c r="Z98" s="59"/>
      <c r="AA98" s="59"/>
      <c r="AB98" s="59"/>
      <c r="AC98" s="119"/>
      <c r="AD98" s="119"/>
      <c r="AE98" s="119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118"/>
      <c r="AV98" s="118"/>
      <c r="AW98" s="118"/>
      <c r="AX98" s="58"/>
      <c r="AZ98" s="183"/>
      <c r="BA98" s="14"/>
      <c r="BB98" s="14"/>
    </row>
    <row r="99" spans="1:54" ht="16.5">
      <c r="A99" s="172" t="s">
        <v>113</v>
      </c>
      <c r="B99" s="184"/>
      <c r="C99" s="59"/>
      <c r="D99" s="59"/>
      <c r="E99" s="59"/>
      <c r="F99" s="59"/>
      <c r="G99" s="59"/>
      <c r="H99" s="59"/>
      <c r="I99" s="59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Z99" s="183"/>
      <c r="BA99" s="14"/>
      <c r="BB99" s="14"/>
    </row>
    <row r="100" spans="1:54" ht="16.5">
      <c r="A100" s="172"/>
      <c r="B100" s="184"/>
      <c r="C100" s="99"/>
      <c r="D100" s="184"/>
      <c r="E100" s="99"/>
      <c r="F100" s="184"/>
      <c r="G100" s="99"/>
      <c r="H100" s="184"/>
      <c r="I100" s="99"/>
      <c r="J100" s="203"/>
      <c r="K100" s="204"/>
      <c r="L100" s="203"/>
      <c r="M100" s="204"/>
      <c r="N100" s="203"/>
      <c r="O100" s="204"/>
      <c r="P100" s="203"/>
      <c r="Q100" s="204"/>
      <c r="R100" s="203"/>
      <c r="S100" s="204"/>
      <c r="T100" s="203"/>
      <c r="U100" s="58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Z100" s="183"/>
      <c r="BA100" s="14"/>
      <c r="BB100" s="14"/>
    </row>
    <row r="101" spans="1:54" ht="15.75" thickBot="1">
      <c r="A101" s="172" t="s">
        <v>191</v>
      </c>
    </row>
    <row r="102" spans="1:54" ht="15.75" thickBot="1">
      <c r="A102" s="185"/>
      <c r="B102" s="174">
        <f>B2</f>
        <v>2016</v>
      </c>
      <c r="C102" s="174">
        <f t="shared" ref="C102:T102" si="28">C2</f>
        <v>2017</v>
      </c>
      <c r="D102" s="174">
        <f t="shared" si="28"/>
        <v>2018</v>
      </c>
      <c r="E102" s="174">
        <f t="shared" si="28"/>
        <v>2019</v>
      </c>
      <c r="F102" s="174">
        <f t="shared" si="28"/>
        <v>2020</v>
      </c>
      <c r="G102" s="174">
        <f t="shared" si="28"/>
        <v>2021</v>
      </c>
      <c r="H102" s="174">
        <f t="shared" si="28"/>
        <v>2022</v>
      </c>
      <c r="I102" s="174">
        <f t="shared" si="28"/>
        <v>2023</v>
      </c>
      <c r="J102" s="174">
        <f t="shared" si="28"/>
        <v>2024</v>
      </c>
      <c r="K102" s="174">
        <f t="shared" si="28"/>
        <v>2025</v>
      </c>
      <c r="L102" s="174">
        <f t="shared" si="28"/>
        <v>2026</v>
      </c>
      <c r="M102" s="174">
        <f t="shared" si="28"/>
        <v>2027</v>
      </c>
      <c r="N102" s="174">
        <f t="shared" si="28"/>
        <v>2028</v>
      </c>
      <c r="O102" s="174">
        <f t="shared" si="28"/>
        <v>2029</v>
      </c>
      <c r="P102" s="174">
        <f t="shared" si="28"/>
        <v>2030</v>
      </c>
      <c r="Q102" s="174">
        <f t="shared" si="28"/>
        <v>2031</v>
      </c>
      <c r="R102" s="174">
        <f t="shared" si="28"/>
        <v>2032</v>
      </c>
      <c r="S102" s="174">
        <f t="shared" si="28"/>
        <v>2033</v>
      </c>
      <c r="T102" s="174">
        <f t="shared" si="28"/>
        <v>2034</v>
      </c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185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53"/>
    </row>
    <row r="103" spans="1:54">
      <c r="A103" s="172" t="s">
        <v>110</v>
      </c>
      <c r="B103" s="205"/>
      <c r="C103" s="206">
        <v>60451</v>
      </c>
      <c r="D103" s="112">
        <v>59282</v>
      </c>
      <c r="E103" s="112">
        <v>62780.82</v>
      </c>
      <c r="F103" s="112">
        <v>63051</v>
      </c>
      <c r="G103" s="112">
        <v>61355.91</v>
      </c>
      <c r="H103" s="112">
        <v>62393.73</v>
      </c>
      <c r="I103" s="112">
        <v>65678</v>
      </c>
      <c r="J103" s="75">
        <v>66566</v>
      </c>
      <c r="K103" s="75">
        <f t="shared" ref="K103:T113" si="29">K$115*(SUM(E103:I103)/SUM(E$115:I$115))</f>
        <v>64058.23295981386</v>
      </c>
      <c r="L103" s="75">
        <f t="shared" si="29"/>
        <v>65184.358396472111</v>
      </c>
      <c r="M103" s="75">
        <f t="shared" si="29"/>
        <v>65684.892582084329</v>
      </c>
      <c r="N103" s="75">
        <f t="shared" si="29"/>
        <v>66406.423334556312</v>
      </c>
      <c r="O103" s="75">
        <f t="shared" si="29"/>
        <v>67120.415419346391</v>
      </c>
      <c r="P103" s="75">
        <f t="shared" si="29"/>
        <v>67039.731353565294</v>
      </c>
      <c r="Q103" s="75">
        <f t="shared" si="29"/>
        <v>67145.836740090061</v>
      </c>
      <c r="R103" s="75">
        <f t="shared" si="29"/>
        <v>67746.409857131352</v>
      </c>
      <c r="S103" s="75">
        <f t="shared" si="29"/>
        <v>68138.015527358788</v>
      </c>
      <c r="T103" s="75">
        <f t="shared" si="29"/>
        <v>68552.63687412467</v>
      </c>
      <c r="U103" s="75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</row>
    <row r="104" spans="1:54">
      <c r="A104" s="172" t="s">
        <v>111</v>
      </c>
      <c r="B104" s="205"/>
      <c r="C104" s="206">
        <v>60451</v>
      </c>
      <c r="D104" s="112">
        <v>59282</v>
      </c>
      <c r="E104" s="112">
        <v>62780.82</v>
      </c>
      <c r="F104" s="112">
        <v>63051</v>
      </c>
      <c r="G104" s="112">
        <v>61355.91</v>
      </c>
      <c r="H104" s="112">
        <v>62393.73</v>
      </c>
      <c r="I104" s="112">
        <v>55754</v>
      </c>
      <c r="J104" s="75">
        <v>57626</v>
      </c>
      <c r="K104" s="75">
        <f t="shared" si="29"/>
        <v>62041.754520457296</v>
      </c>
      <c r="L104" s="75">
        <f t="shared" si="29"/>
        <v>61330.233980556361</v>
      </c>
      <c r="M104" s="75">
        <f t="shared" si="29"/>
        <v>61399.549801028719</v>
      </c>
      <c r="N104" s="75">
        <f t="shared" si="29"/>
        <v>61334.992932915877</v>
      </c>
      <c r="O104" s="75">
        <f t="shared" si="29"/>
        <v>61166.868419742685</v>
      </c>
      <c r="P104" s="75">
        <f t="shared" si="29"/>
        <v>62098.667446043539</v>
      </c>
      <c r="Q104" s="75">
        <f t="shared" si="29"/>
        <v>62815.825831335227</v>
      </c>
      <c r="R104" s="75">
        <f t="shared" si="29"/>
        <v>62819.176422636709</v>
      </c>
      <c r="S104" s="75">
        <f t="shared" si="29"/>
        <v>63114.197167214588</v>
      </c>
      <c r="T104" s="75">
        <f t="shared" si="29"/>
        <v>63398.136065171107</v>
      </c>
      <c r="U104" s="75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</row>
    <row r="105" spans="1:54">
      <c r="A105" s="172" t="s">
        <v>112</v>
      </c>
      <c r="B105" s="205"/>
      <c r="C105" s="206">
        <v>60451</v>
      </c>
      <c r="D105" s="112">
        <v>59282</v>
      </c>
      <c r="E105" s="112">
        <v>62780.82</v>
      </c>
      <c r="F105" s="112">
        <v>63051</v>
      </c>
      <c r="G105" s="112">
        <v>61355.91</v>
      </c>
      <c r="H105" s="112">
        <v>62393.73</v>
      </c>
      <c r="I105" s="112">
        <v>61927</v>
      </c>
      <c r="J105" s="75">
        <f t="shared" ref="J105:J113" si="30">J$115*(SUM(D105:H105)/SUM(D$115:H$115))</f>
        <v>62893.000962571969</v>
      </c>
      <c r="K105" s="75">
        <f t="shared" si="29"/>
        <v>63296.059377989353</v>
      </c>
      <c r="L105" s="75">
        <f t="shared" si="29"/>
        <v>63667.55305540518</v>
      </c>
      <c r="M105" s="75">
        <f t="shared" si="29"/>
        <v>64004.827834512864</v>
      </c>
      <c r="N105" s="75">
        <f t="shared" si="29"/>
        <v>64416.984583413301</v>
      </c>
      <c r="O105" s="75">
        <f t="shared" si="29"/>
        <v>64785.142961940779</v>
      </c>
      <c r="P105" s="75">
        <f t="shared" si="29"/>
        <v>65072.602001192339</v>
      </c>
      <c r="Q105" s="75">
        <f t="shared" si="29"/>
        <v>65452.390759103087</v>
      </c>
      <c r="R105" s="75">
        <f t="shared" si="29"/>
        <v>65806.890831775396</v>
      </c>
      <c r="S105" s="75">
        <f t="shared" si="29"/>
        <v>66162.661025787776</v>
      </c>
      <c r="T105" s="75">
        <f t="shared" si="29"/>
        <v>66524.454700281509</v>
      </c>
      <c r="U105" s="75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</row>
    <row r="106" spans="1:54">
      <c r="A106" s="172" t="s">
        <v>100</v>
      </c>
      <c r="B106" s="205"/>
      <c r="C106" s="206">
        <v>60451</v>
      </c>
      <c r="D106" s="112">
        <v>59282</v>
      </c>
      <c r="E106" s="112">
        <v>62780.82</v>
      </c>
      <c r="F106" s="112">
        <v>63051</v>
      </c>
      <c r="G106" s="112">
        <v>61355.91</v>
      </c>
      <c r="H106" s="112">
        <v>62393.73</v>
      </c>
      <c r="I106" s="112">
        <v>61927</v>
      </c>
      <c r="J106" s="75">
        <f t="shared" si="30"/>
        <v>62893.000962571969</v>
      </c>
      <c r="K106" s="75">
        <f t="shared" si="29"/>
        <v>63296.059377989353</v>
      </c>
      <c r="L106" s="75">
        <f t="shared" si="29"/>
        <v>63667.55305540518</v>
      </c>
      <c r="M106" s="75">
        <f t="shared" si="29"/>
        <v>64004.827834512864</v>
      </c>
      <c r="N106" s="75">
        <f t="shared" si="29"/>
        <v>64416.984583413301</v>
      </c>
      <c r="O106" s="75">
        <f t="shared" si="29"/>
        <v>64785.142961940779</v>
      </c>
      <c r="P106" s="75">
        <f t="shared" si="29"/>
        <v>65072.602001192339</v>
      </c>
      <c r="Q106" s="75">
        <f t="shared" si="29"/>
        <v>65452.390759103087</v>
      </c>
      <c r="R106" s="75">
        <f t="shared" si="29"/>
        <v>65806.890831775396</v>
      </c>
      <c r="S106" s="75">
        <f t="shared" si="29"/>
        <v>66162.661025787776</v>
      </c>
      <c r="T106" s="75">
        <f t="shared" si="29"/>
        <v>66524.454700281509</v>
      </c>
      <c r="U106" s="75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</row>
    <row r="107" spans="1:54">
      <c r="A107" s="172" t="s">
        <v>102</v>
      </c>
      <c r="B107" s="205"/>
      <c r="C107" s="206">
        <v>60451</v>
      </c>
      <c r="D107" s="112">
        <v>59282</v>
      </c>
      <c r="E107" s="112">
        <v>62780.82</v>
      </c>
      <c r="F107" s="112">
        <v>63051</v>
      </c>
      <c r="G107" s="112">
        <v>61355.91</v>
      </c>
      <c r="H107" s="112">
        <v>62393.73</v>
      </c>
      <c r="I107" s="112">
        <v>62511</v>
      </c>
      <c r="J107" s="75">
        <f t="shared" si="30"/>
        <v>62893.000962571969</v>
      </c>
      <c r="K107" s="75">
        <f t="shared" si="29"/>
        <v>63414.723566681838</v>
      </c>
      <c r="L107" s="75">
        <f t="shared" si="29"/>
        <v>63786.870732403426</v>
      </c>
      <c r="M107" s="75">
        <f t="shared" si="29"/>
        <v>64149.037025756494</v>
      </c>
      <c r="N107" s="75">
        <f t="shared" si="29"/>
        <v>64585.518675011721</v>
      </c>
      <c r="O107" s="75">
        <f t="shared" si="29"/>
        <v>64983.360558215471</v>
      </c>
      <c r="P107" s="75">
        <f t="shared" si="29"/>
        <v>65185.198757667044</v>
      </c>
      <c r="Q107" s="75">
        <f t="shared" si="29"/>
        <v>65605.496940986501</v>
      </c>
      <c r="R107" s="75">
        <f t="shared" si="29"/>
        <v>65958.736625734949</v>
      </c>
      <c r="S107" s="75">
        <f t="shared" si="29"/>
        <v>66321.391559433876</v>
      </c>
      <c r="T107" s="75">
        <f t="shared" si="29"/>
        <v>66684.730296653419</v>
      </c>
      <c r="U107" s="75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</row>
    <row r="108" spans="1:54">
      <c r="A108" s="172" t="s">
        <v>103</v>
      </c>
      <c r="B108" s="205"/>
      <c r="C108" s="206">
        <v>60451</v>
      </c>
      <c r="D108" s="112">
        <v>59282</v>
      </c>
      <c r="E108" s="112">
        <v>62780.82</v>
      </c>
      <c r="F108" s="112">
        <v>63051</v>
      </c>
      <c r="G108" s="112">
        <v>61355.91</v>
      </c>
      <c r="H108" s="112">
        <v>62393.73</v>
      </c>
      <c r="I108" s="112">
        <v>61927</v>
      </c>
      <c r="J108" s="75">
        <f t="shared" si="30"/>
        <v>62893.000962571969</v>
      </c>
      <c r="K108" s="75">
        <f t="shared" si="29"/>
        <v>63296.059377989353</v>
      </c>
      <c r="L108" s="75">
        <f t="shared" si="29"/>
        <v>63667.55305540518</v>
      </c>
      <c r="M108" s="75">
        <f t="shared" si="29"/>
        <v>64004.827834512864</v>
      </c>
      <c r="N108" s="75">
        <f t="shared" si="29"/>
        <v>64416.984583413301</v>
      </c>
      <c r="O108" s="75">
        <f t="shared" si="29"/>
        <v>64785.142961940779</v>
      </c>
      <c r="P108" s="75">
        <f t="shared" si="29"/>
        <v>65072.602001192339</v>
      </c>
      <c r="Q108" s="75">
        <f t="shared" si="29"/>
        <v>65452.390759103087</v>
      </c>
      <c r="R108" s="75">
        <f t="shared" si="29"/>
        <v>65806.890831775396</v>
      </c>
      <c r="S108" s="75">
        <f t="shared" si="29"/>
        <v>66162.661025787776</v>
      </c>
      <c r="T108" s="75">
        <f t="shared" si="29"/>
        <v>66524.454700281509</v>
      </c>
      <c r="U108" s="75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117"/>
    </row>
    <row r="109" spans="1:54">
      <c r="A109" s="172" t="s">
        <v>104</v>
      </c>
      <c r="B109" s="205"/>
      <c r="C109" s="206">
        <v>60451</v>
      </c>
      <c r="D109" s="112">
        <v>59282</v>
      </c>
      <c r="E109" s="112">
        <v>62780.82</v>
      </c>
      <c r="F109" s="112">
        <v>63051</v>
      </c>
      <c r="G109" s="112">
        <v>61355.91</v>
      </c>
      <c r="H109" s="112">
        <v>62393.73</v>
      </c>
      <c r="I109" s="112">
        <v>60760</v>
      </c>
      <c r="J109" s="75">
        <f t="shared" si="30"/>
        <v>62893.000962571969</v>
      </c>
      <c r="K109" s="75">
        <f t="shared" si="29"/>
        <v>63058.934192708301</v>
      </c>
      <c r="L109" s="75">
        <f t="shared" si="29"/>
        <v>63429.122012499458</v>
      </c>
      <c r="M109" s="75">
        <f t="shared" si="29"/>
        <v>63716.656385572256</v>
      </c>
      <c r="N109" s="75">
        <f t="shared" si="29"/>
        <v>64080.204985989738</v>
      </c>
      <c r="O109" s="75">
        <f t="shared" si="29"/>
        <v>64389.047183083618</v>
      </c>
      <c r="P109" s="75">
        <f t="shared" si="29"/>
        <v>64847.601290908111</v>
      </c>
      <c r="Q109" s="75">
        <f t="shared" si="29"/>
        <v>65146.440563455908</v>
      </c>
      <c r="R109" s="75">
        <f t="shared" si="29"/>
        <v>65503.459253777422</v>
      </c>
      <c r="S109" s="75">
        <f t="shared" si="29"/>
        <v>65845.47175735452</v>
      </c>
      <c r="T109" s="75">
        <f t="shared" si="29"/>
        <v>66204.177952051978</v>
      </c>
      <c r="U109" s="75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117"/>
    </row>
    <row r="110" spans="1:54">
      <c r="A110" s="172" t="s">
        <v>105</v>
      </c>
      <c r="B110" s="205"/>
      <c r="C110" s="206">
        <v>60451</v>
      </c>
      <c r="D110" s="112">
        <v>59282</v>
      </c>
      <c r="E110" s="112">
        <v>62780.82</v>
      </c>
      <c r="F110" s="112">
        <v>63051</v>
      </c>
      <c r="G110" s="112">
        <v>61355.91</v>
      </c>
      <c r="H110" s="112">
        <v>62393.73</v>
      </c>
      <c r="I110" s="112">
        <v>61927</v>
      </c>
      <c r="J110" s="75">
        <f t="shared" si="30"/>
        <v>62893.000962571969</v>
      </c>
      <c r="K110" s="75">
        <f t="shared" si="29"/>
        <v>63296.059377989353</v>
      </c>
      <c r="L110" s="75">
        <f t="shared" si="29"/>
        <v>63667.55305540518</v>
      </c>
      <c r="M110" s="75">
        <f t="shared" si="29"/>
        <v>64004.827834512864</v>
      </c>
      <c r="N110" s="75">
        <f t="shared" si="29"/>
        <v>64416.984583413301</v>
      </c>
      <c r="O110" s="75">
        <f t="shared" si="29"/>
        <v>64785.142961940779</v>
      </c>
      <c r="P110" s="75">
        <f t="shared" si="29"/>
        <v>65072.602001192339</v>
      </c>
      <c r="Q110" s="75">
        <f t="shared" si="29"/>
        <v>65452.390759103087</v>
      </c>
      <c r="R110" s="75">
        <f t="shared" si="29"/>
        <v>65806.890831775396</v>
      </c>
      <c r="S110" s="75">
        <f t="shared" si="29"/>
        <v>66162.661025787776</v>
      </c>
      <c r="T110" s="75">
        <f t="shared" si="29"/>
        <v>66524.454700281509</v>
      </c>
      <c r="U110" s="75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117"/>
    </row>
    <row r="111" spans="1:54">
      <c r="A111" s="172" t="s">
        <v>106</v>
      </c>
      <c r="B111" s="205"/>
      <c r="C111" s="206">
        <v>60451</v>
      </c>
      <c r="D111" s="112">
        <v>59282</v>
      </c>
      <c r="E111" s="112">
        <v>62780.82</v>
      </c>
      <c r="F111" s="112">
        <v>63051</v>
      </c>
      <c r="G111" s="112">
        <v>61355.91</v>
      </c>
      <c r="H111" s="112">
        <v>62393.73</v>
      </c>
      <c r="I111" s="112">
        <v>61927</v>
      </c>
      <c r="J111" s="75">
        <f t="shared" si="30"/>
        <v>62893.000962571969</v>
      </c>
      <c r="K111" s="75">
        <f t="shared" si="29"/>
        <v>63296.059377989353</v>
      </c>
      <c r="L111" s="75">
        <f t="shared" si="29"/>
        <v>63667.55305540518</v>
      </c>
      <c r="M111" s="75">
        <f t="shared" si="29"/>
        <v>64004.827834512864</v>
      </c>
      <c r="N111" s="75">
        <f t="shared" si="29"/>
        <v>64416.984583413301</v>
      </c>
      <c r="O111" s="75">
        <f t="shared" si="29"/>
        <v>64785.142961940779</v>
      </c>
      <c r="P111" s="75">
        <f t="shared" si="29"/>
        <v>65072.602001192339</v>
      </c>
      <c r="Q111" s="75">
        <f t="shared" si="29"/>
        <v>65452.390759103087</v>
      </c>
      <c r="R111" s="75">
        <f t="shared" si="29"/>
        <v>65806.890831775396</v>
      </c>
      <c r="S111" s="75">
        <f t="shared" si="29"/>
        <v>66162.661025787776</v>
      </c>
      <c r="T111" s="75">
        <f t="shared" si="29"/>
        <v>66524.454700281509</v>
      </c>
      <c r="U111" s="75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117"/>
    </row>
    <row r="112" spans="1:54">
      <c r="A112" s="172" t="s">
        <v>107</v>
      </c>
      <c r="B112" s="205"/>
      <c r="C112" s="206">
        <v>60451</v>
      </c>
      <c r="D112" s="112">
        <v>59282</v>
      </c>
      <c r="E112" s="112">
        <v>62780.82</v>
      </c>
      <c r="F112" s="112">
        <v>63051</v>
      </c>
      <c r="G112" s="112">
        <v>61355.91</v>
      </c>
      <c r="H112" s="112">
        <v>62393.73</v>
      </c>
      <c r="I112" s="112">
        <v>62344</v>
      </c>
      <c r="J112" s="75">
        <f t="shared" si="30"/>
        <v>62893.000962571969</v>
      </c>
      <c r="K112" s="75">
        <f t="shared" si="29"/>
        <v>63380.790485326281</v>
      </c>
      <c r="L112" s="75">
        <f t="shared" si="29"/>
        <v>63752.750780248112</v>
      </c>
      <c r="M112" s="75">
        <f t="shared" si="29"/>
        <v>64107.799123465942</v>
      </c>
      <c r="N112" s="75">
        <f t="shared" si="29"/>
        <v>64537.324850873127</v>
      </c>
      <c r="O112" s="75">
        <f t="shared" si="29"/>
        <v>64926.678471609528</v>
      </c>
      <c r="P112" s="75">
        <f t="shared" si="29"/>
        <v>65153.00071257924</v>
      </c>
      <c r="Q112" s="75">
        <f t="shared" si="29"/>
        <v>65561.714865002708</v>
      </c>
      <c r="R112" s="75">
        <f t="shared" si="29"/>
        <v>65915.314968900624</v>
      </c>
      <c r="S112" s="75">
        <f t="shared" si="29"/>
        <v>66276.001149983713</v>
      </c>
      <c r="T112" s="75">
        <f t="shared" si="29"/>
        <v>66638.898062759399</v>
      </c>
      <c r="U112" s="75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117"/>
    </row>
    <row r="113" spans="1:53">
      <c r="A113" s="172" t="s">
        <v>108</v>
      </c>
      <c r="B113" s="205"/>
      <c r="C113" s="206">
        <v>60451</v>
      </c>
      <c r="D113" s="112">
        <v>59282</v>
      </c>
      <c r="E113" s="112">
        <v>62780.82</v>
      </c>
      <c r="F113" s="112">
        <v>63051</v>
      </c>
      <c r="G113" s="112">
        <v>61355.91</v>
      </c>
      <c r="H113" s="112">
        <v>62393.73</v>
      </c>
      <c r="I113" s="112">
        <v>62820</v>
      </c>
      <c r="J113" s="75">
        <f t="shared" si="30"/>
        <v>62893.000962571969</v>
      </c>
      <c r="K113" s="75">
        <f t="shared" si="29"/>
        <v>63477.50992679481</v>
      </c>
      <c r="L113" s="75">
        <f t="shared" si="29"/>
        <v>63850.002859445296</v>
      </c>
      <c r="M113" s="75">
        <f t="shared" si="29"/>
        <v>64225.339491671359</v>
      </c>
      <c r="N113" s="75">
        <f t="shared" si="29"/>
        <v>64674.691678956769</v>
      </c>
      <c r="O113" s="75">
        <f t="shared" si="29"/>
        <v>65088.239389121089</v>
      </c>
      <c r="P113" s="75">
        <f t="shared" si="29"/>
        <v>65244.774781212742</v>
      </c>
      <c r="Q113" s="75">
        <f t="shared" si="29"/>
        <v>65686.506889962475</v>
      </c>
      <c r="R113" s="75">
        <f t="shared" si="29"/>
        <v>66039.0796913745</v>
      </c>
      <c r="S113" s="75">
        <f t="shared" si="29"/>
        <v>66405.377406859639</v>
      </c>
      <c r="T113" s="75">
        <f t="shared" si="29"/>
        <v>66769.533651583086</v>
      </c>
      <c r="U113" s="75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187"/>
    </row>
    <row r="114" spans="1:53">
      <c r="A114" s="172" t="s">
        <v>109</v>
      </c>
      <c r="B114" s="205"/>
      <c r="C114" s="112">
        <v>57148</v>
      </c>
      <c r="D114" s="112">
        <v>59357</v>
      </c>
      <c r="E114" s="112">
        <v>66360</v>
      </c>
      <c r="F114" s="112">
        <v>63927</v>
      </c>
      <c r="G114" s="112">
        <v>66480</v>
      </c>
      <c r="H114" s="112">
        <v>65061</v>
      </c>
      <c r="I114" s="112">
        <v>60959</v>
      </c>
      <c r="J114" s="75">
        <f t="shared" ref="J114:T114" si="31">J115-SUM(J103:J113)</f>
        <v>66995.991336852429</v>
      </c>
      <c r="K114" s="75">
        <f t="shared" si="31"/>
        <v>65587.757458270877</v>
      </c>
      <c r="L114" s="75">
        <f t="shared" si="31"/>
        <v>66078.895961349364</v>
      </c>
      <c r="M114" s="75">
        <f t="shared" si="31"/>
        <v>66717.586417856626</v>
      </c>
      <c r="N114" s="75">
        <f t="shared" si="31"/>
        <v>66570.92062463006</v>
      </c>
      <c r="O114" s="75">
        <f t="shared" si="31"/>
        <v>66949.675749177462</v>
      </c>
      <c r="P114" s="75">
        <f t="shared" si="31"/>
        <v>67868.015652062255</v>
      </c>
      <c r="Q114" s="75">
        <f t="shared" si="31"/>
        <v>67851.224373651668</v>
      </c>
      <c r="R114" s="75">
        <f t="shared" si="31"/>
        <v>68308.369021567516</v>
      </c>
      <c r="S114" s="75">
        <f t="shared" si="31"/>
        <v>68661.240302855964</v>
      </c>
      <c r="T114" s="75">
        <f t="shared" si="31"/>
        <v>68979.61359624879</v>
      </c>
      <c r="U114" s="75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117"/>
    </row>
    <row r="115" spans="1:53" ht="15.75" thickBot="1">
      <c r="A115" s="172" t="s">
        <v>113</v>
      </c>
      <c r="B115" s="59">
        <f t="shared" ref="B115" si="32">SUM(B103:B114)</f>
        <v>0</v>
      </c>
      <c r="C115" s="188">
        <v>722119</v>
      </c>
      <c r="D115" s="59">
        <v>711459</v>
      </c>
      <c r="E115" s="59">
        <v>756949</v>
      </c>
      <c r="F115" s="59">
        <v>757488</v>
      </c>
      <c r="G115" s="59">
        <v>741395</v>
      </c>
      <c r="H115" s="59">
        <v>751392</v>
      </c>
      <c r="I115" s="59">
        <v>740461</v>
      </c>
      <c r="J115" s="58">
        <f>MROUND(FORECAST(J116,$C$115:$I115,$C116:$I$116),25)</f>
        <v>757225</v>
      </c>
      <c r="K115" s="58">
        <f>MROUND(FORECAST(K116,$C$115:$I115,$C116:$I$116),25)</f>
        <v>761500</v>
      </c>
      <c r="L115" s="58">
        <f>MROUND(FORECAST(L116,$C$115:$I115,$C116:$I$116),25)</f>
        <v>765750</v>
      </c>
      <c r="M115" s="58">
        <f>MROUND(FORECAST(M116,$C$115:$I115,$C116:$I$116),25)</f>
        <v>770025</v>
      </c>
      <c r="N115" s="58">
        <f>MROUND(FORECAST(N116,$C$115:$I115,$C116:$I$116),25)</f>
        <v>774275</v>
      </c>
      <c r="O115" s="58">
        <f>MROUND(FORECAST(O116,$C$115:$I115,$C116:$I$116),25)</f>
        <v>778550</v>
      </c>
      <c r="P115" s="58">
        <f>MROUND(FORECAST(P116,$C$115:$I115,$C116:$I$116),25)</f>
        <v>782800</v>
      </c>
      <c r="Q115" s="58">
        <f>MROUND(FORECAST(Q116,$C$115:$I115,$C116:$I$116),25)</f>
        <v>787075</v>
      </c>
      <c r="R115" s="58">
        <f>MROUND(FORECAST(R116,$C$115:$I115,$C116:$I$116),25)</f>
        <v>791325</v>
      </c>
      <c r="S115" s="58">
        <f>MROUND(FORECAST(S116,$C$115:$I115,$C116:$I$116),25)</f>
        <v>795575</v>
      </c>
      <c r="T115" s="58">
        <f>MROUND(FORECAST(T116,$C$115:$I115,$C116:$I$116),25)</f>
        <v>799850</v>
      </c>
      <c r="U115" s="58"/>
      <c r="V115" s="59"/>
      <c r="W115" s="59"/>
      <c r="X115" s="59"/>
      <c r="Y115" s="59"/>
      <c r="Z115" s="59"/>
      <c r="AA115" s="59"/>
      <c r="AB115" s="59"/>
      <c r="AC115" s="59"/>
      <c r="AD115" s="59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</row>
    <row r="116" spans="1:53">
      <c r="A116" s="178"/>
      <c r="B116" s="178">
        <v>2016</v>
      </c>
      <c r="C116" s="178">
        <v>2017</v>
      </c>
      <c r="D116" s="178">
        <v>2018</v>
      </c>
      <c r="E116" s="178">
        <v>2019</v>
      </c>
      <c r="F116" s="178">
        <v>2020</v>
      </c>
      <c r="G116" s="178">
        <v>2021</v>
      </c>
      <c r="H116" s="178">
        <v>2022</v>
      </c>
      <c r="I116" s="178">
        <v>2023</v>
      </c>
      <c r="J116" s="199">
        <v>2024</v>
      </c>
      <c r="K116" s="199">
        <v>2025</v>
      </c>
      <c r="L116" s="199">
        <v>2026</v>
      </c>
      <c r="M116" s="199">
        <v>2027</v>
      </c>
      <c r="N116" s="199">
        <v>2028</v>
      </c>
      <c r="O116" s="199">
        <v>2029</v>
      </c>
      <c r="P116" s="199">
        <v>2030</v>
      </c>
      <c r="Q116" s="199">
        <v>2031</v>
      </c>
      <c r="R116" s="199">
        <v>2032</v>
      </c>
      <c r="S116" s="199">
        <v>2033</v>
      </c>
      <c r="T116" s="199">
        <v>2034</v>
      </c>
      <c r="U116" s="199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</row>
    <row r="117" spans="1:53" ht="15.75" thickBot="1">
      <c r="A117" s="172" t="s">
        <v>192</v>
      </c>
      <c r="AA117" s="16"/>
      <c r="AB117" s="16"/>
      <c r="AC117" s="16"/>
      <c r="AD117" s="16"/>
      <c r="AE117" s="16"/>
    </row>
    <row r="118" spans="1:53" ht="15.75" thickBot="1">
      <c r="A118" s="174"/>
      <c r="B118" s="174">
        <f t="shared" ref="B118:T118" si="33">B2</f>
        <v>2016</v>
      </c>
      <c r="C118" s="174">
        <f t="shared" si="33"/>
        <v>2017</v>
      </c>
      <c r="D118" s="174">
        <f t="shared" si="33"/>
        <v>2018</v>
      </c>
      <c r="E118" s="174">
        <f t="shared" si="33"/>
        <v>2019</v>
      </c>
      <c r="F118" s="174">
        <f t="shared" si="33"/>
        <v>2020</v>
      </c>
      <c r="G118" s="174">
        <f t="shared" si="33"/>
        <v>2021</v>
      </c>
      <c r="H118" s="174">
        <f t="shared" si="33"/>
        <v>2022</v>
      </c>
      <c r="I118" s="174">
        <f t="shared" si="33"/>
        <v>2023</v>
      </c>
      <c r="J118" s="174">
        <f t="shared" si="33"/>
        <v>2024</v>
      </c>
      <c r="K118" s="174">
        <f t="shared" si="33"/>
        <v>2025</v>
      </c>
      <c r="L118" s="174">
        <f t="shared" si="33"/>
        <v>2026</v>
      </c>
      <c r="M118" s="174">
        <f t="shared" si="33"/>
        <v>2027</v>
      </c>
      <c r="N118" s="174">
        <f t="shared" si="33"/>
        <v>2028</v>
      </c>
      <c r="O118" s="174">
        <f t="shared" si="33"/>
        <v>2029</v>
      </c>
      <c r="P118" s="174">
        <f t="shared" si="33"/>
        <v>2030</v>
      </c>
      <c r="Q118" s="174">
        <f t="shared" si="33"/>
        <v>2031</v>
      </c>
      <c r="R118" s="174">
        <f t="shared" si="33"/>
        <v>2032</v>
      </c>
      <c r="S118" s="174">
        <f t="shared" si="33"/>
        <v>2033</v>
      </c>
      <c r="T118" s="174">
        <f t="shared" si="33"/>
        <v>2034</v>
      </c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4"/>
      <c r="AT118" s="174"/>
      <c r="AU118" s="174"/>
      <c r="AV118" s="174"/>
      <c r="AW118" s="174"/>
      <c r="AX118" s="175"/>
      <c r="AY118" s="189"/>
      <c r="BA118" s="190"/>
    </row>
    <row r="119" spans="1:53">
      <c r="A119" s="172" t="s">
        <v>110</v>
      </c>
      <c r="B119" s="59"/>
      <c r="C119" s="59"/>
      <c r="D119" s="59"/>
      <c r="E119" s="59"/>
      <c r="F119" s="59"/>
      <c r="G119" s="59"/>
      <c r="H119" s="59"/>
      <c r="I119" s="59"/>
      <c r="J119" s="191">
        <f t="shared" ref="J119:J130" si="34">J103*(SUM(E119:I119)/SUM(E103:I103))</f>
        <v>0</v>
      </c>
      <c r="K119" s="191">
        <f t="shared" ref="K119:K130" si="35">K103*(SUM(F119:J119)/SUM(F103:J103))</f>
        <v>0</v>
      </c>
      <c r="L119" s="191">
        <f t="shared" ref="L119:T130" si="36">L103*(SUM(G119:K119)/SUM(G103:K103))</f>
        <v>0</v>
      </c>
      <c r="M119" s="191">
        <f t="shared" si="36"/>
        <v>0</v>
      </c>
      <c r="N119" s="191">
        <f t="shared" si="36"/>
        <v>0</v>
      </c>
      <c r="O119" s="191">
        <f t="shared" si="36"/>
        <v>0</v>
      </c>
      <c r="P119" s="191">
        <f t="shared" si="36"/>
        <v>0</v>
      </c>
      <c r="Q119" s="191">
        <f t="shared" si="36"/>
        <v>0</v>
      </c>
      <c r="R119" s="191">
        <f t="shared" si="36"/>
        <v>0</v>
      </c>
      <c r="S119" s="191">
        <f t="shared" si="36"/>
        <v>0</v>
      </c>
      <c r="T119" s="191">
        <f t="shared" si="36"/>
        <v>0</v>
      </c>
      <c r="U119" s="58"/>
      <c r="V119" s="59"/>
      <c r="W119" s="59"/>
      <c r="X119" s="59"/>
      <c r="Y119" s="59"/>
      <c r="Z119" s="192"/>
      <c r="AA119" s="192"/>
      <c r="AB119" s="192"/>
      <c r="AC119" s="192"/>
      <c r="AD119" s="192"/>
      <c r="AE119" s="192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</row>
    <row r="120" spans="1:53">
      <c r="A120" s="172" t="s">
        <v>111</v>
      </c>
      <c r="B120" s="59"/>
      <c r="C120" s="59"/>
      <c r="D120" s="59"/>
      <c r="E120" s="59"/>
      <c r="F120" s="59"/>
      <c r="G120" s="59"/>
      <c r="H120" s="59"/>
      <c r="I120" s="59"/>
      <c r="J120" s="191">
        <f t="shared" si="34"/>
        <v>0</v>
      </c>
      <c r="K120" s="191">
        <f t="shared" si="35"/>
        <v>0</v>
      </c>
      <c r="L120" s="191">
        <f t="shared" si="36"/>
        <v>0</v>
      </c>
      <c r="M120" s="191">
        <f t="shared" si="36"/>
        <v>0</v>
      </c>
      <c r="N120" s="191">
        <f t="shared" si="36"/>
        <v>0</v>
      </c>
      <c r="O120" s="191">
        <f t="shared" si="36"/>
        <v>0</v>
      </c>
      <c r="P120" s="191">
        <f t="shared" si="36"/>
        <v>0</v>
      </c>
      <c r="Q120" s="191">
        <f t="shared" si="36"/>
        <v>0</v>
      </c>
      <c r="R120" s="191">
        <f t="shared" si="36"/>
        <v>0</v>
      </c>
      <c r="S120" s="191">
        <f t="shared" si="36"/>
        <v>0</v>
      </c>
      <c r="T120" s="191">
        <f t="shared" si="36"/>
        <v>0</v>
      </c>
      <c r="U120" s="58"/>
      <c r="V120" s="59"/>
      <c r="W120" s="59"/>
      <c r="X120" s="59"/>
      <c r="Y120" s="59"/>
      <c r="Z120" s="192"/>
      <c r="AA120" s="192"/>
      <c r="AB120" s="192"/>
      <c r="AC120" s="192"/>
      <c r="AD120" s="192"/>
      <c r="AE120" s="192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</row>
    <row r="121" spans="1:53">
      <c r="A121" s="172" t="s">
        <v>112</v>
      </c>
      <c r="B121" s="59"/>
      <c r="C121" s="59"/>
      <c r="D121" s="59"/>
      <c r="E121" s="59"/>
      <c r="F121" s="59"/>
      <c r="G121" s="59"/>
      <c r="H121" s="59"/>
      <c r="I121" s="59"/>
      <c r="J121" s="191">
        <f t="shared" si="34"/>
        <v>0</v>
      </c>
      <c r="K121" s="191">
        <f t="shared" si="35"/>
        <v>0</v>
      </c>
      <c r="L121" s="191">
        <f t="shared" si="36"/>
        <v>0</v>
      </c>
      <c r="M121" s="191">
        <f t="shared" si="36"/>
        <v>0</v>
      </c>
      <c r="N121" s="191">
        <f t="shared" si="36"/>
        <v>0</v>
      </c>
      <c r="O121" s="191">
        <f t="shared" si="36"/>
        <v>0</v>
      </c>
      <c r="P121" s="191">
        <f t="shared" si="36"/>
        <v>0</v>
      </c>
      <c r="Q121" s="191">
        <f t="shared" si="36"/>
        <v>0</v>
      </c>
      <c r="R121" s="191">
        <f t="shared" si="36"/>
        <v>0</v>
      </c>
      <c r="S121" s="191">
        <f t="shared" si="36"/>
        <v>0</v>
      </c>
      <c r="T121" s="191">
        <f t="shared" si="36"/>
        <v>0</v>
      </c>
      <c r="U121" s="58"/>
      <c r="V121" s="59"/>
      <c r="W121" s="59"/>
      <c r="X121" s="59"/>
      <c r="Y121" s="59"/>
      <c r="Z121" s="192"/>
      <c r="AA121" s="192"/>
      <c r="AB121" s="192"/>
      <c r="AC121" s="192"/>
      <c r="AD121" s="192"/>
      <c r="AE121" s="192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</row>
    <row r="122" spans="1:53">
      <c r="A122" s="172" t="s">
        <v>100</v>
      </c>
      <c r="B122" s="59"/>
      <c r="C122" s="59"/>
      <c r="D122" s="59"/>
      <c r="E122" s="59"/>
      <c r="F122" s="59"/>
      <c r="G122" s="59"/>
      <c r="H122" s="59"/>
      <c r="I122" s="59"/>
      <c r="J122" s="191">
        <f t="shared" si="34"/>
        <v>0</v>
      </c>
      <c r="K122" s="191">
        <f t="shared" si="35"/>
        <v>0</v>
      </c>
      <c r="L122" s="191">
        <f t="shared" si="36"/>
        <v>0</v>
      </c>
      <c r="M122" s="191">
        <f t="shared" si="36"/>
        <v>0</v>
      </c>
      <c r="N122" s="191">
        <f t="shared" si="36"/>
        <v>0</v>
      </c>
      <c r="O122" s="191">
        <f t="shared" si="36"/>
        <v>0</v>
      </c>
      <c r="P122" s="191">
        <f t="shared" si="36"/>
        <v>0</v>
      </c>
      <c r="Q122" s="191">
        <f t="shared" si="36"/>
        <v>0</v>
      </c>
      <c r="R122" s="191">
        <f t="shared" si="36"/>
        <v>0</v>
      </c>
      <c r="S122" s="191">
        <f t="shared" si="36"/>
        <v>0</v>
      </c>
      <c r="T122" s="191">
        <f t="shared" si="36"/>
        <v>0</v>
      </c>
      <c r="U122" s="58"/>
      <c r="V122" s="59"/>
      <c r="W122" s="59"/>
      <c r="X122" s="59"/>
      <c r="Y122" s="59"/>
      <c r="Z122" s="192"/>
      <c r="AA122" s="192"/>
      <c r="AB122" s="192"/>
      <c r="AC122" s="192"/>
      <c r="AD122" s="192"/>
      <c r="AE122" s="192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</row>
    <row r="123" spans="1:53">
      <c r="A123" s="172" t="s">
        <v>102</v>
      </c>
      <c r="B123" s="59"/>
      <c r="C123" s="59"/>
      <c r="D123" s="59"/>
      <c r="E123" s="59"/>
      <c r="F123" s="59"/>
      <c r="G123" s="59"/>
      <c r="H123" s="59"/>
      <c r="I123" s="59"/>
      <c r="J123" s="191">
        <f t="shared" si="34"/>
        <v>0</v>
      </c>
      <c r="K123" s="191">
        <f>K107*(SUM(F123:J123)/SUM(F107:J107))</f>
        <v>0</v>
      </c>
      <c r="L123" s="191">
        <f t="shared" si="36"/>
        <v>0</v>
      </c>
      <c r="M123" s="191">
        <f t="shared" si="36"/>
        <v>0</v>
      </c>
      <c r="N123" s="191">
        <f t="shared" si="36"/>
        <v>0</v>
      </c>
      <c r="O123" s="191">
        <f t="shared" si="36"/>
        <v>0</v>
      </c>
      <c r="P123" s="191">
        <f t="shared" si="36"/>
        <v>0</v>
      </c>
      <c r="Q123" s="191">
        <f t="shared" si="36"/>
        <v>0</v>
      </c>
      <c r="R123" s="191">
        <f t="shared" si="36"/>
        <v>0</v>
      </c>
      <c r="S123" s="191">
        <f t="shared" si="36"/>
        <v>0</v>
      </c>
      <c r="T123" s="191">
        <f t="shared" si="36"/>
        <v>0</v>
      </c>
      <c r="U123" s="58"/>
      <c r="V123" s="59"/>
      <c r="W123" s="59"/>
      <c r="X123" s="59"/>
      <c r="Y123" s="59"/>
      <c r="Z123" s="192"/>
      <c r="AA123" s="192"/>
      <c r="AB123" s="192"/>
      <c r="AC123" s="192"/>
      <c r="AD123" s="192"/>
      <c r="AE123" s="192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</row>
    <row r="124" spans="1:53">
      <c r="A124" s="172" t="s">
        <v>103</v>
      </c>
      <c r="B124" s="59"/>
      <c r="C124" s="59"/>
      <c r="D124" s="59"/>
      <c r="E124" s="59"/>
      <c r="F124" s="59"/>
      <c r="G124" s="59"/>
      <c r="H124" s="59"/>
      <c r="I124" s="59"/>
      <c r="J124" s="191">
        <f t="shared" si="34"/>
        <v>0</v>
      </c>
      <c r="K124" s="191">
        <f t="shared" si="35"/>
        <v>0</v>
      </c>
      <c r="L124" s="191">
        <f t="shared" si="36"/>
        <v>0</v>
      </c>
      <c r="M124" s="191">
        <f t="shared" si="36"/>
        <v>0</v>
      </c>
      <c r="N124" s="191">
        <f t="shared" si="36"/>
        <v>0</v>
      </c>
      <c r="O124" s="191">
        <f t="shared" si="36"/>
        <v>0</v>
      </c>
      <c r="P124" s="191">
        <f t="shared" si="36"/>
        <v>0</v>
      </c>
      <c r="Q124" s="191">
        <f t="shared" si="36"/>
        <v>0</v>
      </c>
      <c r="R124" s="191">
        <f t="shared" si="36"/>
        <v>0</v>
      </c>
      <c r="S124" s="191">
        <f t="shared" si="36"/>
        <v>0</v>
      </c>
      <c r="T124" s="191">
        <f t="shared" si="36"/>
        <v>0</v>
      </c>
      <c r="U124" s="58"/>
      <c r="V124" s="59"/>
      <c r="W124" s="59"/>
      <c r="X124" s="59"/>
      <c r="Y124" s="59"/>
      <c r="Z124" s="192"/>
      <c r="AA124" s="192"/>
      <c r="AB124" s="192"/>
      <c r="AC124" s="192"/>
      <c r="AD124" s="192"/>
      <c r="AE124" s="192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</row>
    <row r="125" spans="1:53">
      <c r="A125" s="172" t="s">
        <v>104</v>
      </c>
      <c r="B125" s="59"/>
      <c r="C125" s="59"/>
      <c r="D125" s="59"/>
      <c r="E125" s="59"/>
      <c r="F125" s="59"/>
      <c r="G125" s="59"/>
      <c r="H125" s="59"/>
      <c r="I125" s="59"/>
      <c r="J125" s="191">
        <f t="shared" si="34"/>
        <v>0</v>
      </c>
      <c r="K125" s="191">
        <f t="shared" si="35"/>
        <v>0</v>
      </c>
      <c r="L125" s="191">
        <f t="shared" si="36"/>
        <v>0</v>
      </c>
      <c r="M125" s="191">
        <f t="shared" si="36"/>
        <v>0</v>
      </c>
      <c r="N125" s="191">
        <f t="shared" si="36"/>
        <v>0</v>
      </c>
      <c r="O125" s="191">
        <f t="shared" si="36"/>
        <v>0</v>
      </c>
      <c r="P125" s="191">
        <f t="shared" si="36"/>
        <v>0</v>
      </c>
      <c r="Q125" s="191">
        <f t="shared" si="36"/>
        <v>0</v>
      </c>
      <c r="R125" s="191">
        <f t="shared" si="36"/>
        <v>0</v>
      </c>
      <c r="S125" s="191">
        <f t="shared" si="36"/>
        <v>0</v>
      </c>
      <c r="T125" s="191">
        <f t="shared" si="36"/>
        <v>0</v>
      </c>
      <c r="U125" s="58"/>
      <c r="V125" s="59"/>
      <c r="W125" s="59"/>
      <c r="X125" s="59"/>
      <c r="Y125" s="59"/>
      <c r="Z125" s="192"/>
      <c r="AA125" s="192"/>
      <c r="AB125" s="192"/>
      <c r="AC125" s="192"/>
      <c r="AD125" s="192"/>
      <c r="AE125" s="192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</row>
    <row r="126" spans="1:53">
      <c r="A126" s="172" t="s">
        <v>105</v>
      </c>
      <c r="B126" s="59"/>
      <c r="C126" s="59"/>
      <c r="D126" s="59"/>
      <c r="E126" s="59"/>
      <c r="F126" s="59"/>
      <c r="G126" s="59"/>
      <c r="H126" s="59"/>
      <c r="I126" s="59"/>
      <c r="J126" s="191">
        <f t="shared" si="34"/>
        <v>0</v>
      </c>
      <c r="K126" s="191">
        <f t="shared" si="35"/>
        <v>0</v>
      </c>
      <c r="L126" s="191">
        <f t="shared" si="36"/>
        <v>0</v>
      </c>
      <c r="M126" s="191">
        <f t="shared" si="36"/>
        <v>0</v>
      </c>
      <c r="N126" s="191">
        <f t="shared" si="36"/>
        <v>0</v>
      </c>
      <c r="O126" s="191">
        <f t="shared" si="36"/>
        <v>0</v>
      </c>
      <c r="P126" s="191">
        <f t="shared" si="36"/>
        <v>0</v>
      </c>
      <c r="Q126" s="191">
        <f t="shared" si="36"/>
        <v>0</v>
      </c>
      <c r="R126" s="191">
        <f t="shared" si="36"/>
        <v>0</v>
      </c>
      <c r="S126" s="191">
        <f t="shared" si="36"/>
        <v>0</v>
      </c>
      <c r="T126" s="191">
        <f t="shared" si="36"/>
        <v>0</v>
      </c>
      <c r="U126" s="58"/>
      <c r="V126" s="59"/>
      <c r="W126" s="59"/>
      <c r="X126" s="59"/>
      <c r="Y126" s="59"/>
      <c r="Z126" s="192"/>
      <c r="AA126" s="192"/>
      <c r="AB126" s="192"/>
      <c r="AC126" s="192"/>
      <c r="AD126" s="192"/>
      <c r="AE126" s="192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</row>
    <row r="127" spans="1:53">
      <c r="A127" s="172" t="s">
        <v>106</v>
      </c>
      <c r="B127" s="59"/>
      <c r="C127" s="59"/>
      <c r="D127" s="59"/>
      <c r="E127" s="59"/>
      <c r="F127" s="59"/>
      <c r="G127" s="59"/>
      <c r="H127" s="59"/>
      <c r="I127" s="59"/>
      <c r="J127" s="191">
        <f t="shared" si="34"/>
        <v>0</v>
      </c>
      <c r="K127" s="191">
        <f t="shared" si="35"/>
        <v>0</v>
      </c>
      <c r="L127" s="191">
        <f t="shared" si="36"/>
        <v>0</v>
      </c>
      <c r="M127" s="191">
        <f t="shared" si="36"/>
        <v>0</v>
      </c>
      <c r="N127" s="191">
        <f t="shared" si="36"/>
        <v>0</v>
      </c>
      <c r="O127" s="191">
        <f t="shared" si="36"/>
        <v>0</v>
      </c>
      <c r="P127" s="191">
        <f t="shared" si="36"/>
        <v>0</v>
      </c>
      <c r="Q127" s="191">
        <f t="shared" si="36"/>
        <v>0</v>
      </c>
      <c r="R127" s="191">
        <f t="shared" si="36"/>
        <v>0</v>
      </c>
      <c r="S127" s="191">
        <f t="shared" si="36"/>
        <v>0</v>
      </c>
      <c r="T127" s="191">
        <f t="shared" si="36"/>
        <v>0</v>
      </c>
      <c r="U127" s="58"/>
      <c r="V127" s="59"/>
      <c r="W127" s="59"/>
      <c r="X127" s="59"/>
      <c r="Y127" s="59"/>
      <c r="Z127" s="192"/>
      <c r="AA127" s="192"/>
      <c r="AB127" s="192"/>
      <c r="AC127" s="192"/>
      <c r="AD127" s="192"/>
      <c r="AE127" s="192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</row>
    <row r="128" spans="1:53">
      <c r="A128" s="172" t="s">
        <v>107</v>
      </c>
      <c r="B128" s="59"/>
      <c r="C128" s="59"/>
      <c r="D128" s="59"/>
      <c r="E128" s="59"/>
      <c r="F128" s="59"/>
      <c r="G128" s="59"/>
      <c r="H128" s="59"/>
      <c r="I128" s="59"/>
      <c r="J128" s="191">
        <f t="shared" si="34"/>
        <v>0</v>
      </c>
      <c r="K128" s="191">
        <f t="shared" si="35"/>
        <v>0</v>
      </c>
      <c r="L128" s="191">
        <f t="shared" si="36"/>
        <v>0</v>
      </c>
      <c r="M128" s="191">
        <f t="shared" si="36"/>
        <v>0</v>
      </c>
      <c r="N128" s="191">
        <f t="shared" si="36"/>
        <v>0</v>
      </c>
      <c r="O128" s="191">
        <f t="shared" si="36"/>
        <v>0</v>
      </c>
      <c r="P128" s="191">
        <f t="shared" si="36"/>
        <v>0</v>
      </c>
      <c r="Q128" s="191">
        <f t="shared" si="36"/>
        <v>0</v>
      </c>
      <c r="R128" s="191">
        <f t="shared" si="36"/>
        <v>0</v>
      </c>
      <c r="S128" s="191">
        <f t="shared" si="36"/>
        <v>0</v>
      </c>
      <c r="T128" s="191">
        <f t="shared" si="36"/>
        <v>0</v>
      </c>
      <c r="U128" s="58"/>
      <c r="V128" s="59"/>
      <c r="W128" s="59"/>
      <c r="X128" s="59"/>
      <c r="Y128" s="59"/>
      <c r="Z128" s="192"/>
      <c r="AA128" s="192"/>
      <c r="AB128" s="192"/>
      <c r="AC128" s="192"/>
      <c r="AD128" s="192"/>
      <c r="AE128" s="192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</row>
    <row r="129" spans="1:51">
      <c r="A129" s="172" t="s">
        <v>108</v>
      </c>
      <c r="B129" s="59"/>
      <c r="C129" s="59"/>
      <c r="D129" s="59"/>
      <c r="E129" s="59"/>
      <c r="F129" s="59"/>
      <c r="G129" s="59"/>
      <c r="H129" s="59"/>
      <c r="I129" s="59"/>
      <c r="J129" s="191">
        <f t="shared" si="34"/>
        <v>0</v>
      </c>
      <c r="K129" s="191">
        <f t="shared" si="35"/>
        <v>0</v>
      </c>
      <c r="L129" s="191">
        <f t="shared" si="36"/>
        <v>0</v>
      </c>
      <c r="M129" s="191">
        <f t="shared" si="36"/>
        <v>0</v>
      </c>
      <c r="N129" s="191">
        <f t="shared" si="36"/>
        <v>0</v>
      </c>
      <c r="O129" s="191">
        <f t="shared" si="36"/>
        <v>0</v>
      </c>
      <c r="P129" s="191">
        <f t="shared" si="36"/>
        <v>0</v>
      </c>
      <c r="Q129" s="191">
        <f t="shared" si="36"/>
        <v>0</v>
      </c>
      <c r="R129" s="191">
        <f t="shared" si="36"/>
        <v>0</v>
      </c>
      <c r="S129" s="191">
        <f t="shared" si="36"/>
        <v>0</v>
      </c>
      <c r="T129" s="191">
        <f t="shared" si="36"/>
        <v>0</v>
      </c>
      <c r="U129" s="58"/>
      <c r="V129" s="59"/>
      <c r="W129" s="59"/>
      <c r="X129" s="59"/>
      <c r="Y129" s="59"/>
      <c r="Z129" s="192"/>
      <c r="AA129" s="192"/>
      <c r="AB129" s="192"/>
      <c r="AC129" s="192"/>
      <c r="AD129" s="192"/>
      <c r="AE129" s="192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87"/>
    </row>
    <row r="130" spans="1:51">
      <c r="A130" s="172" t="s">
        <v>109</v>
      </c>
      <c r="B130" s="59"/>
      <c r="C130" s="59"/>
      <c r="D130" s="59"/>
      <c r="E130" s="59"/>
      <c r="F130" s="59"/>
      <c r="G130" s="59"/>
      <c r="H130" s="59"/>
      <c r="I130" s="59"/>
      <c r="J130" s="191">
        <f t="shared" si="34"/>
        <v>0</v>
      </c>
      <c r="K130" s="191">
        <f t="shared" si="35"/>
        <v>0</v>
      </c>
      <c r="L130" s="191">
        <f t="shared" si="36"/>
        <v>0</v>
      </c>
      <c r="M130" s="191">
        <f t="shared" si="36"/>
        <v>0</v>
      </c>
      <c r="N130" s="191">
        <f t="shared" si="36"/>
        <v>0</v>
      </c>
      <c r="O130" s="191">
        <f t="shared" si="36"/>
        <v>0</v>
      </c>
      <c r="P130" s="191">
        <f t="shared" si="36"/>
        <v>0</v>
      </c>
      <c r="Q130" s="191">
        <f t="shared" si="36"/>
        <v>0</v>
      </c>
      <c r="R130" s="191">
        <f t="shared" si="36"/>
        <v>0</v>
      </c>
      <c r="S130" s="191">
        <f t="shared" si="36"/>
        <v>0</v>
      </c>
      <c r="T130" s="191">
        <f t="shared" si="36"/>
        <v>0</v>
      </c>
      <c r="U130" s="58"/>
      <c r="V130" s="59"/>
      <c r="W130" s="59"/>
      <c r="X130" s="59"/>
      <c r="Y130" s="59"/>
      <c r="Z130" s="192"/>
      <c r="AA130" s="192"/>
      <c r="AB130" s="192"/>
      <c r="AC130" s="192"/>
      <c r="AD130" s="192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</row>
    <row r="131" spans="1:51">
      <c r="A131" s="172" t="s">
        <v>113</v>
      </c>
      <c r="B131" s="59"/>
      <c r="C131" s="59"/>
      <c r="D131" s="59"/>
      <c r="E131" s="59"/>
      <c r="F131" s="59"/>
      <c r="G131" s="59"/>
      <c r="H131" s="59"/>
      <c r="I131" s="59"/>
      <c r="J131" s="58">
        <f t="shared" ref="J131" si="37">SUM(J119:J130)</f>
        <v>0</v>
      </c>
      <c r="K131" s="58">
        <f t="shared" ref="K131:T131" si="38">SUM(K119:K130)</f>
        <v>0</v>
      </c>
      <c r="L131" s="58">
        <f t="shared" si="38"/>
        <v>0</v>
      </c>
      <c r="M131" s="58">
        <f t="shared" si="38"/>
        <v>0</v>
      </c>
      <c r="N131" s="58">
        <f t="shared" si="38"/>
        <v>0</v>
      </c>
      <c r="O131" s="58">
        <f t="shared" si="38"/>
        <v>0</v>
      </c>
      <c r="P131" s="58">
        <f t="shared" si="38"/>
        <v>0</v>
      </c>
      <c r="Q131" s="58">
        <f t="shared" si="38"/>
        <v>0</v>
      </c>
      <c r="R131" s="58">
        <f t="shared" si="38"/>
        <v>0</v>
      </c>
      <c r="S131" s="58">
        <f t="shared" si="38"/>
        <v>0</v>
      </c>
      <c r="T131" s="58">
        <f t="shared" si="38"/>
        <v>0</v>
      </c>
      <c r="U131" s="58"/>
      <c r="V131" s="59"/>
      <c r="W131" s="59"/>
      <c r="X131" s="59"/>
      <c r="Y131" s="59"/>
      <c r="Z131" s="59"/>
      <c r="AA131" s="59"/>
      <c r="AB131" s="59"/>
      <c r="AC131" s="59"/>
      <c r="AD131" s="59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</row>
    <row r="134" spans="1:51">
      <c r="A134" t="s">
        <v>201</v>
      </c>
    </row>
    <row r="135" spans="1:51">
      <c r="A135" t="s">
        <v>110</v>
      </c>
      <c r="B135" s="193">
        <v>1.7419445027691292E-2</v>
      </c>
      <c r="C135" s="193">
        <v>1.5709682169474781E-2</v>
      </c>
      <c r="D135" s="193">
        <v>1.5023037044408945E-2</v>
      </c>
      <c r="E135" s="193">
        <v>1.618888677497226E-2</v>
      </c>
      <c r="F135" s="193">
        <v>1.4816602843803832E-2</v>
      </c>
      <c r="G135" s="193">
        <v>1.3606879302205705E-2</v>
      </c>
      <c r="H135" s="193">
        <v>1.1733414894906813E-2</v>
      </c>
      <c r="I135" s="193">
        <v>1.2268648173247545E-2</v>
      </c>
      <c r="J135" s="194">
        <v>1.2677887772226915E-2</v>
      </c>
      <c r="K135" s="194">
        <v>1.3808593996511234E-2</v>
      </c>
      <c r="L135" s="194">
        <v>1.386384750632611E-2</v>
      </c>
      <c r="M135" s="194">
        <v>1.3792358955385595E-2</v>
      </c>
      <c r="N135" s="194">
        <v>1.4035589211196476E-2</v>
      </c>
      <c r="O135" s="194">
        <v>1.382749649112444E-2</v>
      </c>
      <c r="P135" s="194">
        <v>1.3891289473490278E-2</v>
      </c>
      <c r="Q135" s="194">
        <v>1.4017445201497827E-2</v>
      </c>
      <c r="R135" s="194">
        <v>1.425377145234053E-2</v>
      </c>
      <c r="S135" s="194">
        <v>1.4112992201779724E-2</v>
      </c>
    </row>
    <row r="136" spans="1:51">
      <c r="A136" t="s">
        <v>111</v>
      </c>
      <c r="B136" s="193">
        <v>1.8399532545247312E-2</v>
      </c>
      <c r="C136" s="193">
        <v>1.8541103613079112E-2</v>
      </c>
      <c r="D136" s="193">
        <v>1.8749826839172312E-2</v>
      </c>
      <c r="E136" s="193">
        <v>1.800942130166119E-2</v>
      </c>
      <c r="F136" s="193">
        <v>1.8347077202372768E-2</v>
      </c>
      <c r="G136" s="193">
        <v>1.5684728452068659E-2</v>
      </c>
      <c r="H136" s="193">
        <v>1.3167933404450483E-2</v>
      </c>
      <c r="I136" s="193">
        <v>1.62237619711437E-2</v>
      </c>
      <c r="J136" s="194">
        <v>1.677904306787462E-2</v>
      </c>
      <c r="K136" s="194">
        <v>1.3808593996511234E-2</v>
      </c>
      <c r="L136" s="194">
        <v>1.386384750632611E-2</v>
      </c>
      <c r="M136" s="194">
        <v>1.3792358955385595E-2</v>
      </c>
      <c r="N136" s="194">
        <v>1.4035589211196476E-2</v>
      </c>
      <c r="O136" s="194">
        <v>1.382749649112444E-2</v>
      </c>
      <c r="P136" s="194">
        <v>1.3891289473490278E-2</v>
      </c>
      <c r="Q136" s="194">
        <v>1.4017445201497827E-2</v>
      </c>
      <c r="R136" s="194">
        <v>1.425377145234053E-2</v>
      </c>
      <c r="S136" s="194">
        <v>1.4112992201779724E-2</v>
      </c>
    </row>
    <row r="137" spans="1:51">
      <c r="A137" t="s">
        <v>112</v>
      </c>
      <c r="B137" s="193">
        <v>1.6986824818088997E-2</v>
      </c>
      <c r="C137" s="193">
        <v>1.5835331970842827E-2</v>
      </c>
      <c r="D137" s="193">
        <v>1.7197041319906514E-2</v>
      </c>
      <c r="E137" s="193">
        <v>1.699538523098329E-2</v>
      </c>
      <c r="F137" s="193">
        <v>1.5879594542647143E-2</v>
      </c>
      <c r="G137" s="193">
        <v>1.3086082035257593E-2</v>
      </c>
      <c r="H137" s="193">
        <v>1.1292429412830292E-2</v>
      </c>
      <c r="I137" s="193">
        <v>1.2552188759704531E-2</v>
      </c>
      <c r="J137" s="194">
        <v>1.3735891785548298E-2</v>
      </c>
      <c r="K137" s="194">
        <v>1.3808593996511234E-2</v>
      </c>
      <c r="L137" s="194">
        <v>1.386384750632611E-2</v>
      </c>
      <c r="M137" s="194">
        <v>1.3792358955385595E-2</v>
      </c>
      <c r="N137" s="194">
        <v>1.4035589211196476E-2</v>
      </c>
      <c r="O137" s="194">
        <v>1.382749649112444E-2</v>
      </c>
      <c r="P137" s="194">
        <v>1.3891289473490278E-2</v>
      </c>
      <c r="Q137" s="194">
        <v>1.4017445201497827E-2</v>
      </c>
      <c r="R137" s="194">
        <v>1.425377145234053E-2</v>
      </c>
      <c r="S137" s="194">
        <v>1.4112992201779724E-2</v>
      </c>
    </row>
    <row r="138" spans="1:51">
      <c r="A138" t="s">
        <v>100</v>
      </c>
      <c r="B138" s="193">
        <v>1.7314788919167278E-2</v>
      </c>
      <c r="C138" s="193">
        <v>1.7078304006309528E-2</v>
      </c>
      <c r="D138" s="193">
        <v>1.6191059085678264E-2</v>
      </c>
      <c r="E138" s="193">
        <v>1.5085564895112889E-2</v>
      </c>
      <c r="F138" s="193">
        <v>1.5135294986600038E-2</v>
      </c>
      <c r="G138" s="193">
        <v>1.3541693510972371E-2</v>
      </c>
      <c r="H138" s="193">
        <v>1.1530959478651881E-2</v>
      </c>
      <c r="I138" s="193">
        <v>1.4266224566230402E-2</v>
      </c>
      <c r="J138" s="194">
        <v>1.3735891785548298E-2</v>
      </c>
      <c r="K138" s="194">
        <v>1.3808593996511234E-2</v>
      </c>
      <c r="L138" s="194">
        <v>1.386384750632611E-2</v>
      </c>
      <c r="M138" s="194">
        <v>1.3792358955385595E-2</v>
      </c>
      <c r="N138" s="194">
        <v>1.4035589211196476E-2</v>
      </c>
      <c r="O138" s="194">
        <v>1.382749649112444E-2</v>
      </c>
      <c r="P138" s="194">
        <v>1.3891289473490278E-2</v>
      </c>
      <c r="Q138" s="194">
        <v>1.4017445201497827E-2</v>
      </c>
      <c r="R138" s="194">
        <v>1.425377145234053E-2</v>
      </c>
      <c r="S138" s="194">
        <v>1.4112992201779724E-2</v>
      </c>
    </row>
    <row r="139" spans="1:51">
      <c r="A139" t="s">
        <v>102</v>
      </c>
      <c r="B139" s="193">
        <v>1.7636917548649943E-2</v>
      </c>
      <c r="C139" s="193">
        <v>1.5902226596841231E-2</v>
      </c>
      <c r="D139" s="193">
        <v>1.6646961297342108E-2</v>
      </c>
      <c r="E139" s="193">
        <v>1.6758511158126148E-2</v>
      </c>
      <c r="F139" s="193">
        <v>1.902796644179142E-2</v>
      </c>
      <c r="G139" s="193">
        <v>1.603393789386779E-2</v>
      </c>
      <c r="H139" s="193">
        <v>1.2610365486568704E-2</v>
      </c>
      <c r="I139" s="193">
        <v>1.4445237764238452E-2</v>
      </c>
      <c r="J139" s="194">
        <v>1.3735891785548298E-2</v>
      </c>
      <c r="K139" s="194">
        <v>1.3808593996511234E-2</v>
      </c>
      <c r="L139" s="194">
        <v>1.386384750632611E-2</v>
      </c>
      <c r="M139" s="194">
        <v>1.3792358955385595E-2</v>
      </c>
      <c r="N139" s="194">
        <v>1.4035589211196476E-2</v>
      </c>
      <c r="O139" s="194">
        <v>1.382749649112444E-2</v>
      </c>
      <c r="P139" s="194">
        <v>1.3891289473490278E-2</v>
      </c>
      <c r="Q139" s="194">
        <v>1.4017445201497827E-2</v>
      </c>
      <c r="R139" s="194">
        <v>1.425377145234053E-2</v>
      </c>
      <c r="S139" s="194">
        <v>1.4112992201779724E-2</v>
      </c>
    </row>
    <row r="140" spans="1:51">
      <c r="A140" t="s">
        <v>103</v>
      </c>
      <c r="B140" s="193">
        <v>1.7190664218659293E-2</v>
      </c>
      <c r="C140" s="193">
        <v>1.6964498045590793E-2</v>
      </c>
      <c r="D140" s="193">
        <v>1.7415715176253E-2</v>
      </c>
      <c r="E140" s="193">
        <v>1.7818422981207421E-2</v>
      </c>
      <c r="F140" s="193">
        <v>1.599532169927978E-2</v>
      </c>
      <c r="G140" s="193">
        <v>1.3959710294365818E-2</v>
      </c>
      <c r="H140" s="193">
        <v>1.3234911932091413E-2</v>
      </c>
      <c r="I140" s="193">
        <v>1.3599179251258345E-2</v>
      </c>
      <c r="J140" s="194">
        <v>1.3735891785548298E-2</v>
      </c>
      <c r="K140" s="194">
        <v>1.3808593996511234E-2</v>
      </c>
      <c r="L140" s="194">
        <v>1.386384750632611E-2</v>
      </c>
      <c r="M140" s="194">
        <v>1.3792358955385595E-2</v>
      </c>
      <c r="N140" s="194">
        <v>1.4035589211196476E-2</v>
      </c>
      <c r="O140" s="194">
        <v>1.382749649112444E-2</v>
      </c>
      <c r="P140" s="194">
        <v>1.3891289473490278E-2</v>
      </c>
      <c r="Q140" s="194">
        <v>1.4017445201497827E-2</v>
      </c>
      <c r="R140" s="194">
        <v>1.425377145234053E-2</v>
      </c>
      <c r="S140" s="194">
        <v>1.4112992201779724E-2</v>
      </c>
    </row>
    <row r="141" spans="1:51">
      <c r="A141" t="s">
        <v>104</v>
      </c>
      <c r="B141" s="193">
        <v>1.694644752210437E-2</v>
      </c>
      <c r="C141" s="193">
        <v>1.6339645175716049E-2</v>
      </c>
      <c r="D141" s="193">
        <v>1.6004480822235864E-2</v>
      </c>
      <c r="E141" s="193">
        <v>1.5676406683930531E-2</v>
      </c>
      <c r="F141" s="193">
        <v>1.5146691929548043E-2</v>
      </c>
      <c r="G141" s="193">
        <v>1.3844976935210369E-2</v>
      </c>
      <c r="H141" s="193">
        <v>1.3136149942227457E-2</v>
      </c>
      <c r="I141" s="193">
        <v>1.4020097477410978E-2</v>
      </c>
      <c r="J141" s="194">
        <v>1.3735891785548298E-2</v>
      </c>
      <c r="K141" s="194">
        <v>1.3808593996511234E-2</v>
      </c>
      <c r="L141" s="194">
        <v>1.386384750632611E-2</v>
      </c>
      <c r="M141" s="194">
        <v>1.3792358955385595E-2</v>
      </c>
      <c r="N141" s="194">
        <v>1.4035589211196476E-2</v>
      </c>
      <c r="O141" s="194">
        <v>1.382749649112444E-2</v>
      </c>
      <c r="P141" s="194">
        <v>1.3891289473490278E-2</v>
      </c>
      <c r="Q141" s="194">
        <v>1.4017445201497827E-2</v>
      </c>
      <c r="R141" s="194">
        <v>1.425377145234053E-2</v>
      </c>
      <c r="S141" s="194">
        <v>1.4112992201779724E-2</v>
      </c>
    </row>
    <row r="142" spans="1:51">
      <c r="A142" t="s">
        <v>105</v>
      </c>
      <c r="B142" s="193">
        <v>1.744137160636005E-2</v>
      </c>
      <c r="C142" s="193">
        <v>1.6562364580460464E-2</v>
      </c>
      <c r="D142" s="193">
        <v>1.3443355282849446E-2</v>
      </c>
      <c r="E142" s="193">
        <v>1.7718710697367239E-2</v>
      </c>
      <c r="F142" s="193">
        <v>1.767976190304461E-2</v>
      </c>
      <c r="G142" s="193">
        <v>1.3363614533309118E-2</v>
      </c>
      <c r="H142" s="193">
        <v>1.3917554277630249E-2</v>
      </c>
      <c r="I142" s="193">
        <v>1.5139299072928117E-2</v>
      </c>
      <c r="J142" s="194">
        <v>1.3735891785548298E-2</v>
      </c>
      <c r="K142" s="194">
        <v>1.3808593996511234E-2</v>
      </c>
      <c r="L142" s="194">
        <v>1.386384750632611E-2</v>
      </c>
      <c r="M142" s="194">
        <v>1.3792358955385595E-2</v>
      </c>
      <c r="N142" s="194">
        <v>1.4035589211196476E-2</v>
      </c>
      <c r="O142" s="194">
        <v>1.382749649112444E-2</v>
      </c>
      <c r="P142" s="194">
        <v>1.3891289473490278E-2</v>
      </c>
      <c r="Q142" s="194">
        <v>1.4017445201497827E-2</v>
      </c>
      <c r="R142" s="194">
        <v>1.425377145234053E-2</v>
      </c>
      <c r="S142" s="194">
        <v>1.4112992201779724E-2</v>
      </c>
    </row>
    <row r="143" spans="1:51">
      <c r="A143" t="s">
        <v>106</v>
      </c>
      <c r="B143" s="193">
        <v>1.7501108667917709E-2</v>
      </c>
      <c r="C143" s="193">
        <v>1.7609507693619696E-2</v>
      </c>
      <c r="D143" s="193">
        <v>1.4772799799681987E-2</v>
      </c>
      <c r="E143" s="193">
        <v>1.6948467700642036E-2</v>
      </c>
      <c r="F143" s="193">
        <v>1.8032215285969988E-2</v>
      </c>
      <c r="G143" s="193">
        <v>1.3236416300905347E-2</v>
      </c>
      <c r="H143" s="193">
        <v>1.3991937072011683E-2</v>
      </c>
      <c r="I143" s="193">
        <v>1.4991374850331165E-2</v>
      </c>
      <c r="J143" s="194">
        <v>1.3735891785548298E-2</v>
      </c>
      <c r="K143" s="194">
        <v>1.3808593996511234E-2</v>
      </c>
      <c r="L143" s="194">
        <v>1.386384750632611E-2</v>
      </c>
      <c r="M143" s="194">
        <v>1.3792358955385595E-2</v>
      </c>
      <c r="N143" s="194">
        <v>1.4035589211196476E-2</v>
      </c>
      <c r="O143" s="194">
        <v>1.382749649112444E-2</v>
      </c>
      <c r="P143" s="194">
        <v>1.3891289473490278E-2</v>
      </c>
      <c r="Q143" s="194">
        <v>1.4017445201497827E-2</v>
      </c>
      <c r="R143" s="194">
        <v>1.425377145234053E-2</v>
      </c>
      <c r="S143" s="194">
        <v>1.4112992201779724E-2</v>
      </c>
    </row>
    <row r="144" spans="1:51">
      <c r="A144" t="s">
        <v>107</v>
      </c>
      <c r="B144" s="193">
        <v>1.6787706327664104E-2</v>
      </c>
      <c r="C144" s="193">
        <v>1.6593102017566273E-2</v>
      </c>
      <c r="D144" s="193">
        <v>1.5276175918477759E-2</v>
      </c>
      <c r="E144" s="193">
        <v>1.2462978116318692E-2</v>
      </c>
      <c r="F144" s="193">
        <v>1.4978146613239651E-2</v>
      </c>
      <c r="G144" s="193">
        <v>1.5815734912956556E-2</v>
      </c>
      <c r="H144" s="193">
        <v>1.3386397574582848E-2</v>
      </c>
      <c r="I144" s="193">
        <v>1.3288133840285795E-2</v>
      </c>
      <c r="J144" s="194">
        <v>1.4036673775580891E-2</v>
      </c>
      <c r="K144" s="194">
        <v>1.3808593996511234E-2</v>
      </c>
      <c r="L144" s="194">
        <v>1.386384750632611E-2</v>
      </c>
      <c r="M144" s="194">
        <v>1.3792358955385595E-2</v>
      </c>
      <c r="N144" s="194">
        <v>1.4035589211196476E-2</v>
      </c>
      <c r="O144" s="194">
        <v>1.382749649112444E-2</v>
      </c>
      <c r="P144" s="194">
        <v>1.3891289473490278E-2</v>
      </c>
      <c r="Q144" s="194">
        <v>1.4017445201497827E-2</v>
      </c>
      <c r="R144" s="194">
        <v>1.425377145234053E-2</v>
      </c>
      <c r="S144" s="194">
        <v>1.4112992201779724E-2</v>
      </c>
    </row>
    <row r="145" spans="1:19">
      <c r="A145" t="s">
        <v>108</v>
      </c>
      <c r="B145" s="193">
        <v>1.90961522274374E-2</v>
      </c>
      <c r="C145" s="193">
        <v>1.7786910852694054E-2</v>
      </c>
      <c r="D145" s="193">
        <v>1.7178388296947456E-2</v>
      </c>
      <c r="E145" s="193">
        <v>1.3839711079193337E-2</v>
      </c>
      <c r="F145" s="193">
        <v>1.8191531312053377E-2</v>
      </c>
      <c r="G145" s="193">
        <v>1.8142412077036214E-2</v>
      </c>
      <c r="H145" s="193">
        <v>1.3437527366316409E-2</v>
      </c>
      <c r="I145" s="193">
        <v>1.4539376674437216E-2</v>
      </c>
      <c r="J145" s="194">
        <v>1.7883093885437875E-2</v>
      </c>
      <c r="K145" s="194">
        <v>1.3808593996511234E-2</v>
      </c>
      <c r="L145" s="194">
        <v>1.386384750632611E-2</v>
      </c>
      <c r="M145" s="194">
        <v>1.3792358955385595E-2</v>
      </c>
      <c r="N145" s="194">
        <v>1.4035589211196476E-2</v>
      </c>
      <c r="O145" s="194">
        <v>1.382749649112444E-2</v>
      </c>
      <c r="P145" s="194">
        <v>1.3891289473490278E-2</v>
      </c>
      <c r="Q145" s="194">
        <v>1.4017445201497827E-2</v>
      </c>
      <c r="R145" s="194">
        <v>1.425377145234053E-2</v>
      </c>
      <c r="S145" s="194">
        <v>1.4112992201779724E-2</v>
      </c>
    </row>
    <row r="146" spans="1:19">
      <c r="A146" t="s">
        <v>109</v>
      </c>
      <c r="B146" s="193">
        <v>1.7293676168256264E-2</v>
      </c>
      <c r="C146" s="193">
        <v>1.7334639369783297E-2</v>
      </c>
      <c r="D146" s="193">
        <v>1.8390459720397712E-2</v>
      </c>
      <c r="E146" s="193">
        <v>1.3657571001935806E-2</v>
      </c>
      <c r="F146" s="193">
        <v>1.5240035178455288E-2</v>
      </c>
      <c r="G146" s="193">
        <v>1.5450026647639814E-2</v>
      </c>
      <c r="H146" s="193">
        <v>1.3095538205154173E-2</v>
      </c>
      <c r="I146" s="193">
        <v>1.3492579032567349E-2</v>
      </c>
      <c r="J146" s="194">
        <v>1.4590424167560628E-2</v>
      </c>
      <c r="K146" s="194">
        <v>1.3808593996511234E-2</v>
      </c>
      <c r="L146" s="194">
        <v>1.386384750632611E-2</v>
      </c>
      <c r="M146" s="194">
        <v>1.3792358955385595E-2</v>
      </c>
      <c r="N146" s="194">
        <v>1.4035589211196476E-2</v>
      </c>
      <c r="O146" s="194">
        <v>1.382749649112444E-2</v>
      </c>
      <c r="P146" s="194">
        <v>1.3891289473490278E-2</v>
      </c>
      <c r="Q146" s="194">
        <v>1.4017445201497827E-2</v>
      </c>
      <c r="R146" s="194">
        <v>1.425377145234053E-2</v>
      </c>
      <c r="S146" s="194">
        <v>1.4112992201779724E-2</v>
      </c>
    </row>
    <row r="147" spans="1:19">
      <c r="B147" s="193">
        <v>1.7501219633103669E-2</v>
      </c>
      <c r="C147" s="193">
        <v>1.6854776340998173E-2</v>
      </c>
      <c r="D147" s="193">
        <v>1.6357441716945951E-2</v>
      </c>
      <c r="E147" s="193">
        <v>1.5930003135120902E-2</v>
      </c>
      <c r="F147" s="193">
        <v>1.653918666156716E-2</v>
      </c>
      <c r="G147" s="193">
        <v>1.4647184407982945E-2</v>
      </c>
      <c r="H147" s="193">
        <v>1.2877926587285199E-2</v>
      </c>
      <c r="I147" s="193">
        <v>1.4068841786148633E-2</v>
      </c>
      <c r="J147" s="194">
        <v>1.4343197097293252E-2</v>
      </c>
      <c r="K147" s="194">
        <v>1.3808593996511234E-2</v>
      </c>
      <c r="L147" s="194">
        <v>1.3863847506326106E-2</v>
      </c>
      <c r="M147" s="194">
        <v>1.3792358955385595E-2</v>
      </c>
      <c r="N147" s="194">
        <v>1.4035589211196473E-2</v>
      </c>
      <c r="O147" s="194">
        <v>1.382749649112444E-2</v>
      </c>
      <c r="P147" s="194">
        <v>1.3891289473490278E-2</v>
      </c>
      <c r="Q147" s="194">
        <v>1.4017445201497829E-2</v>
      </c>
      <c r="R147" s="194">
        <v>1.4253771452340526E-2</v>
      </c>
      <c r="S147" s="194">
        <v>1.4112992201779724E-2</v>
      </c>
    </row>
    <row r="150" spans="1:19">
      <c r="B150" s="195">
        <v>182.64630762027005</v>
      </c>
      <c r="C150" s="195">
        <v>182.44310575245726</v>
      </c>
      <c r="D150" s="195">
        <v>182.70080298731855</v>
      </c>
      <c r="E150" s="195">
        <v>183.11771770224553</v>
      </c>
      <c r="F150" s="195">
        <v>182.69818681401006</v>
      </c>
      <c r="G150" s="195">
        <v>182.72080178011484</v>
      </c>
      <c r="H150" s="195">
        <v>182.73612834473494</v>
      </c>
      <c r="I150" s="195">
        <v>182.79488809684082</v>
      </c>
    </row>
    <row r="151" spans="1:19">
      <c r="B151" s="195">
        <v>183.64287885834054</v>
      </c>
      <c r="C151" s="195">
        <v>183.39136848280447</v>
      </c>
      <c r="D151" s="195">
        <v>183.6239776377314</v>
      </c>
      <c r="E151" s="195">
        <v>183.84260005134013</v>
      </c>
      <c r="F151" s="195">
        <v>183.6157461325881</v>
      </c>
      <c r="G151" s="195">
        <v>183.62344280002858</v>
      </c>
      <c r="H151" s="195">
        <v>183.619300592239</v>
      </c>
      <c r="I151" s="195">
        <v>183.66489119499332</v>
      </c>
    </row>
    <row r="152" spans="1:19">
      <c r="B152" s="195">
        <v>182.77564200264538</v>
      </c>
      <c r="C152" s="195">
        <v>182.79393904398739</v>
      </c>
      <c r="D152" s="195">
        <v>183.17130430428855</v>
      </c>
      <c r="E152" s="195">
        <v>183.50465445175013</v>
      </c>
      <c r="F152" s="195">
        <v>183.35645218377232</v>
      </c>
      <c r="G152" s="195">
        <v>183.12064961384053</v>
      </c>
      <c r="H152" s="195">
        <v>183.19093460102025</v>
      </c>
      <c r="I152" s="195">
        <v>183.26891357246586</v>
      </c>
    </row>
    <row r="153" spans="1:19">
      <c r="B153" s="195">
        <v>181.29580894153136</v>
      </c>
      <c r="C153" s="195">
        <v>182.60595468098418</v>
      </c>
      <c r="D153" s="195">
        <v>183.15429374291594</v>
      </c>
      <c r="E153" s="195">
        <v>183.48038948147652</v>
      </c>
      <c r="F153" s="195">
        <v>183.05937373536474</v>
      </c>
      <c r="G153" s="195">
        <v>182.70643324328987</v>
      </c>
      <c r="H153" s="195">
        <v>183.00061619019613</v>
      </c>
      <c r="I153" s="195">
        <v>183.08068351826239</v>
      </c>
    </row>
    <row r="154" spans="1:19">
      <c r="B154" s="195">
        <v>181.01072176079191</v>
      </c>
      <c r="C154" s="195">
        <v>182.16566372902875</v>
      </c>
      <c r="D154" s="195">
        <v>182.87360038018855</v>
      </c>
      <c r="E154" s="195">
        <v>182.99726489901542</v>
      </c>
      <c r="F154" s="195">
        <v>182.76153313655479</v>
      </c>
      <c r="G154" s="195">
        <v>182.35554415664461</v>
      </c>
      <c r="H154" s="195">
        <v>182.63049813992825</v>
      </c>
      <c r="I154" s="195">
        <v>182.72355002494569</v>
      </c>
    </row>
    <row r="155" spans="1:19">
      <c r="B155" s="195">
        <v>180.40905181399765</v>
      </c>
      <c r="C155" s="195">
        <v>180.86397936373771</v>
      </c>
      <c r="D155" s="195">
        <v>181.70179336947601</v>
      </c>
      <c r="E155" s="195">
        <v>181.65383334536727</v>
      </c>
      <c r="F155" s="195">
        <v>181.5848950014261</v>
      </c>
      <c r="G155" s="195">
        <v>181.23801747227262</v>
      </c>
      <c r="H155" s="195">
        <v>181.40963290727805</v>
      </c>
      <c r="I155" s="195">
        <v>181.51768621614275</v>
      </c>
    </row>
    <row r="156" spans="1:19">
      <c r="B156" s="195">
        <v>179.34076713425486</v>
      </c>
      <c r="C156" s="195">
        <v>179.74745270758814</v>
      </c>
      <c r="D156" s="195">
        <v>180.50609045320635</v>
      </c>
      <c r="E156" s="195">
        <v>180.76849297498185</v>
      </c>
      <c r="F156" s="195">
        <v>180.56864083943643</v>
      </c>
      <c r="G156" s="195">
        <v>180.18637313944856</v>
      </c>
      <c r="H156" s="195">
        <v>180.35236434710734</v>
      </c>
      <c r="I156" s="195">
        <v>180.47591002674389</v>
      </c>
    </row>
    <row r="157" spans="1:19">
      <c r="B157" s="195">
        <v>179.01267697502394</v>
      </c>
      <c r="C157" s="195">
        <v>178.75965476749005</v>
      </c>
      <c r="D157" s="195">
        <v>179.67129939487282</v>
      </c>
      <c r="E157" s="195">
        <v>179.51836645795723</v>
      </c>
      <c r="F157" s="195">
        <v>179.25480716725085</v>
      </c>
      <c r="G157" s="195">
        <v>179.23771922799014</v>
      </c>
      <c r="H157" s="195">
        <v>179.28593588592273</v>
      </c>
      <c r="I157" s="195">
        <v>179.3927431765737</v>
      </c>
    </row>
    <row r="158" spans="1:19">
      <c r="B158" s="195">
        <v>177.85986321836438</v>
      </c>
      <c r="C158" s="195">
        <v>178.46808277297947</v>
      </c>
      <c r="D158" s="195">
        <v>179.12257883666007</v>
      </c>
      <c r="E158" s="195">
        <v>178.53750417456848</v>
      </c>
      <c r="F158" s="195">
        <v>178.39534880066358</v>
      </c>
      <c r="G158" s="195">
        <v>178.47472307817881</v>
      </c>
      <c r="H158" s="195">
        <v>178.59966845974586</v>
      </c>
      <c r="I158" s="195">
        <v>178.62620443725888</v>
      </c>
    </row>
    <row r="159" spans="1:19">
      <c r="B159" s="195">
        <v>178.88705117042824</v>
      </c>
      <c r="C159" s="195">
        <v>179.35593200478374</v>
      </c>
      <c r="D159" s="195">
        <v>179.82582222103639</v>
      </c>
      <c r="E159" s="195">
        <v>179.14501441475988</v>
      </c>
      <c r="F159" s="195">
        <v>179.10099726214591</v>
      </c>
      <c r="G159" s="195">
        <v>179.26889053301588</v>
      </c>
      <c r="H159" s="195">
        <v>179.34165366686599</v>
      </c>
      <c r="I159" s="195">
        <v>179.33868814933868</v>
      </c>
    </row>
    <row r="160" spans="1:19">
      <c r="B160" s="195">
        <v>180.2909811301848</v>
      </c>
      <c r="C160" s="195">
        <v>180.49848414920808</v>
      </c>
      <c r="D160" s="195">
        <v>180.83490026170415</v>
      </c>
      <c r="E160" s="195">
        <v>180.29677443043281</v>
      </c>
      <c r="F160" s="195">
        <v>180.29450000044855</v>
      </c>
      <c r="G160" s="195">
        <v>180.44325715928372</v>
      </c>
      <c r="H160" s="195">
        <v>180.4741241036204</v>
      </c>
      <c r="I160" s="195">
        <v>180.46916937244356</v>
      </c>
    </row>
    <row r="161" spans="2:9">
      <c r="B161" s="195">
        <v>182.06785426690243</v>
      </c>
      <c r="C161" s="195">
        <v>182.14477608425463</v>
      </c>
      <c r="D161" s="195">
        <v>182.50662533944171</v>
      </c>
      <c r="E161" s="195">
        <v>182.06043328858317</v>
      </c>
      <c r="F161" s="195">
        <v>182.11423498629779</v>
      </c>
      <c r="G161" s="195">
        <v>182.17904314155859</v>
      </c>
      <c r="H161" s="195">
        <v>182.20036116114537</v>
      </c>
      <c r="I161" s="195">
        <v>182.21202309548144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7428-0AC5-4D34-90E1-F8C3E8F9C6E9}">
  <dimension ref="A1:BD161"/>
  <sheetViews>
    <sheetView zoomScale="93" zoomScaleNormal="70" workbookViewId="0">
      <pane xSplit="1" ySplit="2" topLeftCell="B54" activePane="bottomRight" state="frozen"/>
      <selection activeCell="AZ451" sqref="AZ451"/>
      <selection pane="topRight" activeCell="AZ451" sqref="AZ451"/>
      <selection pane="bottomLeft" activeCell="AZ451" sqref="AZ451"/>
      <selection pane="bottomRight" activeCell="AZ451" sqref="AZ451"/>
    </sheetView>
  </sheetViews>
  <sheetFormatPr defaultColWidth="8.7109375" defaultRowHeight="15"/>
  <cols>
    <col min="1" max="1" width="59.140625" bestFit="1" customWidth="1"/>
    <col min="2" max="8" width="8.7109375" customWidth="1"/>
    <col min="9" max="9" width="9.42578125" bestFit="1" customWidth="1"/>
    <col min="10" max="42" width="8.7109375" customWidth="1"/>
    <col min="43" max="49" width="8.7109375" hidden="1" customWidth="1"/>
    <col min="54" max="54" width="10" bestFit="1" customWidth="1"/>
  </cols>
  <sheetData>
    <row r="1" spans="1:51" ht="15.75" thickBot="1">
      <c r="A1" s="148" t="s">
        <v>202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</row>
    <row r="2" spans="1:51" ht="15.75" thickBot="1">
      <c r="A2" s="150"/>
      <c r="B2" s="151">
        <v>2016</v>
      </c>
      <c r="C2" s="151">
        <v>2017</v>
      </c>
      <c r="D2" s="151">
        <v>2018</v>
      </c>
      <c r="E2" s="151">
        <v>2019</v>
      </c>
      <c r="F2" s="151">
        <v>2020</v>
      </c>
      <c r="G2" s="151">
        <v>2021</v>
      </c>
      <c r="H2" s="151">
        <v>2022</v>
      </c>
      <c r="I2" s="151">
        <v>2023</v>
      </c>
      <c r="J2" s="151">
        <v>2024</v>
      </c>
      <c r="K2" s="151">
        <v>2025</v>
      </c>
      <c r="L2" s="151">
        <v>2026</v>
      </c>
      <c r="M2" s="151">
        <v>2027</v>
      </c>
      <c r="N2" s="151">
        <v>2028</v>
      </c>
      <c r="O2" s="151">
        <v>2029</v>
      </c>
      <c r="P2" s="151">
        <v>2030</v>
      </c>
      <c r="Q2" s="151">
        <v>2031</v>
      </c>
      <c r="R2" s="151">
        <v>2032</v>
      </c>
      <c r="S2" s="151">
        <v>2033</v>
      </c>
      <c r="T2" s="151">
        <v>2034</v>
      </c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3"/>
    </row>
    <row r="3" spans="1:51" ht="16.5">
      <c r="A3" s="9" t="s">
        <v>176</v>
      </c>
      <c r="B3" s="154">
        <v>100</v>
      </c>
      <c r="C3" s="154">
        <v>100</v>
      </c>
      <c r="D3" s="154">
        <v>100</v>
      </c>
      <c r="E3" s="154">
        <v>100</v>
      </c>
      <c r="F3" s="154">
        <v>100</v>
      </c>
      <c r="G3" s="154">
        <v>100</v>
      </c>
      <c r="H3" s="154">
        <v>100</v>
      </c>
      <c r="I3" s="154">
        <v>100</v>
      </c>
      <c r="J3" s="155">
        <v>100</v>
      </c>
      <c r="K3" s="155">
        <v>100</v>
      </c>
      <c r="L3" s="155">
        <v>100</v>
      </c>
      <c r="M3" s="155">
        <v>100</v>
      </c>
      <c r="N3" s="155">
        <v>100</v>
      </c>
      <c r="O3" s="155">
        <v>100</v>
      </c>
      <c r="P3" s="155">
        <v>100</v>
      </c>
      <c r="Q3" s="155">
        <v>100</v>
      </c>
      <c r="R3" s="155">
        <v>100</v>
      </c>
      <c r="S3" s="155">
        <v>100</v>
      </c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6"/>
    </row>
    <row r="4" spans="1:51" ht="16.5">
      <c r="A4" s="9" t="s">
        <v>80</v>
      </c>
      <c r="B4" s="154">
        <f t="shared" ref="B4:S4" si="0">B34</f>
        <v>0</v>
      </c>
      <c r="C4" s="154">
        <f t="shared" si="0"/>
        <v>50.379774475975012</v>
      </c>
      <c r="D4" s="154">
        <f t="shared" si="0"/>
        <v>45.047252274641252</v>
      </c>
      <c r="E4" s="154">
        <f t="shared" si="0"/>
        <v>55.444028842180458</v>
      </c>
      <c r="F4" s="154">
        <f t="shared" si="0"/>
        <v>55.15689164789022</v>
      </c>
      <c r="G4" s="154">
        <f t="shared" si="0"/>
        <v>59.337833238130031</v>
      </c>
      <c r="H4" s="154">
        <f t="shared" si="0"/>
        <v>62.303186939373127</v>
      </c>
      <c r="I4" s="154">
        <f t="shared" si="0"/>
        <v>0</v>
      </c>
      <c r="J4" s="155">
        <f t="shared" si="0"/>
        <v>0</v>
      </c>
      <c r="K4" s="155">
        <f t="shared" si="0"/>
        <v>0</v>
      </c>
      <c r="L4" s="155">
        <f t="shared" si="0"/>
        <v>0</v>
      </c>
      <c r="M4" s="155">
        <f t="shared" si="0"/>
        <v>0</v>
      </c>
      <c r="N4" s="155">
        <f t="shared" si="0"/>
        <v>0</v>
      </c>
      <c r="O4" s="155">
        <f t="shared" si="0"/>
        <v>0</v>
      </c>
      <c r="P4" s="155">
        <f t="shared" si="0"/>
        <v>0</v>
      </c>
      <c r="Q4" s="155">
        <f t="shared" si="0"/>
        <v>0</v>
      </c>
      <c r="R4" s="155">
        <f t="shared" si="0"/>
        <v>0</v>
      </c>
      <c r="S4" s="155">
        <f t="shared" si="0"/>
        <v>0</v>
      </c>
      <c r="T4" s="155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6"/>
      <c r="AY4" s="157"/>
    </row>
    <row r="5" spans="1:51" ht="16.5">
      <c r="A5" s="9" t="s">
        <v>81</v>
      </c>
      <c r="B5" s="154">
        <f>B50</f>
        <v>0</v>
      </c>
      <c r="C5" s="154">
        <f t="shared" ref="C5:I5" si="1">C50</f>
        <v>0</v>
      </c>
      <c r="D5" s="154">
        <f t="shared" si="1"/>
        <v>0</v>
      </c>
      <c r="E5" s="154">
        <f t="shared" si="1"/>
        <v>0</v>
      </c>
      <c r="F5" s="154">
        <f t="shared" si="1"/>
        <v>6.0302399999999999E-2</v>
      </c>
      <c r="G5" s="154">
        <f t="shared" si="1"/>
        <v>4.2958400000000001E-2</v>
      </c>
      <c r="H5" s="154">
        <f t="shared" si="1"/>
        <v>0.13945627000000002</v>
      </c>
      <c r="I5" s="154">
        <f t="shared" si="1"/>
        <v>5.5924000000000001E-2</v>
      </c>
      <c r="J5" s="155">
        <v>50</v>
      </c>
      <c r="K5" s="155">
        <v>50</v>
      </c>
      <c r="L5" s="155">
        <v>50</v>
      </c>
      <c r="M5" s="155">
        <v>50</v>
      </c>
      <c r="N5" s="155">
        <v>50</v>
      </c>
      <c r="O5" s="155">
        <v>50</v>
      </c>
      <c r="P5" s="155">
        <v>50</v>
      </c>
      <c r="Q5" s="155">
        <v>50</v>
      </c>
      <c r="R5" s="155">
        <v>50</v>
      </c>
      <c r="S5" s="155">
        <v>50</v>
      </c>
      <c r="T5" s="155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6"/>
    </row>
    <row r="6" spans="1:51" ht="16.5">
      <c r="A6" s="27" t="s">
        <v>82</v>
      </c>
      <c r="B6" s="160">
        <f>SUM(B3:B5)</f>
        <v>100</v>
      </c>
      <c r="C6" s="160">
        <f>SUM(C3:C5)</f>
        <v>150.37977447597501</v>
      </c>
      <c r="D6" s="160">
        <f t="shared" ref="D6:S6" si="2">SUM(D3:D5)</f>
        <v>145.04725227464127</v>
      </c>
      <c r="E6" s="160">
        <f t="shared" si="2"/>
        <v>155.44402884218044</v>
      </c>
      <c r="F6" s="160">
        <f t="shared" si="2"/>
        <v>155.21719404789025</v>
      </c>
      <c r="G6" s="160">
        <f t="shared" si="2"/>
        <v>159.38079163813003</v>
      </c>
      <c r="H6" s="160">
        <f t="shared" si="2"/>
        <v>162.44264320937313</v>
      </c>
      <c r="I6" s="160">
        <f t="shared" si="2"/>
        <v>100.055924</v>
      </c>
      <c r="J6" s="161">
        <f t="shared" si="2"/>
        <v>150</v>
      </c>
      <c r="K6" s="161">
        <f t="shared" si="2"/>
        <v>150</v>
      </c>
      <c r="L6" s="161">
        <f t="shared" si="2"/>
        <v>150</v>
      </c>
      <c r="M6" s="161">
        <f t="shared" si="2"/>
        <v>150</v>
      </c>
      <c r="N6" s="161">
        <f t="shared" si="2"/>
        <v>150</v>
      </c>
      <c r="O6" s="161">
        <f t="shared" si="2"/>
        <v>150</v>
      </c>
      <c r="P6" s="161">
        <f t="shared" si="2"/>
        <v>150</v>
      </c>
      <c r="Q6" s="161">
        <f t="shared" si="2"/>
        <v>150</v>
      </c>
      <c r="R6" s="161">
        <f t="shared" si="2"/>
        <v>150</v>
      </c>
      <c r="S6" s="161">
        <f t="shared" si="2"/>
        <v>150</v>
      </c>
      <c r="T6" s="161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56"/>
    </row>
    <row r="7" spans="1:51" ht="16.5">
      <c r="A7" s="9" t="s">
        <v>95</v>
      </c>
      <c r="B7" s="154">
        <f>B14-B13</f>
        <v>0</v>
      </c>
      <c r="C7" s="154">
        <f t="shared" ref="C7:I7" si="3">C14-C13</f>
        <v>49.189891075975012</v>
      </c>
      <c r="D7" s="154">
        <f t="shared" si="3"/>
        <v>44.048772774641265</v>
      </c>
      <c r="E7" s="154">
        <f t="shared" si="3"/>
        <v>55.444028842180444</v>
      </c>
      <c r="F7" s="154">
        <f t="shared" si="3"/>
        <v>55.069799457890248</v>
      </c>
      <c r="G7" s="154">
        <f t="shared" si="3"/>
        <v>59.152471908130032</v>
      </c>
      <c r="H7" s="154">
        <f t="shared" si="3"/>
        <v>62.362077209373133</v>
      </c>
      <c r="I7" s="154">
        <f t="shared" si="3"/>
        <v>-0.49454409999999549</v>
      </c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6"/>
    </row>
    <row r="8" spans="1:51" ht="16.5">
      <c r="A8" s="9" t="s">
        <v>177</v>
      </c>
      <c r="B8" s="154">
        <v>0</v>
      </c>
      <c r="C8" s="154">
        <f t="shared" ref="C8:I8" si="4">C99</f>
        <v>0</v>
      </c>
      <c r="D8" s="154">
        <f t="shared" si="4"/>
        <v>0</v>
      </c>
      <c r="E8" s="154">
        <f t="shared" si="4"/>
        <v>0</v>
      </c>
      <c r="F8" s="154">
        <f t="shared" si="4"/>
        <v>0</v>
      </c>
      <c r="G8" s="154">
        <f t="shared" si="4"/>
        <v>0</v>
      </c>
      <c r="H8" s="154">
        <f t="shared" si="4"/>
        <v>0</v>
      </c>
      <c r="I8" s="154">
        <f t="shared" si="4"/>
        <v>0</v>
      </c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5"/>
      <c r="AQ8" s="155"/>
      <c r="AR8" s="155"/>
      <c r="AS8" s="155"/>
      <c r="AT8" s="155"/>
      <c r="AU8" s="155"/>
      <c r="AV8" s="155"/>
      <c r="AW8" s="155"/>
      <c r="AX8" s="156"/>
    </row>
    <row r="9" spans="1:51" ht="16.5" hidden="1">
      <c r="A9" s="9" t="s">
        <v>178</v>
      </c>
      <c r="B9" s="154"/>
      <c r="C9" s="154"/>
      <c r="D9" s="154"/>
      <c r="E9" s="154"/>
      <c r="F9" s="154"/>
      <c r="G9" s="154"/>
      <c r="H9" s="154"/>
      <c r="I9" s="154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5"/>
      <c r="AV9" s="155"/>
      <c r="AW9" s="155"/>
      <c r="AX9" s="156"/>
    </row>
    <row r="10" spans="1:51" ht="16.5" hidden="1">
      <c r="A10" s="9" t="s">
        <v>179</v>
      </c>
      <c r="B10" s="154"/>
      <c r="C10" s="154"/>
      <c r="D10" s="154"/>
      <c r="E10" s="154"/>
      <c r="F10" s="154"/>
      <c r="G10" s="154"/>
      <c r="H10" s="154"/>
      <c r="I10" s="154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6"/>
    </row>
    <row r="11" spans="1:51" ht="16.5" hidden="1">
      <c r="A11" s="9" t="s">
        <v>180</v>
      </c>
      <c r="B11" s="154"/>
      <c r="C11" s="154"/>
      <c r="D11" s="154"/>
      <c r="E11" s="154"/>
      <c r="F11" s="154"/>
      <c r="G11" s="154"/>
      <c r="H11" s="154"/>
      <c r="I11" s="154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  <c r="AR11" s="155"/>
      <c r="AS11" s="155"/>
      <c r="AT11" s="155"/>
      <c r="AU11" s="155"/>
      <c r="AV11" s="155"/>
      <c r="AW11" s="155"/>
      <c r="AX11" s="156"/>
    </row>
    <row r="12" spans="1:51" ht="16.5">
      <c r="A12" s="9" t="s">
        <v>181</v>
      </c>
      <c r="B12" s="154">
        <f t="shared" ref="B12:I12" si="5">B7-B8</f>
        <v>0</v>
      </c>
      <c r="C12" s="154">
        <f t="shared" si="5"/>
        <v>49.189891075975012</v>
      </c>
      <c r="D12" s="154">
        <f t="shared" si="5"/>
        <v>44.048772774641265</v>
      </c>
      <c r="E12" s="154">
        <f t="shared" si="5"/>
        <v>55.444028842180444</v>
      </c>
      <c r="F12" s="154">
        <f t="shared" si="5"/>
        <v>55.069799457890248</v>
      </c>
      <c r="G12" s="154">
        <f t="shared" si="5"/>
        <v>59.152471908130032</v>
      </c>
      <c r="H12" s="154">
        <f t="shared" si="5"/>
        <v>62.362077209373133</v>
      </c>
      <c r="I12" s="154">
        <f t="shared" si="5"/>
        <v>-0.49454409999999549</v>
      </c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6"/>
    </row>
    <row r="13" spans="1:51" ht="16.5">
      <c r="A13" s="9" t="s">
        <v>84</v>
      </c>
      <c r="B13" s="154">
        <f>B66</f>
        <v>0</v>
      </c>
      <c r="C13" s="154">
        <f t="shared" ref="C13:I13" si="6">C66</f>
        <v>1.1898834</v>
      </c>
      <c r="D13" s="154">
        <f t="shared" si="6"/>
        <v>0.99847949999999996</v>
      </c>
      <c r="E13" s="154">
        <f t="shared" si="6"/>
        <v>0</v>
      </c>
      <c r="F13" s="154">
        <f t="shared" si="6"/>
        <v>0.14739458999999999</v>
      </c>
      <c r="G13" s="154">
        <f t="shared" si="6"/>
        <v>0.22831973</v>
      </c>
      <c r="H13" s="154">
        <f t="shared" si="6"/>
        <v>8.0565999999999999E-2</v>
      </c>
      <c r="I13" s="154">
        <f t="shared" si="6"/>
        <v>0.55046810000000002</v>
      </c>
      <c r="J13" s="155">
        <f>350</f>
        <v>350</v>
      </c>
      <c r="K13" s="155">
        <f>350</f>
        <v>350</v>
      </c>
      <c r="L13" s="155">
        <f>350</f>
        <v>350</v>
      </c>
      <c r="M13" s="155">
        <f>350</f>
        <v>350</v>
      </c>
      <c r="N13" s="155">
        <f>350</f>
        <v>350</v>
      </c>
      <c r="O13" s="155">
        <f>350</f>
        <v>350</v>
      </c>
      <c r="P13" s="155">
        <f>350</f>
        <v>350</v>
      </c>
      <c r="Q13" s="155">
        <f>350</f>
        <v>350</v>
      </c>
      <c r="R13" s="155">
        <f>350</f>
        <v>350</v>
      </c>
      <c r="S13" s="155">
        <f>350</f>
        <v>350</v>
      </c>
      <c r="T13" s="155">
        <f>350</f>
        <v>350</v>
      </c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5"/>
      <c r="AT13" s="155"/>
      <c r="AU13" s="155"/>
      <c r="AV13" s="155"/>
      <c r="AW13" s="155"/>
      <c r="AX13" s="156"/>
    </row>
    <row r="14" spans="1:51" ht="16.5">
      <c r="A14" s="27" t="s">
        <v>87</v>
      </c>
      <c r="B14" s="160">
        <f t="shared" ref="B14:S14" si="7">B6-B15</f>
        <v>0</v>
      </c>
      <c r="C14" s="160">
        <f t="shared" si="7"/>
        <v>50.379774475975012</v>
      </c>
      <c r="D14" s="160">
        <f t="shared" si="7"/>
        <v>45.047252274641266</v>
      </c>
      <c r="E14" s="160">
        <f t="shared" si="7"/>
        <v>55.444028842180444</v>
      </c>
      <c r="F14" s="160">
        <f t="shared" si="7"/>
        <v>55.217194047890246</v>
      </c>
      <c r="G14" s="160">
        <f t="shared" si="7"/>
        <v>59.380791638130034</v>
      </c>
      <c r="H14" s="160">
        <f t="shared" si="7"/>
        <v>62.442643209373131</v>
      </c>
      <c r="I14" s="160">
        <f t="shared" si="7"/>
        <v>5.5924000000004526E-2</v>
      </c>
      <c r="J14" s="160">
        <f t="shared" si="7"/>
        <v>50</v>
      </c>
      <c r="K14" s="160">
        <f t="shared" si="7"/>
        <v>50</v>
      </c>
      <c r="L14" s="160">
        <f t="shared" si="7"/>
        <v>50</v>
      </c>
      <c r="M14" s="160">
        <f t="shared" si="7"/>
        <v>50</v>
      </c>
      <c r="N14" s="160">
        <f t="shared" si="7"/>
        <v>50</v>
      </c>
      <c r="O14" s="160">
        <f t="shared" si="7"/>
        <v>50</v>
      </c>
      <c r="P14" s="160">
        <f t="shared" si="7"/>
        <v>50</v>
      </c>
      <c r="Q14" s="160">
        <f t="shared" si="7"/>
        <v>50</v>
      </c>
      <c r="R14" s="160">
        <f t="shared" si="7"/>
        <v>50</v>
      </c>
      <c r="S14" s="160">
        <f t="shared" si="7"/>
        <v>50</v>
      </c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56"/>
    </row>
    <row r="15" spans="1:51" ht="16.5">
      <c r="A15" s="9" t="s">
        <v>182</v>
      </c>
      <c r="B15" s="154">
        <v>100</v>
      </c>
      <c r="C15" s="154">
        <v>100</v>
      </c>
      <c r="D15" s="154">
        <v>100</v>
      </c>
      <c r="E15" s="154">
        <v>100</v>
      </c>
      <c r="F15" s="154">
        <v>100</v>
      </c>
      <c r="G15" s="154">
        <v>100</v>
      </c>
      <c r="H15" s="154">
        <v>100</v>
      </c>
      <c r="I15" s="154">
        <v>100</v>
      </c>
      <c r="J15" s="154">
        <v>100</v>
      </c>
      <c r="K15" s="154">
        <v>100</v>
      </c>
      <c r="L15" s="154">
        <v>100</v>
      </c>
      <c r="M15" s="154">
        <v>100</v>
      </c>
      <c r="N15" s="154">
        <v>100</v>
      </c>
      <c r="O15" s="154">
        <v>100</v>
      </c>
      <c r="P15" s="154">
        <v>100</v>
      </c>
      <c r="Q15" s="154">
        <v>100</v>
      </c>
      <c r="R15" s="154">
        <v>100</v>
      </c>
      <c r="S15" s="154">
        <v>100</v>
      </c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6"/>
    </row>
    <row r="16" spans="1:51" ht="16.5">
      <c r="A16" s="9" t="s">
        <v>183</v>
      </c>
      <c r="B16" s="163" t="e">
        <f>B15/B14</f>
        <v>#DIV/0!</v>
      </c>
      <c r="C16" s="163">
        <f t="shared" ref="C16:S16" si="8">C15/C14</f>
        <v>1.984923534099736</v>
      </c>
      <c r="D16" s="163">
        <f t="shared" si="8"/>
        <v>2.2198912242266466</v>
      </c>
      <c r="E16" s="163">
        <f t="shared" si="8"/>
        <v>1.8036207340676238</v>
      </c>
      <c r="F16" s="163">
        <f t="shared" si="8"/>
        <v>1.811030091700591</v>
      </c>
      <c r="G16" s="163">
        <f t="shared" si="8"/>
        <v>1.6840462587532643</v>
      </c>
      <c r="H16" s="163">
        <f t="shared" si="8"/>
        <v>1.6014696825804648</v>
      </c>
      <c r="I16" s="163">
        <f t="shared" si="8"/>
        <v>1788.1410485657661</v>
      </c>
      <c r="J16" s="163">
        <f t="shared" si="8"/>
        <v>2</v>
      </c>
      <c r="K16" s="163">
        <f t="shared" si="8"/>
        <v>2</v>
      </c>
      <c r="L16" s="163">
        <f t="shared" si="8"/>
        <v>2</v>
      </c>
      <c r="M16" s="163">
        <f t="shared" si="8"/>
        <v>2</v>
      </c>
      <c r="N16" s="163">
        <f t="shared" si="8"/>
        <v>2</v>
      </c>
      <c r="O16" s="163">
        <f t="shared" si="8"/>
        <v>2</v>
      </c>
      <c r="P16" s="163">
        <f t="shared" si="8"/>
        <v>2</v>
      </c>
      <c r="Q16" s="163">
        <f t="shared" si="8"/>
        <v>2</v>
      </c>
      <c r="R16" s="163">
        <f t="shared" si="8"/>
        <v>2</v>
      </c>
      <c r="S16" s="163">
        <f t="shared" si="8"/>
        <v>2</v>
      </c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64"/>
    </row>
    <row r="17" spans="1:52" ht="17.25" thickBot="1">
      <c r="A17" s="9" t="s">
        <v>184</v>
      </c>
      <c r="B17" s="154"/>
      <c r="C17" s="154"/>
      <c r="D17" s="154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7"/>
    </row>
    <row r="18" spans="1:52">
      <c r="A18" s="168" t="s">
        <v>185</v>
      </c>
      <c r="B18" s="169"/>
      <c r="C18" s="169"/>
      <c r="D18" s="169"/>
      <c r="E18" s="169"/>
      <c r="F18" s="169"/>
      <c r="G18" s="169"/>
      <c r="H18" s="169"/>
      <c r="I18" s="169" t="s">
        <v>195</v>
      </c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</row>
    <row r="19" spans="1:52" ht="15.75" thickBot="1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6"/>
      <c r="AC19" s="16"/>
      <c r="AD19" s="16"/>
      <c r="AE19" s="16"/>
      <c r="AF19" s="171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</row>
    <row r="20" spans="1:52" ht="15.75" thickBot="1">
      <c r="A20" s="172" t="s">
        <v>203</v>
      </c>
      <c r="Y20" s="16"/>
      <c r="Z20" s="16"/>
      <c r="AA20" s="16"/>
      <c r="AB20" s="16"/>
      <c r="AC20" s="173"/>
      <c r="AD20" s="173"/>
      <c r="AE20" s="173"/>
    </row>
    <row r="21" spans="1:52" ht="15.75" thickBot="1">
      <c r="A21" s="174"/>
      <c r="B21" s="174">
        <f t="shared" ref="B21:T21" si="9">B2</f>
        <v>2016</v>
      </c>
      <c r="C21" s="174">
        <f t="shared" si="9"/>
        <v>2017</v>
      </c>
      <c r="D21" s="174">
        <f t="shared" si="9"/>
        <v>2018</v>
      </c>
      <c r="E21" s="174">
        <f t="shared" si="9"/>
        <v>2019</v>
      </c>
      <c r="F21" s="174">
        <f t="shared" si="9"/>
        <v>2020</v>
      </c>
      <c r="G21" s="174">
        <f t="shared" si="9"/>
        <v>2021</v>
      </c>
      <c r="H21" s="174">
        <f t="shared" si="9"/>
        <v>2022</v>
      </c>
      <c r="I21" s="174">
        <f t="shared" si="9"/>
        <v>2023</v>
      </c>
      <c r="J21" s="174">
        <f t="shared" si="9"/>
        <v>2024</v>
      </c>
      <c r="K21" s="174">
        <f t="shared" si="9"/>
        <v>2025</v>
      </c>
      <c r="L21" s="174">
        <f t="shared" si="9"/>
        <v>2026</v>
      </c>
      <c r="M21" s="174">
        <f t="shared" si="9"/>
        <v>2027</v>
      </c>
      <c r="N21" s="174">
        <f t="shared" si="9"/>
        <v>2028</v>
      </c>
      <c r="O21" s="174">
        <f t="shared" si="9"/>
        <v>2029</v>
      </c>
      <c r="P21" s="174">
        <f t="shared" si="9"/>
        <v>2030</v>
      </c>
      <c r="Q21" s="174">
        <f t="shared" si="9"/>
        <v>2031</v>
      </c>
      <c r="R21" s="174">
        <f t="shared" si="9"/>
        <v>2032</v>
      </c>
      <c r="S21" s="174">
        <f t="shared" si="9"/>
        <v>2033</v>
      </c>
      <c r="T21" s="174">
        <f t="shared" si="9"/>
        <v>2034</v>
      </c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5"/>
    </row>
    <row r="22" spans="1:52">
      <c r="A22" s="172" t="s">
        <v>110</v>
      </c>
      <c r="B22" s="59">
        <f>B103*B135/1000</f>
        <v>0</v>
      </c>
      <c r="C22" s="59">
        <f t="shared" ref="C22:H22" si="10">C103*C135/1000</f>
        <v>3.6712825250000001</v>
      </c>
      <c r="D22" s="59">
        <f t="shared" si="10"/>
        <v>3.5963282109712709</v>
      </c>
      <c r="E22" s="59">
        <f t="shared" si="10"/>
        <v>4.6969411380618578</v>
      </c>
      <c r="F22" s="59">
        <f t="shared" si="10"/>
        <v>4.4752546392624151</v>
      </c>
      <c r="G22" s="59">
        <f t="shared" si="10"/>
        <v>4.490438273853437</v>
      </c>
      <c r="H22" s="59">
        <f t="shared" si="10"/>
        <v>4.3855241294640779</v>
      </c>
      <c r="I22" s="59">
        <f>I103*I135/1000</f>
        <v>0</v>
      </c>
      <c r="J22" s="58">
        <f t="shared" ref="J22:S33" si="11">J103*J135/1000</f>
        <v>0</v>
      </c>
      <c r="K22" s="58">
        <f t="shared" si="11"/>
        <v>0</v>
      </c>
      <c r="L22" s="58">
        <f t="shared" si="11"/>
        <v>0</v>
      </c>
      <c r="M22" s="58">
        <f t="shared" si="11"/>
        <v>0</v>
      </c>
      <c r="N22" s="58">
        <f t="shared" si="11"/>
        <v>0</v>
      </c>
      <c r="O22" s="58">
        <f t="shared" si="11"/>
        <v>0</v>
      </c>
      <c r="P22" s="58">
        <f t="shared" si="11"/>
        <v>0</v>
      </c>
      <c r="Q22" s="58">
        <f t="shared" si="11"/>
        <v>0</v>
      </c>
      <c r="R22" s="58">
        <f t="shared" si="11"/>
        <v>0</v>
      </c>
      <c r="S22" s="58">
        <f t="shared" si="11"/>
        <v>0</v>
      </c>
      <c r="T22" s="59"/>
      <c r="U22" s="176"/>
      <c r="V22" s="176"/>
      <c r="W22" s="176"/>
      <c r="X22" s="59"/>
      <c r="Y22" s="59"/>
      <c r="Z22" s="59"/>
      <c r="AA22" s="59"/>
      <c r="AB22" s="59"/>
      <c r="AC22" s="59"/>
      <c r="AD22" s="59"/>
      <c r="AE22" s="59"/>
      <c r="AF22" s="59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177"/>
      <c r="AY22" s="14"/>
      <c r="AZ22" s="171"/>
    </row>
    <row r="23" spans="1:52">
      <c r="A23" s="172" t="s">
        <v>111</v>
      </c>
      <c r="B23" s="59">
        <f t="shared" ref="B23:I33" si="12">B104*B136/1000</f>
        <v>0</v>
      </c>
      <c r="C23" s="59">
        <f t="shared" si="12"/>
        <v>3.2406690189999998</v>
      </c>
      <c r="D23" s="59">
        <f t="shared" si="12"/>
        <v>3.7069011729244705</v>
      </c>
      <c r="E23" s="59">
        <f t="shared" si="12"/>
        <v>4.6637813915905992</v>
      </c>
      <c r="F23" s="59">
        <f t="shared" si="12"/>
        <v>4.3839212140813277</v>
      </c>
      <c r="G23" s="59">
        <f t="shared" si="12"/>
        <v>4.7696035747487109</v>
      </c>
      <c r="H23" s="59">
        <f t="shared" si="12"/>
        <v>4.9173176154537535</v>
      </c>
      <c r="I23" s="59">
        <f>I104*I136/1000</f>
        <v>0</v>
      </c>
      <c r="J23" s="58">
        <f t="shared" si="11"/>
        <v>0</v>
      </c>
      <c r="K23" s="58">
        <f t="shared" si="11"/>
        <v>0</v>
      </c>
      <c r="L23" s="58">
        <f t="shared" si="11"/>
        <v>0</v>
      </c>
      <c r="M23" s="58">
        <f t="shared" si="11"/>
        <v>0</v>
      </c>
      <c r="N23" s="58">
        <f t="shared" si="11"/>
        <v>0</v>
      </c>
      <c r="O23" s="58">
        <f t="shared" si="11"/>
        <v>0</v>
      </c>
      <c r="P23" s="58">
        <f t="shared" si="11"/>
        <v>0</v>
      </c>
      <c r="Q23" s="58">
        <f t="shared" si="11"/>
        <v>0</v>
      </c>
      <c r="R23" s="58">
        <f t="shared" si="11"/>
        <v>0</v>
      </c>
      <c r="S23" s="58">
        <f t="shared" si="11"/>
        <v>0</v>
      </c>
      <c r="T23" s="59"/>
      <c r="U23" s="176"/>
      <c r="V23" s="176"/>
      <c r="W23" s="176"/>
      <c r="X23" s="59"/>
      <c r="Y23" s="59"/>
      <c r="Z23" s="59"/>
      <c r="AA23" s="59"/>
      <c r="AB23" s="59"/>
      <c r="AC23" s="59"/>
      <c r="AD23" s="59"/>
      <c r="AE23" s="59"/>
      <c r="AF23" s="59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177"/>
      <c r="AY23" s="14"/>
      <c r="AZ23" s="171"/>
    </row>
    <row r="24" spans="1:52">
      <c r="A24" s="172" t="s">
        <v>112</v>
      </c>
      <c r="B24" s="59">
        <f t="shared" si="12"/>
        <v>0</v>
      </c>
      <c r="C24" s="59">
        <f t="shared" si="12"/>
        <v>4.0255129617499996</v>
      </c>
      <c r="D24" s="59">
        <f t="shared" si="12"/>
        <v>3.8178455460382628</v>
      </c>
      <c r="E24" s="59">
        <f t="shared" si="12"/>
        <v>4.9012830599016652</v>
      </c>
      <c r="F24" s="59">
        <f t="shared" si="12"/>
        <v>4.1801333661017646</v>
      </c>
      <c r="G24" s="59">
        <f t="shared" si="12"/>
        <v>5.4220768161757293</v>
      </c>
      <c r="H24" s="59">
        <f t="shared" si="12"/>
        <v>5.6068152208490236</v>
      </c>
      <c r="I24" s="59">
        <f t="shared" si="12"/>
        <v>0</v>
      </c>
      <c r="J24" s="58">
        <f t="shared" si="11"/>
        <v>0</v>
      </c>
      <c r="K24" s="58">
        <f t="shared" si="11"/>
        <v>0</v>
      </c>
      <c r="L24" s="58">
        <f t="shared" si="11"/>
        <v>0</v>
      </c>
      <c r="M24" s="58">
        <f t="shared" si="11"/>
        <v>0</v>
      </c>
      <c r="N24" s="58">
        <f t="shared" si="11"/>
        <v>0</v>
      </c>
      <c r="O24" s="58">
        <f t="shared" si="11"/>
        <v>0</v>
      </c>
      <c r="P24" s="58">
        <f t="shared" si="11"/>
        <v>0</v>
      </c>
      <c r="Q24" s="58">
        <f t="shared" si="11"/>
        <v>0</v>
      </c>
      <c r="R24" s="58">
        <f t="shared" si="11"/>
        <v>0</v>
      </c>
      <c r="S24" s="58">
        <f t="shared" si="11"/>
        <v>0</v>
      </c>
      <c r="T24" s="59"/>
      <c r="U24" s="176"/>
      <c r="V24" s="176"/>
      <c r="W24" s="176"/>
      <c r="X24" s="59"/>
      <c r="Y24" s="59"/>
      <c r="Z24" s="59"/>
      <c r="AA24" s="59"/>
      <c r="AB24" s="59"/>
      <c r="AC24" s="59"/>
      <c r="AD24" s="59"/>
      <c r="AE24" s="59"/>
      <c r="AF24" s="59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177"/>
      <c r="AY24" s="14"/>
      <c r="AZ24" s="171"/>
    </row>
    <row r="25" spans="1:52">
      <c r="A25" s="172" t="s">
        <v>100</v>
      </c>
      <c r="B25" s="59">
        <f t="shared" si="12"/>
        <v>0</v>
      </c>
      <c r="C25" s="59">
        <f t="shared" si="12"/>
        <v>3.6744184395749997</v>
      </c>
      <c r="D25" s="59">
        <f t="shared" si="12"/>
        <v>3.8137996950043442</v>
      </c>
      <c r="E25" s="59">
        <f t="shared" si="12"/>
        <v>5.3445424199139602</v>
      </c>
      <c r="F25" s="59">
        <f t="shared" si="12"/>
        <v>4.6059129709486628</v>
      </c>
      <c r="G25" s="59">
        <f t="shared" si="12"/>
        <v>5.0722603121166356</v>
      </c>
      <c r="H25" s="59">
        <f t="shared" si="12"/>
        <v>5.5141474404468678</v>
      </c>
      <c r="I25" s="59">
        <f t="shared" si="12"/>
        <v>0</v>
      </c>
      <c r="J25" s="58">
        <f t="shared" si="11"/>
        <v>0</v>
      </c>
      <c r="K25" s="58">
        <f t="shared" si="11"/>
        <v>0</v>
      </c>
      <c r="L25" s="58">
        <f t="shared" si="11"/>
        <v>0</v>
      </c>
      <c r="M25" s="58">
        <f t="shared" si="11"/>
        <v>0</v>
      </c>
      <c r="N25" s="58">
        <f t="shared" si="11"/>
        <v>0</v>
      </c>
      <c r="O25" s="58">
        <f t="shared" si="11"/>
        <v>0</v>
      </c>
      <c r="P25" s="58">
        <f t="shared" si="11"/>
        <v>0</v>
      </c>
      <c r="Q25" s="58">
        <f t="shared" si="11"/>
        <v>0</v>
      </c>
      <c r="R25" s="58">
        <f t="shared" si="11"/>
        <v>0</v>
      </c>
      <c r="S25" s="58">
        <f t="shared" si="11"/>
        <v>0</v>
      </c>
      <c r="T25" s="59"/>
      <c r="U25" s="176"/>
      <c r="V25" s="176"/>
      <c r="W25" s="176"/>
      <c r="X25" s="59"/>
      <c r="Y25" s="59"/>
      <c r="Z25" s="59"/>
      <c r="AA25" s="59"/>
      <c r="AB25" s="59"/>
      <c r="AC25" s="59"/>
      <c r="AD25" s="59"/>
      <c r="AE25" s="59"/>
      <c r="AF25" s="59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177"/>
      <c r="AY25" s="14"/>
      <c r="AZ25" s="171"/>
    </row>
    <row r="26" spans="1:52">
      <c r="A26" s="172" t="s">
        <v>102</v>
      </c>
      <c r="B26" s="59">
        <f t="shared" si="12"/>
        <v>0</v>
      </c>
      <c r="C26" s="59">
        <f t="shared" si="12"/>
        <v>4.7045712813750002</v>
      </c>
      <c r="D26" s="59">
        <f t="shared" si="12"/>
        <v>3.4980392121281287</v>
      </c>
      <c r="E26" s="59">
        <f t="shared" si="12"/>
        <v>4.8204459257271246</v>
      </c>
      <c r="F26" s="59">
        <f t="shared" si="12"/>
        <v>4.2297982214306318</v>
      </c>
      <c r="G26" s="59">
        <f t="shared" si="12"/>
        <v>4.6404852678385273</v>
      </c>
      <c r="H26" s="59">
        <f t="shared" si="12"/>
        <v>5.3485629492777607</v>
      </c>
      <c r="I26" s="59">
        <f t="shared" si="12"/>
        <v>0</v>
      </c>
      <c r="J26" s="58">
        <f t="shared" si="11"/>
        <v>0</v>
      </c>
      <c r="K26" s="58">
        <f t="shared" si="11"/>
        <v>0</v>
      </c>
      <c r="L26" s="58">
        <f t="shared" si="11"/>
        <v>0</v>
      </c>
      <c r="M26" s="58">
        <f t="shared" si="11"/>
        <v>0</v>
      </c>
      <c r="N26" s="58">
        <f t="shared" si="11"/>
        <v>0</v>
      </c>
      <c r="O26" s="58">
        <f t="shared" si="11"/>
        <v>0</v>
      </c>
      <c r="P26" s="58">
        <f t="shared" si="11"/>
        <v>0</v>
      </c>
      <c r="Q26" s="58">
        <f t="shared" si="11"/>
        <v>0</v>
      </c>
      <c r="R26" s="58">
        <f t="shared" si="11"/>
        <v>0</v>
      </c>
      <c r="S26" s="58">
        <f t="shared" si="11"/>
        <v>0</v>
      </c>
      <c r="T26" s="59"/>
      <c r="U26" s="176"/>
      <c r="V26" s="176"/>
      <c r="W26" s="176"/>
      <c r="X26" s="59"/>
      <c r="Y26" s="59"/>
      <c r="Z26" s="59"/>
      <c r="AA26" s="59"/>
      <c r="AB26" s="59"/>
      <c r="AC26" s="59"/>
      <c r="AD26" s="59"/>
      <c r="AE26" s="59"/>
      <c r="AF26" s="59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177"/>
      <c r="AY26" s="14"/>
      <c r="AZ26" s="171"/>
    </row>
    <row r="27" spans="1:52">
      <c r="A27" s="172" t="s">
        <v>103</v>
      </c>
      <c r="B27" s="59">
        <f t="shared" si="12"/>
        <v>0</v>
      </c>
      <c r="C27" s="59">
        <f t="shared" si="12"/>
        <v>4.6093102912499999</v>
      </c>
      <c r="D27" s="59">
        <f t="shared" si="12"/>
        <v>3.5483622245072373</v>
      </c>
      <c r="E27" s="59">
        <f t="shared" si="12"/>
        <v>4.1900301092270977</v>
      </c>
      <c r="F27" s="59">
        <f t="shared" si="12"/>
        <v>4.9054280548801481</v>
      </c>
      <c r="G27" s="59">
        <f t="shared" si="12"/>
        <v>5.0339146856387709</v>
      </c>
      <c r="H27" s="59">
        <f t="shared" si="12"/>
        <v>5.1715502086608902</v>
      </c>
      <c r="I27" s="59">
        <f t="shared" si="12"/>
        <v>0</v>
      </c>
      <c r="J27" s="58">
        <f t="shared" si="11"/>
        <v>0</v>
      </c>
      <c r="K27" s="58">
        <f t="shared" si="11"/>
        <v>0</v>
      </c>
      <c r="L27" s="58">
        <f t="shared" si="11"/>
        <v>0</v>
      </c>
      <c r="M27" s="58">
        <f t="shared" si="11"/>
        <v>0</v>
      </c>
      <c r="N27" s="58">
        <f t="shared" si="11"/>
        <v>0</v>
      </c>
      <c r="O27" s="58">
        <f t="shared" si="11"/>
        <v>0</v>
      </c>
      <c r="P27" s="58">
        <f t="shared" si="11"/>
        <v>0</v>
      </c>
      <c r="Q27" s="58">
        <f t="shared" si="11"/>
        <v>0</v>
      </c>
      <c r="R27" s="58">
        <f t="shared" si="11"/>
        <v>0</v>
      </c>
      <c r="S27" s="58">
        <f t="shared" si="11"/>
        <v>0</v>
      </c>
      <c r="T27" s="59"/>
      <c r="U27" s="176"/>
      <c r="V27" s="176"/>
      <c r="W27" s="176"/>
      <c r="X27" s="59"/>
      <c r="Y27" s="59"/>
      <c r="Z27" s="59"/>
      <c r="AA27" s="59"/>
      <c r="AB27" s="59"/>
      <c r="AC27" s="59"/>
      <c r="AD27" s="59"/>
      <c r="AE27" s="59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177"/>
      <c r="AY27" s="14"/>
      <c r="AZ27" s="171"/>
    </row>
    <row r="28" spans="1:52">
      <c r="A28" s="172" t="s">
        <v>104</v>
      </c>
      <c r="B28" s="59">
        <f t="shared" si="12"/>
        <v>0</v>
      </c>
      <c r="C28" s="59">
        <f t="shared" si="12"/>
        <v>4.6926075000000003</v>
      </c>
      <c r="D28" s="59">
        <f t="shared" si="12"/>
        <v>4.0147326496783</v>
      </c>
      <c r="E28" s="59">
        <f t="shared" si="12"/>
        <v>4.7745334131617589</v>
      </c>
      <c r="F28" s="59">
        <f t="shared" si="12"/>
        <v>4.8217268268126867</v>
      </c>
      <c r="G28" s="59">
        <f t="shared" si="12"/>
        <v>5.0165884825314393</v>
      </c>
      <c r="H28" s="59">
        <f t="shared" si="12"/>
        <v>5.2697652770592223</v>
      </c>
      <c r="I28" s="59">
        <f t="shared" si="12"/>
        <v>0</v>
      </c>
      <c r="J28" s="58">
        <f t="shared" si="11"/>
        <v>0</v>
      </c>
      <c r="K28" s="58">
        <f t="shared" si="11"/>
        <v>0</v>
      </c>
      <c r="L28" s="58">
        <f t="shared" si="11"/>
        <v>0</v>
      </c>
      <c r="M28" s="58">
        <f t="shared" si="11"/>
        <v>0</v>
      </c>
      <c r="N28" s="58">
        <f t="shared" si="11"/>
        <v>0</v>
      </c>
      <c r="O28" s="58">
        <f t="shared" si="11"/>
        <v>0</v>
      </c>
      <c r="P28" s="58">
        <f t="shared" si="11"/>
        <v>0</v>
      </c>
      <c r="Q28" s="58">
        <f t="shared" si="11"/>
        <v>0</v>
      </c>
      <c r="R28" s="58">
        <f t="shared" si="11"/>
        <v>0</v>
      </c>
      <c r="S28" s="58">
        <f t="shared" si="11"/>
        <v>0</v>
      </c>
      <c r="T28" s="59"/>
      <c r="U28" s="176"/>
      <c r="V28" s="176"/>
      <c r="W28" s="176"/>
      <c r="X28" s="59"/>
      <c r="Y28" s="59"/>
      <c r="Z28" s="59"/>
      <c r="AA28" s="59"/>
      <c r="AB28" s="59"/>
      <c r="AC28" s="59"/>
      <c r="AD28" s="59"/>
      <c r="AE28" s="59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177"/>
      <c r="AY28" s="14"/>
      <c r="AZ28" s="171"/>
    </row>
    <row r="29" spans="1:52">
      <c r="A29" s="172" t="s">
        <v>105</v>
      </c>
      <c r="B29" s="59">
        <f t="shared" si="12"/>
        <v>0</v>
      </c>
      <c r="C29" s="59">
        <f t="shared" si="12"/>
        <v>4.8597134924250005</v>
      </c>
      <c r="D29" s="59">
        <f t="shared" si="12"/>
        <v>3.6305431322235053</v>
      </c>
      <c r="E29" s="59">
        <f t="shared" si="12"/>
        <v>3.9947918661226365</v>
      </c>
      <c r="F29" s="59">
        <f t="shared" si="12"/>
        <v>4.3592444561301846</v>
      </c>
      <c r="G29" s="59">
        <f t="shared" si="12"/>
        <v>4.6177669846808973</v>
      </c>
      <c r="H29" s="59">
        <f t="shared" si="12"/>
        <v>5.0119645240033917</v>
      </c>
      <c r="I29" s="59">
        <f t="shared" si="12"/>
        <v>0</v>
      </c>
      <c r="J29" s="58">
        <f t="shared" si="11"/>
        <v>0</v>
      </c>
      <c r="K29" s="58">
        <f t="shared" si="11"/>
        <v>0</v>
      </c>
      <c r="L29" s="58">
        <f t="shared" si="11"/>
        <v>0</v>
      </c>
      <c r="M29" s="58">
        <f t="shared" si="11"/>
        <v>0</v>
      </c>
      <c r="N29" s="58">
        <f t="shared" si="11"/>
        <v>0</v>
      </c>
      <c r="O29" s="58">
        <f t="shared" si="11"/>
        <v>0</v>
      </c>
      <c r="P29" s="58">
        <f t="shared" si="11"/>
        <v>0</v>
      </c>
      <c r="Q29" s="58">
        <f t="shared" si="11"/>
        <v>0</v>
      </c>
      <c r="R29" s="58">
        <f t="shared" si="11"/>
        <v>0</v>
      </c>
      <c r="S29" s="58">
        <f t="shared" si="11"/>
        <v>0</v>
      </c>
      <c r="T29" s="59"/>
      <c r="U29" s="176"/>
      <c r="V29" s="176"/>
      <c r="W29" s="59"/>
      <c r="X29" s="59"/>
      <c r="Y29" s="59"/>
      <c r="Z29" s="59"/>
      <c r="AA29" s="59"/>
      <c r="AB29" s="59"/>
      <c r="AC29" s="59"/>
      <c r="AD29" s="59"/>
      <c r="AE29" s="59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177"/>
      <c r="AY29" s="14"/>
      <c r="AZ29" s="171"/>
    </row>
    <row r="30" spans="1:52">
      <c r="A30" s="172" t="s">
        <v>106</v>
      </c>
      <c r="B30" s="59">
        <f t="shared" si="12"/>
        <v>0</v>
      </c>
      <c r="C30" s="59">
        <f t="shared" si="12"/>
        <v>4.4402811562500002</v>
      </c>
      <c r="D30" s="59">
        <f t="shared" si="12"/>
        <v>3.9461491556157289</v>
      </c>
      <c r="E30" s="59">
        <f t="shared" si="12"/>
        <v>4.1319338090479789</v>
      </c>
      <c r="F30" s="59">
        <f t="shared" si="12"/>
        <v>4.529300872246961</v>
      </c>
      <c r="G30" s="59">
        <f t="shared" si="12"/>
        <v>4.6864716818142185</v>
      </c>
      <c r="H30" s="59">
        <f t="shared" si="12"/>
        <v>4.926240531943316</v>
      </c>
      <c r="I30" s="59">
        <f t="shared" si="12"/>
        <v>0</v>
      </c>
      <c r="J30" s="58">
        <f t="shared" si="11"/>
        <v>0</v>
      </c>
      <c r="K30" s="58">
        <f t="shared" si="11"/>
        <v>0</v>
      </c>
      <c r="L30" s="58">
        <f t="shared" si="11"/>
        <v>0</v>
      </c>
      <c r="M30" s="58">
        <f t="shared" si="11"/>
        <v>0</v>
      </c>
      <c r="N30" s="58">
        <f t="shared" si="11"/>
        <v>0</v>
      </c>
      <c r="O30" s="58">
        <f t="shared" si="11"/>
        <v>0</v>
      </c>
      <c r="P30" s="58">
        <f t="shared" si="11"/>
        <v>0</v>
      </c>
      <c r="Q30" s="58">
        <f t="shared" si="11"/>
        <v>0</v>
      </c>
      <c r="R30" s="58">
        <f t="shared" si="11"/>
        <v>0</v>
      </c>
      <c r="S30" s="58">
        <f t="shared" si="11"/>
        <v>0</v>
      </c>
      <c r="T30" s="59"/>
      <c r="U30" s="176"/>
      <c r="V30" s="176"/>
      <c r="W30" s="59"/>
      <c r="X30" s="59"/>
      <c r="Y30" s="59"/>
      <c r="Z30" s="59"/>
      <c r="AA30" s="59"/>
      <c r="AB30" s="59"/>
      <c r="AC30" s="59"/>
      <c r="AD30" s="59"/>
      <c r="AE30" s="59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177"/>
      <c r="AY30" s="14"/>
      <c r="AZ30" s="171"/>
    </row>
    <row r="31" spans="1:52">
      <c r="A31" s="172" t="s">
        <v>107</v>
      </c>
      <c r="B31" s="59">
        <f>B112*B146/1000</f>
        <v>0</v>
      </c>
      <c r="C31" s="59">
        <f t="shared" si="12"/>
        <v>3.8938102901500002</v>
      </c>
      <c r="D31" s="59">
        <f t="shared" si="12"/>
        <v>4.0776697755499995</v>
      </c>
      <c r="E31" s="59">
        <f t="shared" si="12"/>
        <v>4.2850807787872354</v>
      </c>
      <c r="F31" s="59">
        <f t="shared" si="12"/>
        <v>4.5598807828727512</v>
      </c>
      <c r="G31" s="59">
        <f t="shared" si="12"/>
        <v>4.6963801021618572</v>
      </c>
      <c r="H31" s="59">
        <f t="shared" si="12"/>
        <v>5.0746039241065191</v>
      </c>
      <c r="I31" s="59">
        <f t="shared" si="12"/>
        <v>0</v>
      </c>
      <c r="J31" s="58">
        <f t="shared" si="11"/>
        <v>0</v>
      </c>
      <c r="K31" s="58">
        <f t="shared" si="11"/>
        <v>0</v>
      </c>
      <c r="L31" s="58">
        <f t="shared" si="11"/>
        <v>0</v>
      </c>
      <c r="M31" s="58">
        <f t="shared" si="11"/>
        <v>0</v>
      </c>
      <c r="N31" s="58">
        <f t="shared" si="11"/>
        <v>0</v>
      </c>
      <c r="O31" s="58">
        <f t="shared" si="11"/>
        <v>0</v>
      </c>
      <c r="P31" s="58">
        <f t="shared" si="11"/>
        <v>0</v>
      </c>
      <c r="Q31" s="58">
        <f t="shared" si="11"/>
        <v>0</v>
      </c>
      <c r="R31" s="58">
        <f t="shared" si="11"/>
        <v>0</v>
      </c>
      <c r="S31" s="58">
        <f t="shared" si="11"/>
        <v>0</v>
      </c>
      <c r="T31" s="59"/>
      <c r="U31" s="176"/>
      <c r="V31" s="176"/>
      <c r="W31" s="59"/>
      <c r="X31" s="59"/>
      <c r="Y31" s="59"/>
      <c r="Z31" s="59"/>
      <c r="AA31" s="59"/>
      <c r="AB31" s="59"/>
      <c r="AC31" s="59"/>
      <c r="AD31" s="59"/>
      <c r="AE31" s="59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177"/>
      <c r="AY31" s="14"/>
      <c r="AZ31" s="171"/>
    </row>
    <row r="32" spans="1:52">
      <c r="A32" s="172" t="s">
        <v>108</v>
      </c>
      <c r="B32" s="59">
        <f t="shared" si="12"/>
        <v>0</v>
      </c>
      <c r="C32" s="59">
        <f t="shared" si="12"/>
        <v>4.1561686562500002</v>
      </c>
      <c r="D32" s="59">
        <f t="shared" si="12"/>
        <v>3.5377924999999997</v>
      </c>
      <c r="E32" s="59">
        <f t="shared" si="12"/>
        <v>4.2829025556448919</v>
      </c>
      <c r="F32" s="59">
        <f t="shared" si="12"/>
        <v>4.6663395248700335</v>
      </c>
      <c r="G32" s="59">
        <f t="shared" si="12"/>
        <v>5.2005679417169084</v>
      </c>
      <c r="H32" s="59">
        <f t="shared" si="12"/>
        <v>5.3432296994434427</v>
      </c>
      <c r="I32" s="59">
        <f t="shared" si="12"/>
        <v>0</v>
      </c>
      <c r="J32" s="58">
        <f t="shared" si="11"/>
        <v>0</v>
      </c>
      <c r="K32" s="58">
        <f t="shared" si="11"/>
        <v>0</v>
      </c>
      <c r="L32" s="58">
        <f t="shared" si="11"/>
        <v>0</v>
      </c>
      <c r="M32" s="58">
        <f t="shared" si="11"/>
        <v>0</v>
      </c>
      <c r="N32" s="58">
        <f t="shared" si="11"/>
        <v>0</v>
      </c>
      <c r="O32" s="58">
        <f t="shared" si="11"/>
        <v>0</v>
      </c>
      <c r="P32" s="58">
        <f t="shared" si="11"/>
        <v>0</v>
      </c>
      <c r="Q32" s="58">
        <f t="shared" si="11"/>
        <v>0</v>
      </c>
      <c r="R32" s="58">
        <f t="shared" si="11"/>
        <v>0</v>
      </c>
      <c r="S32" s="58">
        <f t="shared" si="11"/>
        <v>0</v>
      </c>
      <c r="T32" s="59"/>
      <c r="U32" s="176"/>
      <c r="V32" s="176"/>
      <c r="W32" s="59"/>
      <c r="X32" s="59"/>
      <c r="Y32" s="59"/>
      <c r="Z32" s="59"/>
      <c r="AA32" s="59"/>
      <c r="AB32" s="59"/>
      <c r="AC32" s="59"/>
      <c r="AD32" s="59"/>
      <c r="AE32" s="59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177"/>
      <c r="AY32" s="14"/>
      <c r="AZ32" s="171"/>
    </row>
    <row r="33" spans="1:56">
      <c r="A33" s="172" t="s">
        <v>109</v>
      </c>
      <c r="B33" s="59">
        <f t="shared" si="12"/>
        <v>0</v>
      </c>
      <c r="C33" s="59">
        <f t="shared" si="12"/>
        <v>4.4114288629500003</v>
      </c>
      <c r="D33" s="59">
        <f t="shared" si="12"/>
        <v>3.859089</v>
      </c>
      <c r="E33" s="59">
        <f t="shared" si="12"/>
        <v>5.3577623749936558</v>
      </c>
      <c r="F33" s="59">
        <f t="shared" si="12"/>
        <v>5.439950718252657</v>
      </c>
      <c r="G33" s="59">
        <f t="shared" si="12"/>
        <v>5.6912791148528923</v>
      </c>
      <c r="H33" s="59">
        <f t="shared" si="12"/>
        <v>5.7334654186648697</v>
      </c>
      <c r="I33" s="59">
        <f t="shared" si="12"/>
        <v>0</v>
      </c>
      <c r="J33" s="58">
        <f t="shared" si="11"/>
        <v>0</v>
      </c>
      <c r="K33" s="58">
        <f t="shared" si="11"/>
        <v>0</v>
      </c>
      <c r="L33" s="58">
        <f t="shared" si="11"/>
        <v>0</v>
      </c>
      <c r="M33" s="58">
        <f t="shared" si="11"/>
        <v>0</v>
      </c>
      <c r="N33" s="58">
        <f t="shared" si="11"/>
        <v>0</v>
      </c>
      <c r="O33" s="58">
        <f t="shared" si="11"/>
        <v>0</v>
      </c>
      <c r="P33" s="58">
        <f t="shared" si="11"/>
        <v>0</v>
      </c>
      <c r="Q33" s="58">
        <f t="shared" si="11"/>
        <v>0</v>
      </c>
      <c r="R33" s="58">
        <f t="shared" si="11"/>
        <v>0</v>
      </c>
      <c r="S33" s="58">
        <f t="shared" si="11"/>
        <v>0</v>
      </c>
      <c r="T33" s="59"/>
      <c r="U33" s="176"/>
      <c r="V33" s="176"/>
      <c r="W33" s="59"/>
      <c r="X33" s="59"/>
      <c r="Y33" s="59"/>
      <c r="Z33" s="59"/>
      <c r="AA33" s="59"/>
      <c r="AB33" s="59"/>
      <c r="AC33" s="59"/>
      <c r="AD33" s="59"/>
      <c r="AE33" s="59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177"/>
      <c r="AY33" s="14"/>
      <c r="AZ33" s="171"/>
    </row>
    <row r="34" spans="1:56" ht="15.75" thickBot="1">
      <c r="A34" s="172" t="s">
        <v>113</v>
      </c>
      <c r="B34" s="59">
        <f t="shared" ref="B34:S34" si="13">SUM(B22:B33)</f>
        <v>0</v>
      </c>
      <c r="C34" s="59">
        <f t="shared" si="13"/>
        <v>50.379774475975012</v>
      </c>
      <c r="D34" s="59">
        <f t="shared" si="13"/>
        <v>45.047252274641252</v>
      </c>
      <c r="E34" s="59">
        <f t="shared" si="13"/>
        <v>55.444028842180458</v>
      </c>
      <c r="F34" s="59">
        <f t="shared" si="13"/>
        <v>55.15689164789022</v>
      </c>
      <c r="G34" s="59">
        <f t="shared" si="13"/>
        <v>59.337833238130031</v>
      </c>
      <c r="H34" s="59">
        <f t="shared" si="13"/>
        <v>62.303186939373127</v>
      </c>
      <c r="I34" s="59">
        <f t="shared" si="13"/>
        <v>0</v>
      </c>
      <c r="J34" s="58">
        <f t="shared" si="13"/>
        <v>0</v>
      </c>
      <c r="K34" s="58">
        <f t="shared" si="13"/>
        <v>0</v>
      </c>
      <c r="L34" s="58">
        <f t="shared" si="13"/>
        <v>0</v>
      </c>
      <c r="M34" s="58">
        <f t="shared" si="13"/>
        <v>0</v>
      </c>
      <c r="N34" s="58">
        <f t="shared" si="13"/>
        <v>0</v>
      </c>
      <c r="O34" s="58">
        <f t="shared" si="13"/>
        <v>0</v>
      </c>
      <c r="P34" s="58">
        <f t="shared" si="13"/>
        <v>0</v>
      </c>
      <c r="Q34" s="58">
        <f t="shared" si="13"/>
        <v>0</v>
      </c>
      <c r="R34" s="58">
        <f t="shared" si="13"/>
        <v>0</v>
      </c>
      <c r="S34" s="58">
        <f t="shared" si="13"/>
        <v>0</v>
      </c>
      <c r="T34" s="176"/>
      <c r="U34" s="176"/>
      <c r="V34" s="176"/>
      <c r="W34" s="176"/>
      <c r="X34" s="59"/>
      <c r="Y34" s="59"/>
      <c r="Z34" s="59"/>
      <c r="AA34" s="59"/>
      <c r="AB34" s="59"/>
      <c r="AC34" s="59"/>
      <c r="AD34" s="59"/>
      <c r="AE34" s="59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177"/>
    </row>
    <row r="35" spans="1:56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9"/>
      <c r="AA35" s="179"/>
      <c r="AB35" s="179"/>
      <c r="AC35" s="179"/>
      <c r="AD35" s="179"/>
      <c r="AE35" s="179"/>
      <c r="AF35" s="179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7"/>
      <c r="AY35" s="180"/>
      <c r="AZ35" s="180"/>
    </row>
    <row r="36" spans="1:56" ht="15.75" thickBot="1">
      <c r="A36" s="172" t="s">
        <v>204</v>
      </c>
      <c r="H36">
        <v>1000000</v>
      </c>
      <c r="AY36" s="180"/>
      <c r="AZ36" s="180"/>
    </row>
    <row r="37" spans="1:56" ht="15.75" thickBot="1">
      <c r="A37" s="174"/>
      <c r="B37" s="174">
        <f t="shared" ref="B37:T37" si="14">B2</f>
        <v>2016</v>
      </c>
      <c r="C37" s="174">
        <f t="shared" si="14"/>
        <v>2017</v>
      </c>
      <c r="D37" s="174">
        <f t="shared" si="14"/>
        <v>2018</v>
      </c>
      <c r="E37" s="174">
        <f t="shared" si="14"/>
        <v>2019</v>
      </c>
      <c r="F37" s="174">
        <f t="shared" si="14"/>
        <v>2020</v>
      </c>
      <c r="G37" s="174">
        <f t="shared" si="14"/>
        <v>2021</v>
      </c>
      <c r="H37" s="174">
        <f t="shared" si="14"/>
        <v>2022</v>
      </c>
      <c r="I37" s="174">
        <f t="shared" si="14"/>
        <v>2023</v>
      </c>
      <c r="J37" s="174">
        <f t="shared" si="14"/>
        <v>2024</v>
      </c>
      <c r="K37" s="174">
        <f t="shared" si="14"/>
        <v>2025</v>
      </c>
      <c r="L37" s="174">
        <f t="shared" si="14"/>
        <v>2026</v>
      </c>
      <c r="M37" s="174">
        <f t="shared" si="14"/>
        <v>2027</v>
      </c>
      <c r="N37" s="174">
        <f t="shared" si="14"/>
        <v>2028</v>
      </c>
      <c r="O37" s="174">
        <f t="shared" si="14"/>
        <v>2029</v>
      </c>
      <c r="P37" s="174">
        <f t="shared" si="14"/>
        <v>2030</v>
      </c>
      <c r="Q37" s="174">
        <f t="shared" si="14"/>
        <v>2031</v>
      </c>
      <c r="R37" s="174">
        <f t="shared" si="14"/>
        <v>2032</v>
      </c>
      <c r="S37" s="174">
        <f t="shared" si="14"/>
        <v>2033</v>
      </c>
      <c r="T37" s="174">
        <f t="shared" si="14"/>
        <v>2034</v>
      </c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/>
      <c r="AX37" s="175"/>
      <c r="AY37" s="99"/>
    </row>
    <row r="38" spans="1:56" ht="15.75" thickBot="1">
      <c r="A38" s="172" t="s">
        <v>110</v>
      </c>
      <c r="B38" s="207">
        <v>0</v>
      </c>
      <c r="C38" s="207">
        <v>0</v>
      </c>
      <c r="D38" s="207">
        <v>0</v>
      </c>
      <c r="E38" s="207">
        <v>0</v>
      </c>
      <c r="F38" s="207">
        <v>0</v>
      </c>
      <c r="G38" s="207">
        <v>0</v>
      </c>
      <c r="H38" s="207">
        <v>1.1396799999999999E-2</v>
      </c>
      <c r="I38" s="207">
        <v>5.9839999999999997E-3</v>
      </c>
      <c r="J38" s="207">
        <v>4.7586999999999997E-2</v>
      </c>
      <c r="K38" s="58">
        <f>K$50*(SUM(E38:I38)/SUM(E$50:I$50))</f>
        <v>2.9099815373685867</v>
      </c>
      <c r="L38" s="58">
        <f t="shared" ref="L38:S48" si="15">L$50*(SUM(F38:J38)/SUM(F$50:J$50))</f>
        <v>6.4582062872817078E-2</v>
      </c>
      <c r="M38" s="58">
        <f t="shared" si="15"/>
        <v>1.483937870899166</v>
      </c>
      <c r="N38" s="58">
        <f t="shared" si="15"/>
        <v>1.0118591513192232</v>
      </c>
      <c r="O38" s="58">
        <f t="shared" si="15"/>
        <v>1.1277027895311336</v>
      </c>
      <c r="P38" s="58">
        <f t="shared" si="15"/>
        <v>1.1035895244919585</v>
      </c>
      <c r="Q38" s="58">
        <f t="shared" si="15"/>
        <v>1.3196126823981853</v>
      </c>
      <c r="R38" s="58">
        <f t="shared" si="15"/>
        <v>0.95833427982285957</v>
      </c>
      <c r="S38" s="58">
        <f t="shared" si="15"/>
        <v>1.2093404037279332</v>
      </c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Z38" s="76"/>
      <c r="BA38" s="14"/>
      <c r="BC38" s="14"/>
      <c r="BD38" s="14"/>
    </row>
    <row r="39" spans="1:56" ht="15.75" thickBot="1">
      <c r="A39" s="172" t="s">
        <v>111</v>
      </c>
      <c r="B39" s="207">
        <v>0</v>
      </c>
      <c r="C39" s="207">
        <v>0</v>
      </c>
      <c r="D39" s="207">
        <v>0</v>
      </c>
      <c r="E39" s="207">
        <v>0</v>
      </c>
      <c r="F39" s="207">
        <v>6.0111999999999995E-3</v>
      </c>
      <c r="G39" s="207">
        <v>5.0863999999999996E-3</v>
      </c>
      <c r="H39" s="207">
        <v>1.1967999999999999E-2</v>
      </c>
      <c r="I39" s="207">
        <v>4.9939999999999998E-2</v>
      </c>
      <c r="J39" s="207">
        <v>2.368E-2</v>
      </c>
      <c r="K39" s="58">
        <f t="shared" ref="K39:K48" si="16">K$50*(SUM(E39:I39)/SUM(E$50:I$50))</f>
        <v>12.222967189342041</v>
      </c>
      <c r="L39" s="58">
        <f t="shared" si="15"/>
        <v>9.6111542919662438E-2</v>
      </c>
      <c r="M39" s="58">
        <f t="shared" si="15"/>
        <v>6.1421816007348449</v>
      </c>
      <c r="N39" s="58">
        <f t="shared" si="15"/>
        <v>4.1295100787928192</v>
      </c>
      <c r="O39" s="58">
        <f t="shared" si="15"/>
        <v>4.6324247646364487</v>
      </c>
      <c r="P39" s="58">
        <f t="shared" si="15"/>
        <v>4.5228900823578737</v>
      </c>
      <c r="Q39" s="58">
        <f t="shared" si="15"/>
        <v>5.4446390352851637</v>
      </c>
      <c r="R39" s="58">
        <f t="shared" si="15"/>
        <v>3.9046236138883299</v>
      </c>
      <c r="S39" s="58">
        <f t="shared" si="15"/>
        <v>4.9743291123614304</v>
      </c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Z39" s="76"/>
      <c r="BA39" s="14"/>
      <c r="BC39" s="14"/>
      <c r="BD39" s="14"/>
    </row>
    <row r="40" spans="1:56" ht="15.75" thickBot="1">
      <c r="A40" s="172" t="s">
        <v>112</v>
      </c>
      <c r="B40" s="207">
        <v>0</v>
      </c>
      <c r="C40" s="207">
        <v>0</v>
      </c>
      <c r="D40" s="207">
        <v>0</v>
      </c>
      <c r="E40" s="207">
        <v>0</v>
      </c>
      <c r="F40" s="207">
        <v>1.8251200000000002E-2</v>
      </c>
      <c r="G40" s="207">
        <v>1.3083200000000001E-2</v>
      </c>
      <c r="H40" s="207">
        <v>0</v>
      </c>
      <c r="I40" s="207">
        <v>0</v>
      </c>
      <c r="J40" s="207">
        <v>2.3994000000000001E-2</v>
      </c>
      <c r="K40" s="58">
        <f t="shared" si="16"/>
        <v>5.246163898354637</v>
      </c>
      <c r="L40" s="58">
        <f t="shared" si="15"/>
        <v>5.4999895447473565E-2</v>
      </c>
      <c r="M40" s="58">
        <f t="shared" si="15"/>
        <v>2.6353395160248407</v>
      </c>
      <c r="N40" s="58">
        <f t="shared" si="15"/>
        <v>1.7727435371944518</v>
      </c>
      <c r="O40" s="58">
        <f t="shared" si="15"/>
        <v>1.9895680044513333</v>
      </c>
      <c r="P40" s="58">
        <f t="shared" si="15"/>
        <v>1.9466481694042808</v>
      </c>
      <c r="Q40" s="58">
        <f t="shared" si="15"/>
        <v>2.3397629702945477</v>
      </c>
      <c r="R40" s="58">
        <f t="shared" si="15"/>
        <v>1.679859824504476</v>
      </c>
      <c r="S40" s="58">
        <f t="shared" si="15"/>
        <v>2.1368124394738905</v>
      </c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Z40" s="76"/>
      <c r="BA40" s="14"/>
      <c r="BC40" s="14"/>
      <c r="BD40" s="14"/>
    </row>
    <row r="41" spans="1:56" ht="15.75" thickBot="1">
      <c r="A41" s="172" t="s">
        <v>100</v>
      </c>
      <c r="B41" s="207">
        <v>0</v>
      </c>
      <c r="C41" s="207">
        <v>0</v>
      </c>
      <c r="D41" s="207">
        <v>0</v>
      </c>
      <c r="E41" s="207">
        <v>0</v>
      </c>
      <c r="F41" s="207">
        <v>0</v>
      </c>
      <c r="G41" s="207">
        <v>5.9567999999999999E-3</v>
      </c>
      <c r="H41" s="207">
        <v>2.35E-2</v>
      </c>
      <c r="I41" s="207">
        <v>0</v>
      </c>
      <c r="J41" s="58">
        <f t="shared" ref="J41:J48" si="17">J$50*(SUM(D41:H41)/SUM(D$50:H$50))</f>
        <v>6.0681352160356905</v>
      </c>
      <c r="K41" s="58">
        <f t="shared" si="16"/>
        <v>4.9318065998089269</v>
      </c>
      <c r="L41" s="58">
        <f t="shared" si="15"/>
        <v>6.0613884255339494</v>
      </c>
      <c r="M41" s="58">
        <f t="shared" si="15"/>
        <v>5.5015868988786272</v>
      </c>
      <c r="N41" s="58">
        <f t="shared" si="15"/>
        <v>5.6875351993736016</v>
      </c>
      <c r="O41" s="58">
        <f t="shared" si="15"/>
        <v>5.6391524652519651</v>
      </c>
      <c r="P41" s="58">
        <f t="shared" si="15"/>
        <v>5.6500904679261597</v>
      </c>
      <c r="Q41" s="58">
        <f t="shared" si="15"/>
        <v>5.5642939177694135</v>
      </c>
      <c r="R41" s="58">
        <f t="shared" si="15"/>
        <v>5.7079506913928597</v>
      </c>
      <c r="S41" s="58">
        <f t="shared" si="15"/>
        <v>5.6085317898399536</v>
      </c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Z41" s="76"/>
      <c r="BA41" s="14"/>
      <c r="BC41" s="14"/>
      <c r="BD41" s="14"/>
    </row>
    <row r="42" spans="1:56" ht="15.75" thickBot="1">
      <c r="A42" s="172" t="s">
        <v>102</v>
      </c>
      <c r="B42" s="207">
        <v>0</v>
      </c>
      <c r="C42" s="207">
        <v>0</v>
      </c>
      <c r="D42" s="207">
        <v>0</v>
      </c>
      <c r="E42" s="207">
        <v>0</v>
      </c>
      <c r="F42" s="207">
        <v>6.0383999999999993E-3</v>
      </c>
      <c r="G42" s="207">
        <v>0</v>
      </c>
      <c r="H42" s="207">
        <v>2.35E-2</v>
      </c>
      <c r="I42" s="207">
        <v>0</v>
      </c>
      <c r="J42" s="58">
        <f t="shared" si="17"/>
        <v>6.0849449113735581</v>
      </c>
      <c r="K42" s="58">
        <f t="shared" si="16"/>
        <v>4.9454684849608919</v>
      </c>
      <c r="L42" s="58">
        <f t="shared" si="15"/>
        <v>6.0781794311938828</v>
      </c>
      <c r="M42" s="58">
        <f t="shared" si="15"/>
        <v>5.5138151444856005</v>
      </c>
      <c r="N42" s="58">
        <f t="shared" si="15"/>
        <v>5.7032689010576361</v>
      </c>
      <c r="O42" s="58">
        <f t="shared" si="15"/>
        <v>5.6540210156470883</v>
      </c>
      <c r="P42" s="58">
        <f t="shared" si="15"/>
        <v>5.665135374614314</v>
      </c>
      <c r="Q42" s="58">
        <f t="shared" si="15"/>
        <v>5.5789505954690206</v>
      </c>
      <c r="R42" s="58">
        <f t="shared" si="15"/>
        <v>5.7228839733997043</v>
      </c>
      <c r="S42" s="58">
        <f t="shared" si="15"/>
        <v>5.6230382062547317</v>
      </c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Z42" s="76"/>
      <c r="BA42" s="14"/>
      <c r="BC42" s="14"/>
      <c r="BD42" s="14"/>
    </row>
    <row r="43" spans="1:56" ht="15.75" thickBot="1">
      <c r="A43" s="172" t="s">
        <v>103</v>
      </c>
      <c r="B43" s="207">
        <v>0</v>
      </c>
      <c r="C43" s="207">
        <v>0</v>
      </c>
      <c r="D43" s="207">
        <v>0</v>
      </c>
      <c r="E43" s="207">
        <v>0</v>
      </c>
      <c r="F43" s="207">
        <v>1.8196799999999999E-2</v>
      </c>
      <c r="G43" s="207">
        <v>0</v>
      </c>
      <c r="H43" s="207">
        <v>2.6003129999999999E-2</v>
      </c>
      <c r="I43" s="207">
        <v>0</v>
      </c>
      <c r="J43" s="58">
        <f t="shared" si="17"/>
        <v>9.1052372212634225</v>
      </c>
      <c r="K43" s="58">
        <f t="shared" si="16"/>
        <v>7.4001760708933952</v>
      </c>
      <c r="L43" s="58">
        <f t="shared" si="15"/>
        <v>9.0951136617490942</v>
      </c>
      <c r="M43" s="58">
        <f t="shared" si="15"/>
        <v>8.2460546740408276</v>
      </c>
      <c r="N43" s="58">
        <f t="shared" si="15"/>
        <v>8.5310646831607482</v>
      </c>
      <c r="O43" s="58">
        <f t="shared" si="15"/>
        <v>8.4592800231066239</v>
      </c>
      <c r="P43" s="58">
        <f t="shared" si="15"/>
        <v>8.4755292622214977</v>
      </c>
      <c r="Q43" s="58">
        <f t="shared" si="15"/>
        <v>8.3463378225901383</v>
      </c>
      <c r="R43" s="58">
        <f t="shared" si="15"/>
        <v>8.561408460855759</v>
      </c>
      <c r="S43" s="58">
        <f t="shared" si="15"/>
        <v>8.4116532930239671</v>
      </c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Z43" s="76"/>
      <c r="BA43" s="14"/>
      <c r="BC43" s="14"/>
      <c r="BD43" s="14"/>
    </row>
    <row r="44" spans="1:56" ht="15.75" thickBot="1">
      <c r="A44" s="172" t="s">
        <v>104</v>
      </c>
      <c r="B44" s="207">
        <v>0</v>
      </c>
      <c r="C44" s="207">
        <v>0</v>
      </c>
      <c r="D44" s="207">
        <v>0</v>
      </c>
      <c r="E44" s="207">
        <v>0</v>
      </c>
      <c r="F44" s="207">
        <v>1.1804799999999999E-2</v>
      </c>
      <c r="G44" s="207">
        <v>2.6655999999999997E-3</v>
      </c>
      <c r="H44" s="207">
        <v>1.2158739999999999E-2</v>
      </c>
      <c r="I44" s="207">
        <v>0</v>
      </c>
      <c r="J44" s="58">
        <f t="shared" si="17"/>
        <v>5.485633952321523</v>
      </c>
      <c r="K44" s="58">
        <f t="shared" si="16"/>
        <v>4.4583854457794416</v>
      </c>
      <c r="L44" s="58">
        <f t="shared" si="15"/>
        <v>5.4795348095490031</v>
      </c>
      <c r="M44" s="58">
        <f t="shared" si="15"/>
        <v>4.96758219970455</v>
      </c>
      <c r="N44" s="58">
        <f t="shared" si="15"/>
        <v>5.1385445144523842</v>
      </c>
      <c r="O44" s="58">
        <f t="shared" si="15"/>
        <v>5.0963590579188534</v>
      </c>
      <c r="P44" s="58">
        <f t="shared" si="15"/>
        <v>5.1059361843613802</v>
      </c>
      <c r="Q44" s="58">
        <f t="shared" si="15"/>
        <v>5.0280812054808468</v>
      </c>
      <c r="R44" s="58">
        <f t="shared" si="15"/>
        <v>5.1575913531972342</v>
      </c>
      <c r="S44" s="58">
        <f t="shared" si="15"/>
        <v>5.0673006323836036</v>
      </c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Z44" s="76"/>
      <c r="BA44" s="14"/>
      <c r="BC44" s="14"/>
      <c r="BD44" s="14"/>
    </row>
    <row r="45" spans="1:56" ht="15.75" thickBot="1">
      <c r="A45" s="172" t="s">
        <v>105</v>
      </c>
      <c r="B45" s="207">
        <v>0</v>
      </c>
      <c r="C45" s="207">
        <v>0</v>
      </c>
      <c r="D45" s="207">
        <v>0</v>
      </c>
      <c r="E45" s="207">
        <v>0</v>
      </c>
      <c r="F45" s="207">
        <v>0</v>
      </c>
      <c r="G45" s="207">
        <v>4.0080000000000003E-3</v>
      </c>
      <c r="H45" s="207">
        <v>2.5000000000000001E-2</v>
      </c>
      <c r="I45" s="207">
        <v>0</v>
      </c>
      <c r="J45" s="58">
        <f t="shared" si="17"/>
        <v>5.975681891677417</v>
      </c>
      <c r="K45" s="58">
        <f t="shared" si="16"/>
        <v>4.8566662314731186</v>
      </c>
      <c r="L45" s="58">
        <f t="shared" si="15"/>
        <v>5.9690378944043081</v>
      </c>
      <c r="M45" s="58">
        <f t="shared" si="15"/>
        <v>5.4177654315021062</v>
      </c>
      <c r="N45" s="58">
        <f t="shared" si="15"/>
        <v>5.6014991896910384</v>
      </c>
      <c r="O45" s="58">
        <f t="shared" si="15"/>
        <v>5.553235066674894</v>
      </c>
      <c r="P45" s="58">
        <f t="shared" si="15"/>
        <v>5.564130127749598</v>
      </c>
      <c r="Q45" s="58">
        <f t="shared" si="15"/>
        <v>5.4796407627490931</v>
      </c>
      <c r="R45" s="58">
        <f t="shared" si="15"/>
        <v>5.6211335420043893</v>
      </c>
      <c r="S45" s="58">
        <f t="shared" si="15"/>
        <v>5.5232541156733461</v>
      </c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Z45" s="76"/>
      <c r="BA45" s="14"/>
      <c r="BC45" s="14"/>
      <c r="BD45" s="14"/>
    </row>
    <row r="46" spans="1:56" ht="15.75" thickBot="1">
      <c r="A46" s="172" t="s">
        <v>106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5.9296000000000001E-3</v>
      </c>
      <c r="I46" s="207">
        <v>0</v>
      </c>
      <c r="J46" s="58">
        <f t="shared" si="17"/>
        <v>1.2215045278850802</v>
      </c>
      <c r="K46" s="58">
        <f t="shared" si="16"/>
        <v>0.99276365437613767</v>
      </c>
      <c r="L46" s="58">
        <f t="shared" si="15"/>
        <v>1.2201464112886025</v>
      </c>
      <c r="M46" s="58">
        <f t="shared" si="15"/>
        <v>1.1074593871564702</v>
      </c>
      <c r="N46" s="58">
        <f t="shared" si="15"/>
        <v>1.1452896178848033</v>
      </c>
      <c r="O46" s="58">
        <f t="shared" si="15"/>
        <v>1.1351510842304</v>
      </c>
      <c r="P46" s="58">
        <f t="shared" si="15"/>
        <v>1.1374327197182186</v>
      </c>
      <c r="Q46" s="58">
        <f t="shared" si="15"/>
        <v>1.1201620309872828</v>
      </c>
      <c r="R46" s="58">
        <f t="shared" si="15"/>
        <v>1.1490958440556989</v>
      </c>
      <c r="S46" s="58">
        <f t="shared" si="15"/>
        <v>1.1290989679954351</v>
      </c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Z46" s="76"/>
      <c r="BA46" s="14"/>
      <c r="BC46" s="14"/>
      <c r="BD46" s="14"/>
    </row>
    <row r="47" spans="1:56" ht="15.75" thickBot="1">
      <c r="A47" s="172" t="s">
        <v>107</v>
      </c>
      <c r="B47" s="207">
        <v>0</v>
      </c>
      <c r="C47" s="207">
        <v>0</v>
      </c>
      <c r="D47" s="207">
        <v>0</v>
      </c>
      <c r="E47" s="207">
        <v>0</v>
      </c>
      <c r="F47" s="207">
        <v>0</v>
      </c>
      <c r="G47" s="207">
        <v>0</v>
      </c>
      <c r="H47" s="207">
        <v>0</v>
      </c>
      <c r="I47" s="207">
        <v>0</v>
      </c>
      <c r="J47" s="58">
        <f t="shared" si="17"/>
        <v>0</v>
      </c>
      <c r="K47" s="58">
        <f t="shared" si="16"/>
        <v>0</v>
      </c>
      <c r="L47" s="58">
        <f t="shared" si="15"/>
        <v>0</v>
      </c>
      <c r="M47" s="58">
        <f t="shared" si="15"/>
        <v>0</v>
      </c>
      <c r="N47" s="58">
        <f t="shared" si="15"/>
        <v>0</v>
      </c>
      <c r="O47" s="58">
        <f t="shared" si="15"/>
        <v>0</v>
      </c>
      <c r="P47" s="58">
        <f t="shared" si="15"/>
        <v>0</v>
      </c>
      <c r="Q47" s="58">
        <f t="shared" si="15"/>
        <v>0</v>
      </c>
      <c r="R47" s="58">
        <f t="shared" si="15"/>
        <v>0</v>
      </c>
      <c r="S47" s="58">
        <f t="shared" si="15"/>
        <v>0</v>
      </c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Z47" s="76"/>
      <c r="BA47" s="14"/>
      <c r="BC47" s="14"/>
      <c r="BD47" s="14"/>
    </row>
    <row r="48" spans="1:56" ht="15.75" thickBot="1">
      <c r="A48" s="172" t="s">
        <v>108</v>
      </c>
      <c r="B48" s="207">
        <v>0</v>
      </c>
      <c r="C48" s="207">
        <v>0</v>
      </c>
      <c r="D48" s="207">
        <v>0</v>
      </c>
      <c r="E48" s="207">
        <v>0</v>
      </c>
      <c r="F48" s="207">
        <v>0</v>
      </c>
      <c r="G48" s="207">
        <v>0</v>
      </c>
      <c r="H48" s="207">
        <v>0</v>
      </c>
      <c r="I48" s="207">
        <v>0</v>
      </c>
      <c r="J48" s="58">
        <f t="shared" si="17"/>
        <v>0</v>
      </c>
      <c r="K48" s="58">
        <f t="shared" si="16"/>
        <v>0</v>
      </c>
      <c r="L48" s="58">
        <f t="shared" si="15"/>
        <v>0</v>
      </c>
      <c r="M48" s="58">
        <f t="shared" si="15"/>
        <v>0</v>
      </c>
      <c r="N48" s="58">
        <f t="shared" si="15"/>
        <v>0</v>
      </c>
      <c r="O48" s="58">
        <f t="shared" si="15"/>
        <v>0</v>
      </c>
      <c r="P48" s="58">
        <f t="shared" si="15"/>
        <v>0</v>
      </c>
      <c r="Q48" s="58">
        <f t="shared" si="15"/>
        <v>0</v>
      </c>
      <c r="R48" s="58">
        <f t="shared" si="15"/>
        <v>0</v>
      </c>
      <c r="S48" s="58">
        <f t="shared" si="15"/>
        <v>0</v>
      </c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Z48" s="76"/>
      <c r="BA48" s="14"/>
      <c r="BC48" s="14"/>
      <c r="BD48" s="14"/>
    </row>
    <row r="49" spans="1:56">
      <c r="A49" s="172" t="s">
        <v>109</v>
      </c>
      <c r="B49" s="207">
        <v>0</v>
      </c>
      <c r="C49" s="207">
        <v>0</v>
      </c>
      <c r="D49" s="207">
        <v>0</v>
      </c>
      <c r="E49" s="207">
        <v>0</v>
      </c>
      <c r="F49" s="207">
        <v>0</v>
      </c>
      <c r="G49" s="207">
        <v>1.21584E-2</v>
      </c>
      <c r="H49" s="207">
        <v>0</v>
      </c>
      <c r="I49" s="207">
        <v>0</v>
      </c>
      <c r="J49" s="58">
        <f>J50-SUM(J38:J48)</f>
        <v>15.96360127944331</v>
      </c>
      <c r="K49" s="58">
        <f>K50-SUM(K38:K48)</f>
        <v>2.0356208876428212</v>
      </c>
      <c r="L49" s="58">
        <f t="shared" ref="L49:S49" si="18">L50-SUM(L38:L48)</f>
        <v>15.880905865041207</v>
      </c>
      <c r="M49" s="58">
        <f t="shared" si="18"/>
        <v>8.9842772765729677</v>
      </c>
      <c r="N49" s="58">
        <f t="shared" si="18"/>
        <v>11.278685127073288</v>
      </c>
      <c r="O49" s="58">
        <f t="shared" si="18"/>
        <v>10.713105728551255</v>
      </c>
      <c r="P49" s="58">
        <f t="shared" si="18"/>
        <v>10.828618087154709</v>
      </c>
      <c r="Q49" s="58">
        <f t="shared" si="18"/>
        <v>9.778518976976315</v>
      </c>
      <c r="R49" s="58">
        <f t="shared" si="18"/>
        <v>11.537118416878691</v>
      </c>
      <c r="S49" s="58">
        <f t="shared" si="18"/>
        <v>10.316641039265711</v>
      </c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Z49" s="76"/>
      <c r="BA49" s="14"/>
      <c r="BC49" s="14"/>
      <c r="BD49" s="14"/>
    </row>
    <row r="50" spans="1:56" ht="15.75" thickBot="1">
      <c r="A50" s="172" t="s">
        <v>113</v>
      </c>
      <c r="B50" s="59">
        <f t="shared" ref="B50:I50" si="19">SUM(B38:B49)</f>
        <v>0</v>
      </c>
      <c r="C50" s="59">
        <f t="shared" si="19"/>
        <v>0</v>
      </c>
      <c r="D50" s="59">
        <f t="shared" si="19"/>
        <v>0</v>
      </c>
      <c r="E50" s="59">
        <f t="shared" si="19"/>
        <v>0</v>
      </c>
      <c r="F50" s="59">
        <f t="shared" si="19"/>
        <v>6.0302399999999999E-2</v>
      </c>
      <c r="G50" s="59">
        <f t="shared" si="19"/>
        <v>4.2958400000000001E-2</v>
      </c>
      <c r="H50" s="59">
        <f t="shared" si="19"/>
        <v>0.13945627000000002</v>
      </c>
      <c r="I50" s="59">
        <f t="shared" si="19"/>
        <v>5.5924000000000001E-2</v>
      </c>
      <c r="J50" s="58">
        <f>J5</f>
        <v>50</v>
      </c>
      <c r="K50" s="58">
        <f t="shared" ref="K50:S50" si="20">K5</f>
        <v>50</v>
      </c>
      <c r="L50" s="58">
        <f t="shared" si="20"/>
        <v>50</v>
      </c>
      <c r="M50" s="58">
        <f t="shared" si="20"/>
        <v>50</v>
      </c>
      <c r="N50" s="58">
        <f t="shared" si="20"/>
        <v>50</v>
      </c>
      <c r="O50" s="58">
        <f t="shared" si="20"/>
        <v>50</v>
      </c>
      <c r="P50" s="58">
        <f t="shared" si="20"/>
        <v>50</v>
      </c>
      <c r="Q50" s="58">
        <f t="shared" si="20"/>
        <v>50</v>
      </c>
      <c r="R50" s="58">
        <f t="shared" si="20"/>
        <v>50</v>
      </c>
      <c r="S50" s="58">
        <f t="shared" si="20"/>
        <v>50</v>
      </c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BC50" s="14"/>
      <c r="BD50" s="14"/>
    </row>
    <row r="51" spans="1:56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1"/>
      <c r="AL51" s="181"/>
      <c r="AM51" s="181"/>
      <c r="AN51" s="181"/>
      <c r="AO51" s="181"/>
      <c r="AP51" s="181"/>
      <c r="AQ51" s="181"/>
      <c r="AR51" s="181"/>
      <c r="AS51" s="181"/>
      <c r="AT51" s="181"/>
      <c r="AU51" s="181"/>
      <c r="AV51" s="181"/>
      <c r="AW51" s="181"/>
      <c r="AX51" s="14"/>
    </row>
    <row r="52" spans="1:56" ht="15.75" thickBot="1">
      <c r="A52" s="172" t="s">
        <v>205</v>
      </c>
      <c r="E52" s="59"/>
    </row>
    <row r="53" spans="1:56" ht="15.75" thickBot="1">
      <c r="A53" s="174"/>
      <c r="B53" s="174">
        <f t="shared" ref="B53:T53" si="21">B2</f>
        <v>2016</v>
      </c>
      <c r="C53" s="174">
        <f t="shared" si="21"/>
        <v>2017</v>
      </c>
      <c r="D53" s="174">
        <f t="shared" si="21"/>
        <v>2018</v>
      </c>
      <c r="E53" s="174">
        <f t="shared" si="21"/>
        <v>2019</v>
      </c>
      <c r="F53" s="174">
        <f t="shared" si="21"/>
        <v>2020</v>
      </c>
      <c r="G53" s="174">
        <f t="shared" si="21"/>
        <v>2021</v>
      </c>
      <c r="H53" s="174">
        <f t="shared" si="21"/>
        <v>2022</v>
      </c>
      <c r="I53" s="174">
        <f t="shared" si="21"/>
        <v>2023</v>
      </c>
      <c r="J53" s="174">
        <f t="shared" si="21"/>
        <v>2024</v>
      </c>
      <c r="K53" s="174">
        <f t="shared" si="21"/>
        <v>2025</v>
      </c>
      <c r="L53" s="174">
        <f t="shared" si="21"/>
        <v>2026</v>
      </c>
      <c r="M53" s="174">
        <f t="shared" si="21"/>
        <v>2027</v>
      </c>
      <c r="N53" s="174">
        <f t="shared" si="21"/>
        <v>2028</v>
      </c>
      <c r="O53" s="174">
        <f t="shared" si="21"/>
        <v>2029</v>
      </c>
      <c r="P53" s="174">
        <f t="shared" si="21"/>
        <v>2030</v>
      </c>
      <c r="Q53" s="174">
        <f t="shared" si="21"/>
        <v>2031</v>
      </c>
      <c r="R53" s="174">
        <f t="shared" si="21"/>
        <v>2032</v>
      </c>
      <c r="S53" s="174">
        <f t="shared" si="21"/>
        <v>2033</v>
      </c>
      <c r="T53" s="174">
        <f t="shared" si="21"/>
        <v>2034</v>
      </c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5"/>
    </row>
    <row r="54" spans="1:56" ht="15.75" thickBot="1">
      <c r="A54" s="172" t="s">
        <v>110</v>
      </c>
      <c r="B54" s="207">
        <v>0</v>
      </c>
      <c r="C54" s="200">
        <v>6.6570199999999996E-2</v>
      </c>
      <c r="D54" s="200">
        <v>0.11955300000000001</v>
      </c>
      <c r="E54" s="200">
        <v>0</v>
      </c>
      <c r="F54" s="200">
        <v>0.14739458999999999</v>
      </c>
      <c r="G54" s="200">
        <v>0</v>
      </c>
      <c r="H54" s="200">
        <v>0</v>
      </c>
      <c r="I54" s="200">
        <v>0.26684881999999999</v>
      </c>
      <c r="J54" s="200"/>
      <c r="K54" s="58">
        <f t="shared" ref="K54:S64" si="22">K$66*(SUM(E54:I54)/SUM(E$66:I$66))</f>
        <v>144.01333105643215</v>
      </c>
      <c r="L54" s="58">
        <f t="shared" ref="L54:L55" si="23">L$66*(SUM(F54:J54)/SUM(F$66:J$66))</f>
        <v>0.4130552878331466</v>
      </c>
      <c r="M54" s="58">
        <f t="shared" ref="M54:S55" si="24">M$66*(SUM(G54:K54)/SUM(G$66:K$66))</f>
        <v>72.051635867872051</v>
      </c>
      <c r="N54" s="58">
        <f t="shared" si="24"/>
        <v>48.202109650106379</v>
      </c>
      <c r="O54" s="58">
        <f t="shared" si="24"/>
        <v>54.164920571667381</v>
      </c>
      <c r="P54" s="58">
        <f t="shared" si="24"/>
        <v>52.936026372448744</v>
      </c>
      <c r="Q54" s="58">
        <f t="shared" si="24"/>
        <v>63.769010486782221</v>
      </c>
      <c r="R54" s="58">
        <f t="shared" si="24"/>
        <v>45.55354954998554</v>
      </c>
      <c r="S54" s="58">
        <f t="shared" si="24"/>
        <v>58.224740589775351</v>
      </c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14"/>
      <c r="AZ54" s="14"/>
    </row>
    <row r="55" spans="1:56" ht="15.75" thickBot="1">
      <c r="A55" s="172" t="s">
        <v>111</v>
      </c>
      <c r="B55" s="207">
        <v>0</v>
      </c>
      <c r="C55" s="200">
        <v>5.5038999999999998E-2</v>
      </c>
      <c r="D55" s="200">
        <v>0.13071150000000001</v>
      </c>
      <c r="E55" s="200">
        <v>0</v>
      </c>
      <c r="F55" s="200">
        <v>0</v>
      </c>
      <c r="G55" s="200">
        <v>0</v>
      </c>
      <c r="H55" s="200">
        <v>0</v>
      </c>
      <c r="I55" s="200">
        <v>0.19334635999999999</v>
      </c>
      <c r="J55" s="200"/>
      <c r="K55" s="58">
        <f t="shared" si="22"/>
        <v>67.217613313959802</v>
      </c>
      <c r="L55" s="58">
        <f t="shared" si="23"/>
        <v>0.19279180900256493</v>
      </c>
      <c r="M55" s="58">
        <f t="shared" si="24"/>
        <v>33.664152096925342</v>
      </c>
      <c r="N55" s="58">
        <f t="shared" si="24"/>
        <v>22.521049018227199</v>
      </c>
      <c r="O55" s="58">
        <f t="shared" si="24"/>
        <v>25.307025387699206</v>
      </c>
      <c r="P55" s="58">
        <f t="shared" si="24"/>
        <v>24.719121247622983</v>
      </c>
      <c r="Q55" s="58">
        <f t="shared" si="24"/>
        <v>29.780526325162821</v>
      </c>
      <c r="R55" s="58">
        <f t="shared" si="24"/>
        <v>21.280827911895461</v>
      </c>
      <c r="S55" s="58">
        <f t="shared" si="24"/>
        <v>27.198374815127508</v>
      </c>
      <c r="T55" s="59"/>
      <c r="U55" s="59">
        <v>1000</v>
      </c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14"/>
      <c r="AZ55" s="14"/>
      <c r="BA55" s="171"/>
    </row>
    <row r="56" spans="1:56" ht="15.75" thickBot="1">
      <c r="A56" s="172" t="s">
        <v>112</v>
      </c>
      <c r="B56" s="207">
        <v>0</v>
      </c>
      <c r="C56" s="200">
        <v>9.5102999999999993E-2</v>
      </c>
      <c r="D56" s="200">
        <v>0.12678</v>
      </c>
      <c r="E56" s="200">
        <v>0</v>
      </c>
      <c r="F56" s="200">
        <v>0</v>
      </c>
      <c r="G56" s="200">
        <v>0</v>
      </c>
      <c r="H56" s="200">
        <v>0</v>
      </c>
      <c r="I56" s="200">
        <v>0</v>
      </c>
      <c r="J56" s="200"/>
      <c r="K56" s="58">
        <f t="shared" si="22"/>
        <v>0</v>
      </c>
      <c r="L56" s="58">
        <f t="shared" si="22"/>
        <v>0</v>
      </c>
      <c r="M56" s="58">
        <f t="shared" si="22"/>
        <v>0</v>
      </c>
      <c r="N56" s="58">
        <f t="shared" si="22"/>
        <v>0</v>
      </c>
      <c r="O56" s="58">
        <f t="shared" si="22"/>
        <v>0</v>
      </c>
      <c r="P56" s="58">
        <f t="shared" si="22"/>
        <v>0</v>
      </c>
      <c r="Q56" s="58">
        <f t="shared" si="22"/>
        <v>0</v>
      </c>
      <c r="R56" s="58">
        <f t="shared" si="22"/>
        <v>0</v>
      </c>
      <c r="S56" s="58">
        <f t="shared" si="22"/>
        <v>0</v>
      </c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</row>
    <row r="57" spans="1:56" ht="15.75" thickBot="1">
      <c r="A57" s="172" t="s">
        <v>100</v>
      </c>
      <c r="B57" s="207">
        <v>0</v>
      </c>
      <c r="C57" s="200">
        <v>1.0005E-2</v>
      </c>
      <c r="D57" s="200">
        <v>0</v>
      </c>
      <c r="E57" s="200">
        <v>0</v>
      </c>
      <c r="F57" s="200">
        <v>0</v>
      </c>
      <c r="G57" s="200">
        <v>0</v>
      </c>
      <c r="H57" s="200">
        <v>0</v>
      </c>
      <c r="I57" s="200">
        <v>0</v>
      </c>
      <c r="J57" s="58">
        <f t="shared" ref="J57:J64" si="25">J$66*(SUM(D57:H57)/SUM(D$66:H$66))</f>
        <v>0</v>
      </c>
      <c r="K57" s="58">
        <f t="shared" si="22"/>
        <v>0</v>
      </c>
      <c r="L57" s="58">
        <f t="shared" si="22"/>
        <v>0</v>
      </c>
      <c r="M57" s="58">
        <f t="shared" si="22"/>
        <v>0</v>
      </c>
      <c r="N57" s="58">
        <f t="shared" si="22"/>
        <v>0</v>
      </c>
      <c r="O57" s="58">
        <f t="shared" si="22"/>
        <v>0</v>
      </c>
      <c r="P57" s="58">
        <f t="shared" si="22"/>
        <v>0</v>
      </c>
      <c r="Q57" s="58">
        <f t="shared" si="22"/>
        <v>0</v>
      </c>
      <c r="R57" s="58">
        <f t="shared" si="22"/>
        <v>0</v>
      </c>
      <c r="S57" s="58">
        <f t="shared" si="22"/>
        <v>0</v>
      </c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</row>
    <row r="58" spans="1:56" ht="15.75" thickBot="1">
      <c r="A58" s="172" t="s">
        <v>102</v>
      </c>
      <c r="B58" s="207">
        <v>0</v>
      </c>
      <c r="C58" s="200">
        <v>6.6377399999999989E-2</v>
      </c>
      <c r="D58" s="200">
        <v>0</v>
      </c>
      <c r="E58" s="200">
        <v>0</v>
      </c>
      <c r="F58" s="200">
        <v>0</v>
      </c>
      <c r="G58" s="200">
        <v>0</v>
      </c>
      <c r="H58" s="200">
        <v>0</v>
      </c>
      <c r="I58" s="200">
        <v>0</v>
      </c>
      <c r="J58" s="58">
        <f t="shared" si="25"/>
        <v>0</v>
      </c>
      <c r="K58" s="58">
        <f t="shared" si="22"/>
        <v>0</v>
      </c>
      <c r="L58" s="58">
        <f t="shared" si="22"/>
        <v>0</v>
      </c>
      <c r="M58" s="58">
        <f t="shared" si="22"/>
        <v>0</v>
      </c>
      <c r="N58" s="58">
        <f t="shared" si="22"/>
        <v>0</v>
      </c>
      <c r="O58" s="58">
        <f t="shared" si="22"/>
        <v>0</v>
      </c>
      <c r="P58" s="58">
        <f t="shared" si="22"/>
        <v>0</v>
      </c>
      <c r="Q58" s="58">
        <f t="shared" si="22"/>
        <v>0</v>
      </c>
      <c r="R58" s="58">
        <f t="shared" si="22"/>
        <v>0</v>
      </c>
      <c r="S58" s="58">
        <f t="shared" si="22"/>
        <v>0</v>
      </c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</row>
    <row r="59" spans="1:56" ht="15.75" thickBot="1">
      <c r="A59" s="172" t="s">
        <v>103</v>
      </c>
      <c r="B59" s="207">
        <v>0</v>
      </c>
      <c r="C59" s="200">
        <v>9.3588000000000005E-2</v>
      </c>
      <c r="D59" s="200">
        <v>0</v>
      </c>
      <c r="E59" s="200">
        <v>0</v>
      </c>
      <c r="F59" s="200">
        <v>0</v>
      </c>
      <c r="G59" s="200">
        <v>0</v>
      </c>
      <c r="H59" s="200">
        <v>0</v>
      </c>
      <c r="I59" s="200">
        <v>9.0272919999999993E-2</v>
      </c>
      <c r="J59" s="58">
        <f t="shared" si="25"/>
        <v>0</v>
      </c>
      <c r="K59" s="58">
        <f t="shared" si="22"/>
        <v>31.383731399349994</v>
      </c>
      <c r="L59" s="58">
        <f t="shared" si="22"/>
        <v>9.0014001560431864E-2</v>
      </c>
      <c r="M59" s="58">
        <f t="shared" si="22"/>
        <v>15.717706343753115</v>
      </c>
      <c r="N59" s="58">
        <f t="shared" si="22"/>
        <v>10.515020072467371</v>
      </c>
      <c r="O59" s="58">
        <f t="shared" si="22"/>
        <v>11.815785299820172</v>
      </c>
      <c r="P59" s="58">
        <f t="shared" si="22"/>
        <v>11.541294363426184</v>
      </c>
      <c r="Q59" s="58">
        <f t="shared" si="22"/>
        <v>13.904451423390217</v>
      </c>
      <c r="R59" s="58">
        <f t="shared" si="22"/>
        <v>9.935964016205455</v>
      </c>
      <c r="S59" s="58">
        <f t="shared" si="22"/>
        <v>12.69885150057141</v>
      </c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</row>
    <row r="60" spans="1:56" ht="15.75" thickBot="1">
      <c r="A60" s="172" t="s">
        <v>104</v>
      </c>
      <c r="B60" s="207">
        <v>0</v>
      </c>
      <c r="C60" s="200">
        <v>0.10008339999999999</v>
      </c>
      <c r="D60" s="200">
        <v>0.22983500000000001</v>
      </c>
      <c r="E60" s="200">
        <v>0</v>
      </c>
      <c r="F60" s="200">
        <v>0</v>
      </c>
      <c r="G60" s="200">
        <v>6.8793179999999995E-2</v>
      </c>
      <c r="H60" s="200">
        <v>0</v>
      </c>
      <c r="I60" s="200">
        <v>0</v>
      </c>
      <c r="J60" s="58">
        <f t="shared" si="25"/>
        <v>71.846817297992203</v>
      </c>
      <c r="K60" s="58">
        <f t="shared" si="22"/>
        <v>23.916216327411767</v>
      </c>
      <c r="L60" s="58">
        <f t="shared" si="22"/>
        <v>71.709343995800751</v>
      </c>
      <c r="M60" s="58">
        <f t="shared" si="22"/>
        <v>47.857161638206684</v>
      </c>
      <c r="N60" s="58">
        <f t="shared" si="22"/>
        <v>55.79059657002535</v>
      </c>
      <c r="O60" s="58">
        <f t="shared" si="22"/>
        <v>53.811226697910662</v>
      </c>
      <c r="P60" s="58">
        <f t="shared" si="22"/>
        <v>54.224027165887357</v>
      </c>
      <c r="Q60" s="58">
        <f t="shared" si="22"/>
        <v>50.616909045871033</v>
      </c>
      <c r="R60" s="58">
        <f t="shared" si="22"/>
        <v>56.678471213566162</v>
      </c>
      <c r="S60" s="58">
        <f t="shared" si="22"/>
        <v>52.459984223580221</v>
      </c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</row>
    <row r="61" spans="1:56" ht="15.75" thickBot="1">
      <c r="A61" s="172" t="s">
        <v>105</v>
      </c>
      <c r="B61" s="207">
        <v>0</v>
      </c>
      <c r="C61" s="200">
        <v>0.13207099999999999</v>
      </c>
      <c r="D61" s="200">
        <v>0</v>
      </c>
      <c r="E61" s="200">
        <v>0</v>
      </c>
      <c r="F61" s="200">
        <v>0</v>
      </c>
      <c r="G61" s="200">
        <v>0</v>
      </c>
      <c r="H61" s="200">
        <v>0</v>
      </c>
      <c r="I61" s="200">
        <v>0</v>
      </c>
      <c r="J61" s="58">
        <f t="shared" si="25"/>
        <v>0</v>
      </c>
      <c r="K61" s="58">
        <f t="shared" si="22"/>
        <v>0</v>
      </c>
      <c r="L61" s="58">
        <f t="shared" si="22"/>
        <v>0</v>
      </c>
      <c r="M61" s="58">
        <f t="shared" si="22"/>
        <v>0</v>
      </c>
      <c r="N61" s="58">
        <f t="shared" si="22"/>
        <v>0</v>
      </c>
      <c r="O61" s="58">
        <f t="shared" si="22"/>
        <v>0</v>
      </c>
      <c r="P61" s="58">
        <f t="shared" si="22"/>
        <v>0</v>
      </c>
      <c r="Q61" s="58">
        <f t="shared" si="22"/>
        <v>0</v>
      </c>
      <c r="R61" s="58">
        <f t="shared" si="22"/>
        <v>0</v>
      </c>
      <c r="S61" s="58">
        <f t="shared" si="22"/>
        <v>0</v>
      </c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 spans="1:56" ht="15.75" thickBot="1">
      <c r="A62" s="172" t="s">
        <v>106</v>
      </c>
      <c r="B62" s="207">
        <v>0</v>
      </c>
      <c r="C62" s="200">
        <v>0.13228999999999999</v>
      </c>
      <c r="D62" s="200">
        <v>0.19298999999999999</v>
      </c>
      <c r="E62" s="200">
        <v>0</v>
      </c>
      <c r="F62" s="200">
        <v>0</v>
      </c>
      <c r="G62" s="200">
        <v>0.15952654999999999</v>
      </c>
      <c r="H62" s="200">
        <v>0</v>
      </c>
      <c r="I62" s="200">
        <v>0</v>
      </c>
      <c r="J62" s="58">
        <f t="shared" si="25"/>
        <v>84.811795599358817</v>
      </c>
      <c r="K62" s="58">
        <f t="shared" si="22"/>
        <v>55.460024958370425</v>
      </c>
      <c r="L62" s="58">
        <f t="shared" si="22"/>
        <v>84.727609614758705</v>
      </c>
      <c r="M62" s="58">
        <f t="shared" si="22"/>
        <v>70.129579093307314</v>
      </c>
      <c r="N62" s="58">
        <f t="shared" si="22"/>
        <v>74.954763379734032</v>
      </c>
      <c r="O62" s="58">
        <f t="shared" si="22"/>
        <v>73.753253164207308</v>
      </c>
      <c r="P62" s="58">
        <f t="shared" si="22"/>
        <v>74.016754529105853</v>
      </c>
      <c r="Q62" s="58">
        <f t="shared" si="22"/>
        <v>71.80504604207556</v>
      </c>
      <c r="R62" s="58">
        <f t="shared" si="22"/>
        <v>75.516391956222634</v>
      </c>
      <c r="S62" s="58">
        <f t="shared" si="22"/>
        <v>72.931879241686019</v>
      </c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</row>
    <row r="63" spans="1:56" ht="15.75" thickBot="1">
      <c r="A63" s="172" t="s">
        <v>107</v>
      </c>
      <c r="B63" s="207">
        <v>0</v>
      </c>
      <c r="C63" s="200">
        <v>0.16108600000000001</v>
      </c>
      <c r="D63" s="200">
        <v>0</v>
      </c>
      <c r="E63" s="200">
        <v>0</v>
      </c>
      <c r="F63" s="200">
        <v>0</v>
      </c>
      <c r="G63" s="200">
        <v>0</v>
      </c>
      <c r="H63" s="200">
        <v>0</v>
      </c>
      <c r="I63" s="200">
        <v>0</v>
      </c>
      <c r="J63" s="58">
        <f t="shared" si="25"/>
        <v>0</v>
      </c>
      <c r="K63" s="58">
        <f t="shared" si="22"/>
        <v>0</v>
      </c>
      <c r="L63" s="58">
        <f t="shared" si="22"/>
        <v>0</v>
      </c>
      <c r="M63" s="58">
        <f t="shared" si="22"/>
        <v>0</v>
      </c>
      <c r="N63" s="58">
        <f t="shared" si="22"/>
        <v>0</v>
      </c>
      <c r="O63" s="58">
        <f t="shared" si="22"/>
        <v>0</v>
      </c>
      <c r="P63" s="58">
        <f t="shared" si="22"/>
        <v>0</v>
      </c>
      <c r="Q63" s="58">
        <f t="shared" si="22"/>
        <v>0</v>
      </c>
      <c r="R63" s="58">
        <f t="shared" si="22"/>
        <v>0</v>
      </c>
      <c r="S63" s="58">
        <f t="shared" si="22"/>
        <v>0</v>
      </c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</row>
    <row r="64" spans="1:56" ht="15.75" thickBot="1">
      <c r="A64" s="172" t="s">
        <v>108</v>
      </c>
      <c r="B64" s="207">
        <v>0</v>
      </c>
      <c r="C64" s="200">
        <v>0.1129115</v>
      </c>
      <c r="D64" s="200">
        <v>0.19861000000000001</v>
      </c>
      <c r="E64" s="200">
        <v>0</v>
      </c>
      <c r="F64" s="200">
        <v>0</v>
      </c>
      <c r="G64" s="200">
        <v>0</v>
      </c>
      <c r="H64" s="200">
        <v>8.0565999999999999E-2</v>
      </c>
      <c r="I64" s="200">
        <v>0</v>
      </c>
      <c r="J64" s="58">
        <f t="shared" si="25"/>
        <v>67.166826205029508</v>
      </c>
      <c r="K64" s="58">
        <f t="shared" si="22"/>
        <v>28.009082944475839</v>
      </c>
      <c r="L64" s="58">
        <f t="shared" si="22"/>
        <v>67.054514984986639</v>
      </c>
      <c r="M64" s="58">
        <f t="shared" si="22"/>
        <v>47.56983854197621</v>
      </c>
      <c r="N64" s="58">
        <f t="shared" si="22"/>
        <v>54.071167425333336</v>
      </c>
      <c r="O64" s="58">
        <f t="shared" si="22"/>
        <v>52.429450854691318</v>
      </c>
      <c r="P64" s="58">
        <f t="shared" si="22"/>
        <v>52.774286020360307</v>
      </c>
      <c r="Q64" s="58">
        <f t="shared" si="22"/>
        <v>49.826810950292661</v>
      </c>
      <c r="R64" s="58">
        <f t="shared" si="22"/>
        <v>54.779851565469563</v>
      </c>
      <c r="S64" s="58">
        <f t="shared" si="22"/>
        <v>51.334310758530762</v>
      </c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</row>
    <row r="65" spans="1:50">
      <c r="A65" s="172" t="s">
        <v>109</v>
      </c>
      <c r="B65" s="207"/>
      <c r="C65" s="200">
        <v>0.16475889999999999</v>
      </c>
      <c r="D65" s="200">
        <v>0</v>
      </c>
      <c r="E65" s="200">
        <v>0</v>
      </c>
      <c r="F65" s="200">
        <v>0</v>
      </c>
      <c r="G65" s="200">
        <v>0</v>
      </c>
      <c r="H65" s="200">
        <v>0</v>
      </c>
      <c r="I65" s="200">
        <v>0</v>
      </c>
      <c r="J65" s="58">
        <f>J66-SUM(J54:J64)</f>
        <v>126.17456089761947</v>
      </c>
      <c r="K65" s="58">
        <f t="shared" ref="K65:S65" si="26">K66-SUM(K54:K64)</f>
        <v>0</v>
      </c>
      <c r="L65" s="58">
        <f t="shared" si="26"/>
        <v>125.81267030605775</v>
      </c>
      <c r="M65" s="58">
        <f t="shared" si="26"/>
        <v>63.009926417959264</v>
      </c>
      <c r="N65" s="58">
        <f t="shared" si="26"/>
        <v>83.94529388410632</v>
      </c>
      <c r="O65" s="58">
        <f t="shared" si="26"/>
        <v>78.718338024003913</v>
      </c>
      <c r="P65" s="58">
        <f t="shared" si="26"/>
        <v>79.788490301148556</v>
      </c>
      <c r="Q65" s="58">
        <f t="shared" si="26"/>
        <v>70.297245726425501</v>
      </c>
      <c r="R65" s="58">
        <f t="shared" si="26"/>
        <v>86.25494378665519</v>
      </c>
      <c r="S65" s="58">
        <f t="shared" si="26"/>
        <v>75.151858870728745</v>
      </c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</row>
    <row r="66" spans="1:50" ht="15.75" customHeight="1" thickBot="1">
      <c r="A66" s="172" t="s">
        <v>113</v>
      </c>
      <c r="B66" s="59">
        <f>SUM(B54:B65)</f>
        <v>0</v>
      </c>
      <c r="C66" s="59">
        <f t="shared" ref="C66:I66" si="27">SUM(C54:C65)</f>
        <v>1.1898834</v>
      </c>
      <c r="D66" s="59">
        <f t="shared" si="27"/>
        <v>0.99847949999999996</v>
      </c>
      <c r="E66" s="59">
        <f t="shared" si="27"/>
        <v>0</v>
      </c>
      <c r="F66" s="59">
        <f>SUM(F54:F65)</f>
        <v>0.14739458999999999</v>
      </c>
      <c r="G66" s="59">
        <f t="shared" si="27"/>
        <v>0.22831973</v>
      </c>
      <c r="H66" s="59">
        <f t="shared" si="27"/>
        <v>8.0565999999999999E-2</v>
      </c>
      <c r="I66" s="59">
        <f t="shared" si="27"/>
        <v>0.55046810000000002</v>
      </c>
      <c r="J66" s="59">
        <f>J13</f>
        <v>350</v>
      </c>
      <c r="K66" s="59">
        <f t="shared" ref="K66:S66" si="28">K13</f>
        <v>350</v>
      </c>
      <c r="L66" s="59">
        <f t="shared" si="28"/>
        <v>350</v>
      </c>
      <c r="M66" s="59">
        <f t="shared" si="28"/>
        <v>350</v>
      </c>
      <c r="N66" s="59">
        <f t="shared" si="28"/>
        <v>350</v>
      </c>
      <c r="O66" s="59">
        <f t="shared" si="28"/>
        <v>350</v>
      </c>
      <c r="P66" s="59">
        <f t="shared" si="28"/>
        <v>350</v>
      </c>
      <c r="Q66" s="59">
        <f t="shared" si="28"/>
        <v>350</v>
      </c>
      <c r="R66" s="59">
        <f t="shared" si="28"/>
        <v>350</v>
      </c>
      <c r="S66" s="59">
        <f t="shared" si="28"/>
        <v>350</v>
      </c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</row>
    <row r="67" spans="1:50">
      <c r="A67" s="178"/>
      <c r="B67" s="178"/>
      <c r="C67" s="181">
        <f t="shared" ref="C67:I67" si="29">C68-B68</f>
        <v>-0.21671219999999999</v>
      </c>
      <c r="D67" s="181">
        <f t="shared" si="29"/>
        <v>-1.1335035000000002</v>
      </c>
      <c r="E67" s="181">
        <f t="shared" si="29"/>
        <v>0.72878070000000017</v>
      </c>
      <c r="F67" s="181">
        <f t="shared" si="29"/>
        <v>0.49830280999999998</v>
      </c>
      <c r="G67" s="181">
        <f t="shared" si="29"/>
        <v>0.17734179</v>
      </c>
      <c r="H67" s="181">
        <f t="shared" si="29"/>
        <v>-0.23437573</v>
      </c>
      <c r="I67" s="181">
        <f t="shared" si="29"/>
        <v>-0.18857958000000005</v>
      </c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4"/>
    </row>
    <row r="68" spans="1:50" ht="15.75" thickBot="1">
      <c r="A68" s="172" t="s">
        <v>206</v>
      </c>
      <c r="B68" s="14">
        <f t="shared" ref="B68:I68" si="30">(SUM(A41:A49,B38:B40)-SUM(A57:A65,B54:B56))</f>
        <v>0</v>
      </c>
      <c r="C68" s="14">
        <f t="shared" si="30"/>
        <v>-0.21671219999999999</v>
      </c>
      <c r="D68" s="14">
        <f t="shared" si="30"/>
        <v>-1.3502157000000001</v>
      </c>
      <c r="E68" s="14">
        <f t="shared" si="30"/>
        <v>-0.62143499999999996</v>
      </c>
      <c r="F68" s="14">
        <f t="shared" si="30"/>
        <v>-0.12313218999999999</v>
      </c>
      <c r="G68" s="14">
        <f t="shared" si="30"/>
        <v>5.4209599999999997E-2</v>
      </c>
      <c r="H68" s="14">
        <f t="shared" si="30"/>
        <v>-0.18016613000000001</v>
      </c>
      <c r="I68" s="14">
        <f t="shared" si="30"/>
        <v>-0.36874571000000006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50" ht="15.75" thickBot="1">
      <c r="A69" s="174"/>
      <c r="B69" s="174">
        <f t="shared" ref="B69:I69" si="31">B2</f>
        <v>2016</v>
      </c>
      <c r="C69" s="174">
        <f t="shared" si="31"/>
        <v>2017</v>
      </c>
      <c r="D69" s="174">
        <f t="shared" si="31"/>
        <v>2018</v>
      </c>
      <c r="E69" s="174">
        <f t="shared" si="31"/>
        <v>2019</v>
      </c>
      <c r="F69" s="174">
        <f t="shared" si="31"/>
        <v>2020</v>
      </c>
      <c r="G69" s="174">
        <f t="shared" si="31"/>
        <v>2021</v>
      </c>
      <c r="H69" s="174">
        <f t="shared" si="31"/>
        <v>2022</v>
      </c>
      <c r="I69" s="174">
        <f t="shared" si="31"/>
        <v>2023</v>
      </c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4"/>
      <c r="AS69" s="174"/>
      <c r="AT69" s="174"/>
      <c r="AU69" s="174"/>
      <c r="AV69" s="174"/>
      <c r="AW69" s="174"/>
      <c r="AX69" s="175"/>
    </row>
    <row r="70" spans="1:50">
      <c r="A70" s="172" t="s">
        <v>107</v>
      </c>
      <c r="B70" s="59" t="e">
        <f>B3+B22+B38-B54-#REF!</f>
        <v>#REF!</v>
      </c>
      <c r="C70" s="59" t="e">
        <f>#REF!+C22+C38-C54-#REF!</f>
        <v>#REF!</v>
      </c>
      <c r="D70" s="59" t="e">
        <f>#REF!+D22+D38-D54-#REF!</f>
        <v>#REF!</v>
      </c>
      <c r="E70" s="59" t="e">
        <f>#REF!+E22+E38-E54-#REF!</f>
        <v>#REF!</v>
      </c>
      <c r="F70" s="59" t="e">
        <f>#REF!+F22+F38-F54-#REF!</f>
        <v>#REF!</v>
      </c>
      <c r="G70" s="59" t="e">
        <f>#REF!+G22+G38-G54-#REF!</f>
        <v>#REF!</v>
      </c>
      <c r="H70" s="59" t="e">
        <f>#REF!+H22+H38-H54-#REF!</f>
        <v>#REF!</v>
      </c>
      <c r="I70" s="59" t="e">
        <f>#REF!+I22+I38-I54-#REF!</f>
        <v>#REF!</v>
      </c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 spans="1:50">
      <c r="A71" s="172" t="s">
        <v>108</v>
      </c>
      <c r="B71" s="59" t="e">
        <f>#REF!+B23+B39-B55-#REF!</f>
        <v>#REF!</v>
      </c>
      <c r="C71" s="59" t="e">
        <f>#REF!+C23+C39-C55-#REF!</f>
        <v>#REF!</v>
      </c>
      <c r="D71" s="59" t="e">
        <f>#REF!+D23+D39-D55-#REF!</f>
        <v>#REF!</v>
      </c>
      <c r="E71" s="59" t="e">
        <f>#REF!+E23+E39-E55-#REF!</f>
        <v>#REF!</v>
      </c>
      <c r="F71" s="59" t="e">
        <f>#REF!+F23+F39-F55-#REF!</f>
        <v>#REF!</v>
      </c>
      <c r="G71" s="59" t="e">
        <f>#REF!+G23+G39-G55-#REF!</f>
        <v>#REF!</v>
      </c>
      <c r="H71" s="59" t="e">
        <f>#REF!+H23+H39-H55-#REF!</f>
        <v>#REF!</v>
      </c>
      <c r="I71" s="59" t="e">
        <f>#REF!+I23+I39-I55-#REF!</f>
        <v>#REF!</v>
      </c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</row>
    <row r="72" spans="1:50">
      <c r="A72" s="172" t="s">
        <v>109</v>
      </c>
      <c r="B72" s="59" t="e">
        <f>#REF!+B24+B40-B56-#REF!</f>
        <v>#REF!</v>
      </c>
      <c r="C72" s="59" t="e">
        <f>#REF!+C24+C40-C56-#REF!</f>
        <v>#REF!</v>
      </c>
      <c r="D72" s="59" t="e">
        <f>#REF!+D24+D40-D56-#REF!</f>
        <v>#REF!</v>
      </c>
      <c r="E72" s="59" t="e">
        <f>#REF!+E24+E40-E56-#REF!</f>
        <v>#REF!</v>
      </c>
      <c r="F72" s="59" t="e">
        <f>#REF!+F24+F40-F56-#REF!</f>
        <v>#REF!</v>
      </c>
      <c r="G72" s="59" t="e">
        <f>#REF!+G24+G40-G56-#REF!</f>
        <v>#REF!</v>
      </c>
      <c r="H72" s="59" t="e">
        <f>#REF!+H24+H40-H56-#REF!</f>
        <v>#REF!</v>
      </c>
      <c r="I72" s="59" t="e">
        <f>#REF!+I24+I40-I56-#REF!</f>
        <v>#REF!</v>
      </c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</row>
    <row r="73" spans="1:50">
      <c r="A73" s="172" t="s">
        <v>110</v>
      </c>
      <c r="B73" s="59" t="e">
        <f>#REF!+B25+B41-B57-#REF!</f>
        <v>#REF!</v>
      </c>
      <c r="C73" s="59" t="e">
        <f>#REF!+C25+C41-C57-#REF!</f>
        <v>#REF!</v>
      </c>
      <c r="D73" s="59" t="e">
        <f>#REF!+D25+D41-D57-#REF!</f>
        <v>#REF!</v>
      </c>
      <c r="E73" s="59" t="e">
        <f>#REF!+E25+E41-E57-#REF!</f>
        <v>#REF!</v>
      </c>
      <c r="F73" s="59" t="e">
        <f>#REF!+F25+F41-F57-#REF!</f>
        <v>#REF!</v>
      </c>
      <c r="G73" s="59" t="e">
        <f>#REF!+G25+G41-G57-#REF!</f>
        <v>#REF!</v>
      </c>
      <c r="H73" s="59" t="e">
        <f>#REF!+H25+H41-H57-#REF!</f>
        <v>#REF!</v>
      </c>
      <c r="I73" s="59" t="e">
        <f>#REF!+I25+I41-I57-#REF!</f>
        <v>#REF!</v>
      </c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</row>
    <row r="74" spans="1:50">
      <c r="A74" s="172" t="s">
        <v>111</v>
      </c>
      <c r="B74" s="59" t="e">
        <f>#REF!+B26+B42-B58-#REF!</f>
        <v>#REF!</v>
      </c>
      <c r="C74" s="59" t="e">
        <f>#REF!+C26+C42-C58-#REF!</f>
        <v>#REF!</v>
      </c>
      <c r="D74" s="59" t="e">
        <f>#REF!+D26+D42-D58-#REF!</f>
        <v>#REF!</v>
      </c>
      <c r="E74" s="59" t="e">
        <f>#REF!+E26+E42-E58-#REF!</f>
        <v>#REF!</v>
      </c>
      <c r="F74" s="59" t="e">
        <f>#REF!+F26+F42-F58-#REF!</f>
        <v>#REF!</v>
      </c>
      <c r="G74" s="59" t="e">
        <f>#REF!+G26+G42-G58-#REF!</f>
        <v>#REF!</v>
      </c>
      <c r="H74" s="59" t="e">
        <f>#REF!+H26+H42-H58-#REF!</f>
        <v>#REF!</v>
      </c>
      <c r="I74" s="59" t="e">
        <f>#REF!+I26+I42-I58-#REF!</f>
        <v>#REF!</v>
      </c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</row>
    <row r="75" spans="1:50">
      <c r="A75" s="172" t="s">
        <v>112</v>
      </c>
      <c r="B75" s="59" t="e">
        <f>#REF!+B27+B43-B59-#REF!</f>
        <v>#REF!</v>
      </c>
      <c r="C75" s="59" t="e">
        <f>#REF!+C27+C43-C59-#REF!</f>
        <v>#REF!</v>
      </c>
      <c r="D75" s="59" t="e">
        <f>#REF!+D27+D43-D59-#REF!</f>
        <v>#REF!</v>
      </c>
      <c r="E75" s="59" t="e">
        <f>#REF!+E27+E43-E59-#REF!</f>
        <v>#REF!</v>
      </c>
      <c r="F75" s="59" t="e">
        <f>#REF!+F27+F43-F59-#REF!</f>
        <v>#REF!</v>
      </c>
      <c r="G75" s="59" t="e">
        <f>#REF!+G27+G43-G59-#REF!</f>
        <v>#REF!</v>
      </c>
      <c r="H75" s="59" t="e">
        <f>#REF!+H27+H43-H59-#REF!</f>
        <v>#REF!</v>
      </c>
      <c r="I75" s="59" t="e">
        <f>#REF!+I27+I43-I59-#REF!</f>
        <v>#REF!</v>
      </c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</row>
    <row r="76" spans="1:50">
      <c r="A76" s="172" t="s">
        <v>100</v>
      </c>
      <c r="B76" s="59" t="e">
        <f>#REF!+B28+B44-B60-#REF!</f>
        <v>#REF!</v>
      </c>
      <c r="C76" s="59" t="e">
        <f>#REF!+C28+C44-C60-#REF!</f>
        <v>#REF!</v>
      </c>
      <c r="D76" s="59" t="e">
        <f>#REF!+D28+D44-D60-#REF!</f>
        <v>#REF!</v>
      </c>
      <c r="E76" s="59" t="e">
        <f>#REF!+E28+E44-E60-#REF!</f>
        <v>#REF!</v>
      </c>
      <c r="F76" s="59" t="e">
        <f>#REF!+F28+F44-F60-#REF!</f>
        <v>#REF!</v>
      </c>
      <c r="G76" s="59" t="e">
        <f>#REF!+G28+G44-G60-#REF!</f>
        <v>#REF!</v>
      </c>
      <c r="H76" s="59" t="e">
        <f>#REF!+H28+H44-H60-#REF!</f>
        <v>#REF!</v>
      </c>
      <c r="I76" s="59" t="e">
        <f>#REF!+I28+I44-I60-#REF!</f>
        <v>#REF!</v>
      </c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</row>
    <row r="77" spans="1:50">
      <c r="A77" s="172" t="s">
        <v>102</v>
      </c>
      <c r="B77" s="59" t="e">
        <f>#REF!+B29+B45-B61-#REF!</f>
        <v>#REF!</v>
      </c>
      <c r="C77" s="59" t="e">
        <f>#REF!+C29+C45-C61-#REF!</f>
        <v>#REF!</v>
      </c>
      <c r="D77" s="59" t="e">
        <f>#REF!+D29+D45-D61-#REF!</f>
        <v>#REF!</v>
      </c>
      <c r="E77" s="59" t="e">
        <f>#REF!+E29+E45-E61-#REF!</f>
        <v>#REF!</v>
      </c>
      <c r="F77" s="59" t="e">
        <f>#REF!+F29+F45-F61-#REF!</f>
        <v>#REF!</v>
      </c>
      <c r="G77" s="59" t="e">
        <f>#REF!+G29+G45-G61-#REF!</f>
        <v>#REF!</v>
      </c>
      <c r="H77" s="59" t="e">
        <f>#REF!+H29+H45-H61-#REF!</f>
        <v>#REF!</v>
      </c>
      <c r="I77" s="59" t="e">
        <f>#REF!+I29+I45-I61-#REF!</f>
        <v>#REF!</v>
      </c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</row>
    <row r="78" spans="1:50">
      <c r="A78" s="172" t="s">
        <v>103</v>
      </c>
      <c r="B78" s="59" t="e">
        <f>#REF!+B30+B46-B62-#REF!</f>
        <v>#REF!</v>
      </c>
      <c r="C78" s="59" t="e">
        <f>#REF!+C30+C46-C62-#REF!</f>
        <v>#REF!</v>
      </c>
      <c r="D78" s="59" t="e">
        <f>#REF!+D30+D46-D62-#REF!</f>
        <v>#REF!</v>
      </c>
      <c r="E78" s="59" t="e">
        <f>#REF!+E30+E46-E62-#REF!</f>
        <v>#REF!</v>
      </c>
      <c r="F78" s="59" t="e">
        <f>#REF!+F30+F46-F62-#REF!</f>
        <v>#REF!</v>
      </c>
      <c r="G78" s="59" t="e">
        <f>#REF!+G30+G46-G62-#REF!</f>
        <v>#REF!</v>
      </c>
      <c r="H78" s="59" t="e">
        <f>#REF!+H30+H46-H62-#REF!</f>
        <v>#REF!</v>
      </c>
      <c r="I78" s="59" t="e">
        <f>#REF!+I30+I46-I62-#REF!</f>
        <v>#REF!</v>
      </c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</row>
    <row r="79" spans="1:50">
      <c r="A79" s="172" t="s">
        <v>104</v>
      </c>
      <c r="B79" s="59" t="e">
        <f>#REF!+B31+B47-B63-#REF!</f>
        <v>#REF!</v>
      </c>
      <c r="C79" s="59" t="e">
        <f>#REF!+C31+C47-C63-#REF!</f>
        <v>#REF!</v>
      </c>
      <c r="D79" s="59" t="e">
        <f>#REF!+D31+D47-D63-#REF!</f>
        <v>#REF!</v>
      </c>
      <c r="E79" s="59" t="e">
        <f>#REF!+E31+E47-E63-#REF!</f>
        <v>#REF!</v>
      </c>
      <c r="F79" s="59" t="e">
        <f>#REF!+F31+F47-F63-#REF!</f>
        <v>#REF!</v>
      </c>
      <c r="G79" s="59" t="e">
        <f>#REF!+G31+G47-G63-#REF!</f>
        <v>#REF!</v>
      </c>
      <c r="H79" s="59" t="e">
        <f>#REF!+H31+H47-H63-#REF!</f>
        <v>#REF!</v>
      </c>
      <c r="I79" s="59" t="e">
        <f>#REF!+I31+I47-I63-#REF!</f>
        <v>#REF!</v>
      </c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</row>
    <row r="80" spans="1:50">
      <c r="A80" s="172" t="s">
        <v>105</v>
      </c>
      <c r="B80" s="59" t="e">
        <f>#REF!+B32+B48-B64-#REF!</f>
        <v>#REF!</v>
      </c>
      <c r="C80" s="59" t="e">
        <f>#REF!+C32+C48-C64-#REF!</f>
        <v>#REF!</v>
      </c>
      <c r="D80" s="59" t="e">
        <f>#REF!+D32+D48-D64-#REF!</f>
        <v>#REF!</v>
      </c>
      <c r="E80" s="59" t="e">
        <f>#REF!+E32+E48-E64-#REF!</f>
        <v>#REF!</v>
      </c>
      <c r="F80" s="59" t="e">
        <f>#REF!+F32+F48-F64-#REF!</f>
        <v>#REF!</v>
      </c>
      <c r="G80" s="59" t="e">
        <f>#REF!+G32+G48-G64-#REF!</f>
        <v>#REF!</v>
      </c>
      <c r="H80" s="59" t="e">
        <f>#REF!+H32+H48-H64-#REF!</f>
        <v>#REF!</v>
      </c>
      <c r="I80" s="59" t="e">
        <f>#REF!+I32+I48-I64-#REF!</f>
        <v>#REF!</v>
      </c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</row>
    <row r="81" spans="1:54">
      <c r="A81" s="172" t="s">
        <v>106</v>
      </c>
      <c r="B81" s="59" t="e">
        <f>#REF!+B33+B49-B65-#REF!</f>
        <v>#REF!</v>
      </c>
      <c r="C81" s="59" t="e">
        <f>#REF!+C33+C49-C65-#REF!</f>
        <v>#REF!</v>
      </c>
      <c r="D81" s="59" t="e">
        <f>#REF!+D33+D49-D65-#REF!</f>
        <v>#REF!</v>
      </c>
      <c r="E81" s="59" t="e">
        <f>#REF!+E33+E49-E65-#REF!</f>
        <v>#REF!</v>
      </c>
      <c r="F81" s="59" t="e">
        <f>#REF!+F33+F49-F65-#REF!</f>
        <v>#REF!</v>
      </c>
      <c r="G81" s="59" t="e">
        <f>#REF!+G33+G49-G65-#REF!</f>
        <v>#REF!</v>
      </c>
      <c r="H81" s="59" t="e">
        <f>#REF!+H33+H49-H65-#REF!</f>
        <v>#REF!</v>
      </c>
      <c r="I81" s="59" t="e">
        <f>#REF!+I33+I49-I65-#REF!</f>
        <v>#REF!</v>
      </c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</row>
    <row r="82" spans="1:54" ht="15.75" thickBot="1">
      <c r="A82" s="172" t="s">
        <v>113</v>
      </c>
      <c r="B82" s="59" t="e">
        <f>SUM(B70:B81)</f>
        <v>#REF!</v>
      </c>
      <c r="C82" s="59" t="e">
        <f>SUM(C70:C81)</f>
        <v>#REF!</v>
      </c>
      <c r="D82" s="59" t="e">
        <f t="shared" ref="D82:I82" si="32">SUM(D70:D81)</f>
        <v>#REF!</v>
      </c>
      <c r="E82" s="59" t="e">
        <f t="shared" si="32"/>
        <v>#REF!</v>
      </c>
      <c r="F82" s="59" t="e">
        <f t="shared" si="32"/>
        <v>#REF!</v>
      </c>
      <c r="G82" s="59" t="e">
        <f t="shared" si="32"/>
        <v>#REF!</v>
      </c>
      <c r="H82" s="59" t="e">
        <f t="shared" si="32"/>
        <v>#REF!</v>
      </c>
      <c r="I82" s="59" t="e">
        <f t="shared" si="32"/>
        <v>#REF!</v>
      </c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</row>
    <row r="83" spans="1:54" ht="15.75" thickBot="1">
      <c r="A83" s="178"/>
      <c r="B83" s="181">
        <f>B7</f>
        <v>0</v>
      </c>
      <c r="C83" s="181">
        <f t="shared" ref="C83:I83" si="33">C7</f>
        <v>49.189891075975012</v>
      </c>
      <c r="D83" s="181">
        <f t="shared" si="33"/>
        <v>44.048772774641265</v>
      </c>
      <c r="E83" s="181">
        <f t="shared" si="33"/>
        <v>55.444028842180444</v>
      </c>
      <c r="F83" s="181">
        <f t="shared" si="33"/>
        <v>55.069799457890248</v>
      </c>
      <c r="G83" s="181">
        <f t="shared" si="33"/>
        <v>59.152471908130032</v>
      </c>
      <c r="H83" s="181">
        <f t="shared" si="33"/>
        <v>62.362077209373133</v>
      </c>
      <c r="I83" s="181">
        <f t="shared" si="33"/>
        <v>-0.49454409999999549</v>
      </c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4"/>
      <c r="AY83" s="14"/>
    </row>
    <row r="84" spans="1:54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82"/>
      <c r="AA84" s="182"/>
      <c r="AB84" s="182"/>
      <c r="AC84" s="182"/>
      <c r="AD84" s="182"/>
      <c r="AE84" s="182"/>
      <c r="AF84" s="182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</row>
    <row r="85" spans="1:54" ht="15.75" thickBot="1">
      <c r="A85" s="172" t="s">
        <v>207</v>
      </c>
      <c r="C85">
        <v>0.92</v>
      </c>
    </row>
    <row r="86" spans="1:54" ht="15.75" thickBot="1">
      <c r="A86" s="174"/>
      <c r="B86" s="174">
        <f t="shared" ref="B86:T86" si="34">B2</f>
        <v>2016</v>
      </c>
      <c r="C86" s="174">
        <f t="shared" si="34"/>
        <v>2017</v>
      </c>
      <c r="D86" s="174">
        <f t="shared" si="34"/>
        <v>2018</v>
      </c>
      <c r="E86" s="174">
        <f t="shared" si="34"/>
        <v>2019</v>
      </c>
      <c r="F86" s="174">
        <f t="shared" si="34"/>
        <v>2020</v>
      </c>
      <c r="G86" s="174">
        <f t="shared" si="34"/>
        <v>2021</v>
      </c>
      <c r="H86" s="174">
        <f t="shared" si="34"/>
        <v>2022</v>
      </c>
      <c r="I86" s="174">
        <f t="shared" si="34"/>
        <v>2023</v>
      </c>
      <c r="J86" s="174">
        <f t="shared" si="34"/>
        <v>2024</v>
      </c>
      <c r="K86" s="174">
        <f t="shared" si="34"/>
        <v>2025</v>
      </c>
      <c r="L86" s="174">
        <f t="shared" si="34"/>
        <v>2026</v>
      </c>
      <c r="M86" s="174">
        <f t="shared" si="34"/>
        <v>2027</v>
      </c>
      <c r="N86" s="174">
        <f t="shared" si="34"/>
        <v>2028</v>
      </c>
      <c r="O86" s="174">
        <f t="shared" si="34"/>
        <v>2029</v>
      </c>
      <c r="P86" s="174">
        <f t="shared" si="34"/>
        <v>2030</v>
      </c>
      <c r="Q86" s="174">
        <f t="shared" si="34"/>
        <v>2031</v>
      </c>
      <c r="R86" s="174">
        <f t="shared" si="34"/>
        <v>2032</v>
      </c>
      <c r="S86" s="174">
        <f t="shared" si="34"/>
        <v>2033</v>
      </c>
      <c r="T86" s="174">
        <f t="shared" si="34"/>
        <v>2034</v>
      </c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  <c r="AM86" s="174"/>
      <c r="AN86" s="174"/>
      <c r="AO86" s="174"/>
      <c r="AP86" s="174"/>
      <c r="AQ86" s="174"/>
      <c r="AR86" s="174"/>
      <c r="AS86" s="174"/>
      <c r="AT86" s="174"/>
      <c r="AU86" s="174"/>
      <c r="AV86" s="174"/>
      <c r="AW86" s="174"/>
      <c r="AX86" s="175"/>
    </row>
    <row r="87" spans="1:54">
      <c r="A87" s="172" t="s">
        <v>110</v>
      </c>
      <c r="B87" s="74"/>
      <c r="C87" s="193"/>
      <c r="D87" s="193"/>
      <c r="E87" s="193"/>
      <c r="F87" s="193"/>
      <c r="G87" s="193"/>
      <c r="H87" s="193"/>
      <c r="I87" s="193"/>
      <c r="J87" s="193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59"/>
      <c r="W87" s="59"/>
      <c r="X87" s="59"/>
      <c r="Y87" s="59"/>
      <c r="Z87" s="59"/>
      <c r="AA87" s="59"/>
      <c r="AB87" s="59"/>
      <c r="AC87" s="59"/>
      <c r="AD87" s="119"/>
      <c r="AE87" s="119"/>
      <c r="AF87" s="119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Z87" s="183"/>
      <c r="BA87" s="14"/>
      <c r="BB87" s="14"/>
    </row>
    <row r="88" spans="1:54">
      <c r="A88" s="172" t="s">
        <v>111</v>
      </c>
      <c r="B88" s="74"/>
      <c r="C88" s="193"/>
      <c r="D88" s="193"/>
      <c r="E88" s="193"/>
      <c r="F88" s="193"/>
      <c r="G88" s="193"/>
      <c r="H88" s="193"/>
      <c r="I88" s="193"/>
      <c r="J88" s="193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119"/>
      <c r="AE88" s="119"/>
      <c r="AF88" s="119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Z88" s="183"/>
      <c r="BA88" s="14"/>
      <c r="BB88" s="14"/>
    </row>
    <row r="89" spans="1:54">
      <c r="A89" s="172" t="s">
        <v>112</v>
      </c>
      <c r="B89" s="74"/>
      <c r="C89" s="193"/>
      <c r="D89" s="193"/>
      <c r="E89" s="193"/>
      <c r="F89" s="193"/>
      <c r="G89" s="193"/>
      <c r="H89" s="193"/>
      <c r="I89" s="193"/>
      <c r="J89" s="193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119"/>
      <c r="AE89" s="119"/>
      <c r="AF89" s="119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Z89" s="183"/>
      <c r="BA89" s="14"/>
      <c r="BB89" s="14"/>
    </row>
    <row r="90" spans="1:54">
      <c r="A90" s="172" t="s">
        <v>100</v>
      </c>
      <c r="B90" s="74"/>
      <c r="C90" s="193"/>
      <c r="D90" s="193"/>
      <c r="E90" s="193"/>
      <c r="F90" s="193"/>
      <c r="G90" s="193"/>
      <c r="H90" s="193"/>
      <c r="I90" s="193"/>
      <c r="J90" s="208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119"/>
      <c r="AD90" s="119"/>
      <c r="AE90" s="119"/>
      <c r="AF90" s="119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118"/>
      <c r="AV90" s="118"/>
      <c r="AW90" s="118"/>
      <c r="AX90" s="58"/>
      <c r="AZ90" s="183"/>
      <c r="BA90" s="14"/>
      <c r="BB90" s="14"/>
    </row>
    <row r="91" spans="1:54">
      <c r="A91" s="172" t="s">
        <v>102</v>
      </c>
      <c r="B91" s="74"/>
      <c r="C91" s="193"/>
      <c r="D91" s="193"/>
      <c r="E91" s="193"/>
      <c r="F91" s="193"/>
      <c r="G91" s="193"/>
      <c r="H91" s="193"/>
      <c r="I91" s="193"/>
      <c r="J91" s="208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119"/>
      <c r="AD91" s="119"/>
      <c r="AE91" s="119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118"/>
      <c r="AV91" s="118"/>
      <c r="AW91" s="118"/>
      <c r="AX91" s="58"/>
      <c r="AZ91" s="183"/>
      <c r="BA91" s="14"/>
      <c r="BB91" s="14"/>
    </row>
    <row r="92" spans="1:54">
      <c r="A92" s="172" t="s">
        <v>103</v>
      </c>
      <c r="B92" s="74"/>
      <c r="C92" s="193"/>
      <c r="D92" s="193"/>
      <c r="E92" s="193"/>
      <c r="F92" s="193"/>
      <c r="G92" s="193"/>
      <c r="H92" s="193"/>
      <c r="I92" s="193"/>
      <c r="J92" s="208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119"/>
      <c r="AD92" s="119"/>
      <c r="AE92" s="119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118"/>
      <c r="AV92" s="118"/>
      <c r="AW92" s="118"/>
      <c r="AX92" s="58"/>
      <c r="AZ92" s="183"/>
      <c r="BA92" s="14"/>
      <c r="BB92" s="14"/>
    </row>
    <row r="93" spans="1:54">
      <c r="A93" s="172" t="s">
        <v>104</v>
      </c>
      <c r="B93" s="74"/>
      <c r="C93" s="193"/>
      <c r="D93" s="193"/>
      <c r="E93" s="193"/>
      <c r="F93" s="193"/>
      <c r="G93" s="193"/>
      <c r="H93" s="193"/>
      <c r="I93" s="193"/>
      <c r="J93" s="208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119"/>
      <c r="AD93" s="119"/>
      <c r="AE93" s="119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118"/>
      <c r="AV93" s="118"/>
      <c r="AW93" s="118"/>
      <c r="AX93" s="58"/>
      <c r="AZ93" s="183"/>
      <c r="BA93" s="14"/>
      <c r="BB93" s="14"/>
    </row>
    <row r="94" spans="1:54">
      <c r="A94" s="172" t="s">
        <v>105</v>
      </c>
      <c r="B94" s="74"/>
      <c r="C94" s="193"/>
      <c r="D94" s="193"/>
      <c r="E94" s="193"/>
      <c r="F94" s="193"/>
      <c r="G94" s="193"/>
      <c r="H94" s="193"/>
      <c r="I94" s="193"/>
      <c r="J94" s="208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119"/>
      <c r="AD94" s="119"/>
      <c r="AE94" s="119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118"/>
      <c r="AV94" s="118"/>
      <c r="AW94" s="118"/>
      <c r="AX94" s="58"/>
      <c r="AZ94" s="183"/>
      <c r="BA94" s="14"/>
      <c r="BB94" s="14"/>
    </row>
    <row r="95" spans="1:54">
      <c r="A95" s="172" t="s">
        <v>106</v>
      </c>
      <c r="B95" s="74"/>
      <c r="C95" s="193"/>
      <c r="D95" s="193"/>
      <c r="E95" s="193"/>
      <c r="F95" s="193"/>
      <c r="G95" s="193"/>
      <c r="H95" s="193"/>
      <c r="I95" s="193"/>
      <c r="J95" s="208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119"/>
      <c r="AD95" s="119"/>
      <c r="AE95" s="119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118"/>
      <c r="AV95" s="118"/>
      <c r="AW95" s="118"/>
      <c r="AX95" s="58"/>
      <c r="AZ95" s="183"/>
      <c r="BA95" s="14"/>
      <c r="BB95" s="14"/>
    </row>
    <row r="96" spans="1:54">
      <c r="A96" s="172" t="s">
        <v>107</v>
      </c>
      <c r="B96" s="74"/>
      <c r="C96" s="193"/>
      <c r="D96" s="193"/>
      <c r="E96" s="193"/>
      <c r="F96" s="193"/>
      <c r="G96" s="193"/>
      <c r="H96" s="193"/>
      <c r="I96" s="193"/>
      <c r="J96" s="20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119"/>
      <c r="AD96" s="119"/>
      <c r="AE96" s="119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118"/>
      <c r="AV96" s="118"/>
      <c r="AW96" s="118"/>
      <c r="AX96" s="58"/>
      <c r="AZ96" s="183"/>
      <c r="BA96" s="14"/>
      <c r="BB96" s="14"/>
    </row>
    <row r="97" spans="1:54">
      <c r="A97" s="172" t="s">
        <v>108</v>
      </c>
      <c r="B97" s="74"/>
      <c r="C97" s="193"/>
      <c r="D97" s="193"/>
      <c r="E97" s="193"/>
      <c r="F97" s="193"/>
      <c r="G97" s="193"/>
      <c r="H97" s="193"/>
      <c r="I97" s="193"/>
      <c r="J97" s="208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119"/>
      <c r="AD97" s="119"/>
      <c r="AE97" s="119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118"/>
      <c r="AV97" s="118"/>
      <c r="AW97" s="118"/>
      <c r="AX97" s="58"/>
      <c r="AY97" s="14"/>
      <c r="AZ97" s="183"/>
      <c r="BA97" s="14"/>
      <c r="BB97" s="14"/>
    </row>
    <row r="98" spans="1:54">
      <c r="A98" s="172" t="s">
        <v>109</v>
      </c>
      <c r="B98" s="74"/>
      <c r="C98" s="193"/>
      <c r="D98" s="193"/>
      <c r="E98" s="193"/>
      <c r="F98" s="193"/>
      <c r="G98" s="193"/>
      <c r="H98" s="193"/>
      <c r="I98" s="193"/>
      <c r="J98" s="20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119"/>
      <c r="AD98" s="119"/>
      <c r="AE98" s="119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118"/>
      <c r="AV98" s="118"/>
      <c r="AW98" s="118"/>
      <c r="AX98" s="58"/>
      <c r="AZ98" s="183"/>
      <c r="BA98" s="14"/>
      <c r="BB98" s="14"/>
    </row>
    <row r="99" spans="1:54" ht="16.5">
      <c r="A99" s="172" t="s">
        <v>113</v>
      </c>
      <c r="B99" s="184"/>
      <c r="C99" s="59"/>
      <c r="D99" s="59"/>
      <c r="E99" s="59"/>
      <c r="F99" s="59"/>
      <c r="G99" s="59"/>
      <c r="H99" s="59"/>
      <c r="I99" s="59"/>
      <c r="J99" s="58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Z99" s="183"/>
      <c r="BA99" s="14"/>
      <c r="BB99" s="14"/>
    </row>
    <row r="100" spans="1:54" ht="16.5">
      <c r="A100" s="172"/>
      <c r="B100" s="184"/>
      <c r="C100" s="99"/>
      <c r="D100" s="184"/>
      <c r="E100" s="99"/>
      <c r="F100" s="184"/>
      <c r="G100" s="99"/>
      <c r="H100" s="184"/>
      <c r="I100" s="99"/>
      <c r="J100" s="184"/>
      <c r="K100" s="99"/>
      <c r="L100" s="184"/>
      <c r="M100" s="99"/>
      <c r="N100" s="184"/>
      <c r="O100" s="99"/>
      <c r="P100" s="184"/>
      <c r="Q100" s="99"/>
      <c r="R100" s="184"/>
      <c r="S100" s="99"/>
      <c r="T100" s="184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Z100" s="183"/>
      <c r="BA100" s="14"/>
      <c r="BB100" s="14"/>
    </row>
    <row r="101" spans="1:54" ht="15.75" thickBot="1">
      <c r="A101" s="172" t="s">
        <v>191</v>
      </c>
    </row>
    <row r="102" spans="1:54" ht="15.75" thickBot="1">
      <c r="A102" s="185"/>
      <c r="B102" s="174">
        <f>B2</f>
        <v>2016</v>
      </c>
      <c r="C102" s="174">
        <f t="shared" ref="C102:T102" si="35">C2</f>
        <v>2017</v>
      </c>
      <c r="D102" s="174">
        <f t="shared" si="35"/>
        <v>2018</v>
      </c>
      <c r="E102" s="174">
        <f t="shared" si="35"/>
        <v>2019</v>
      </c>
      <c r="F102" s="174">
        <f t="shared" si="35"/>
        <v>2020</v>
      </c>
      <c r="G102" s="174">
        <f t="shared" si="35"/>
        <v>2021</v>
      </c>
      <c r="H102" s="174">
        <f t="shared" si="35"/>
        <v>2022</v>
      </c>
      <c r="I102" s="174">
        <f t="shared" si="35"/>
        <v>2023</v>
      </c>
      <c r="J102" s="174">
        <f t="shared" si="35"/>
        <v>2024</v>
      </c>
      <c r="K102" s="174">
        <f t="shared" si="35"/>
        <v>2025</v>
      </c>
      <c r="L102" s="174">
        <f t="shared" si="35"/>
        <v>2026</v>
      </c>
      <c r="M102" s="174">
        <f t="shared" si="35"/>
        <v>2027</v>
      </c>
      <c r="N102" s="174">
        <f t="shared" si="35"/>
        <v>2028</v>
      </c>
      <c r="O102" s="174">
        <f t="shared" si="35"/>
        <v>2029</v>
      </c>
      <c r="P102" s="174">
        <f t="shared" si="35"/>
        <v>2030</v>
      </c>
      <c r="Q102" s="174">
        <f t="shared" si="35"/>
        <v>2031</v>
      </c>
      <c r="R102" s="174">
        <f t="shared" si="35"/>
        <v>2032</v>
      </c>
      <c r="S102" s="174">
        <f t="shared" si="35"/>
        <v>2033</v>
      </c>
      <c r="T102" s="174">
        <f t="shared" si="35"/>
        <v>2034</v>
      </c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185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53"/>
    </row>
    <row r="103" spans="1:54">
      <c r="A103" s="172" t="s">
        <v>110</v>
      </c>
      <c r="B103" s="205"/>
      <c r="C103" s="205">
        <v>478.34300000000002</v>
      </c>
      <c r="D103" s="205">
        <v>528.25</v>
      </c>
      <c r="E103" s="205">
        <v>544.87400000000002</v>
      </c>
      <c r="F103" s="205">
        <v>559.15300000000002</v>
      </c>
      <c r="G103" s="205">
        <v>555.16800000000001</v>
      </c>
      <c r="H103" s="205">
        <v>535.30899999999997</v>
      </c>
      <c r="I103" s="205">
        <v>641.35299999999995</v>
      </c>
      <c r="J103" s="74">
        <v>635.81799999999998</v>
      </c>
      <c r="K103" s="75">
        <f t="shared" ref="K103:T113" si="36">K$115*(SUM(E103:I103)/SUM(E$115:I$115))</f>
        <v>1003.1255543052023</v>
      </c>
      <c r="L103" s="75">
        <f t="shared" si="36"/>
        <v>953.56849128824842</v>
      </c>
      <c r="M103" s="75">
        <f t="shared" si="36"/>
        <v>1016.1350790369469</v>
      </c>
      <c r="N103" s="75">
        <f t="shared" si="36"/>
        <v>1057.4231999591584</v>
      </c>
      <c r="O103" s="75">
        <f t="shared" si="36"/>
        <v>1113.25003451166</v>
      </c>
      <c r="P103" s="75">
        <f t="shared" si="36"/>
        <v>1144.6663872642248</v>
      </c>
      <c r="Q103" s="75">
        <f t="shared" si="36"/>
        <v>1249.9376898565667</v>
      </c>
      <c r="R103" s="75">
        <f t="shared" si="36"/>
        <v>1273.8133866337359</v>
      </c>
      <c r="S103" s="75">
        <f t="shared" si="36"/>
        <v>1333.0797214920776</v>
      </c>
      <c r="T103" s="75">
        <f t="shared" si="36"/>
        <v>1384.7916889245903</v>
      </c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</row>
    <row r="104" spans="1:54">
      <c r="A104" s="172" t="s">
        <v>111</v>
      </c>
      <c r="B104" s="205"/>
      <c r="C104" s="205">
        <v>425.74</v>
      </c>
      <c r="D104" s="205">
        <v>476.96800000000002</v>
      </c>
      <c r="E104" s="205">
        <v>508.58199999999999</v>
      </c>
      <c r="F104" s="205">
        <v>511.173</v>
      </c>
      <c r="G104" s="205">
        <v>554.22799999999995</v>
      </c>
      <c r="H104" s="205">
        <v>552.13699999999994</v>
      </c>
      <c r="I104" s="205">
        <v>583.28</v>
      </c>
      <c r="J104" s="74">
        <v>585.11</v>
      </c>
      <c r="K104" s="75">
        <f t="shared" si="36"/>
        <v>958.39401522520859</v>
      </c>
      <c r="L104" s="75">
        <f t="shared" si="36"/>
        <v>907.67126285582378</v>
      </c>
      <c r="M104" s="75">
        <f t="shared" si="36"/>
        <v>974.64753333193755</v>
      </c>
      <c r="N104" s="75">
        <f t="shared" si="36"/>
        <v>1006.2007850423164</v>
      </c>
      <c r="O104" s="75">
        <f t="shared" si="36"/>
        <v>1050.1491087731251</v>
      </c>
      <c r="P104" s="75">
        <f t="shared" si="36"/>
        <v>1087.250745384024</v>
      </c>
      <c r="Q104" s="75">
        <f t="shared" si="36"/>
        <v>1190.049662177184</v>
      </c>
      <c r="R104" s="75">
        <f t="shared" si="36"/>
        <v>1211.3587768888656</v>
      </c>
      <c r="S104" s="75">
        <f t="shared" si="36"/>
        <v>1267.8482978559136</v>
      </c>
      <c r="T104" s="75">
        <f t="shared" si="36"/>
        <v>1315.0476475604744</v>
      </c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</row>
    <row r="105" spans="1:54">
      <c r="A105" s="172" t="s">
        <v>112</v>
      </c>
      <c r="B105" s="205"/>
      <c r="C105" s="205">
        <v>542.03800000000001</v>
      </c>
      <c r="D105" s="205">
        <v>553.67200000000003</v>
      </c>
      <c r="E105" s="205">
        <v>540.03499999999997</v>
      </c>
      <c r="F105" s="205">
        <v>521.60299999999995</v>
      </c>
      <c r="G105" s="205">
        <v>678.11599999999999</v>
      </c>
      <c r="H105" s="205">
        <v>669.66499999999996</v>
      </c>
      <c r="I105" s="205">
        <v>700.78300000000002</v>
      </c>
      <c r="J105" s="74">
        <v>641.86099999999999</v>
      </c>
      <c r="K105" s="75">
        <f t="shared" si="36"/>
        <v>1100.1694039054678</v>
      </c>
      <c r="L105" s="75">
        <f t="shared" si="36"/>
        <v>1046.4970778456104</v>
      </c>
      <c r="M105" s="75">
        <f t="shared" si="36"/>
        <v>1142.6919910683321</v>
      </c>
      <c r="N105" s="75">
        <f t="shared" si="36"/>
        <v>1166.7800715136468</v>
      </c>
      <c r="O105" s="75">
        <f t="shared" si="36"/>
        <v>1213.3121791785236</v>
      </c>
      <c r="P105" s="75">
        <f t="shared" si="36"/>
        <v>1250.6259689087938</v>
      </c>
      <c r="Q105" s="75">
        <f t="shared" si="36"/>
        <v>1377.7499542821256</v>
      </c>
      <c r="R105" s="75">
        <f t="shared" si="36"/>
        <v>1402.7275735825317</v>
      </c>
      <c r="S105" s="75">
        <f t="shared" si="36"/>
        <v>1469.1598301022786</v>
      </c>
      <c r="T105" s="75">
        <f t="shared" si="36"/>
        <v>1520.4714305700682</v>
      </c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</row>
    <row r="106" spans="1:54">
      <c r="A106" s="172" t="s">
        <v>100</v>
      </c>
      <c r="B106" s="205"/>
      <c r="C106" s="205">
        <v>488.423</v>
      </c>
      <c r="D106" s="205">
        <v>540.17200000000003</v>
      </c>
      <c r="E106" s="205">
        <v>591.62300000000005</v>
      </c>
      <c r="F106" s="205">
        <v>558.98099999999999</v>
      </c>
      <c r="G106" s="205">
        <v>611.12</v>
      </c>
      <c r="H106" s="205">
        <v>628.399</v>
      </c>
      <c r="I106" s="205">
        <v>640.78200000000004</v>
      </c>
      <c r="J106" s="75">
        <f t="shared" ref="J106:J113" si="37">J$115*(SUM(D106:H106)/SUM(D$115:H$115))</f>
        <v>1012.4266448001455</v>
      </c>
      <c r="K106" s="75">
        <f t="shared" si="36"/>
        <v>1072.1197359991738</v>
      </c>
      <c r="L106" s="75">
        <f t="shared" si="36"/>
        <v>1124.5864015997945</v>
      </c>
      <c r="M106" s="75">
        <f t="shared" si="36"/>
        <v>1195.2213465992925</v>
      </c>
      <c r="N106" s="75">
        <f t="shared" si="36"/>
        <v>1256.3688577188218</v>
      </c>
      <c r="O106" s="75">
        <f t="shared" si="36"/>
        <v>1321.5288952990184</v>
      </c>
      <c r="P106" s="75">
        <f t="shared" si="36"/>
        <v>1388.671597245833</v>
      </c>
      <c r="Q106" s="75">
        <f t="shared" si="36"/>
        <v>1450.7448514434493</v>
      </c>
      <c r="R106" s="75">
        <f t="shared" si="36"/>
        <v>1515.1572107262234</v>
      </c>
      <c r="S106" s="75">
        <f t="shared" si="36"/>
        <v>1579.3559819900825</v>
      </c>
      <c r="T106" s="75">
        <f t="shared" si="36"/>
        <v>1644.0965369081723</v>
      </c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</row>
    <row r="107" spans="1:54">
      <c r="A107" s="172" t="s">
        <v>102</v>
      </c>
      <c r="B107" s="205"/>
      <c r="C107" s="205">
        <v>566.73900000000003</v>
      </c>
      <c r="D107" s="205">
        <v>566.51199999999994</v>
      </c>
      <c r="E107" s="205">
        <v>594.226</v>
      </c>
      <c r="F107" s="205">
        <v>569.80600000000004</v>
      </c>
      <c r="G107" s="205">
        <v>617.93600000000004</v>
      </c>
      <c r="H107" s="205">
        <v>683.46100000000001</v>
      </c>
      <c r="I107" s="205">
        <v>702.20500000000004</v>
      </c>
      <c r="J107" s="75">
        <f t="shared" si="37"/>
        <v>1047.545675047051</v>
      </c>
      <c r="K107" s="75">
        <f t="shared" si="36"/>
        <v>1120.4847818793419</v>
      </c>
      <c r="L107" s="75">
        <f t="shared" si="36"/>
        <v>1179.7273996213805</v>
      </c>
      <c r="M107" s="75">
        <f t="shared" si="36"/>
        <v>1257.5576519870201</v>
      </c>
      <c r="N107" s="75">
        <f t="shared" si="36"/>
        <v>1327.9387315651809</v>
      </c>
      <c r="O107" s="75">
        <f t="shared" si="36"/>
        <v>1390.2581684774764</v>
      </c>
      <c r="P107" s="75">
        <f t="shared" si="36"/>
        <v>1455.5281475173208</v>
      </c>
      <c r="Q107" s="75">
        <f t="shared" si="36"/>
        <v>1525.1412000706118</v>
      </c>
      <c r="R107" s="75">
        <f t="shared" si="36"/>
        <v>1593.4010106374772</v>
      </c>
      <c r="S107" s="75">
        <f t="shared" si="36"/>
        <v>1661.4912114814606</v>
      </c>
      <c r="T107" s="75">
        <f t="shared" si="36"/>
        <v>1729.4252846142053</v>
      </c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</row>
    <row r="108" spans="1:54">
      <c r="A108" s="172" t="s">
        <v>103</v>
      </c>
      <c r="B108" s="205"/>
      <c r="C108" s="205">
        <v>528.15</v>
      </c>
      <c r="D108" s="205">
        <v>557.30700000000002</v>
      </c>
      <c r="E108" s="205">
        <v>529.30799999999999</v>
      </c>
      <c r="F108" s="205">
        <v>652.47900000000004</v>
      </c>
      <c r="G108" s="205">
        <v>664.71900000000005</v>
      </c>
      <c r="H108" s="205">
        <v>668.01400000000001</v>
      </c>
      <c r="I108" s="205">
        <v>672.98699999999997</v>
      </c>
      <c r="J108" s="75">
        <f t="shared" si="37"/>
        <v>1061.3264203831002</v>
      </c>
      <c r="K108" s="75">
        <f t="shared" si="36"/>
        <v>1127.5144431565882</v>
      </c>
      <c r="L108" s="75">
        <f t="shared" si="36"/>
        <v>1211.8426375496665</v>
      </c>
      <c r="M108" s="75">
        <f t="shared" si="36"/>
        <v>1264.4695248526525</v>
      </c>
      <c r="N108" s="75">
        <f t="shared" si="36"/>
        <v>1330.2562146740058</v>
      </c>
      <c r="O108" s="75">
        <f t="shared" si="36"/>
        <v>1398.2786809035263</v>
      </c>
      <c r="P108" s="75">
        <f t="shared" si="36"/>
        <v>1470.7758259580348</v>
      </c>
      <c r="Q108" s="75">
        <f t="shared" si="36"/>
        <v>1538.8458590014591</v>
      </c>
      <c r="R108" s="75">
        <f t="shared" si="36"/>
        <v>1608.9741341099077</v>
      </c>
      <c r="S108" s="75">
        <f t="shared" si="36"/>
        <v>1672.5262720167407</v>
      </c>
      <c r="T108" s="75">
        <f t="shared" si="36"/>
        <v>1742.43663558401</v>
      </c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117"/>
    </row>
    <row r="109" spans="1:54">
      <c r="A109" s="172" t="s">
        <v>104</v>
      </c>
      <c r="B109" s="205"/>
      <c r="C109" s="205">
        <v>536.298</v>
      </c>
      <c r="D109" s="205">
        <v>583.94200000000001</v>
      </c>
      <c r="E109" s="205">
        <v>612.69899999999996</v>
      </c>
      <c r="F109" s="205">
        <v>619.70600000000002</v>
      </c>
      <c r="G109" s="205">
        <v>642.69799999999998</v>
      </c>
      <c r="H109" s="205">
        <v>654.92399999999998</v>
      </c>
      <c r="I109" s="205">
        <v>670.54700000000003</v>
      </c>
      <c r="J109" s="75">
        <f t="shared" si="37"/>
        <v>1075.8866212042351</v>
      </c>
      <c r="K109" s="75">
        <f t="shared" si="36"/>
        <v>1132.1366231953227</v>
      </c>
      <c r="L109" s="75">
        <f t="shared" si="36"/>
        <v>1193.6744731095521</v>
      </c>
      <c r="M109" s="75">
        <f t="shared" si="36"/>
        <v>1258.9322207409841</v>
      </c>
      <c r="N109" s="75">
        <f t="shared" si="36"/>
        <v>1326.1838831399175</v>
      </c>
      <c r="O109" s="75">
        <f t="shared" si="36"/>
        <v>1396.4547615185818</v>
      </c>
      <c r="P109" s="75">
        <f t="shared" si="36"/>
        <v>1468.667223474999</v>
      </c>
      <c r="Q109" s="75">
        <f t="shared" si="36"/>
        <v>1532.7755073944129</v>
      </c>
      <c r="R109" s="75">
        <f t="shared" si="36"/>
        <v>1601.3312386535442</v>
      </c>
      <c r="S109" s="75">
        <f t="shared" si="36"/>
        <v>1667.8419669758889</v>
      </c>
      <c r="T109" s="75">
        <f t="shared" si="36"/>
        <v>1737.2859971407738</v>
      </c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117"/>
    </row>
    <row r="110" spans="1:54">
      <c r="A110" s="172" t="s">
        <v>105</v>
      </c>
      <c r="B110" s="205"/>
      <c r="C110" s="205">
        <v>559.56700000000001</v>
      </c>
      <c r="D110" s="205">
        <v>581.93799999999999</v>
      </c>
      <c r="E110" s="205">
        <v>550.78700000000003</v>
      </c>
      <c r="F110" s="205">
        <v>601.28399999999999</v>
      </c>
      <c r="G110" s="205">
        <v>642.22900000000004</v>
      </c>
      <c r="H110" s="205">
        <v>695.029</v>
      </c>
      <c r="I110" s="205">
        <v>713.22699999999998</v>
      </c>
      <c r="J110" s="75">
        <f t="shared" si="37"/>
        <v>1061.1329385251001</v>
      </c>
      <c r="K110" s="75">
        <f t="shared" si="36"/>
        <v>1132.8377145580509</v>
      </c>
      <c r="L110" s="75">
        <f t="shared" si="36"/>
        <v>1209.6846693098003</v>
      </c>
      <c r="M110" s="75">
        <f t="shared" si="36"/>
        <v>1279.5105369822045</v>
      </c>
      <c r="N110" s="75">
        <f t="shared" si="36"/>
        <v>1349.9580032376371</v>
      </c>
      <c r="O110" s="75">
        <f t="shared" si="36"/>
        <v>1413.5374966513241</v>
      </c>
      <c r="P110" s="75">
        <f t="shared" si="36"/>
        <v>1480.0278639911069</v>
      </c>
      <c r="Q110" s="75">
        <f t="shared" si="36"/>
        <v>1551.7661090616632</v>
      </c>
      <c r="R110" s="75">
        <f t="shared" si="36"/>
        <v>1622.735469032091</v>
      </c>
      <c r="S110" s="75">
        <f t="shared" si="36"/>
        <v>1689.7644837491455</v>
      </c>
      <c r="T110" s="75">
        <f t="shared" si="36"/>
        <v>1759.2498248062368</v>
      </c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117"/>
    </row>
    <row r="111" spans="1:54">
      <c r="A111" s="172" t="s">
        <v>106</v>
      </c>
      <c r="B111" s="205"/>
      <c r="C111" s="205">
        <v>529.59</v>
      </c>
      <c r="D111" s="205">
        <v>515.43499999999995</v>
      </c>
      <c r="E111" s="205">
        <v>540.18299999999999</v>
      </c>
      <c r="F111" s="205">
        <v>589.32899999999995</v>
      </c>
      <c r="G111" s="205">
        <v>608.48</v>
      </c>
      <c r="H111" s="205">
        <v>639.61099999999999</v>
      </c>
      <c r="I111" s="205">
        <v>677.52499999999998</v>
      </c>
      <c r="J111" s="75">
        <f t="shared" si="37"/>
        <v>999.55422768674248</v>
      </c>
      <c r="K111" s="75">
        <f t="shared" si="36"/>
        <v>1080.688119490279</v>
      </c>
      <c r="L111" s="75">
        <f t="shared" si="36"/>
        <v>1145.043932327125</v>
      </c>
      <c r="M111" s="75">
        <f t="shared" si="36"/>
        <v>1207.5842896716219</v>
      </c>
      <c r="N111" s="75">
        <f t="shared" si="36"/>
        <v>1274.3541805862092</v>
      </c>
      <c r="O111" s="75">
        <f t="shared" si="36"/>
        <v>1338.6230298635387</v>
      </c>
      <c r="P111" s="75">
        <f t="shared" si="36"/>
        <v>1400.0792703846926</v>
      </c>
      <c r="Q111" s="75">
        <f t="shared" si="36"/>
        <v>1469.3276423082298</v>
      </c>
      <c r="R111" s="75">
        <f t="shared" si="36"/>
        <v>1534.2721137530652</v>
      </c>
      <c r="S111" s="75">
        <f t="shared" si="36"/>
        <v>1597.8502580313607</v>
      </c>
      <c r="T111" s="75">
        <f t="shared" si="36"/>
        <v>1664.0617080750674</v>
      </c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117"/>
    </row>
    <row r="112" spans="1:54">
      <c r="A112" s="172" t="s">
        <v>107</v>
      </c>
      <c r="B112" s="205"/>
      <c r="C112" s="205">
        <v>566.86300000000006</v>
      </c>
      <c r="D112" s="205">
        <v>605.62900000000002</v>
      </c>
      <c r="E112" s="205">
        <v>581.62300000000005</v>
      </c>
      <c r="F112" s="205">
        <v>583.66</v>
      </c>
      <c r="G112" s="205">
        <v>597.51099999999997</v>
      </c>
      <c r="H112" s="205">
        <v>640.49800000000005</v>
      </c>
      <c r="I112" s="205">
        <v>699.80799999999999</v>
      </c>
      <c r="J112" s="75">
        <f t="shared" si="37"/>
        <v>1039.5921886699798</v>
      </c>
      <c r="K112" s="75">
        <f t="shared" si="36"/>
        <v>1097.6572188105652</v>
      </c>
      <c r="L112" s="75">
        <f t="shared" si="36"/>
        <v>1160.2166917440236</v>
      </c>
      <c r="M112" s="75">
        <f t="shared" si="36"/>
        <v>1228.4473754569885</v>
      </c>
      <c r="N112" s="75">
        <f t="shared" si="36"/>
        <v>1301.1041025226009</v>
      </c>
      <c r="O112" s="75">
        <f t="shared" si="36"/>
        <v>1368.8316332798909</v>
      </c>
      <c r="P112" s="75">
        <f t="shared" si="36"/>
        <v>1429.4664877795506</v>
      </c>
      <c r="Q112" s="75">
        <f t="shared" si="36"/>
        <v>1496.050189691013</v>
      </c>
      <c r="R112" s="75">
        <f t="shared" si="36"/>
        <v>1563.7688083576111</v>
      </c>
      <c r="S112" s="75">
        <f t="shared" si="36"/>
        <v>1629.8387922605461</v>
      </c>
      <c r="T112" s="75">
        <f t="shared" si="36"/>
        <v>1697.8722474545282</v>
      </c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117"/>
    </row>
    <row r="113" spans="1:53">
      <c r="A113" s="172" t="s">
        <v>108</v>
      </c>
      <c r="B113" s="205"/>
      <c r="C113" s="205">
        <v>538.45100000000002</v>
      </c>
      <c r="D113" s="205">
        <v>549.55999999999995</v>
      </c>
      <c r="E113" s="205">
        <v>536.452</v>
      </c>
      <c r="F113" s="205">
        <v>580.31700000000001</v>
      </c>
      <c r="G113" s="205">
        <v>634.75099999999998</v>
      </c>
      <c r="H113" s="205">
        <v>658.13900000000001</v>
      </c>
      <c r="I113" s="205">
        <v>691.90800000000002</v>
      </c>
      <c r="J113" s="75">
        <f t="shared" si="37"/>
        <v>1022.419982765845</v>
      </c>
      <c r="K113" s="75">
        <f t="shared" si="36"/>
        <v>1097.1149518786467</v>
      </c>
      <c r="L113" s="75">
        <f t="shared" si="36"/>
        <v>1168.8393987018044</v>
      </c>
      <c r="M113" s="75">
        <f t="shared" si="36"/>
        <v>1237.2699037027353</v>
      </c>
      <c r="N113" s="75">
        <f t="shared" si="36"/>
        <v>1301.2862419553294</v>
      </c>
      <c r="O113" s="75">
        <f t="shared" si="36"/>
        <v>1366.6917735599732</v>
      </c>
      <c r="P113" s="75">
        <f t="shared" si="36"/>
        <v>1429.4451211102196</v>
      </c>
      <c r="Q113" s="75">
        <f t="shared" si="36"/>
        <v>1499.682078516129</v>
      </c>
      <c r="R113" s="75">
        <f t="shared" si="36"/>
        <v>1567.4964953340007</v>
      </c>
      <c r="S113" s="75">
        <f t="shared" si="36"/>
        <v>1632.3407486067233</v>
      </c>
      <c r="T113" s="75">
        <f t="shared" si="36"/>
        <v>1699.1482776825144</v>
      </c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187"/>
    </row>
    <row r="114" spans="1:53">
      <c r="A114" s="172" t="s">
        <v>109</v>
      </c>
      <c r="B114" s="205"/>
      <c r="C114" s="205">
        <v>564.87800000000004</v>
      </c>
      <c r="D114" s="205">
        <v>593.70600000000002</v>
      </c>
      <c r="E114" s="205">
        <v>616.85299999999995</v>
      </c>
      <c r="F114" s="205">
        <v>658.60299999999995</v>
      </c>
      <c r="G114" s="205">
        <v>677.31500000000005</v>
      </c>
      <c r="H114" s="205">
        <v>684.35</v>
      </c>
      <c r="I114" s="205">
        <v>692.42399999999998</v>
      </c>
      <c r="J114" s="75">
        <f t="shared" ref="J114:T114" si="38">J115-SUM(J103:J113)</f>
        <v>2117.3263009178008</v>
      </c>
      <c r="K114" s="75">
        <f t="shared" si="38"/>
        <v>1177.7574375961522</v>
      </c>
      <c r="L114" s="75">
        <f t="shared" si="38"/>
        <v>1573.6475640471708</v>
      </c>
      <c r="M114" s="75">
        <f t="shared" si="38"/>
        <v>1612.532546569284</v>
      </c>
      <c r="N114" s="75">
        <f t="shared" si="38"/>
        <v>1752.1457280851755</v>
      </c>
      <c r="O114" s="75">
        <f t="shared" si="38"/>
        <v>1879.0842379833612</v>
      </c>
      <c r="P114" s="75">
        <f t="shared" si="38"/>
        <v>2019.7953609811993</v>
      </c>
      <c r="Q114" s="75">
        <f t="shared" si="38"/>
        <v>1942.9292561971524</v>
      </c>
      <c r="R114" s="75">
        <f t="shared" si="38"/>
        <v>2129.9637822909463</v>
      </c>
      <c r="S114" s="75">
        <f t="shared" si="38"/>
        <v>2198.9024354377798</v>
      </c>
      <c r="T114" s="75">
        <f t="shared" si="38"/>
        <v>2306.1127206793572</v>
      </c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117"/>
    </row>
    <row r="115" spans="1:53" ht="15.75" thickBot="1">
      <c r="A115" s="172" t="s">
        <v>113</v>
      </c>
      <c r="B115" s="59">
        <f t="shared" ref="B115:I115" si="39">SUM(B103:B114)</f>
        <v>0</v>
      </c>
      <c r="C115" s="59">
        <f t="shared" si="39"/>
        <v>6325.0800000000008</v>
      </c>
      <c r="D115" s="59">
        <f t="shared" si="39"/>
        <v>6653.0910000000003</v>
      </c>
      <c r="E115" s="59">
        <f t="shared" si="39"/>
        <v>6747.2450000000008</v>
      </c>
      <c r="F115" s="59">
        <f t="shared" si="39"/>
        <v>7006.0939999999991</v>
      </c>
      <c r="G115" s="59">
        <f t="shared" si="39"/>
        <v>7484.2710000000025</v>
      </c>
      <c r="H115" s="59">
        <f t="shared" si="39"/>
        <v>7709.536000000001</v>
      </c>
      <c r="I115" s="59">
        <f t="shared" si="39"/>
        <v>8086.8289999999997</v>
      </c>
      <c r="J115" s="58">
        <f>MROUND(FORECAST(J116,$B$115:$I115,$B116:$I$116),25)+2500</f>
        <v>12300</v>
      </c>
      <c r="K115" s="58">
        <f>MROUND(FORECAST(K116,$B$115:$I115,$B116:$I$116),25)+2500</f>
        <v>13100</v>
      </c>
      <c r="L115" s="58">
        <f>MROUND(FORECAST(L116,$B$115:$I115,$B116:$I$116),25)+2500</f>
        <v>13875</v>
      </c>
      <c r="M115" s="58">
        <f>MROUND(FORECAST(M116,$B$115:$I115,$B116:$I$116),25)+2500</f>
        <v>14675</v>
      </c>
      <c r="N115" s="58">
        <f>MROUND(FORECAST(N116,$B$115:$I115,$B116:$I$116),25)+2500</f>
        <v>15450</v>
      </c>
      <c r="O115" s="58">
        <f>MROUND(FORECAST(O116,$B$115:$I115,$B116:$I$116),25)+2500</f>
        <v>16250</v>
      </c>
      <c r="P115" s="58">
        <f>MROUND(FORECAST(P116,$B$115:$I115,$B116:$I$116),25)+2500</f>
        <v>17025</v>
      </c>
      <c r="Q115" s="58">
        <f>MROUND(FORECAST(Q116,$B$115:$I115,$B116:$I$116),25)+2500</f>
        <v>17825</v>
      </c>
      <c r="R115" s="58">
        <f>MROUND(FORECAST(R116,$B$115:$I115,$B116:$I$116),25)+2500</f>
        <v>18625</v>
      </c>
      <c r="S115" s="58">
        <f>MROUND(FORECAST(S116,$B$115:$I115,$B116:$I$116),25)+2500</f>
        <v>19400</v>
      </c>
      <c r="T115" s="58">
        <f>MROUND(FORECAST(T116,$B$115:$I115,$B116:$I$116),25)+2500</f>
        <v>20200</v>
      </c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</row>
    <row r="116" spans="1:53">
      <c r="A116" s="178"/>
      <c r="B116" s="178">
        <v>2016</v>
      </c>
      <c r="C116" s="178">
        <v>2017</v>
      </c>
      <c r="D116" s="178">
        <v>2018</v>
      </c>
      <c r="E116" s="178">
        <v>2019</v>
      </c>
      <c r="F116" s="178">
        <v>2020</v>
      </c>
      <c r="G116" s="178">
        <v>2021</v>
      </c>
      <c r="H116" s="178">
        <v>2022</v>
      </c>
      <c r="I116" s="178">
        <v>2023</v>
      </c>
      <c r="J116" s="178">
        <v>2024</v>
      </c>
      <c r="K116" s="178">
        <v>2025</v>
      </c>
      <c r="L116" s="178">
        <v>2026</v>
      </c>
      <c r="M116" s="178">
        <v>2027</v>
      </c>
      <c r="N116" s="178">
        <v>2028</v>
      </c>
      <c r="O116" s="178">
        <v>2029</v>
      </c>
      <c r="P116" s="178">
        <v>2030</v>
      </c>
      <c r="Q116" s="178">
        <v>2031</v>
      </c>
      <c r="R116" s="178">
        <v>2032</v>
      </c>
      <c r="S116" s="178">
        <v>2033</v>
      </c>
      <c r="T116" s="178">
        <v>2034</v>
      </c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</row>
    <row r="117" spans="1:53" ht="15.75" thickBot="1">
      <c r="A117" s="172" t="s">
        <v>192</v>
      </c>
      <c r="AA117" s="16"/>
      <c r="AB117" s="16"/>
      <c r="AC117" s="16"/>
      <c r="AD117" s="16"/>
      <c r="AE117" s="16"/>
    </row>
    <row r="118" spans="1:53" ht="15.75" thickBot="1">
      <c r="A118" s="174"/>
      <c r="B118" s="174">
        <f t="shared" ref="B118:T118" si="40">B2</f>
        <v>2016</v>
      </c>
      <c r="C118" s="174">
        <f t="shared" si="40"/>
        <v>2017</v>
      </c>
      <c r="D118" s="174">
        <f t="shared" si="40"/>
        <v>2018</v>
      </c>
      <c r="E118" s="174">
        <f t="shared" si="40"/>
        <v>2019</v>
      </c>
      <c r="F118" s="174">
        <f t="shared" si="40"/>
        <v>2020</v>
      </c>
      <c r="G118" s="174">
        <f t="shared" si="40"/>
        <v>2021</v>
      </c>
      <c r="H118" s="174">
        <f t="shared" si="40"/>
        <v>2022</v>
      </c>
      <c r="I118" s="174">
        <f t="shared" si="40"/>
        <v>2023</v>
      </c>
      <c r="J118" s="174">
        <f t="shared" si="40"/>
        <v>2024</v>
      </c>
      <c r="K118" s="174">
        <f t="shared" si="40"/>
        <v>2025</v>
      </c>
      <c r="L118" s="174">
        <f t="shared" si="40"/>
        <v>2026</v>
      </c>
      <c r="M118" s="174">
        <f t="shared" si="40"/>
        <v>2027</v>
      </c>
      <c r="N118" s="174">
        <f t="shared" si="40"/>
        <v>2028</v>
      </c>
      <c r="O118" s="174">
        <f t="shared" si="40"/>
        <v>2029</v>
      </c>
      <c r="P118" s="174">
        <f t="shared" si="40"/>
        <v>2030</v>
      </c>
      <c r="Q118" s="174">
        <f t="shared" si="40"/>
        <v>2031</v>
      </c>
      <c r="R118" s="174">
        <f t="shared" si="40"/>
        <v>2032</v>
      </c>
      <c r="S118" s="174">
        <f t="shared" si="40"/>
        <v>2033</v>
      </c>
      <c r="T118" s="174">
        <f t="shared" si="40"/>
        <v>2034</v>
      </c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  <c r="AM118" s="174"/>
      <c r="AN118" s="174"/>
      <c r="AO118" s="174"/>
      <c r="AP118" s="174"/>
      <c r="AQ118" s="174"/>
      <c r="AR118" s="174"/>
      <c r="AS118" s="174"/>
      <c r="AT118" s="174"/>
      <c r="AU118" s="174"/>
      <c r="AV118" s="174"/>
      <c r="AW118" s="174"/>
      <c r="AX118" s="175"/>
      <c r="AY118" s="189"/>
      <c r="BA118" s="190"/>
    </row>
    <row r="119" spans="1:53">
      <c r="A119" s="172" t="s">
        <v>110</v>
      </c>
      <c r="B119" s="59"/>
      <c r="C119" s="59"/>
      <c r="D119" s="59"/>
      <c r="E119" s="59"/>
      <c r="F119" s="59"/>
      <c r="G119" s="59"/>
      <c r="H119" s="59"/>
      <c r="I119" s="59"/>
      <c r="J119" s="191">
        <f t="shared" ref="J119:J130" si="41">J103*(SUM(E119:I119)/SUM(E103:I103))</f>
        <v>0</v>
      </c>
      <c r="K119" s="191">
        <f t="shared" ref="K119:K130" si="42">K103*(SUM(F119:J119)/SUM(F103:J103))</f>
        <v>0</v>
      </c>
      <c r="L119" s="191">
        <f t="shared" ref="L119:T130" si="43">L103*(SUM(G119:K119)/SUM(G103:K103))</f>
        <v>0</v>
      </c>
      <c r="M119" s="191">
        <f t="shared" si="43"/>
        <v>0</v>
      </c>
      <c r="N119" s="191">
        <f t="shared" si="43"/>
        <v>0</v>
      </c>
      <c r="O119" s="191">
        <f t="shared" si="43"/>
        <v>0</v>
      </c>
      <c r="P119" s="191">
        <f t="shared" si="43"/>
        <v>0</v>
      </c>
      <c r="Q119" s="191">
        <f t="shared" si="43"/>
        <v>0</v>
      </c>
      <c r="R119" s="191">
        <f t="shared" si="43"/>
        <v>0</v>
      </c>
      <c r="S119" s="191">
        <f t="shared" si="43"/>
        <v>0</v>
      </c>
      <c r="T119" s="191">
        <f t="shared" si="43"/>
        <v>0</v>
      </c>
      <c r="U119" s="59"/>
      <c r="V119" s="59"/>
      <c r="W119" s="59"/>
      <c r="X119" s="59"/>
      <c r="Y119" s="59"/>
      <c r="Z119" s="192"/>
      <c r="AA119" s="192"/>
      <c r="AB119" s="192"/>
      <c r="AC119" s="192"/>
      <c r="AD119" s="192"/>
      <c r="AE119" s="192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</row>
    <row r="120" spans="1:53">
      <c r="A120" s="172" t="s">
        <v>111</v>
      </c>
      <c r="B120" s="59"/>
      <c r="C120" s="59"/>
      <c r="D120" s="59"/>
      <c r="E120" s="59"/>
      <c r="F120" s="59"/>
      <c r="G120" s="59"/>
      <c r="H120" s="59"/>
      <c r="I120" s="59"/>
      <c r="J120" s="191">
        <f t="shared" si="41"/>
        <v>0</v>
      </c>
      <c r="K120" s="191">
        <f t="shared" si="42"/>
        <v>0</v>
      </c>
      <c r="L120" s="191">
        <f t="shared" si="43"/>
        <v>0</v>
      </c>
      <c r="M120" s="191">
        <f t="shared" si="43"/>
        <v>0</v>
      </c>
      <c r="N120" s="191">
        <f t="shared" si="43"/>
        <v>0</v>
      </c>
      <c r="O120" s="191">
        <f t="shared" si="43"/>
        <v>0</v>
      </c>
      <c r="P120" s="191">
        <f t="shared" si="43"/>
        <v>0</v>
      </c>
      <c r="Q120" s="191">
        <f t="shared" si="43"/>
        <v>0</v>
      </c>
      <c r="R120" s="191">
        <f t="shared" si="43"/>
        <v>0</v>
      </c>
      <c r="S120" s="191">
        <f t="shared" si="43"/>
        <v>0</v>
      </c>
      <c r="T120" s="191">
        <f t="shared" si="43"/>
        <v>0</v>
      </c>
      <c r="U120" s="59"/>
      <c r="V120" s="59"/>
      <c r="W120" s="59"/>
      <c r="X120" s="59"/>
      <c r="Y120" s="59"/>
      <c r="Z120" s="192"/>
      <c r="AA120" s="192"/>
      <c r="AB120" s="192"/>
      <c r="AC120" s="192"/>
      <c r="AD120" s="192"/>
      <c r="AE120" s="192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</row>
    <row r="121" spans="1:53">
      <c r="A121" s="172" t="s">
        <v>112</v>
      </c>
      <c r="B121" s="59"/>
      <c r="C121" s="59"/>
      <c r="D121" s="59"/>
      <c r="E121" s="59"/>
      <c r="F121" s="59"/>
      <c r="G121" s="59"/>
      <c r="H121" s="59"/>
      <c r="I121" s="59"/>
      <c r="J121" s="191">
        <f t="shared" si="41"/>
        <v>0</v>
      </c>
      <c r="K121" s="191">
        <f t="shared" si="42"/>
        <v>0</v>
      </c>
      <c r="L121" s="191">
        <f t="shared" si="43"/>
        <v>0</v>
      </c>
      <c r="M121" s="191">
        <f t="shared" si="43"/>
        <v>0</v>
      </c>
      <c r="N121" s="191">
        <f t="shared" si="43"/>
        <v>0</v>
      </c>
      <c r="O121" s="191">
        <f t="shared" si="43"/>
        <v>0</v>
      </c>
      <c r="P121" s="191">
        <f t="shared" si="43"/>
        <v>0</v>
      </c>
      <c r="Q121" s="191">
        <f t="shared" si="43"/>
        <v>0</v>
      </c>
      <c r="R121" s="191">
        <f t="shared" si="43"/>
        <v>0</v>
      </c>
      <c r="S121" s="191">
        <f t="shared" si="43"/>
        <v>0</v>
      </c>
      <c r="T121" s="191">
        <f t="shared" si="43"/>
        <v>0</v>
      </c>
      <c r="U121" s="59"/>
      <c r="V121" s="59"/>
      <c r="W121" s="59"/>
      <c r="X121" s="59"/>
      <c r="Y121" s="59"/>
      <c r="Z121" s="192"/>
      <c r="AA121" s="192"/>
      <c r="AB121" s="192"/>
      <c r="AC121" s="192"/>
      <c r="AD121" s="192"/>
      <c r="AE121" s="192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</row>
    <row r="122" spans="1:53">
      <c r="A122" s="172" t="s">
        <v>100</v>
      </c>
      <c r="B122" s="59"/>
      <c r="C122" s="59"/>
      <c r="D122" s="59"/>
      <c r="E122" s="59"/>
      <c r="F122" s="59"/>
      <c r="G122" s="59"/>
      <c r="H122" s="59"/>
      <c r="I122" s="59"/>
      <c r="J122" s="191">
        <f t="shared" si="41"/>
        <v>0</v>
      </c>
      <c r="K122" s="191">
        <f t="shared" si="42"/>
        <v>0</v>
      </c>
      <c r="L122" s="191">
        <f t="shared" si="43"/>
        <v>0</v>
      </c>
      <c r="M122" s="191">
        <f t="shared" si="43"/>
        <v>0</v>
      </c>
      <c r="N122" s="191">
        <f t="shared" si="43"/>
        <v>0</v>
      </c>
      <c r="O122" s="191">
        <f t="shared" si="43"/>
        <v>0</v>
      </c>
      <c r="P122" s="191">
        <f t="shared" si="43"/>
        <v>0</v>
      </c>
      <c r="Q122" s="191">
        <f t="shared" si="43"/>
        <v>0</v>
      </c>
      <c r="R122" s="191">
        <f t="shared" si="43"/>
        <v>0</v>
      </c>
      <c r="S122" s="191">
        <f t="shared" si="43"/>
        <v>0</v>
      </c>
      <c r="T122" s="191">
        <f t="shared" si="43"/>
        <v>0</v>
      </c>
      <c r="U122" s="59"/>
      <c r="V122" s="59"/>
      <c r="W122" s="59"/>
      <c r="X122" s="59"/>
      <c r="Y122" s="59"/>
      <c r="Z122" s="192"/>
      <c r="AA122" s="192"/>
      <c r="AB122" s="192"/>
      <c r="AC122" s="192"/>
      <c r="AD122" s="192"/>
      <c r="AE122" s="192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</row>
    <row r="123" spans="1:53">
      <c r="A123" s="172" t="s">
        <v>102</v>
      </c>
      <c r="B123" s="59"/>
      <c r="C123" s="59"/>
      <c r="D123" s="59"/>
      <c r="E123" s="59"/>
      <c r="F123" s="59"/>
      <c r="G123" s="59"/>
      <c r="H123" s="59"/>
      <c r="I123" s="59"/>
      <c r="J123" s="191">
        <f t="shared" si="41"/>
        <v>0</v>
      </c>
      <c r="K123" s="191">
        <f>K107*(SUM(F123:J123)/SUM(F107:J107))</f>
        <v>0</v>
      </c>
      <c r="L123" s="191">
        <f t="shared" si="43"/>
        <v>0</v>
      </c>
      <c r="M123" s="191">
        <f t="shared" si="43"/>
        <v>0</v>
      </c>
      <c r="N123" s="191">
        <f t="shared" si="43"/>
        <v>0</v>
      </c>
      <c r="O123" s="191">
        <f t="shared" si="43"/>
        <v>0</v>
      </c>
      <c r="P123" s="191">
        <f t="shared" si="43"/>
        <v>0</v>
      </c>
      <c r="Q123" s="191">
        <f t="shared" si="43"/>
        <v>0</v>
      </c>
      <c r="R123" s="191">
        <f t="shared" si="43"/>
        <v>0</v>
      </c>
      <c r="S123" s="191">
        <f t="shared" si="43"/>
        <v>0</v>
      </c>
      <c r="T123" s="191">
        <f t="shared" si="43"/>
        <v>0</v>
      </c>
      <c r="U123" s="59"/>
      <c r="V123" s="59"/>
      <c r="W123" s="59"/>
      <c r="X123" s="59"/>
      <c r="Y123" s="59"/>
      <c r="Z123" s="192"/>
      <c r="AA123" s="192"/>
      <c r="AB123" s="192"/>
      <c r="AC123" s="192"/>
      <c r="AD123" s="192"/>
      <c r="AE123" s="192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</row>
    <row r="124" spans="1:53">
      <c r="A124" s="172" t="s">
        <v>103</v>
      </c>
      <c r="B124" s="59"/>
      <c r="C124" s="59"/>
      <c r="D124" s="59"/>
      <c r="E124" s="59"/>
      <c r="F124" s="59"/>
      <c r="G124" s="59"/>
      <c r="H124" s="59"/>
      <c r="I124" s="59"/>
      <c r="J124" s="191">
        <f t="shared" si="41"/>
        <v>0</v>
      </c>
      <c r="K124" s="191">
        <f t="shared" si="42"/>
        <v>0</v>
      </c>
      <c r="L124" s="191">
        <f t="shared" si="43"/>
        <v>0</v>
      </c>
      <c r="M124" s="191">
        <f t="shared" si="43"/>
        <v>0</v>
      </c>
      <c r="N124" s="191">
        <f t="shared" si="43"/>
        <v>0</v>
      </c>
      <c r="O124" s="191">
        <f t="shared" si="43"/>
        <v>0</v>
      </c>
      <c r="P124" s="191">
        <f t="shared" si="43"/>
        <v>0</v>
      </c>
      <c r="Q124" s="191">
        <f t="shared" si="43"/>
        <v>0</v>
      </c>
      <c r="R124" s="191">
        <f t="shared" si="43"/>
        <v>0</v>
      </c>
      <c r="S124" s="191">
        <f t="shared" si="43"/>
        <v>0</v>
      </c>
      <c r="T124" s="191">
        <f t="shared" si="43"/>
        <v>0</v>
      </c>
      <c r="U124" s="59"/>
      <c r="V124" s="59"/>
      <c r="W124" s="59"/>
      <c r="X124" s="59"/>
      <c r="Y124" s="59"/>
      <c r="Z124" s="192"/>
      <c r="AA124" s="192"/>
      <c r="AB124" s="192"/>
      <c r="AC124" s="192"/>
      <c r="AD124" s="192"/>
      <c r="AE124" s="192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</row>
    <row r="125" spans="1:53">
      <c r="A125" s="172" t="s">
        <v>104</v>
      </c>
      <c r="B125" s="59"/>
      <c r="C125" s="59"/>
      <c r="D125" s="59"/>
      <c r="E125" s="59"/>
      <c r="F125" s="59"/>
      <c r="G125" s="59"/>
      <c r="H125" s="59"/>
      <c r="I125" s="59"/>
      <c r="J125" s="191">
        <f t="shared" si="41"/>
        <v>0</v>
      </c>
      <c r="K125" s="191">
        <f t="shared" si="42"/>
        <v>0</v>
      </c>
      <c r="L125" s="191">
        <f t="shared" si="43"/>
        <v>0</v>
      </c>
      <c r="M125" s="191">
        <f t="shared" si="43"/>
        <v>0</v>
      </c>
      <c r="N125" s="191">
        <f t="shared" si="43"/>
        <v>0</v>
      </c>
      <c r="O125" s="191">
        <f t="shared" si="43"/>
        <v>0</v>
      </c>
      <c r="P125" s="191">
        <f t="shared" si="43"/>
        <v>0</v>
      </c>
      <c r="Q125" s="191">
        <f t="shared" si="43"/>
        <v>0</v>
      </c>
      <c r="R125" s="191">
        <f t="shared" si="43"/>
        <v>0</v>
      </c>
      <c r="S125" s="191">
        <f t="shared" si="43"/>
        <v>0</v>
      </c>
      <c r="T125" s="191">
        <f t="shared" si="43"/>
        <v>0</v>
      </c>
      <c r="U125" s="59"/>
      <c r="V125" s="59"/>
      <c r="W125" s="59"/>
      <c r="X125" s="59"/>
      <c r="Y125" s="59"/>
      <c r="Z125" s="192"/>
      <c r="AA125" s="192"/>
      <c r="AB125" s="192"/>
      <c r="AC125" s="192"/>
      <c r="AD125" s="192"/>
      <c r="AE125" s="192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</row>
    <row r="126" spans="1:53">
      <c r="A126" s="172" t="s">
        <v>105</v>
      </c>
      <c r="B126" s="59"/>
      <c r="C126" s="59"/>
      <c r="D126" s="59"/>
      <c r="E126" s="59"/>
      <c r="F126" s="59"/>
      <c r="G126" s="59"/>
      <c r="H126" s="59"/>
      <c r="I126" s="59"/>
      <c r="J126" s="191">
        <f t="shared" si="41"/>
        <v>0</v>
      </c>
      <c r="K126" s="191">
        <f t="shared" si="42"/>
        <v>0</v>
      </c>
      <c r="L126" s="191">
        <f t="shared" si="43"/>
        <v>0</v>
      </c>
      <c r="M126" s="191">
        <f t="shared" si="43"/>
        <v>0</v>
      </c>
      <c r="N126" s="191">
        <f t="shared" si="43"/>
        <v>0</v>
      </c>
      <c r="O126" s="191">
        <f t="shared" si="43"/>
        <v>0</v>
      </c>
      <c r="P126" s="191">
        <f t="shared" si="43"/>
        <v>0</v>
      </c>
      <c r="Q126" s="191">
        <f t="shared" si="43"/>
        <v>0</v>
      </c>
      <c r="R126" s="191">
        <f t="shared" si="43"/>
        <v>0</v>
      </c>
      <c r="S126" s="191">
        <f t="shared" si="43"/>
        <v>0</v>
      </c>
      <c r="T126" s="191">
        <f t="shared" si="43"/>
        <v>0</v>
      </c>
      <c r="U126" s="59"/>
      <c r="V126" s="59"/>
      <c r="W126" s="59"/>
      <c r="X126" s="59"/>
      <c r="Y126" s="59"/>
      <c r="Z126" s="192"/>
      <c r="AA126" s="192"/>
      <c r="AB126" s="192"/>
      <c r="AC126" s="192"/>
      <c r="AD126" s="192"/>
      <c r="AE126" s="192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</row>
    <row r="127" spans="1:53">
      <c r="A127" s="172" t="s">
        <v>106</v>
      </c>
      <c r="B127" s="59"/>
      <c r="C127" s="59"/>
      <c r="D127" s="59"/>
      <c r="E127" s="59"/>
      <c r="F127" s="59"/>
      <c r="G127" s="59"/>
      <c r="H127" s="59"/>
      <c r="I127" s="59"/>
      <c r="J127" s="191">
        <f t="shared" si="41"/>
        <v>0</v>
      </c>
      <c r="K127" s="191">
        <f t="shared" si="42"/>
        <v>0</v>
      </c>
      <c r="L127" s="191">
        <f t="shared" si="43"/>
        <v>0</v>
      </c>
      <c r="M127" s="191">
        <f t="shared" si="43"/>
        <v>0</v>
      </c>
      <c r="N127" s="191">
        <f t="shared" si="43"/>
        <v>0</v>
      </c>
      <c r="O127" s="191">
        <f t="shared" si="43"/>
        <v>0</v>
      </c>
      <c r="P127" s="191">
        <f t="shared" si="43"/>
        <v>0</v>
      </c>
      <c r="Q127" s="191">
        <f t="shared" si="43"/>
        <v>0</v>
      </c>
      <c r="R127" s="191">
        <f t="shared" si="43"/>
        <v>0</v>
      </c>
      <c r="S127" s="191">
        <f t="shared" si="43"/>
        <v>0</v>
      </c>
      <c r="T127" s="191">
        <f t="shared" si="43"/>
        <v>0</v>
      </c>
      <c r="U127" s="59"/>
      <c r="V127" s="59"/>
      <c r="W127" s="59"/>
      <c r="X127" s="59"/>
      <c r="Y127" s="59"/>
      <c r="Z127" s="192"/>
      <c r="AA127" s="192"/>
      <c r="AB127" s="192"/>
      <c r="AC127" s="192"/>
      <c r="AD127" s="192"/>
      <c r="AE127" s="192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</row>
    <row r="128" spans="1:53">
      <c r="A128" s="172" t="s">
        <v>107</v>
      </c>
      <c r="B128" s="59"/>
      <c r="C128" s="59"/>
      <c r="D128" s="59"/>
      <c r="E128" s="59"/>
      <c r="F128" s="59"/>
      <c r="G128" s="59"/>
      <c r="H128" s="59"/>
      <c r="I128" s="59"/>
      <c r="J128" s="191">
        <f t="shared" si="41"/>
        <v>0</v>
      </c>
      <c r="K128" s="191">
        <f t="shared" si="42"/>
        <v>0</v>
      </c>
      <c r="L128" s="191">
        <f t="shared" si="43"/>
        <v>0</v>
      </c>
      <c r="M128" s="191">
        <f t="shared" si="43"/>
        <v>0</v>
      </c>
      <c r="N128" s="191">
        <f t="shared" si="43"/>
        <v>0</v>
      </c>
      <c r="O128" s="191">
        <f t="shared" si="43"/>
        <v>0</v>
      </c>
      <c r="P128" s="191">
        <f t="shared" si="43"/>
        <v>0</v>
      </c>
      <c r="Q128" s="191">
        <f t="shared" si="43"/>
        <v>0</v>
      </c>
      <c r="R128" s="191">
        <f t="shared" si="43"/>
        <v>0</v>
      </c>
      <c r="S128" s="191">
        <f t="shared" si="43"/>
        <v>0</v>
      </c>
      <c r="T128" s="191">
        <f t="shared" si="43"/>
        <v>0</v>
      </c>
      <c r="U128" s="59"/>
      <c r="V128" s="59"/>
      <c r="W128" s="59"/>
      <c r="X128" s="59"/>
      <c r="Y128" s="59"/>
      <c r="Z128" s="192"/>
      <c r="AA128" s="192"/>
      <c r="AB128" s="192"/>
      <c r="AC128" s="192"/>
      <c r="AD128" s="192"/>
      <c r="AE128" s="192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</row>
    <row r="129" spans="1:51">
      <c r="A129" s="172" t="s">
        <v>108</v>
      </c>
      <c r="B129" s="59"/>
      <c r="C129" s="59"/>
      <c r="D129" s="59"/>
      <c r="E129" s="59"/>
      <c r="F129" s="59"/>
      <c r="G129" s="59"/>
      <c r="H129" s="59"/>
      <c r="I129" s="59"/>
      <c r="J129" s="191">
        <f t="shared" si="41"/>
        <v>0</v>
      </c>
      <c r="K129" s="191">
        <f t="shared" si="42"/>
        <v>0</v>
      </c>
      <c r="L129" s="191">
        <f t="shared" si="43"/>
        <v>0</v>
      </c>
      <c r="M129" s="191">
        <f t="shared" si="43"/>
        <v>0</v>
      </c>
      <c r="N129" s="191">
        <f t="shared" si="43"/>
        <v>0</v>
      </c>
      <c r="O129" s="191">
        <f t="shared" si="43"/>
        <v>0</v>
      </c>
      <c r="P129" s="191">
        <f t="shared" si="43"/>
        <v>0</v>
      </c>
      <c r="Q129" s="191">
        <f t="shared" si="43"/>
        <v>0</v>
      </c>
      <c r="R129" s="191">
        <f t="shared" si="43"/>
        <v>0</v>
      </c>
      <c r="S129" s="191">
        <f t="shared" si="43"/>
        <v>0</v>
      </c>
      <c r="T129" s="191">
        <f t="shared" si="43"/>
        <v>0</v>
      </c>
      <c r="U129" s="59"/>
      <c r="V129" s="59"/>
      <c r="W129" s="59"/>
      <c r="X129" s="59"/>
      <c r="Y129" s="59"/>
      <c r="Z129" s="192"/>
      <c r="AA129" s="192"/>
      <c r="AB129" s="192"/>
      <c r="AC129" s="192"/>
      <c r="AD129" s="192"/>
      <c r="AE129" s="192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87"/>
    </row>
    <row r="130" spans="1:51">
      <c r="A130" s="172" t="s">
        <v>109</v>
      </c>
      <c r="B130" s="59"/>
      <c r="C130" s="59"/>
      <c r="D130" s="59"/>
      <c r="E130" s="59"/>
      <c r="F130" s="59"/>
      <c r="G130" s="59"/>
      <c r="H130" s="59"/>
      <c r="I130" s="59"/>
      <c r="J130" s="191">
        <f t="shared" si="41"/>
        <v>0</v>
      </c>
      <c r="K130" s="191">
        <f t="shared" si="42"/>
        <v>0</v>
      </c>
      <c r="L130" s="191">
        <f t="shared" si="43"/>
        <v>0</v>
      </c>
      <c r="M130" s="191">
        <f t="shared" si="43"/>
        <v>0</v>
      </c>
      <c r="N130" s="191">
        <f t="shared" si="43"/>
        <v>0</v>
      </c>
      <c r="O130" s="191">
        <f t="shared" si="43"/>
        <v>0</v>
      </c>
      <c r="P130" s="191">
        <f t="shared" si="43"/>
        <v>0</v>
      </c>
      <c r="Q130" s="191">
        <f t="shared" si="43"/>
        <v>0</v>
      </c>
      <c r="R130" s="191">
        <f t="shared" si="43"/>
        <v>0</v>
      </c>
      <c r="S130" s="191">
        <f t="shared" si="43"/>
        <v>0</v>
      </c>
      <c r="T130" s="191">
        <f t="shared" si="43"/>
        <v>0</v>
      </c>
      <c r="U130" s="59"/>
      <c r="V130" s="59"/>
      <c r="W130" s="59"/>
      <c r="X130" s="59"/>
      <c r="Y130" s="59"/>
      <c r="Z130" s="192"/>
      <c r="AA130" s="192"/>
      <c r="AB130" s="192"/>
      <c r="AC130" s="192"/>
      <c r="AD130" s="192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</row>
    <row r="131" spans="1:51">
      <c r="A131" s="172" t="s">
        <v>113</v>
      </c>
      <c r="B131" s="59"/>
      <c r="C131" s="59"/>
      <c r="D131" s="59"/>
      <c r="E131" s="59"/>
      <c r="F131" s="59"/>
      <c r="G131" s="59"/>
      <c r="H131" s="59"/>
      <c r="I131" s="59"/>
      <c r="J131" s="58">
        <f t="shared" ref="J131" si="44">SUM(J119:J130)</f>
        <v>0</v>
      </c>
      <c r="K131" s="58">
        <f t="shared" ref="K131:T131" si="45">SUM(K119:K130)</f>
        <v>0</v>
      </c>
      <c r="L131" s="58">
        <f t="shared" si="45"/>
        <v>0</v>
      </c>
      <c r="M131" s="58">
        <f t="shared" si="45"/>
        <v>0</v>
      </c>
      <c r="N131" s="58">
        <f t="shared" si="45"/>
        <v>0</v>
      </c>
      <c r="O131" s="58">
        <f t="shared" si="45"/>
        <v>0</v>
      </c>
      <c r="P131" s="58">
        <f t="shared" si="45"/>
        <v>0</v>
      </c>
      <c r="Q131" s="58">
        <f t="shared" si="45"/>
        <v>0</v>
      </c>
      <c r="R131" s="58">
        <f t="shared" si="45"/>
        <v>0</v>
      </c>
      <c r="S131" s="58">
        <f t="shared" si="45"/>
        <v>0</v>
      </c>
      <c r="T131" s="58">
        <f t="shared" si="45"/>
        <v>0</v>
      </c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</row>
    <row r="134" spans="1:51">
      <c r="A134" t="s">
        <v>208</v>
      </c>
    </row>
    <row r="135" spans="1:51">
      <c r="A135" t="s">
        <v>110</v>
      </c>
      <c r="B135" s="193">
        <f>'[4]Inedible Tallow Complex'!X312*0.25</f>
        <v>5.7302749999999998</v>
      </c>
      <c r="C135" s="193">
        <f>'[4]Inedible Tallow Complex'!Y312*0.25</f>
        <v>7.6749999999999998</v>
      </c>
      <c r="D135" s="193">
        <f>'[4]Inedible Tallow Complex'!Z312*0.25</f>
        <v>6.8080041854638349</v>
      </c>
      <c r="E135" s="193">
        <f>'[4]Inedible Tallow Complex'!AA312*0.25</f>
        <v>8.6202335550271396</v>
      </c>
      <c r="F135" s="193">
        <f>'[4]Inedible Tallow Complex'!AB312*0.25</f>
        <v>8.0036316343870375</v>
      </c>
      <c r="G135" s="193">
        <f>'[4]Inedible Tallow Complex'!AC312*0.25</f>
        <v>8.0884313826687357</v>
      </c>
      <c r="H135" s="193">
        <f>'[4]Inedible Tallow Complex'!AD312*0.25</f>
        <v>8.1925096149403025</v>
      </c>
      <c r="I135" s="193">
        <f>'[4]Inedible Tallow Complex'!AE312*0.25</f>
        <v>0</v>
      </c>
      <c r="J135" s="193">
        <f>'[4]Inedible Tallow Complex'!AF312*0.25</f>
        <v>0</v>
      </c>
      <c r="K135" s="193">
        <f>'[4]Inedible Tallow Complex'!AG312*0.25</f>
        <v>0</v>
      </c>
      <c r="L135" s="193">
        <f>'[4]Inedible Tallow Complex'!AH312*0.25</f>
        <v>0</v>
      </c>
      <c r="M135" s="193">
        <f>'[4]Inedible Tallow Complex'!AI312*0.25</f>
        <v>0</v>
      </c>
      <c r="N135" s="193">
        <f>'[4]Inedible Tallow Complex'!AJ312*0.25</f>
        <v>0</v>
      </c>
      <c r="O135" s="193">
        <f>'[4]Inedible Tallow Complex'!AK312*0.25</f>
        <v>0</v>
      </c>
      <c r="P135" s="193">
        <f>'[4]Inedible Tallow Complex'!AL312*0.25</f>
        <v>0</v>
      </c>
      <c r="Q135" s="193">
        <f>'[4]Inedible Tallow Complex'!AM312*0.25</f>
        <v>0</v>
      </c>
      <c r="R135" s="193">
        <f>'[4]Inedible Tallow Complex'!AN312*0.25</f>
        <v>0</v>
      </c>
      <c r="S135" s="193">
        <f>'[4]Inedible Tallow Complex'!AO312*0.25</f>
        <v>0</v>
      </c>
    </row>
    <row r="136" spans="1:51">
      <c r="A136" t="s">
        <v>111</v>
      </c>
      <c r="B136" s="193">
        <f>'[4]Inedible Tallow Complex'!X313*0.25</f>
        <v>6.5343749999999998</v>
      </c>
      <c r="C136" s="193">
        <f>'[4]Inedible Tallow Complex'!Y313*0.25</f>
        <v>7.6118499999999996</v>
      </c>
      <c r="D136" s="193">
        <f>'[4]Inedible Tallow Complex'!Z313*0.25</f>
        <v>7.7718026637520135</v>
      </c>
      <c r="E136" s="193">
        <f>'[4]Inedible Tallow Complex'!AA313*0.25</f>
        <v>9.1701660530467048</v>
      </c>
      <c r="F136" s="193">
        <f>'[4]Inedible Tallow Complex'!AB313*0.25</f>
        <v>8.5761986921870434</v>
      </c>
      <c r="G136" s="193">
        <f>'[4]Inedible Tallow Complex'!AC313*0.25</f>
        <v>8.6058509760400259</v>
      </c>
      <c r="H136" s="193">
        <f>'[4]Inedible Tallow Complex'!AD313*0.25</f>
        <v>8.9059737265456835</v>
      </c>
      <c r="I136" s="193">
        <f>'[4]Inedible Tallow Complex'!AE313*0.25</f>
        <v>0</v>
      </c>
      <c r="J136" s="193">
        <f>'[4]Inedible Tallow Complex'!AF313*0.25</f>
        <v>0</v>
      </c>
      <c r="K136" s="193">
        <f>'[4]Inedible Tallow Complex'!AG313*0.25</f>
        <v>0</v>
      </c>
      <c r="L136" s="193">
        <f>'[4]Inedible Tallow Complex'!AH313*0.25</f>
        <v>0</v>
      </c>
      <c r="M136" s="193">
        <f>'[4]Inedible Tallow Complex'!AI313*0.25</f>
        <v>0</v>
      </c>
      <c r="N136" s="193">
        <f>'[4]Inedible Tallow Complex'!AJ313*0.25</f>
        <v>0</v>
      </c>
      <c r="O136" s="193">
        <f>'[4]Inedible Tallow Complex'!AK313*0.25</f>
        <v>0</v>
      </c>
      <c r="P136" s="193">
        <f>'[4]Inedible Tallow Complex'!AL313*0.25</f>
        <v>0</v>
      </c>
      <c r="Q136" s="193">
        <f>'[4]Inedible Tallow Complex'!AM313*0.25</f>
        <v>0</v>
      </c>
      <c r="R136" s="193">
        <f>'[4]Inedible Tallow Complex'!AN313*0.25</f>
        <v>0</v>
      </c>
      <c r="S136" s="193">
        <f>'[4]Inedible Tallow Complex'!AO313*0.25</f>
        <v>0</v>
      </c>
    </row>
    <row r="137" spans="1:51">
      <c r="A137" t="s">
        <v>112</v>
      </c>
      <c r="B137" s="193">
        <f>'[4]Inedible Tallow Complex'!X314*0.25</f>
        <v>7.3863750000000001</v>
      </c>
      <c r="C137" s="193">
        <f>'[4]Inedible Tallow Complex'!Y314*0.25</f>
        <v>7.4266249999999996</v>
      </c>
      <c r="D137" s="193">
        <f>'[4]Inedible Tallow Complex'!Z314*0.25</f>
        <v>6.8955004877224475</v>
      </c>
      <c r="E137" s="193">
        <f>'[4]Inedible Tallow Complex'!AA314*0.25</f>
        <v>9.0758618606232293</v>
      </c>
      <c r="F137" s="193">
        <f>'[4]Inedible Tallow Complex'!AB314*0.25</f>
        <v>8.0140132746586286</v>
      </c>
      <c r="G137" s="193">
        <f>'[4]Inedible Tallow Complex'!AC314*0.25</f>
        <v>7.9957954334888566</v>
      </c>
      <c r="H137" s="193">
        <f>'[4]Inedible Tallow Complex'!AD314*0.25</f>
        <v>8.3725672102454567</v>
      </c>
      <c r="I137" s="193">
        <f>'[4]Inedible Tallow Complex'!AE314*0.25</f>
        <v>0</v>
      </c>
      <c r="J137" s="193">
        <f>'[4]Inedible Tallow Complex'!AF314*0.25</f>
        <v>0</v>
      </c>
      <c r="K137" s="193">
        <f>'[4]Inedible Tallow Complex'!AG314*0.25</f>
        <v>0</v>
      </c>
      <c r="L137" s="193">
        <f>'[4]Inedible Tallow Complex'!AH314*0.25</f>
        <v>0</v>
      </c>
      <c r="M137" s="193">
        <f>'[4]Inedible Tallow Complex'!AI314*0.25</f>
        <v>0</v>
      </c>
      <c r="N137" s="193">
        <f>'[4]Inedible Tallow Complex'!AJ314*0.25</f>
        <v>0</v>
      </c>
      <c r="O137" s="193">
        <f>'[4]Inedible Tallow Complex'!AK314*0.25</f>
        <v>0</v>
      </c>
      <c r="P137" s="193">
        <f>'[4]Inedible Tallow Complex'!AL314*0.25</f>
        <v>0</v>
      </c>
      <c r="Q137" s="193">
        <f>'[4]Inedible Tallow Complex'!AM314*0.25</f>
        <v>0</v>
      </c>
      <c r="R137" s="193">
        <f>'[4]Inedible Tallow Complex'!AN314*0.25</f>
        <v>0</v>
      </c>
      <c r="S137" s="193">
        <f>'[4]Inedible Tallow Complex'!AO314*0.25</f>
        <v>0</v>
      </c>
    </row>
    <row r="138" spans="1:51">
      <c r="A138" t="s">
        <v>100</v>
      </c>
      <c r="B138" s="193">
        <f>'[4]Inedible Tallow Complex'!X315*0.25</f>
        <v>8.25</v>
      </c>
      <c r="C138" s="193">
        <f>'[4]Inedible Tallow Complex'!Y315*0.25</f>
        <v>7.5230249999999996</v>
      </c>
      <c r="D138" s="193">
        <f>'[4]Inedible Tallow Complex'!Z315*0.25</f>
        <v>7.0603431777366179</v>
      </c>
      <c r="E138" s="193">
        <f>'[4]Inedible Tallow Complex'!AA315*0.25</f>
        <v>9.0336961543313219</v>
      </c>
      <c r="F138" s="193">
        <f>'[4]Inedible Tallow Complex'!AB315*0.25</f>
        <v>8.2398381536200027</v>
      </c>
      <c r="G138" s="193">
        <f>'[4]Inedible Tallow Complex'!AC315*0.25</f>
        <v>8.2999416024948225</v>
      </c>
      <c r="H138" s="193">
        <f>'[4]Inedible Tallow Complex'!AD315*0.25</f>
        <v>8.7749144101866303</v>
      </c>
      <c r="I138" s="193">
        <f>'[4]Inedible Tallow Complex'!AE315*0.25</f>
        <v>0</v>
      </c>
      <c r="J138" s="193">
        <f>'[4]Inedible Tallow Complex'!AF315*0.25</f>
        <v>0</v>
      </c>
      <c r="K138" s="193">
        <f>'[4]Inedible Tallow Complex'!AG315*0.25</f>
        <v>0</v>
      </c>
      <c r="L138" s="193">
        <f>'[4]Inedible Tallow Complex'!AH315*0.25</f>
        <v>0</v>
      </c>
      <c r="M138" s="193">
        <f>'[4]Inedible Tallow Complex'!AI315*0.25</f>
        <v>0</v>
      </c>
      <c r="N138" s="193">
        <f>'[4]Inedible Tallow Complex'!AJ315*0.25</f>
        <v>0</v>
      </c>
      <c r="O138" s="193">
        <f>'[4]Inedible Tallow Complex'!AK315*0.25</f>
        <v>0</v>
      </c>
      <c r="P138" s="193">
        <f>'[4]Inedible Tallow Complex'!AL315*0.25</f>
        <v>0</v>
      </c>
      <c r="Q138" s="193">
        <f>'[4]Inedible Tallow Complex'!AM315*0.25</f>
        <v>0</v>
      </c>
      <c r="R138" s="193">
        <f>'[4]Inedible Tallow Complex'!AN315*0.25</f>
        <v>0</v>
      </c>
      <c r="S138" s="193">
        <f>'[4]Inedible Tallow Complex'!AO315*0.25</f>
        <v>0</v>
      </c>
    </row>
    <row r="139" spans="1:51">
      <c r="A139" t="s">
        <v>102</v>
      </c>
      <c r="B139" s="193">
        <f>'[4]Inedible Tallow Complex'!X316*0.25</f>
        <v>8.1071500000000007</v>
      </c>
      <c r="C139" s="193">
        <f>'[4]Inedible Tallow Complex'!Y316*0.25</f>
        <v>8.3011250000000008</v>
      </c>
      <c r="D139" s="193">
        <f>'[4]Inedible Tallow Complex'!Z316*0.25</f>
        <v>6.1746957030532963</v>
      </c>
      <c r="E139" s="193">
        <f>'[4]Inedible Tallow Complex'!AA316*0.25</f>
        <v>8.1121423931755334</v>
      </c>
      <c r="F139" s="193">
        <f>'[4]Inedible Tallow Complex'!AB316*0.25</f>
        <v>7.4232251352752199</v>
      </c>
      <c r="G139" s="193">
        <f>'[4]Inedible Tallow Complex'!AC316*0.25</f>
        <v>7.5096535366745547</v>
      </c>
      <c r="H139" s="193">
        <f>'[4]Inedible Tallow Complex'!AD316*0.25</f>
        <v>7.8257032212192952</v>
      </c>
      <c r="I139" s="193">
        <f>'[4]Inedible Tallow Complex'!AE316*0.25</f>
        <v>0</v>
      </c>
      <c r="J139" s="193">
        <f>'[4]Inedible Tallow Complex'!AF316*0.25</f>
        <v>0</v>
      </c>
      <c r="K139" s="193">
        <f>'[4]Inedible Tallow Complex'!AG316*0.25</f>
        <v>0</v>
      </c>
      <c r="L139" s="193">
        <f>'[4]Inedible Tallow Complex'!AH316*0.25</f>
        <v>0</v>
      </c>
      <c r="M139" s="193">
        <f>'[4]Inedible Tallow Complex'!AI316*0.25</f>
        <v>0</v>
      </c>
      <c r="N139" s="193">
        <f>'[4]Inedible Tallow Complex'!AJ316*0.25</f>
        <v>0</v>
      </c>
      <c r="O139" s="193">
        <f>'[4]Inedible Tallow Complex'!AK316*0.25</f>
        <v>0</v>
      </c>
      <c r="P139" s="193">
        <f>'[4]Inedible Tallow Complex'!AL316*0.25</f>
        <v>0</v>
      </c>
      <c r="Q139" s="193">
        <f>'[4]Inedible Tallow Complex'!AM316*0.25</f>
        <v>0</v>
      </c>
      <c r="R139" s="193">
        <f>'[4]Inedible Tallow Complex'!AN316*0.25</f>
        <v>0</v>
      </c>
      <c r="S139" s="193">
        <f>'[4]Inedible Tallow Complex'!AO316*0.25</f>
        <v>0</v>
      </c>
    </row>
    <row r="140" spans="1:51">
      <c r="A140" t="s">
        <v>103</v>
      </c>
      <c r="B140" s="193">
        <f>'[4]Inedible Tallow Complex'!X317*0.25</f>
        <v>7.7556750000000001</v>
      </c>
      <c r="C140" s="193">
        <f>'[4]Inedible Tallow Complex'!Y317*0.25</f>
        <v>8.7272750000000006</v>
      </c>
      <c r="D140" s="193">
        <f>'[4]Inedible Tallow Complex'!Z317*0.25</f>
        <v>6.3669794646527631</v>
      </c>
      <c r="E140" s="193">
        <f>'[4]Inedible Tallow Complex'!AA317*0.25</f>
        <v>7.9160528637902647</v>
      </c>
      <c r="F140" s="193">
        <f>'[4]Inedible Tallow Complex'!AB317*0.25</f>
        <v>7.5181393652211757</v>
      </c>
      <c r="G140" s="193">
        <f>'[4]Inedible Tallow Complex'!AC317*0.25</f>
        <v>7.5729965378434656</v>
      </c>
      <c r="H140" s="193">
        <f>'[4]Inedible Tallow Complex'!AD317*0.25</f>
        <v>7.7416793789664444</v>
      </c>
      <c r="I140" s="193">
        <f>'[4]Inedible Tallow Complex'!AE317*0.25</f>
        <v>0</v>
      </c>
      <c r="J140" s="193">
        <f>'[4]Inedible Tallow Complex'!AF317*0.25</f>
        <v>0</v>
      </c>
      <c r="K140" s="193">
        <f>'[4]Inedible Tallow Complex'!AG317*0.25</f>
        <v>0</v>
      </c>
      <c r="L140" s="193">
        <f>'[4]Inedible Tallow Complex'!AH317*0.25</f>
        <v>0</v>
      </c>
      <c r="M140" s="193">
        <f>'[4]Inedible Tallow Complex'!AI317*0.25</f>
        <v>0</v>
      </c>
      <c r="N140" s="193">
        <f>'[4]Inedible Tallow Complex'!AJ317*0.25</f>
        <v>0</v>
      </c>
      <c r="O140" s="193">
        <f>'[4]Inedible Tallow Complex'!AK317*0.25</f>
        <v>0</v>
      </c>
      <c r="P140" s="193">
        <f>'[4]Inedible Tallow Complex'!AL317*0.25</f>
        <v>0</v>
      </c>
      <c r="Q140" s="193">
        <f>'[4]Inedible Tallow Complex'!AM317*0.25</f>
        <v>0</v>
      </c>
      <c r="R140" s="193">
        <f>'[4]Inedible Tallow Complex'!AN317*0.25</f>
        <v>0</v>
      </c>
      <c r="S140" s="193">
        <f>'[4]Inedible Tallow Complex'!AO317*0.25</f>
        <v>0</v>
      </c>
    </row>
    <row r="141" spans="1:51">
      <c r="A141" t="s">
        <v>104</v>
      </c>
      <c r="B141" s="193">
        <f>'[4]Inedible Tallow Complex'!X318*0.25</f>
        <v>7</v>
      </c>
      <c r="C141" s="193">
        <f>'[4]Inedible Tallow Complex'!Y318*0.25</f>
        <v>8.75</v>
      </c>
      <c r="D141" s="193">
        <f>'[4]Inedible Tallow Complex'!Z318*0.25</f>
        <v>6.8752250217971991</v>
      </c>
      <c r="E141" s="193">
        <f>'[4]Inedible Tallow Complex'!AA318*0.25</f>
        <v>7.7926247850278187</v>
      </c>
      <c r="F141" s="193">
        <f>'[4]Inedible Tallow Complex'!AB318*0.25</f>
        <v>7.7806682956316155</v>
      </c>
      <c r="G141" s="193">
        <f>'[4]Inedible Tallow Complex'!AC318*0.25</f>
        <v>7.8055143823871234</v>
      </c>
      <c r="H141" s="193">
        <f>'[4]Inedible Tallow Complex'!AD318*0.25</f>
        <v>8.0463767964820683</v>
      </c>
      <c r="I141" s="193">
        <f>'[4]Inedible Tallow Complex'!AE318*0.25</f>
        <v>0</v>
      </c>
      <c r="J141" s="193">
        <f>'[4]Inedible Tallow Complex'!AF318*0.25</f>
        <v>0</v>
      </c>
      <c r="K141" s="193">
        <f>'[4]Inedible Tallow Complex'!AG318*0.25</f>
        <v>0</v>
      </c>
      <c r="L141" s="193">
        <f>'[4]Inedible Tallow Complex'!AH318*0.25</f>
        <v>0</v>
      </c>
      <c r="M141" s="193">
        <f>'[4]Inedible Tallow Complex'!AI318*0.25</f>
        <v>0</v>
      </c>
      <c r="N141" s="193">
        <f>'[4]Inedible Tallow Complex'!AJ318*0.25</f>
        <v>0</v>
      </c>
      <c r="O141" s="193">
        <f>'[4]Inedible Tallow Complex'!AK318*0.25</f>
        <v>0</v>
      </c>
      <c r="P141" s="193">
        <f>'[4]Inedible Tallow Complex'!AL318*0.25</f>
        <v>0</v>
      </c>
      <c r="Q141" s="193">
        <f>'[4]Inedible Tallow Complex'!AM318*0.25</f>
        <v>0</v>
      </c>
      <c r="R141" s="193">
        <f>'[4]Inedible Tallow Complex'!AN318*0.25</f>
        <v>0</v>
      </c>
      <c r="S141" s="193">
        <f>'[4]Inedible Tallow Complex'!AO318*0.25</f>
        <v>0</v>
      </c>
    </row>
    <row r="142" spans="1:51">
      <c r="A142" t="s">
        <v>105</v>
      </c>
      <c r="B142" s="193">
        <f>'[4]Inedible Tallow Complex'!X319*0.25</f>
        <v>6.75</v>
      </c>
      <c r="C142" s="193">
        <f>'[4]Inedible Tallow Complex'!Y319*0.25</f>
        <v>8.6847750000000001</v>
      </c>
      <c r="D142" s="193">
        <f>'[4]Inedible Tallow Complex'!Z319*0.25</f>
        <v>6.238711223916475</v>
      </c>
      <c r="E142" s="193">
        <f>'[4]Inedible Tallow Complex'!AA319*0.25</f>
        <v>7.2528797268683469</v>
      </c>
      <c r="F142" s="193">
        <f>'[4]Inedible Tallow Complex'!AB319*0.25</f>
        <v>7.2498926565985196</v>
      </c>
      <c r="G142" s="193">
        <f>'[4]Inedible Tallow Complex'!AC319*0.25</f>
        <v>7.1902187298936937</v>
      </c>
      <c r="H142" s="193">
        <f>'[4]Inedible Tallow Complex'!AD319*0.25</f>
        <v>7.2111588494917358</v>
      </c>
      <c r="I142" s="193">
        <f>'[4]Inedible Tallow Complex'!AE319*0.25</f>
        <v>0</v>
      </c>
      <c r="J142" s="193">
        <f>'[4]Inedible Tallow Complex'!AF319*0.25</f>
        <v>0</v>
      </c>
      <c r="K142" s="193">
        <f>'[4]Inedible Tallow Complex'!AG319*0.25</f>
        <v>0</v>
      </c>
      <c r="L142" s="193">
        <f>'[4]Inedible Tallow Complex'!AH319*0.25</f>
        <v>0</v>
      </c>
      <c r="M142" s="193">
        <f>'[4]Inedible Tallow Complex'!AI319*0.25</f>
        <v>0</v>
      </c>
      <c r="N142" s="193">
        <f>'[4]Inedible Tallow Complex'!AJ319*0.25</f>
        <v>0</v>
      </c>
      <c r="O142" s="193">
        <f>'[4]Inedible Tallow Complex'!AK319*0.25</f>
        <v>0</v>
      </c>
      <c r="P142" s="193">
        <f>'[4]Inedible Tallow Complex'!AL319*0.25</f>
        <v>0</v>
      </c>
      <c r="Q142" s="193">
        <f>'[4]Inedible Tallow Complex'!AM319*0.25</f>
        <v>0</v>
      </c>
      <c r="R142" s="193">
        <f>'[4]Inedible Tallow Complex'!AN319*0.25</f>
        <v>0</v>
      </c>
      <c r="S142" s="193">
        <f>'[4]Inedible Tallow Complex'!AO319*0.25</f>
        <v>0</v>
      </c>
    </row>
    <row r="143" spans="1:51">
      <c r="A143" t="s">
        <v>106</v>
      </c>
      <c r="B143" s="193">
        <f>'[4]Inedible Tallow Complex'!X320*0.25</f>
        <v>6.75</v>
      </c>
      <c r="C143" s="193">
        <f>'[4]Inedible Tallow Complex'!Y320*0.25</f>
        <v>8.3843750000000004</v>
      </c>
      <c r="D143" s="193">
        <f>'[4]Inedible Tallow Complex'!Z320*0.25</f>
        <v>7.6559588611866278</v>
      </c>
      <c r="E143" s="193">
        <f>'[4]Inedible Tallow Complex'!AA320*0.25</f>
        <v>7.6491370684526894</v>
      </c>
      <c r="F143" s="193">
        <f>'[4]Inedible Tallow Complex'!AB320*0.25</f>
        <v>7.6855217921516878</v>
      </c>
      <c r="G143" s="193">
        <f>'[4]Inedible Tallow Complex'!AC320*0.25</f>
        <v>7.7019321618035406</v>
      </c>
      <c r="H143" s="193">
        <f>'[4]Inedible Tallow Complex'!AD320*0.25</f>
        <v>7.7019321618035281</v>
      </c>
      <c r="I143" s="193">
        <f>'[4]Inedible Tallow Complex'!AE320*0.25</f>
        <v>0</v>
      </c>
      <c r="J143" s="193">
        <f>'[4]Inedible Tallow Complex'!AF320*0.25</f>
        <v>0</v>
      </c>
      <c r="K143" s="193">
        <f>'[4]Inedible Tallow Complex'!AG320*0.25</f>
        <v>0</v>
      </c>
      <c r="L143" s="193">
        <f>'[4]Inedible Tallow Complex'!AH320*0.25</f>
        <v>0</v>
      </c>
      <c r="M143" s="193">
        <f>'[4]Inedible Tallow Complex'!AI320*0.25</f>
        <v>0</v>
      </c>
      <c r="N143" s="193">
        <f>'[4]Inedible Tallow Complex'!AJ320*0.25</f>
        <v>0</v>
      </c>
      <c r="O143" s="193">
        <f>'[4]Inedible Tallow Complex'!AK320*0.25</f>
        <v>0</v>
      </c>
      <c r="P143" s="193">
        <f>'[4]Inedible Tallow Complex'!AL320*0.25</f>
        <v>0</v>
      </c>
      <c r="Q143" s="193">
        <f>'[4]Inedible Tallow Complex'!AM320*0.25</f>
        <v>0</v>
      </c>
      <c r="R143" s="193">
        <f>'[4]Inedible Tallow Complex'!AN320*0.25</f>
        <v>0</v>
      </c>
      <c r="S143" s="193">
        <f>'[4]Inedible Tallow Complex'!AO320*0.25</f>
        <v>0</v>
      </c>
    </row>
    <row r="144" spans="1:51">
      <c r="A144" t="s">
        <v>107</v>
      </c>
      <c r="B144" s="193">
        <f>'[4]Inedible Tallow Complex'!X309*0.25</f>
        <v>5.4147749999999997</v>
      </c>
      <c r="C144" s="193">
        <f>'[4]Inedible Tallow Complex'!Y309*0.25</f>
        <v>6.8690499999999997</v>
      </c>
      <c r="D144" s="193">
        <f>'[4]Inedible Tallow Complex'!Z309*0.25</f>
        <v>6.7329499999999998</v>
      </c>
      <c r="E144" s="193">
        <f>'[4]Inedible Tallow Complex'!AA309*0.25</f>
        <v>7.3674541391713104</v>
      </c>
      <c r="F144" s="193">
        <f>'[4]Inedible Tallow Complex'!AB309*0.25</f>
        <v>7.8125634493930569</v>
      </c>
      <c r="G144" s="193">
        <f>'[4]Inedible Tallow Complex'!AC309*0.25</f>
        <v>7.8599056789947923</v>
      </c>
      <c r="H144" s="193">
        <f>'[4]Inedible Tallow Complex'!AD309*0.25</f>
        <v>7.9229036220355384</v>
      </c>
      <c r="I144" s="193">
        <f>'[4]Inedible Tallow Complex'!AE309*0.25</f>
        <v>0</v>
      </c>
      <c r="J144" s="193">
        <f>'[4]Inedible Tallow Complex'!AF309*0.25</f>
        <v>0</v>
      </c>
      <c r="K144" s="193">
        <f>'[4]Inedible Tallow Complex'!AG309*0.25</f>
        <v>0</v>
      </c>
      <c r="L144" s="193">
        <f>'[4]Inedible Tallow Complex'!AH309*0.25</f>
        <v>0</v>
      </c>
      <c r="M144" s="193">
        <f>'[4]Inedible Tallow Complex'!AI309*0.25</f>
        <v>0</v>
      </c>
      <c r="N144" s="193">
        <f>'[4]Inedible Tallow Complex'!AJ309*0.25</f>
        <v>0</v>
      </c>
      <c r="O144" s="193">
        <f>'[4]Inedible Tallow Complex'!AK309*0.25</f>
        <v>0</v>
      </c>
      <c r="P144" s="193">
        <f>'[4]Inedible Tallow Complex'!AL309*0.25</f>
        <v>0</v>
      </c>
      <c r="Q144" s="193">
        <f>'[4]Inedible Tallow Complex'!AM309*0.25</f>
        <v>0</v>
      </c>
      <c r="R144" s="193">
        <f>'[4]Inedible Tallow Complex'!AN309*0.25</f>
        <v>0</v>
      </c>
      <c r="S144" s="193">
        <f>'[4]Inedible Tallow Complex'!AO309*0.25</f>
        <v>0</v>
      </c>
    </row>
    <row r="145" spans="1:19">
      <c r="A145" t="s">
        <v>108</v>
      </c>
      <c r="B145" s="193">
        <f>'[4]Inedible Tallow Complex'!X310*0.25</f>
        <v>4.75</v>
      </c>
      <c r="C145" s="193">
        <f>'[4]Inedible Tallow Complex'!Y310*0.25</f>
        <v>7.71875</v>
      </c>
      <c r="D145" s="193">
        <f>'[4]Inedible Tallow Complex'!Z310*0.25</f>
        <v>6.4375</v>
      </c>
      <c r="E145" s="193">
        <f>'[4]Inedible Tallow Complex'!AA310*0.25</f>
        <v>7.983757271190882</v>
      </c>
      <c r="F145" s="193">
        <f>'[4]Inedible Tallow Complex'!AB310*0.25</f>
        <v>8.0410181415847433</v>
      </c>
      <c r="G145" s="193">
        <f>'[4]Inedible Tallow Complex'!AC310*0.25</f>
        <v>8.1930834952869844</v>
      </c>
      <c r="H145" s="193">
        <f>'[4]Inedible Tallow Complex'!AD310*0.25</f>
        <v>8.118694834136015</v>
      </c>
      <c r="I145" s="193">
        <f>'[4]Inedible Tallow Complex'!AE310*0.25</f>
        <v>0</v>
      </c>
      <c r="J145" s="193">
        <f>'[4]Inedible Tallow Complex'!AF310*0.25</f>
        <v>0</v>
      </c>
      <c r="K145" s="193">
        <f>'[4]Inedible Tallow Complex'!AG310*0.25</f>
        <v>0</v>
      </c>
      <c r="L145" s="193">
        <f>'[4]Inedible Tallow Complex'!AH310*0.25</f>
        <v>0</v>
      </c>
      <c r="M145" s="193">
        <f>'[4]Inedible Tallow Complex'!AI310*0.25</f>
        <v>0</v>
      </c>
      <c r="N145" s="193">
        <f>'[4]Inedible Tallow Complex'!AJ310*0.25</f>
        <v>0</v>
      </c>
      <c r="O145" s="193">
        <f>'[4]Inedible Tallow Complex'!AK310*0.25</f>
        <v>0</v>
      </c>
      <c r="P145" s="193">
        <f>'[4]Inedible Tallow Complex'!AL310*0.25</f>
        <v>0</v>
      </c>
      <c r="Q145" s="193">
        <f>'[4]Inedible Tallow Complex'!AM310*0.25</f>
        <v>0</v>
      </c>
      <c r="R145" s="193">
        <f>'[4]Inedible Tallow Complex'!AN310*0.25</f>
        <v>0</v>
      </c>
      <c r="S145" s="193">
        <f>'[4]Inedible Tallow Complex'!AO310*0.25</f>
        <v>0</v>
      </c>
    </row>
    <row r="146" spans="1:19">
      <c r="A146" t="s">
        <v>109</v>
      </c>
      <c r="B146" s="193">
        <f>'[4]Inedible Tallow Complex'!X311*0.25</f>
        <v>4.75</v>
      </c>
      <c r="C146" s="193">
        <f>'[4]Inedible Tallow Complex'!Y311*0.25</f>
        <v>7.8095249999999998</v>
      </c>
      <c r="D146" s="193">
        <f>'[4]Inedible Tallow Complex'!Z311*0.25</f>
        <v>6.5</v>
      </c>
      <c r="E146" s="193">
        <f>'[4]Inedible Tallow Complex'!AA311*0.25</f>
        <v>8.6856388393890533</v>
      </c>
      <c r="F146" s="193">
        <f>'[4]Inedible Tallow Complex'!AB311*0.25</f>
        <v>8.2598328860522301</v>
      </c>
      <c r="G146" s="193">
        <f>'[4]Inedible Tallow Complex'!AC311*0.25</f>
        <v>8.4027064436087961</v>
      </c>
      <c r="H146" s="193">
        <f>'[4]Inedible Tallow Complex'!AD311*0.25</f>
        <v>8.3779724098266524</v>
      </c>
      <c r="I146" s="193">
        <f>'[4]Inedible Tallow Complex'!AE311*0.25</f>
        <v>0</v>
      </c>
      <c r="J146" s="193">
        <f>'[4]Inedible Tallow Complex'!AF311*0.25</f>
        <v>0</v>
      </c>
      <c r="K146" s="193">
        <f>'[4]Inedible Tallow Complex'!AG311*0.25</f>
        <v>0</v>
      </c>
      <c r="L146" s="193">
        <f>'[4]Inedible Tallow Complex'!AH311*0.25</f>
        <v>0</v>
      </c>
      <c r="M146" s="193">
        <f>'[4]Inedible Tallow Complex'!AI311*0.25</f>
        <v>0</v>
      </c>
      <c r="N146" s="193">
        <f>'[4]Inedible Tallow Complex'!AJ311*0.25</f>
        <v>0</v>
      </c>
      <c r="O146" s="193">
        <f>'[4]Inedible Tallow Complex'!AK311*0.25</f>
        <v>0</v>
      </c>
      <c r="P146" s="193">
        <f>'[4]Inedible Tallow Complex'!AL311*0.25</f>
        <v>0</v>
      </c>
      <c r="Q146" s="193">
        <f>'[4]Inedible Tallow Complex'!AM311*0.25</f>
        <v>0</v>
      </c>
      <c r="R146" s="193">
        <f>'[4]Inedible Tallow Complex'!AN311*0.25</f>
        <v>0</v>
      </c>
      <c r="S146" s="193">
        <f>'[4]Inedible Tallow Complex'!AO311*0.25</f>
        <v>0</v>
      </c>
    </row>
    <row r="147" spans="1:19">
      <c r="B147" s="193">
        <f>AVERAGE(B135:B146)</f>
        <v>6.5982187500000009</v>
      </c>
      <c r="C147" s="193">
        <f t="shared" ref="C147:S147" si="46">AVERAGE(C135:C146)</f>
        <v>7.9567812499999997</v>
      </c>
      <c r="D147" s="193">
        <f t="shared" si="46"/>
        <v>6.7931392324401054</v>
      </c>
      <c r="E147" s="193">
        <f t="shared" si="46"/>
        <v>8.2216370591745243</v>
      </c>
      <c r="F147" s="193">
        <f t="shared" si="46"/>
        <v>7.8837119563967475</v>
      </c>
      <c r="G147" s="193">
        <f t="shared" si="46"/>
        <v>7.9355025300987831</v>
      </c>
      <c r="H147" s="193">
        <f t="shared" si="46"/>
        <v>8.0993655196566117</v>
      </c>
      <c r="I147" s="193">
        <f t="shared" si="46"/>
        <v>0</v>
      </c>
      <c r="J147" s="194">
        <f t="shared" si="46"/>
        <v>0</v>
      </c>
      <c r="K147" s="194">
        <f t="shared" si="46"/>
        <v>0</v>
      </c>
      <c r="L147" s="194">
        <f t="shared" si="46"/>
        <v>0</v>
      </c>
      <c r="M147" s="194">
        <f t="shared" si="46"/>
        <v>0</v>
      </c>
      <c r="N147" s="194">
        <f t="shared" si="46"/>
        <v>0</v>
      </c>
      <c r="O147" s="194">
        <f t="shared" si="46"/>
        <v>0</v>
      </c>
      <c r="P147" s="194">
        <f t="shared" si="46"/>
        <v>0</v>
      </c>
      <c r="Q147" s="194">
        <f t="shared" si="46"/>
        <v>0</v>
      </c>
      <c r="R147" s="194">
        <f t="shared" si="46"/>
        <v>0</v>
      </c>
      <c r="S147" s="194">
        <f t="shared" si="46"/>
        <v>0</v>
      </c>
    </row>
    <row r="150" spans="1:19">
      <c r="B150" s="195">
        <v>182.64630762027005</v>
      </c>
      <c r="C150" s="195">
        <v>182.44310575245726</v>
      </c>
      <c r="D150" s="195">
        <v>182.70080298731855</v>
      </c>
      <c r="E150" s="195">
        <v>183.11771770224553</v>
      </c>
      <c r="F150" s="195">
        <v>182.69818681401006</v>
      </c>
      <c r="G150" s="195">
        <v>182.72080178011484</v>
      </c>
      <c r="H150" s="195">
        <v>182.73612834473494</v>
      </c>
      <c r="I150" s="195">
        <v>182.79488809684082</v>
      </c>
    </row>
    <row r="151" spans="1:19">
      <c r="B151" s="195">
        <v>183.64287885834054</v>
      </c>
      <c r="C151" s="195">
        <v>183.39136848280447</v>
      </c>
      <c r="D151" s="195">
        <v>183.6239776377314</v>
      </c>
      <c r="E151" s="195">
        <v>183.84260005134013</v>
      </c>
      <c r="F151" s="195">
        <v>183.6157461325881</v>
      </c>
      <c r="G151" s="195">
        <v>183.62344280002858</v>
      </c>
      <c r="H151" s="195">
        <v>183.619300592239</v>
      </c>
      <c r="I151" s="195">
        <v>183.66489119499332</v>
      </c>
    </row>
    <row r="152" spans="1:19">
      <c r="B152" s="195">
        <v>182.77564200264538</v>
      </c>
      <c r="C152" s="195">
        <v>182.79393904398739</v>
      </c>
      <c r="D152" s="195">
        <v>183.17130430428855</v>
      </c>
      <c r="E152" s="195">
        <v>183.50465445175013</v>
      </c>
      <c r="F152" s="195">
        <v>183.35645218377232</v>
      </c>
      <c r="G152" s="195">
        <v>183.12064961384053</v>
      </c>
      <c r="H152" s="195">
        <v>183.19093460102025</v>
      </c>
      <c r="I152" s="195">
        <v>183.26891357246586</v>
      </c>
    </row>
    <row r="153" spans="1:19">
      <c r="B153" s="195">
        <v>181.29580894153136</v>
      </c>
      <c r="C153" s="195">
        <v>182.60595468098418</v>
      </c>
      <c r="D153" s="195">
        <v>183.15429374291594</v>
      </c>
      <c r="E153" s="195">
        <v>183.48038948147652</v>
      </c>
      <c r="F153" s="195">
        <v>183.05937373536474</v>
      </c>
      <c r="G153" s="195">
        <v>182.70643324328987</v>
      </c>
      <c r="H153" s="195">
        <v>183.00061619019613</v>
      </c>
      <c r="I153" s="195">
        <v>183.08068351826239</v>
      </c>
    </row>
    <row r="154" spans="1:19">
      <c r="B154" s="195">
        <v>181.01072176079191</v>
      </c>
      <c r="C154" s="195">
        <v>182.16566372902875</v>
      </c>
      <c r="D154" s="195">
        <v>182.87360038018855</v>
      </c>
      <c r="E154" s="195">
        <v>182.99726489901542</v>
      </c>
      <c r="F154" s="195">
        <v>182.76153313655479</v>
      </c>
      <c r="G154" s="195">
        <v>182.35554415664461</v>
      </c>
      <c r="H154" s="195">
        <v>182.63049813992825</v>
      </c>
      <c r="I154" s="195">
        <v>182.72355002494569</v>
      </c>
    </row>
    <row r="155" spans="1:19">
      <c r="B155" s="195">
        <v>180.40905181399765</v>
      </c>
      <c r="C155" s="195">
        <v>180.86397936373771</v>
      </c>
      <c r="D155" s="195">
        <v>181.70179336947601</v>
      </c>
      <c r="E155" s="195">
        <v>181.65383334536727</v>
      </c>
      <c r="F155" s="195">
        <v>181.5848950014261</v>
      </c>
      <c r="G155" s="195">
        <v>181.23801747227262</v>
      </c>
      <c r="H155" s="195">
        <v>181.40963290727805</v>
      </c>
      <c r="I155" s="195">
        <v>181.51768621614275</v>
      </c>
    </row>
    <row r="156" spans="1:19">
      <c r="B156" s="195">
        <v>179.34076713425486</v>
      </c>
      <c r="C156" s="195">
        <v>179.74745270758814</v>
      </c>
      <c r="D156" s="195">
        <v>180.50609045320635</v>
      </c>
      <c r="E156" s="195">
        <v>180.76849297498185</v>
      </c>
      <c r="F156" s="195">
        <v>180.56864083943643</v>
      </c>
      <c r="G156" s="195">
        <v>180.18637313944856</v>
      </c>
      <c r="H156" s="195">
        <v>180.35236434710734</v>
      </c>
      <c r="I156" s="195">
        <v>180.47591002674389</v>
      </c>
    </row>
    <row r="157" spans="1:19">
      <c r="B157" s="195">
        <v>179.01267697502394</v>
      </c>
      <c r="C157" s="195">
        <v>178.75965476749005</v>
      </c>
      <c r="D157" s="195">
        <v>179.67129939487282</v>
      </c>
      <c r="E157" s="195">
        <v>179.51836645795723</v>
      </c>
      <c r="F157" s="195">
        <v>179.25480716725085</v>
      </c>
      <c r="G157" s="195">
        <v>179.23771922799014</v>
      </c>
      <c r="H157" s="195">
        <v>179.28593588592273</v>
      </c>
      <c r="I157" s="195">
        <v>179.3927431765737</v>
      </c>
    </row>
    <row r="158" spans="1:19">
      <c r="B158" s="195">
        <v>177.85986321836438</v>
      </c>
      <c r="C158" s="195">
        <v>178.46808277297947</v>
      </c>
      <c r="D158" s="195">
        <v>179.12257883666007</v>
      </c>
      <c r="E158" s="195">
        <v>178.53750417456848</v>
      </c>
      <c r="F158" s="195">
        <v>178.39534880066358</v>
      </c>
      <c r="G158" s="195">
        <v>178.47472307817881</v>
      </c>
      <c r="H158" s="195">
        <v>178.59966845974586</v>
      </c>
      <c r="I158" s="195">
        <v>178.62620443725888</v>
      </c>
    </row>
    <row r="159" spans="1:19">
      <c r="B159" s="195">
        <v>178.88705117042824</v>
      </c>
      <c r="C159" s="195">
        <v>179.35593200478374</v>
      </c>
      <c r="D159" s="195">
        <v>179.82582222103639</v>
      </c>
      <c r="E159" s="195">
        <v>179.14501441475988</v>
      </c>
      <c r="F159" s="195">
        <v>179.10099726214591</v>
      </c>
      <c r="G159" s="195">
        <v>179.26889053301588</v>
      </c>
      <c r="H159" s="195">
        <v>179.34165366686599</v>
      </c>
      <c r="I159" s="195">
        <v>179.33868814933868</v>
      </c>
    </row>
    <row r="160" spans="1:19">
      <c r="B160" s="195">
        <v>180.2909811301848</v>
      </c>
      <c r="C160" s="195">
        <v>180.49848414920808</v>
      </c>
      <c r="D160" s="195">
        <v>180.83490026170415</v>
      </c>
      <c r="E160" s="195">
        <v>180.29677443043281</v>
      </c>
      <c r="F160" s="195">
        <v>180.29450000044855</v>
      </c>
      <c r="G160" s="195">
        <v>180.44325715928372</v>
      </c>
      <c r="H160" s="195">
        <v>180.4741241036204</v>
      </c>
      <c r="I160" s="195">
        <v>180.46916937244356</v>
      </c>
    </row>
    <row r="161" spans="2:9">
      <c r="B161" s="195">
        <v>182.06785426690243</v>
      </c>
      <c r="C161" s="195">
        <v>182.14477608425463</v>
      </c>
      <c r="D161" s="195">
        <v>182.50662533944171</v>
      </c>
      <c r="E161" s="195">
        <v>182.06043328858317</v>
      </c>
      <c r="F161" s="195">
        <v>182.11423498629779</v>
      </c>
      <c r="G161" s="195">
        <v>182.17904314155859</v>
      </c>
      <c r="H161" s="195">
        <v>182.20036116114537</v>
      </c>
      <c r="I161" s="195">
        <v>182.21202309548144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Argentina Soy Complex</vt:lpstr>
      <vt:lpstr>Inedible Tallow Complex</vt:lpstr>
      <vt:lpstr>Poultry Fat Complex</vt:lpstr>
      <vt:lpstr>Choice White Grease Complex</vt:lpstr>
      <vt:lpstr>'Argentina Soy Complex'!Print_Area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2025-07-09T11:02:26Z</dcterms:created>
  <dcterms:modified xsi:type="dcterms:W3CDTF">2025-11-02T11:13:58Z</dcterms:modified>
</cp:coreProperties>
</file>