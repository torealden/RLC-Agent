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2.xml" ContentType="application/vnd.openxmlformats-officedocument.spreadsheetml.worksheet+xml"/>
  <Override PartName="/xl/chartsheets/sheet8.xml" ContentType="application/vnd.openxmlformats-officedocument.spreadsheetml.chartsheet+xml"/>
  <Override PartName="/xl/worksheets/sheet3.xml" ContentType="application/vnd.openxmlformats-officedocument.spreadsheetml.worksheet+xml"/>
  <Override PartName="/xl/chartsheets/sheet9.xml" ContentType="application/vnd.openxmlformats-officedocument.spreadsheetml.chartsheet+xml"/>
  <Override PartName="/xl/worksheets/sheet4.xml" ContentType="application/vnd.openxmlformats-officedocument.spreadsheetml.worksheet+xml"/>
  <Override PartName="/xl/chartsheets/sheet10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1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13_ncr:1_{F585DFC0-A03D-4562-A391-257B23B69F01}" xr6:coauthVersionLast="47" xr6:coauthVersionMax="47" xr10:uidLastSave="{00000000-0000-0000-0000-000000000000}"/>
  <bookViews>
    <workbookView xWindow="-26985" yWindow="1455" windowWidth="23160" windowHeight="13755" activeTab="1" xr2:uid="{D8110EEC-FAFD-49F6-B8A2-02A55C521F74}"/>
  </bookViews>
  <sheets>
    <sheet name="Conditions and Yield Chart" sheetId="1" r:id="rId1"/>
    <sheet name="Conditions Chart Data" sheetId="2" r:id="rId2"/>
    <sheet name="Good and Excellent Chart" sheetId="3" r:id="rId3"/>
    <sheet name="Jul - Aug Yield Change" sheetId="4" r:id="rId4"/>
    <sheet name="Aug - Sep Yield Change" sheetId="5" r:id="rId5"/>
    <sheet name="Sep - Oct Yield Change" sheetId="6" r:id="rId6"/>
    <sheet name="Oct - Nov Yield Change" sheetId="7" r:id="rId7"/>
    <sheet name="Nov - Final Yield Change" sheetId="8" r:id="rId8"/>
    <sheet name="Planting Chart Data" sheetId="9" r:id="rId9"/>
    <sheet name="Planting Progress Chart" sheetId="10" r:id="rId10"/>
    <sheet name="Pod Setting Data" sheetId="11" r:id="rId11"/>
    <sheet name="Pod Setting Chart" sheetId="12" r:id="rId12"/>
    <sheet name="Harvest Chart Data" sheetId="13" r:id="rId13"/>
    <sheet name="Harvest Progress Chart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0" i="2" l="1"/>
  <c r="W70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Z70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55" i="2"/>
  <c r="W56" i="2"/>
  <c r="X56" i="2"/>
  <c r="W57" i="2"/>
  <c r="X57" i="2"/>
  <c r="W58" i="2"/>
  <c r="X58" i="2"/>
  <c r="W59" i="2"/>
  <c r="X59" i="2"/>
  <c r="W60" i="2"/>
  <c r="X60" i="2"/>
  <c r="W61" i="2"/>
  <c r="X61" i="2"/>
  <c r="W62" i="2"/>
  <c r="X62" i="2"/>
  <c r="W63" i="2"/>
  <c r="X63" i="2"/>
  <c r="W64" i="2"/>
  <c r="X64" i="2"/>
  <c r="W65" i="2"/>
  <c r="X65" i="2"/>
  <c r="W66" i="2"/>
  <c r="X66" i="2"/>
  <c r="W67" i="2"/>
  <c r="X67" i="2"/>
  <c r="W68" i="2"/>
  <c r="X68" i="2"/>
  <c r="W69" i="2"/>
  <c r="X69" i="2"/>
  <c r="X55" i="2"/>
  <c r="W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L55" i="2"/>
  <c r="M55" i="2"/>
  <c r="N55" i="2"/>
  <c r="O55" i="2"/>
  <c r="P55" i="2"/>
  <c r="Q55" i="2"/>
  <c r="R55" i="2"/>
  <c r="S55" i="2"/>
  <c r="T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55" i="2"/>
  <c r="C55" i="2"/>
  <c r="D55" i="2"/>
  <c r="E55" i="2"/>
  <c r="F55" i="2"/>
  <c r="G55" i="2"/>
  <c r="H55" i="2"/>
  <c r="I55" i="2"/>
  <c r="J55" i="2"/>
  <c r="K55" i="2"/>
  <c r="B55" i="2"/>
  <c r="R48" i="2"/>
  <c r="Q48" i="2"/>
  <c r="AQ27" i="2"/>
  <c r="AP27" i="2"/>
  <c r="AG27" i="2" s="1"/>
  <c r="AO27" i="2"/>
  <c r="K33" i="2"/>
  <c r="L33" i="2"/>
  <c r="M33" i="2"/>
  <c r="N33" i="2"/>
  <c r="O33" i="2"/>
  <c r="P33" i="2"/>
  <c r="Q33" i="2"/>
  <c r="R33" i="2"/>
  <c r="S33" i="2"/>
  <c r="T33" i="2"/>
  <c r="E33" i="2"/>
  <c r="F33" i="2"/>
  <c r="G33" i="2"/>
  <c r="H33" i="2"/>
  <c r="I33" i="2"/>
  <c r="J33" i="2"/>
  <c r="D33" i="2"/>
  <c r="E35" i="2" s="1"/>
  <c r="F35" i="2" s="1"/>
  <c r="G35" i="2" s="1"/>
  <c r="H35" i="2" s="1"/>
  <c r="I35" i="2" s="1"/>
  <c r="J35" i="2" s="1"/>
  <c r="K35" i="2" s="1"/>
  <c r="L35" i="2" s="1"/>
  <c r="L28" i="2"/>
  <c r="M28" i="2"/>
  <c r="N28" i="2"/>
  <c r="O28" i="2"/>
  <c r="P28" i="2"/>
  <c r="Q28" i="2"/>
  <c r="R28" i="2"/>
  <c r="D28" i="2"/>
  <c r="F28" i="2"/>
  <c r="G28" i="2"/>
  <c r="H28" i="2"/>
  <c r="I28" i="2"/>
  <c r="J28" i="2"/>
  <c r="K28" i="2"/>
  <c r="E28" i="2"/>
  <c r="F34" i="2"/>
  <c r="G34" i="2"/>
  <c r="H34" i="2"/>
  <c r="I34" i="2"/>
  <c r="J34" i="2"/>
  <c r="K34" i="2"/>
  <c r="L34" i="2"/>
  <c r="M34" i="2"/>
  <c r="N34" i="2"/>
  <c r="E34" i="2"/>
  <c r="Q34" i="2"/>
  <c r="S34" i="2"/>
  <c r="R34" i="2"/>
  <c r="T34" i="2"/>
  <c r="AU3" i="2" l="1"/>
  <c r="AN36" i="2"/>
  <c r="AN35" i="2"/>
  <c r="AN34" i="2"/>
  <c r="AN33" i="2"/>
  <c r="AN32" i="2"/>
  <c r="AN31" i="2"/>
  <c r="AN30" i="2"/>
  <c r="AN29" i="2"/>
  <c r="AL30" i="2"/>
  <c r="AL29" i="2"/>
  <c r="G60" i="13"/>
  <c r="H60" i="13"/>
  <c r="I60" i="13"/>
  <c r="J60" i="13"/>
  <c r="K60" i="13"/>
  <c r="L60" i="13"/>
  <c r="M60" i="13"/>
  <c r="N60" i="13"/>
  <c r="O60" i="13"/>
  <c r="G61" i="13"/>
  <c r="H61" i="13"/>
  <c r="I61" i="13"/>
  <c r="J61" i="13"/>
  <c r="K61" i="13"/>
  <c r="L61" i="13"/>
  <c r="M61" i="13"/>
  <c r="N61" i="13"/>
  <c r="O61" i="13"/>
  <c r="I59" i="13"/>
  <c r="J59" i="13"/>
  <c r="K59" i="13"/>
  <c r="L59" i="13"/>
  <c r="M59" i="13"/>
  <c r="N59" i="13"/>
  <c r="O59" i="13"/>
  <c r="I98" i="11"/>
  <c r="J98" i="11"/>
  <c r="K98" i="11"/>
  <c r="C51" i="11"/>
  <c r="C50" i="11"/>
  <c r="C49" i="11"/>
  <c r="D101" i="11"/>
  <c r="E101" i="11"/>
  <c r="F101" i="11"/>
  <c r="G101" i="11"/>
  <c r="H101" i="11"/>
  <c r="I101" i="11"/>
  <c r="J101" i="11"/>
  <c r="K101" i="11"/>
  <c r="L101" i="11"/>
  <c r="M101" i="11"/>
  <c r="N101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B52" i="11"/>
  <c r="C101" i="11" s="1"/>
  <c r="B101" i="11"/>
  <c r="B51" i="11"/>
  <c r="F98" i="11"/>
  <c r="G98" i="11"/>
  <c r="H98" i="11"/>
  <c r="B50" i="11"/>
  <c r="B49" i="11"/>
  <c r="O34" i="2"/>
  <c r="AM27" i="2"/>
  <c r="AL27" i="2"/>
  <c r="AL26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" i="2"/>
  <c r="AN27" i="2"/>
  <c r="AK27" i="2"/>
  <c r="G48" i="2"/>
  <c r="L48" i="2"/>
  <c r="P34" i="2"/>
  <c r="M35" i="2" l="1"/>
  <c r="N35" i="2" s="1"/>
  <c r="O35" i="2" s="1"/>
  <c r="P35" i="2" s="1"/>
  <c r="Q35" i="2" s="1"/>
  <c r="R35" i="2" s="1"/>
  <c r="S35" i="2" s="1"/>
  <c r="T35" i="2" s="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C98" i="11"/>
  <c r="D98" i="11"/>
  <c r="E98" i="11"/>
  <c r="A97" i="11"/>
  <c r="A98" i="11"/>
  <c r="D49" i="11"/>
  <c r="E49" i="11"/>
  <c r="F49" i="11"/>
  <c r="G49" i="11"/>
  <c r="H49" i="11"/>
  <c r="I49" i="11"/>
  <c r="J49" i="11"/>
  <c r="K49" i="11"/>
  <c r="L49" i="11"/>
  <c r="M49" i="11"/>
  <c r="N49" i="11"/>
  <c r="D50" i="11"/>
  <c r="E50" i="11"/>
  <c r="F50" i="11"/>
  <c r="G50" i="11"/>
  <c r="H50" i="11"/>
  <c r="I50" i="11"/>
  <c r="J50" i="11"/>
  <c r="K50" i="11"/>
  <c r="L50" i="11"/>
  <c r="M50" i="11"/>
  <c r="N50" i="11"/>
  <c r="D51" i="11"/>
  <c r="E51" i="11"/>
  <c r="F51" i="11"/>
  <c r="G51" i="11"/>
  <c r="H51" i="11"/>
  <c r="I51" i="11"/>
  <c r="J51" i="11"/>
  <c r="K51" i="11"/>
  <c r="L51" i="11"/>
  <c r="M51" i="11"/>
  <c r="N51" i="11"/>
  <c r="C101" i="9"/>
  <c r="D101" i="9"/>
  <c r="E101" i="9"/>
  <c r="F101" i="9"/>
  <c r="G101" i="9"/>
  <c r="H101" i="9"/>
  <c r="I101" i="9"/>
  <c r="J101" i="9"/>
  <c r="K101" i="9"/>
  <c r="L101" i="9"/>
  <c r="M101" i="9"/>
  <c r="C102" i="9"/>
  <c r="D102" i="9"/>
  <c r="E102" i="9"/>
  <c r="F102" i="9"/>
  <c r="G102" i="9"/>
  <c r="H102" i="9"/>
  <c r="I102" i="9"/>
  <c r="J102" i="9"/>
  <c r="K102" i="9"/>
  <c r="L102" i="9"/>
  <c r="M102" i="9"/>
  <c r="C103" i="9"/>
  <c r="D103" i="9"/>
  <c r="E103" i="9"/>
  <c r="F103" i="9"/>
  <c r="G103" i="9"/>
  <c r="H103" i="9"/>
  <c r="I103" i="9"/>
  <c r="J103" i="9"/>
  <c r="K103" i="9"/>
  <c r="L103" i="9"/>
  <c r="M103" i="9"/>
  <c r="B103" i="9"/>
  <c r="B102" i="9"/>
  <c r="B101" i="9"/>
  <c r="M99" i="9"/>
  <c r="M98" i="9"/>
  <c r="B99" i="9"/>
  <c r="C99" i="9"/>
  <c r="D99" i="9"/>
  <c r="E99" i="9"/>
  <c r="F99" i="9"/>
  <c r="G99" i="9"/>
  <c r="H99" i="9"/>
  <c r="I99" i="9"/>
  <c r="J99" i="9"/>
  <c r="K99" i="9"/>
  <c r="L99" i="9"/>
  <c r="A99" i="9"/>
  <c r="C49" i="9"/>
  <c r="D49" i="9"/>
  <c r="E49" i="9"/>
  <c r="F49" i="9"/>
  <c r="G49" i="9"/>
  <c r="H49" i="9"/>
  <c r="I49" i="9"/>
  <c r="J49" i="9"/>
  <c r="K49" i="9"/>
  <c r="L49" i="9"/>
  <c r="M49" i="9"/>
  <c r="N49" i="9"/>
  <c r="C50" i="9"/>
  <c r="D50" i="9"/>
  <c r="E50" i="9"/>
  <c r="F50" i="9"/>
  <c r="G50" i="9"/>
  <c r="H50" i="9"/>
  <c r="I50" i="9"/>
  <c r="J50" i="9"/>
  <c r="K50" i="9"/>
  <c r="L50" i="9"/>
  <c r="M50" i="9"/>
  <c r="N50" i="9"/>
  <c r="C51" i="9"/>
  <c r="D51" i="9"/>
  <c r="E51" i="9"/>
  <c r="F51" i="9"/>
  <c r="G51" i="9"/>
  <c r="H51" i="9"/>
  <c r="I51" i="9"/>
  <c r="J51" i="9"/>
  <c r="K51" i="9"/>
  <c r="L51" i="9"/>
  <c r="M51" i="9"/>
  <c r="N51" i="9"/>
  <c r="B51" i="9"/>
  <c r="B50" i="9"/>
  <c r="B49" i="9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D31" i="2"/>
  <c r="D30" i="2"/>
  <c r="D29" i="2"/>
  <c r="A48" i="2"/>
  <c r="AT36" i="2"/>
  <c r="AS36" i="2"/>
  <c r="AR36" i="2"/>
  <c r="AQ36" i="2"/>
  <c r="AP36" i="2"/>
  <c r="AO36" i="2"/>
  <c r="AM36" i="2"/>
  <c r="AT35" i="2"/>
  <c r="AS35" i="2"/>
  <c r="AR35" i="2"/>
  <c r="AQ35" i="2"/>
  <c r="AP35" i="2"/>
  <c r="AO35" i="2"/>
  <c r="AM35" i="2"/>
  <c r="AT34" i="2"/>
  <c r="AS34" i="2"/>
  <c r="AR34" i="2"/>
  <c r="AQ34" i="2"/>
  <c r="AP34" i="2"/>
  <c r="AO34" i="2"/>
  <c r="AM34" i="2"/>
  <c r="AT33" i="2"/>
  <c r="AS33" i="2"/>
  <c r="AR33" i="2"/>
  <c r="AQ33" i="2"/>
  <c r="AP33" i="2"/>
  <c r="AO33" i="2"/>
  <c r="AM33" i="2"/>
  <c r="AT32" i="2"/>
  <c r="AS32" i="2"/>
  <c r="AR32" i="2"/>
  <c r="AQ32" i="2"/>
  <c r="AP32" i="2"/>
  <c r="AO32" i="2"/>
  <c r="AM32" i="2"/>
  <c r="AT31" i="2"/>
  <c r="AS31" i="2"/>
  <c r="AR31" i="2"/>
  <c r="AQ31" i="2"/>
  <c r="AP31" i="2"/>
  <c r="AO31" i="2"/>
  <c r="AM31" i="2"/>
  <c r="AT30" i="2"/>
  <c r="AS30" i="2"/>
  <c r="AR30" i="2"/>
  <c r="AQ30" i="2"/>
  <c r="AP30" i="2"/>
  <c r="AO30" i="2"/>
  <c r="AM30" i="2"/>
  <c r="AT29" i="2"/>
  <c r="AS29" i="2"/>
  <c r="AR29" i="2"/>
  <c r="AQ29" i="2"/>
  <c r="AP29" i="2"/>
  <c r="AO29" i="2"/>
  <c r="AM29" i="2"/>
  <c r="AL36" i="2"/>
  <c r="AL35" i="2"/>
  <c r="AL34" i="2"/>
  <c r="AL33" i="2"/>
  <c r="AL32" i="2"/>
  <c r="AL31" i="2"/>
  <c r="AE29" i="2"/>
  <c r="AF29" i="2"/>
  <c r="AG29" i="2"/>
  <c r="AH29" i="2"/>
  <c r="AI29" i="2"/>
  <c r="AE30" i="2"/>
  <c r="AF30" i="2"/>
  <c r="AG30" i="2"/>
  <c r="AH30" i="2"/>
  <c r="AI30" i="2"/>
  <c r="AE31" i="2"/>
  <c r="AF31" i="2"/>
  <c r="AG31" i="2"/>
  <c r="AH31" i="2"/>
  <c r="AI31" i="2"/>
  <c r="AD31" i="2"/>
  <c r="AD30" i="2"/>
  <c r="AD29" i="2"/>
  <c r="AN26" i="2"/>
  <c r="AO26" i="2"/>
  <c r="AP26" i="2"/>
  <c r="AQ26" i="2"/>
  <c r="AR26" i="2"/>
  <c r="AS26" i="2"/>
  <c r="AT26" i="2"/>
  <c r="AL25" i="2"/>
  <c r="AN25" i="2"/>
  <c r="AO25" i="2"/>
  <c r="AP25" i="2"/>
  <c r="AQ25" i="2"/>
  <c r="AR25" i="2"/>
  <c r="AS25" i="2"/>
  <c r="AT25" i="2"/>
  <c r="H59" i="13"/>
  <c r="G59" i="13"/>
  <c r="F59" i="13"/>
  <c r="E59" i="13"/>
  <c r="D59" i="13"/>
  <c r="C59" i="13"/>
  <c r="B59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B58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B57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O49" i="13"/>
  <c r="N49" i="13"/>
  <c r="M49" i="13"/>
  <c r="L49" i="13"/>
  <c r="K49" i="13"/>
  <c r="J49" i="13"/>
  <c r="I49" i="13"/>
  <c r="E49" i="13"/>
  <c r="D49" i="13"/>
  <c r="C49" i="13"/>
  <c r="B49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B48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O31" i="13"/>
  <c r="N31" i="13"/>
  <c r="M31" i="13"/>
  <c r="L31" i="13"/>
  <c r="K31" i="13"/>
  <c r="J31" i="13"/>
  <c r="I31" i="13"/>
  <c r="H31" i="13"/>
  <c r="G31" i="13"/>
  <c r="F31" i="13"/>
  <c r="F29" i="13" s="1"/>
  <c r="G29" i="13" s="1"/>
  <c r="H29" i="13" s="1"/>
  <c r="E31" i="13"/>
  <c r="D31" i="13"/>
  <c r="C31" i="13"/>
  <c r="B31" i="13"/>
  <c r="I29" i="13"/>
  <c r="J29" i="13" s="1"/>
  <c r="F15" i="13"/>
  <c r="G15" i="13" s="1"/>
  <c r="C1" i="13"/>
  <c r="D1" i="13" s="1"/>
  <c r="E1" i="13" s="1"/>
  <c r="F1" i="13" s="1"/>
  <c r="G1" i="13" s="1"/>
  <c r="H1" i="13" s="1"/>
  <c r="I1" i="13" s="1"/>
  <c r="J1" i="13" s="1"/>
  <c r="K1" i="13" s="1"/>
  <c r="L1" i="13" s="1"/>
  <c r="M1" i="13" s="1"/>
  <c r="N1" i="13" s="1"/>
  <c r="O1" i="13" s="1"/>
  <c r="N96" i="11"/>
  <c r="M96" i="11"/>
  <c r="L96" i="11"/>
  <c r="K96" i="11"/>
  <c r="J96" i="11"/>
  <c r="I96" i="11"/>
  <c r="H96" i="11"/>
  <c r="G96" i="11"/>
  <c r="F96" i="11"/>
  <c r="E96" i="11"/>
  <c r="D96" i="11"/>
  <c r="C96" i="11"/>
  <c r="A96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A95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A94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A93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A92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A91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A90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A89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A88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A87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A86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A85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A84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A83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A82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A81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A80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A79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A78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A77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A76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A75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A74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A73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A72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A71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A70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A69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A68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A67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A66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A65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A64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A63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A62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A61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A60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A59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A58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A57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A56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A55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A54" i="11"/>
  <c r="B53" i="11"/>
  <c r="C1" i="11"/>
  <c r="D1" i="11" s="1"/>
  <c r="L98" i="9"/>
  <c r="K98" i="9"/>
  <c r="J98" i="9"/>
  <c r="I98" i="9"/>
  <c r="H98" i="9"/>
  <c r="G98" i="9"/>
  <c r="F98" i="9"/>
  <c r="E98" i="9"/>
  <c r="D98" i="9"/>
  <c r="C98" i="9"/>
  <c r="B98" i="9"/>
  <c r="A98" i="9"/>
  <c r="M97" i="9"/>
  <c r="L97" i="9"/>
  <c r="K97" i="9"/>
  <c r="J97" i="9"/>
  <c r="I97" i="9"/>
  <c r="H97" i="9"/>
  <c r="G97" i="9"/>
  <c r="F97" i="9"/>
  <c r="E97" i="9"/>
  <c r="D97" i="9"/>
  <c r="C97" i="9"/>
  <c r="B97" i="9"/>
  <c r="A97" i="9"/>
  <c r="N96" i="9"/>
  <c r="M96" i="9"/>
  <c r="L96" i="9"/>
  <c r="K96" i="9"/>
  <c r="J96" i="9"/>
  <c r="I96" i="9"/>
  <c r="H96" i="9"/>
  <c r="G96" i="9"/>
  <c r="F96" i="9"/>
  <c r="E96" i="9"/>
  <c r="D96" i="9"/>
  <c r="C96" i="9"/>
  <c r="B96" i="9"/>
  <c r="A96" i="9"/>
  <c r="N95" i="9"/>
  <c r="M95" i="9"/>
  <c r="L95" i="9"/>
  <c r="K95" i="9"/>
  <c r="J95" i="9"/>
  <c r="I95" i="9"/>
  <c r="H95" i="9"/>
  <c r="G95" i="9"/>
  <c r="F95" i="9"/>
  <c r="E95" i="9"/>
  <c r="D95" i="9"/>
  <c r="C95" i="9"/>
  <c r="B95" i="9"/>
  <c r="A95" i="9"/>
  <c r="N94" i="9"/>
  <c r="M94" i="9"/>
  <c r="L94" i="9"/>
  <c r="K94" i="9"/>
  <c r="J94" i="9"/>
  <c r="I94" i="9"/>
  <c r="H94" i="9"/>
  <c r="G94" i="9"/>
  <c r="F94" i="9"/>
  <c r="E94" i="9"/>
  <c r="D94" i="9"/>
  <c r="C94" i="9"/>
  <c r="B94" i="9"/>
  <c r="A94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A93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A92" i="9"/>
  <c r="N91" i="9"/>
  <c r="M91" i="9"/>
  <c r="L91" i="9"/>
  <c r="K91" i="9"/>
  <c r="J91" i="9"/>
  <c r="I91" i="9"/>
  <c r="H91" i="9"/>
  <c r="G91" i="9"/>
  <c r="F91" i="9"/>
  <c r="E91" i="9"/>
  <c r="D91" i="9"/>
  <c r="C91" i="9"/>
  <c r="B91" i="9"/>
  <c r="A91" i="9"/>
  <c r="N90" i="9"/>
  <c r="M90" i="9"/>
  <c r="L90" i="9"/>
  <c r="K90" i="9"/>
  <c r="J90" i="9"/>
  <c r="I90" i="9"/>
  <c r="H90" i="9"/>
  <c r="G90" i="9"/>
  <c r="F90" i="9"/>
  <c r="E90" i="9"/>
  <c r="D90" i="9"/>
  <c r="C90" i="9"/>
  <c r="B90" i="9"/>
  <c r="A90" i="9"/>
  <c r="N89" i="9"/>
  <c r="M89" i="9"/>
  <c r="L89" i="9"/>
  <c r="K89" i="9"/>
  <c r="J89" i="9"/>
  <c r="I89" i="9"/>
  <c r="H89" i="9"/>
  <c r="G89" i="9"/>
  <c r="F89" i="9"/>
  <c r="E89" i="9"/>
  <c r="D89" i="9"/>
  <c r="C89" i="9"/>
  <c r="B89" i="9"/>
  <c r="A89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A88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A87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A86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A85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84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A83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A82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A81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A80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A79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A78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A77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A76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A75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A74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A73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A72" i="9"/>
  <c r="N71" i="9"/>
  <c r="M71" i="9"/>
  <c r="L71" i="9"/>
  <c r="K71" i="9"/>
  <c r="J71" i="9"/>
  <c r="I71" i="9"/>
  <c r="H71" i="9"/>
  <c r="G71" i="9"/>
  <c r="F71" i="9"/>
  <c r="E71" i="9"/>
  <c r="D71" i="9"/>
  <c r="C71" i="9"/>
  <c r="B71" i="9"/>
  <c r="A71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A70" i="9"/>
  <c r="N69" i="9"/>
  <c r="M69" i="9"/>
  <c r="L69" i="9"/>
  <c r="K69" i="9"/>
  <c r="J69" i="9"/>
  <c r="I69" i="9"/>
  <c r="H69" i="9"/>
  <c r="G69" i="9"/>
  <c r="F69" i="9"/>
  <c r="E69" i="9"/>
  <c r="D69" i="9"/>
  <c r="C69" i="9"/>
  <c r="B69" i="9"/>
  <c r="A69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A68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A67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A66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A65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A64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A63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62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61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60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A59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58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A57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56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55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54" i="9"/>
  <c r="C1" i="9"/>
  <c r="D1" i="9" s="1"/>
  <c r="E1" i="9" s="1"/>
  <c r="F1" i="9" s="1"/>
  <c r="G1" i="9" s="1"/>
  <c r="H1" i="9" s="1"/>
  <c r="I1" i="9" s="1"/>
  <c r="J1" i="9" s="1"/>
  <c r="K1" i="9" s="1"/>
  <c r="L1" i="9" s="1"/>
  <c r="M1" i="9" s="1"/>
  <c r="N1" i="9" s="1"/>
  <c r="BB47" i="2"/>
  <c r="AY47" i="2"/>
  <c r="AX47" i="2"/>
  <c r="AV47" i="2"/>
  <c r="AU47" i="2"/>
  <c r="AR47" i="2"/>
  <c r="U47" i="2"/>
  <c r="A47" i="2"/>
  <c r="V46" i="2"/>
  <c r="A46" i="2"/>
  <c r="AX45" i="2"/>
  <c r="V45" i="2"/>
  <c r="A45" i="2"/>
  <c r="BG44" i="2"/>
  <c r="BD44" i="2"/>
  <c r="BA44" i="2"/>
  <c r="AY44" i="2"/>
  <c r="AM44" i="2"/>
  <c r="U44" i="2"/>
  <c r="A44" i="2"/>
  <c r="V43" i="2"/>
  <c r="A43" i="2"/>
  <c r="W42" i="2"/>
  <c r="A42" i="2"/>
  <c r="W41" i="2"/>
  <c r="A41" i="2"/>
  <c r="V40" i="2"/>
  <c r="A40" i="2"/>
  <c r="V39" i="2"/>
  <c r="A39" i="2"/>
  <c r="AU38" i="2"/>
  <c r="V38" i="2"/>
  <c r="A38" i="2"/>
  <c r="AU37" i="2"/>
  <c r="W37" i="2"/>
  <c r="A37" i="2"/>
  <c r="X36" i="2"/>
  <c r="A36" i="2"/>
  <c r="X28" i="2"/>
  <c r="AX26" i="2"/>
  <c r="AW26" i="2"/>
  <c r="AV26" i="2"/>
  <c r="AU26" i="2"/>
  <c r="AK26" i="2"/>
  <c r="AA26" i="2"/>
  <c r="AX25" i="2"/>
  <c r="AW25" i="2"/>
  <c r="AV25" i="2"/>
  <c r="AK25" i="2"/>
  <c r="AA25" i="2"/>
  <c r="AX24" i="2"/>
  <c r="AW24" i="2"/>
  <c r="AV24" i="2"/>
  <c r="AT24" i="2"/>
  <c r="BH47" i="2" s="1"/>
  <c r="AS24" i="2"/>
  <c r="AR24" i="2"/>
  <c r="BH46" i="2" s="1"/>
  <c r="AQ24" i="2"/>
  <c r="AP24" i="2"/>
  <c r="BH45" i="2" s="1"/>
  <c r="AO24" i="2"/>
  <c r="AN24" i="2"/>
  <c r="BH44" i="2" s="1"/>
  <c r="AL24" i="2"/>
  <c r="BH43" i="2" s="1"/>
  <c r="AK24" i="2"/>
  <c r="AA24" i="2"/>
  <c r="AX23" i="2"/>
  <c r="AW23" i="2"/>
  <c r="AV23" i="2"/>
  <c r="AT23" i="2"/>
  <c r="BG47" i="2" s="1"/>
  <c r="AS23" i="2"/>
  <c r="AR23" i="2"/>
  <c r="BG46" i="2" s="1"/>
  <c r="AQ23" i="2"/>
  <c r="AP23" i="2"/>
  <c r="BG45" i="2" s="1"/>
  <c r="AO23" i="2"/>
  <c r="AN23" i="2"/>
  <c r="AL23" i="2"/>
  <c r="BG43" i="2" s="1"/>
  <c r="AK23" i="2"/>
  <c r="AA23" i="2"/>
  <c r="AX22" i="2"/>
  <c r="AW22" i="2"/>
  <c r="AV22" i="2"/>
  <c r="AT22" i="2"/>
  <c r="BF47" i="2" s="1"/>
  <c r="AS22" i="2"/>
  <c r="AR22" i="2"/>
  <c r="BF46" i="2" s="1"/>
  <c r="AQ22" i="2"/>
  <c r="AP22" i="2"/>
  <c r="BF45" i="2" s="1"/>
  <c r="AO22" i="2"/>
  <c r="AN22" i="2"/>
  <c r="BF44" i="2" s="1"/>
  <c r="AL22" i="2"/>
  <c r="BF43" i="2" s="1"/>
  <c r="AK22" i="2"/>
  <c r="AA22" i="2"/>
  <c r="AX21" i="2"/>
  <c r="AW21" i="2"/>
  <c r="AV21" i="2"/>
  <c r="AT21" i="2"/>
  <c r="AS21" i="2"/>
  <c r="AR21" i="2"/>
  <c r="AU21" i="2" s="1"/>
  <c r="AQ21" i="2"/>
  <c r="AP21" i="2"/>
  <c r="BE45" i="2" s="1"/>
  <c r="AO21" i="2"/>
  <c r="AN21" i="2"/>
  <c r="AL21" i="2"/>
  <c r="BE43" i="2" s="1"/>
  <c r="AK21" i="2"/>
  <c r="AA21" i="2"/>
  <c r="AX20" i="2"/>
  <c r="AW20" i="2"/>
  <c r="AV20" i="2"/>
  <c r="AT20" i="2"/>
  <c r="BD47" i="2" s="1"/>
  <c r="AS20" i="2"/>
  <c r="AR20" i="2"/>
  <c r="AU20" i="2" s="1"/>
  <c r="AQ20" i="2"/>
  <c r="AP20" i="2"/>
  <c r="BD45" i="2" s="1"/>
  <c r="AO20" i="2"/>
  <c r="AN20" i="2"/>
  <c r="AL20" i="2"/>
  <c r="BD43" i="2" s="1"/>
  <c r="AK20" i="2"/>
  <c r="AA20" i="2"/>
  <c r="AX19" i="2"/>
  <c r="AW19" i="2"/>
  <c r="AV19" i="2"/>
  <c r="AT19" i="2"/>
  <c r="BC47" i="2" s="1"/>
  <c r="AS19" i="2"/>
  <c r="AR19" i="2"/>
  <c r="AU19" i="2" s="1"/>
  <c r="AQ19" i="2"/>
  <c r="AP19" i="2"/>
  <c r="BC45" i="2" s="1"/>
  <c r="AO19" i="2"/>
  <c r="AN19" i="2"/>
  <c r="BC44" i="2" s="1"/>
  <c r="AL19" i="2"/>
  <c r="BC43" i="2" s="1"/>
  <c r="AK19" i="2"/>
  <c r="AA19" i="2"/>
  <c r="AX18" i="2"/>
  <c r="AW18" i="2"/>
  <c r="AV18" i="2"/>
  <c r="AT18" i="2"/>
  <c r="AS18" i="2"/>
  <c r="AR18" i="2"/>
  <c r="AU18" i="2" s="1"/>
  <c r="AQ18" i="2"/>
  <c r="AP18" i="2"/>
  <c r="BB45" i="2" s="1"/>
  <c r="AO18" i="2"/>
  <c r="AN18" i="2"/>
  <c r="BB44" i="2" s="1"/>
  <c r="AL18" i="2"/>
  <c r="BB43" i="2" s="1"/>
  <c r="AK18" i="2"/>
  <c r="AA18" i="2"/>
  <c r="AX17" i="2"/>
  <c r="AW17" i="2"/>
  <c r="AV17" i="2"/>
  <c r="AT17" i="2"/>
  <c r="BA47" i="2" s="1"/>
  <c r="AS17" i="2"/>
  <c r="AR17" i="2"/>
  <c r="AU17" i="2" s="1"/>
  <c r="AQ17" i="2"/>
  <c r="AP17" i="2"/>
  <c r="BA45" i="2" s="1"/>
  <c r="AO17" i="2"/>
  <c r="AN17" i="2"/>
  <c r="AL17" i="2"/>
  <c r="BA43" i="2" s="1"/>
  <c r="AK17" i="2"/>
  <c r="AA17" i="2"/>
  <c r="AX16" i="2"/>
  <c r="AW16" i="2"/>
  <c r="AV16" i="2"/>
  <c r="AT16" i="2"/>
  <c r="AZ47" i="2" s="1"/>
  <c r="AS16" i="2"/>
  <c r="AR16" i="2"/>
  <c r="AU16" i="2" s="1"/>
  <c r="AQ16" i="2"/>
  <c r="AP16" i="2"/>
  <c r="AZ45" i="2" s="1"/>
  <c r="AO16" i="2"/>
  <c r="AN16" i="2"/>
  <c r="AZ44" i="2" s="1"/>
  <c r="AL16" i="2"/>
  <c r="AZ43" i="2" s="1"/>
  <c r="AK16" i="2"/>
  <c r="AA16" i="2"/>
  <c r="AX15" i="2"/>
  <c r="AW15" i="2"/>
  <c r="AV15" i="2"/>
  <c r="AT15" i="2"/>
  <c r="AS15" i="2"/>
  <c r="AR15" i="2"/>
  <c r="AU15" i="2" s="1"/>
  <c r="AQ15" i="2"/>
  <c r="AP15" i="2"/>
  <c r="AY45" i="2" s="1"/>
  <c r="AO15" i="2"/>
  <c r="AN15" i="2"/>
  <c r="AL15" i="2"/>
  <c r="AY43" i="2" s="1"/>
  <c r="AK15" i="2"/>
  <c r="AA15" i="2"/>
  <c r="V15" i="2"/>
  <c r="W15" i="2" s="1"/>
  <c r="AX14" i="2"/>
  <c r="AW14" i="2"/>
  <c r="AV14" i="2"/>
  <c r="AT14" i="2"/>
  <c r="AS14" i="2"/>
  <c r="AR14" i="2"/>
  <c r="AQ14" i="2"/>
  <c r="AP14" i="2"/>
  <c r="AO14" i="2"/>
  <c r="AN14" i="2"/>
  <c r="AX44" i="2" s="1"/>
  <c r="AL14" i="2"/>
  <c r="AX43" i="2" s="1"/>
  <c r="AK14" i="2"/>
  <c r="AA14" i="2"/>
  <c r="AX13" i="2"/>
  <c r="AW13" i="2"/>
  <c r="AV13" i="2"/>
  <c r="AT13" i="2"/>
  <c r="AW47" i="2" s="1"/>
  <c r="AS13" i="2"/>
  <c r="AR13" i="2"/>
  <c r="AW46" i="2" s="1"/>
  <c r="AQ13" i="2"/>
  <c r="AP13" i="2"/>
  <c r="AW45" i="2" s="1"/>
  <c r="AO13" i="2"/>
  <c r="AN13" i="2"/>
  <c r="AL13" i="2"/>
  <c r="AW43" i="2" s="1"/>
  <c r="AK13" i="2"/>
  <c r="AA13" i="2"/>
  <c r="AX12" i="2"/>
  <c r="AW12" i="2"/>
  <c r="AV12" i="2"/>
  <c r="AT12" i="2"/>
  <c r="AS12" i="2"/>
  <c r="AR12" i="2"/>
  <c r="AU12" i="2" s="1"/>
  <c r="AQ12" i="2"/>
  <c r="AP12" i="2"/>
  <c r="AV45" i="2" s="1"/>
  <c r="AO12" i="2"/>
  <c r="AN12" i="2"/>
  <c r="AV44" i="2" s="1"/>
  <c r="AL12" i="2"/>
  <c r="AV43" i="2" s="1"/>
  <c r="AK12" i="2"/>
  <c r="AA12" i="2"/>
  <c r="AX11" i="2"/>
  <c r="AW11" i="2"/>
  <c r="AV11" i="2"/>
  <c r="AT11" i="2"/>
  <c r="AS11" i="2"/>
  <c r="AR11" i="2"/>
  <c r="AU46" i="2" s="1"/>
  <c r="AQ11" i="2"/>
  <c r="AP11" i="2"/>
  <c r="AU45" i="2" s="1"/>
  <c r="AO11" i="2"/>
  <c r="AN11" i="2"/>
  <c r="AU44" i="2" s="1"/>
  <c r="AL11" i="2"/>
  <c r="AU43" i="2" s="1"/>
  <c r="AK11" i="2"/>
  <c r="AA11" i="2"/>
  <c r="AX10" i="2"/>
  <c r="AW10" i="2"/>
  <c r="AV10" i="2"/>
  <c r="AT10" i="2"/>
  <c r="AT47" i="2" s="1"/>
  <c r="AS10" i="2"/>
  <c r="AR10" i="2"/>
  <c r="AU10" i="2" s="1"/>
  <c r="AQ10" i="2"/>
  <c r="AP10" i="2"/>
  <c r="AT45" i="2" s="1"/>
  <c r="AO10" i="2"/>
  <c r="AN10" i="2"/>
  <c r="AT44" i="2" s="1"/>
  <c r="AL10" i="2"/>
  <c r="AT43" i="2" s="1"/>
  <c r="AK10" i="2"/>
  <c r="AA10" i="2"/>
  <c r="AX9" i="2"/>
  <c r="AW9" i="2"/>
  <c r="AV9" i="2"/>
  <c r="AT9" i="2"/>
  <c r="AS9" i="2"/>
  <c r="AR9" i="2"/>
  <c r="AU9" i="2" s="1"/>
  <c r="AQ9" i="2"/>
  <c r="AP9" i="2"/>
  <c r="AR45" i="2" s="1"/>
  <c r="AO9" i="2"/>
  <c r="AN9" i="2"/>
  <c r="AR44" i="2" s="1"/>
  <c r="AL9" i="2"/>
  <c r="AR43" i="2" s="1"/>
  <c r="AK9" i="2"/>
  <c r="AA9" i="2"/>
  <c r="AX8" i="2"/>
  <c r="AW8" i="2"/>
  <c r="AV8" i="2"/>
  <c r="AT8" i="2"/>
  <c r="AQ47" i="2" s="1"/>
  <c r="AS8" i="2"/>
  <c r="AR8" i="2"/>
  <c r="AQ8" i="2"/>
  <c r="AP8" i="2"/>
  <c r="AQ45" i="2" s="1"/>
  <c r="AO8" i="2"/>
  <c r="AN8" i="2"/>
  <c r="AQ44" i="2" s="1"/>
  <c r="AL8" i="2"/>
  <c r="AQ43" i="2" s="1"/>
  <c r="AK8" i="2"/>
  <c r="AA8" i="2"/>
  <c r="AX7" i="2"/>
  <c r="AW7" i="2"/>
  <c r="AV7" i="2"/>
  <c r="AT7" i="2"/>
  <c r="AP47" i="2" s="1"/>
  <c r="AS7" i="2"/>
  <c r="AR7" i="2"/>
  <c r="AP46" i="2" s="1"/>
  <c r="AQ7" i="2"/>
  <c r="AP7" i="2"/>
  <c r="AP45" i="2" s="1"/>
  <c r="AO7" i="2"/>
  <c r="AN7" i="2"/>
  <c r="AP44" i="2" s="1"/>
  <c r="AL7" i="2"/>
  <c r="AP43" i="2" s="1"/>
  <c r="AK7" i="2"/>
  <c r="AA7" i="2"/>
  <c r="AX6" i="2"/>
  <c r="AW6" i="2"/>
  <c r="AV6" i="2"/>
  <c r="AT6" i="2"/>
  <c r="AO47" i="2" s="1"/>
  <c r="AS6" i="2"/>
  <c r="AR6" i="2"/>
  <c r="AO46" i="2" s="1"/>
  <c r="AQ6" i="2"/>
  <c r="AP6" i="2"/>
  <c r="AO45" i="2" s="1"/>
  <c r="AO6" i="2"/>
  <c r="AN6" i="2"/>
  <c r="AO44" i="2" s="1"/>
  <c r="AL6" i="2"/>
  <c r="AO43" i="2" s="1"/>
  <c r="AK6" i="2"/>
  <c r="AA6" i="2"/>
  <c r="AX5" i="2"/>
  <c r="AW5" i="2"/>
  <c r="AV5" i="2"/>
  <c r="AT5" i="2"/>
  <c r="AN47" i="2" s="1"/>
  <c r="AS5" i="2"/>
  <c r="AR5" i="2"/>
  <c r="AN46" i="2" s="1"/>
  <c r="AQ5" i="2"/>
  <c r="AP5" i="2"/>
  <c r="AN45" i="2" s="1"/>
  <c r="AO5" i="2"/>
  <c r="AN5" i="2"/>
  <c r="AN44" i="2" s="1"/>
  <c r="AL5" i="2"/>
  <c r="AN43" i="2" s="1"/>
  <c r="AK5" i="2"/>
  <c r="AA5" i="2"/>
  <c r="AX4" i="2"/>
  <c r="AW4" i="2"/>
  <c r="AV4" i="2"/>
  <c r="AT4" i="2"/>
  <c r="AS4" i="2"/>
  <c r="AR4" i="2"/>
  <c r="AQ4" i="2"/>
  <c r="AP4" i="2"/>
  <c r="AM45" i="2" s="1"/>
  <c r="AO4" i="2"/>
  <c r="AN4" i="2"/>
  <c r="AL4" i="2"/>
  <c r="AM43" i="2" s="1"/>
  <c r="AK4" i="2"/>
  <c r="AA4" i="2"/>
  <c r="AX3" i="2"/>
  <c r="AW3" i="2"/>
  <c r="AV3" i="2"/>
  <c r="AT3" i="2"/>
  <c r="AL47" i="2" s="1"/>
  <c r="AS3" i="2"/>
  <c r="AR3" i="2"/>
  <c r="AQ3" i="2"/>
  <c r="AP3" i="2"/>
  <c r="AO3" i="2"/>
  <c r="AN3" i="2"/>
  <c r="AL3" i="2"/>
  <c r="AK3" i="2"/>
  <c r="AA3" i="2"/>
  <c r="AX2" i="2"/>
  <c r="AW2" i="2"/>
  <c r="AV2" i="2"/>
  <c r="AT2" i="2"/>
  <c r="AK47" i="2" s="1"/>
  <c r="AS2" i="2"/>
  <c r="AR2" i="2"/>
  <c r="AK46" i="2" s="1"/>
  <c r="AQ2" i="2"/>
  <c r="AP2" i="2"/>
  <c r="AO2" i="2"/>
  <c r="AN2" i="2"/>
  <c r="AL2" i="2"/>
  <c r="AK2" i="2"/>
  <c r="AA2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B1" i="2"/>
  <c r="F49" i="13" l="1"/>
  <c r="C53" i="11"/>
  <c r="AV29" i="2"/>
  <c r="AW31" i="2"/>
  <c r="AU14" i="2"/>
  <c r="AU25" i="2"/>
  <c r="AR46" i="2"/>
  <c r="AS46" i="2"/>
  <c r="AV46" i="2"/>
  <c r="AX30" i="2"/>
  <c r="AY46" i="2"/>
  <c r="AU8" i="2"/>
  <c r="BB46" i="2"/>
  <c r="H49" i="13"/>
  <c r="G49" i="13"/>
  <c r="AW34" i="2"/>
  <c r="AX34" i="2"/>
  <c r="AX46" i="2"/>
  <c r="AX33" i="2"/>
  <c r="AW35" i="2"/>
  <c r="AK43" i="2"/>
  <c r="BE44" i="2"/>
  <c r="AV35" i="2"/>
  <c r="AQ46" i="2"/>
  <c r="E48" i="9"/>
  <c r="AV30" i="2"/>
  <c r="AW29" i="2"/>
  <c r="AM47" i="2"/>
  <c r="AX35" i="2"/>
  <c r="AU24" i="2"/>
  <c r="AS43" i="2"/>
  <c r="AK45" i="2"/>
  <c r="AV32" i="2"/>
  <c r="AV31" i="2"/>
  <c r="AW30" i="2"/>
  <c r="AW36" i="2"/>
  <c r="AX31" i="2"/>
  <c r="AK44" i="2"/>
  <c r="AU11" i="2"/>
  <c r="AV36" i="2"/>
  <c r="AX36" i="2"/>
  <c r="D53" i="11"/>
  <c r="E1" i="11"/>
  <c r="M48" i="9"/>
  <c r="N48" i="9" s="1"/>
  <c r="AV34" i="2"/>
  <c r="AU23" i="2"/>
  <c r="AX32" i="2"/>
  <c r="AS47" i="2"/>
  <c r="AU13" i="2"/>
  <c r="AU22" i="2"/>
  <c r="AV33" i="2"/>
  <c r="AL45" i="2"/>
  <c r="BD46" i="2"/>
  <c r="AU4" i="2"/>
  <c r="AW32" i="2"/>
  <c r="AL43" i="2"/>
  <c r="AW33" i="2"/>
  <c r="BE46" i="2"/>
  <c r="AU7" i="2"/>
  <c r="AL44" i="2"/>
  <c r="AT46" i="2"/>
  <c r="AZ46" i="2"/>
  <c r="BA46" i="2"/>
  <c r="AU6" i="2"/>
  <c r="BC46" i="2"/>
  <c r="AS44" i="2"/>
  <c r="AL46" i="2"/>
  <c r="AX29" i="2"/>
  <c r="AU2" i="2"/>
  <c r="AM46" i="2"/>
  <c r="BE47" i="2"/>
  <c r="AU5" i="2"/>
  <c r="AW44" i="2"/>
  <c r="AS45" i="2"/>
  <c r="F48" i="9" l="1"/>
  <c r="G48" i="9" s="1"/>
  <c r="F1" i="11"/>
  <c r="E53" i="11"/>
  <c r="F53" i="11" l="1"/>
  <c r="G1" i="11"/>
  <c r="G53" i="11" l="1"/>
  <c r="H1" i="11"/>
  <c r="I1" i="11" l="1"/>
  <c r="H53" i="11"/>
  <c r="I53" i="11" l="1"/>
  <c r="J1" i="11"/>
  <c r="K1" i="11" l="1"/>
  <c r="J53" i="11"/>
  <c r="L1" i="11" l="1"/>
  <c r="K53" i="11"/>
  <c r="M1" i="11" l="1"/>
  <c r="L53" i="11"/>
  <c r="M53" i="11" l="1"/>
  <c r="N1" i="11"/>
  <c r="N53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tc={F2BBB3DF-DD24-4636-B62B-EBCCE8343FFD}</author>
    <author>tc={C7EACD35-3ACE-4744-AB62-32021654EC25}</author>
  </authors>
  <commentList>
    <comment ref="V15" authorId="0" shapeId="0" xr:uid="{F2BBB3DF-DD24-4636-B62B-EBCCE8343FFD}">
      <text>
        <t>[Threaded comment]
Your version of Excel allows you to read this threaded comment; however, any edits to it will get removed if the file is opened in a newer version of Excel. Learn more: https://go.microsoft.com/fwlink/?linkid=870924
Comment:
    Govt Shut Down - Ratings Interpolated From Oct 3 and Oct 24 Data</t>
      </text>
    </comment>
    <comment ref="W15" authorId="1" shapeId="0" xr:uid="{C7EACD35-3ACE-4744-AB62-32021654EC25}">
      <text>
        <t>[Threaded comment]
Your version of Excel allows you to read this threaded comment; however, any edits to it will get removed if the file is opened in a newer version of Excel. Learn more: https://go.microsoft.com/fwlink/?linkid=870924
Comment:
    Govt Shut Down - Ratings Interpolated From Oct 3 and Oct 24 Data</t>
      </text>
    </comment>
  </commentList>
</comments>
</file>

<file path=xl/sharedStrings.xml><?xml version="1.0" encoding="utf-8"?>
<sst xmlns="http://schemas.openxmlformats.org/spreadsheetml/2006/main" count="61" uniqueCount="44">
  <si>
    <t>July</t>
  </si>
  <si>
    <t>August</t>
  </si>
  <si>
    <t>September</t>
  </si>
  <si>
    <t>October</t>
  </si>
  <si>
    <t>November</t>
  </si>
  <si>
    <t>Final</t>
  </si>
  <si>
    <t>Sep Stocks Implied</t>
  </si>
  <si>
    <t>August Rating</t>
  </si>
  <si>
    <t>Yield Change July - August</t>
  </si>
  <si>
    <t>Condition Ratings Change July - August</t>
  </si>
  <si>
    <t>Yield Change August - September</t>
  </si>
  <si>
    <t>Condition Ratings Change August - September</t>
  </si>
  <si>
    <t>Yield Change September - October</t>
  </si>
  <si>
    <t>Condition Ratings Change September - October</t>
  </si>
  <si>
    <t>Yield Change October - November</t>
  </si>
  <si>
    <t>Condition Ratings Change EO September - Final</t>
  </si>
  <si>
    <t>Yield Change November - Final</t>
  </si>
  <si>
    <t>Yield Change September - Final</t>
  </si>
  <si>
    <t>Yield Change October - Final</t>
  </si>
  <si>
    <t>Five-Year Average</t>
  </si>
  <si>
    <t>Five-Year Range</t>
  </si>
  <si>
    <t>Five-Year Max</t>
  </si>
  <si>
    <t>Five-Year Min</t>
  </si>
  <si>
    <t>Change Higher</t>
  </si>
  <si>
    <t>Change Lower</t>
  </si>
  <si>
    <t>Average Raise</t>
  </si>
  <si>
    <t>Average Reduction</t>
  </si>
  <si>
    <t>Average</t>
  </si>
  <si>
    <t>5-Yr Avg</t>
  </si>
  <si>
    <t>5-Yr Min</t>
  </si>
  <si>
    <t>5-Yr Max</t>
  </si>
  <si>
    <t>Weekly Change</t>
  </si>
  <si>
    <t>5-Year Average</t>
  </si>
  <si>
    <t>bold numbers are estimates due to a government shutdown restricting reporting</t>
  </si>
  <si>
    <t>Numbers in green are RLC estimates and forecasts</t>
  </si>
  <si>
    <t>Offset Planting</t>
  </si>
  <si>
    <t>Offset Pace of Planting</t>
  </si>
  <si>
    <t>RLC Predicted Progress</t>
  </si>
  <si>
    <t>Current Year Above 5-Yr Max?</t>
  </si>
  <si>
    <t>25-Yr Average</t>
  </si>
  <si>
    <t>25-Yr Avg Weekly ∆</t>
  </si>
  <si>
    <t>"Trendline"</t>
  </si>
  <si>
    <t>∆</t>
  </si>
  <si>
    <t>Avg ∆ to 10-Yr Cond 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</si>
</sst>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);[Red]\(0.0\)"/>
    <numFmt numFmtId="165" formatCode="0.000_);[Red]\(0.000\)"/>
    <numFmt numFmtId="166" formatCode="#,##0.0_);[Red]\(#,##0.0\)"/>
  </numFmts>
  <fonts count="11"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sz val="10"/>
      <color theme="1"/>
      <name val="Brown"/>
    </font>
    <font>
      <b/>
      <sz val="10"/>
      <color theme="1"/>
      <name val="Brown"/>
    </font>
    <font>
      <b/>
      <sz val="10"/>
      <color theme="1"/>
      <name val="Arial Narrow"/>
      <family val="2"/>
    </font>
    <font>
      <sz val="8"/>
      <color theme="1"/>
      <name val="Avenir Next LT Pro Demi"/>
      <family val="2"/>
    </font>
    <font>
      <sz val="8"/>
      <name val="Avenir Next LT Pro Demi"/>
      <family val="2"/>
    </font>
    <font>
      <b/>
      <sz val="8"/>
      <color rgb="FF6F0791"/>
      <name val="Avenir Next LT Pro Demi"/>
      <family val="2"/>
    </font>
    <font>
      <b/>
      <sz val="8"/>
      <color rgb="FFFF0000"/>
      <name val="Avenir Next LT Pro Demi"/>
      <family val="2"/>
    </font>
    <font>
      <b/>
      <sz val="8"/>
      <color rgb="FF69C129"/>
      <name val="Avenir Next LT Pro Demi"/>
      <family val="2"/>
    </font>
    <font>
      <sz val="8"/>
      <color rgb="FF2E865F"/>
      <name val="Avenir Next LT Pro Demi"/>
      <family val="2"/>
    </font>
  </fonts>
  <fills count="4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4" fontId="1" fillId="0" borderId="0" xfId="0" applyNumberFormat="1" applyFont="1"/>
    <xf numFmtId="38" fontId="2" fillId="0" borderId="0" xfId="0" applyNumberFormat="1" applyFont="1"/>
    <xf numFmtId="38" fontId="3" fillId="0" borderId="0" xfId="0" applyNumberFormat="1" applyFont="1"/>
    <xf numFmtId="0" fontId="4" fillId="0" borderId="0" xfId="0" applyFont="1"/>
    <xf numFmtId="0" fontId="5" fillId="0" borderId="0" xfId="0" applyFont="1"/>
    <xf numFmtId="16" fontId="5" fillId="0" borderId="0" xfId="0" applyNumberFormat="1" applyFont="1"/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" fontId="7" fillId="0" borderId="0" xfId="0" applyNumberFormat="1" applyFont="1"/>
    <xf numFmtId="1" fontId="5" fillId="0" borderId="0" xfId="0" applyNumberFormat="1" applyFont="1"/>
    <xf numFmtId="164" fontId="5" fillId="0" borderId="0" xfId="0" applyNumberFormat="1" applyFont="1" applyAlignment="1">
      <alignment horizontal="right"/>
    </xf>
    <xf numFmtId="14" fontId="5" fillId="0" borderId="0" xfId="0" applyNumberFormat="1" applyFont="1"/>
    <xf numFmtId="0" fontId="5" fillId="3" borderId="0" xfId="0" applyFont="1" applyFill="1"/>
    <xf numFmtId="1" fontId="9" fillId="0" borderId="0" xfId="0" applyNumberFormat="1" applyFont="1"/>
    <xf numFmtId="38" fontId="5" fillId="0" borderId="0" xfId="0" applyNumberFormat="1" applyFont="1"/>
    <xf numFmtId="166" fontId="5" fillId="2" borderId="0" xfId="0" applyNumberFormat="1" applyFont="1" applyFill="1"/>
    <xf numFmtId="0" fontId="10" fillId="0" borderId="0" xfId="0" applyFont="1" applyAlignment="1">
      <alignment horizontal="right"/>
    </xf>
    <xf numFmtId="166" fontId="10" fillId="0" borderId="0" xfId="0" applyNumberFormat="1" applyFont="1"/>
    <xf numFmtId="38" fontId="10" fillId="0" borderId="0" xfId="0" applyNumberFormat="1" applyFont="1" applyAlignment="1">
      <alignment horizontal="right"/>
    </xf>
    <xf numFmtId="38" fontId="6" fillId="0" borderId="0" xfId="0" applyNumberFormat="1" applyFont="1"/>
    <xf numFmtId="166" fontId="8" fillId="0" borderId="0" xfId="0" applyNumberFormat="1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E865F"/>
      <color rgb="FFFFB108"/>
      <color rgb="FF69C129"/>
      <color rgb="FF323232"/>
      <color rgb="FF8C8C8C"/>
      <color rgb="FFECE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worksheet" Target="worksheets/sheet4.xml"/><Relationship Id="rId18" Type="http://schemas.microsoft.com/office/2017/10/relationships/person" Target="persons/perso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9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6" Type="http://schemas.openxmlformats.org/officeDocument/2006/relationships/styles" Target="styles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3.xml"/><Relationship Id="rId5" Type="http://schemas.openxmlformats.org/officeDocument/2006/relationships/chartsheet" Target="chartsheets/sheet4.xml"/><Relationship Id="rId15" Type="http://schemas.openxmlformats.org/officeDocument/2006/relationships/theme" Target="theme/theme1.xml"/><Relationship Id="rId10" Type="http://schemas.openxmlformats.org/officeDocument/2006/relationships/chartsheet" Target="chartsheets/sheet8.xml"/><Relationship Id="rId19" Type="http://schemas.openxmlformats.org/officeDocument/2006/relationships/calcChain" Target="calcChain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2.xml"/><Relationship Id="rId14" Type="http://schemas.openxmlformats.org/officeDocument/2006/relationships/chartsheet" Target="chartsheets/sheet10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28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Soybean</a:t>
            </a:r>
            <a:r>
              <a:rPr lang="en-GB" sz="28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Crop Condition Ratings Support Record Yields</a:t>
            </a:r>
            <a:endParaRPr lang="en-GB" sz="2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6.9634309753407189E-2"/>
          <c:y val="0.19387452674610364"/>
          <c:w val="0.69152496860660728"/>
          <c:h val="0.63376768169465536"/>
        </c:manualLayout>
      </c:layout>
      <c:lineChart>
        <c:grouping val="standard"/>
        <c:varyColors val="0"/>
        <c:ser>
          <c:idx val="0"/>
          <c:order val="0"/>
          <c:tx>
            <c:strRef>
              <c:f>'Conditions Chart Data'!$A$15</c:f>
              <c:strCache>
                <c:ptCount val="1"/>
                <c:pt idx="0">
                  <c:v>2013</c:v>
                </c:pt>
              </c:strCache>
            </c:strRef>
          </c:tx>
          <c:spPr>
            <a:ln w="15875" cap="rnd">
              <a:solidFill>
                <a:srgbClr val="8E9A4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02C-4F40-B0BE-97560A9C0BF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02C-4F40-B0BE-97560A9C0BF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02C-4F40-B0BE-97560A9C0BF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02C-4F40-B0BE-97560A9C0BF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6F5AE07-9519-4C1A-9EE1-91601C9E36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02C-4F40-B0BE-97560A9C0BF8}"/>
                </c:ext>
              </c:extLst>
            </c:dLbl>
            <c:spPr>
              <a:solidFill>
                <a:schemeClr val="bg1"/>
              </a:solidFill>
              <a:ln w="15875">
                <a:solidFill>
                  <a:srgbClr val="8E9A44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8E9A44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45816</c:v>
                </c:pt>
                <c:pt idx="1">
                  <c:v>45823</c:v>
                </c:pt>
                <c:pt idx="2">
                  <c:v>45830</c:v>
                </c:pt>
                <c:pt idx="3">
                  <c:v>45837</c:v>
                </c:pt>
                <c:pt idx="4">
                  <c:v>45844</c:v>
                </c:pt>
                <c:pt idx="5">
                  <c:v>45851</c:v>
                </c:pt>
                <c:pt idx="6">
                  <c:v>45858</c:v>
                </c:pt>
                <c:pt idx="7">
                  <c:v>45865</c:v>
                </c:pt>
                <c:pt idx="8">
                  <c:v>45872</c:v>
                </c:pt>
                <c:pt idx="9">
                  <c:v>45879</c:v>
                </c:pt>
                <c:pt idx="10">
                  <c:v>45886</c:v>
                </c:pt>
                <c:pt idx="11">
                  <c:v>45893</c:v>
                </c:pt>
                <c:pt idx="12">
                  <c:v>45900</c:v>
                </c:pt>
                <c:pt idx="13">
                  <c:v>45907</c:v>
                </c:pt>
                <c:pt idx="14">
                  <c:v>45914</c:v>
                </c:pt>
                <c:pt idx="15">
                  <c:v>45921</c:v>
                </c:pt>
                <c:pt idx="16">
                  <c:v>45928</c:v>
                </c:pt>
                <c:pt idx="17">
                  <c:v>45935</c:v>
                </c:pt>
                <c:pt idx="18">
                  <c:v>45942</c:v>
                </c:pt>
                <c:pt idx="19">
                  <c:v>45949</c:v>
                </c:pt>
                <c:pt idx="20">
                  <c:v>45956</c:v>
                </c:pt>
              </c:numCache>
            </c:numRef>
          </c:cat>
          <c:val>
            <c:numRef>
              <c:f>'Conditions Chart Data'!$D$15:$X$15</c:f>
              <c:numCache>
                <c:formatCode>#,##0_);[Red]\(#,##0\)</c:formatCode>
                <c:ptCount val="21"/>
                <c:pt idx="2">
                  <c:v>64</c:v>
                </c:pt>
                <c:pt idx="3">
                  <c:v>65</c:v>
                </c:pt>
                <c:pt idx="4">
                  <c:v>67</c:v>
                </c:pt>
                <c:pt idx="5">
                  <c:v>67</c:v>
                </c:pt>
                <c:pt idx="6">
                  <c:v>65</c:v>
                </c:pt>
                <c:pt idx="7">
                  <c:v>64</c:v>
                </c:pt>
                <c:pt idx="8">
                  <c:v>63</c:v>
                </c:pt>
                <c:pt idx="9">
                  <c:v>64</c:v>
                </c:pt>
                <c:pt idx="10">
                  <c:v>64</c:v>
                </c:pt>
                <c:pt idx="11">
                  <c:v>62</c:v>
                </c:pt>
                <c:pt idx="12">
                  <c:v>58</c:v>
                </c:pt>
                <c:pt idx="13">
                  <c:v>54</c:v>
                </c:pt>
                <c:pt idx="14">
                  <c:v>52</c:v>
                </c:pt>
                <c:pt idx="15">
                  <c:v>50</c:v>
                </c:pt>
                <c:pt idx="16">
                  <c:v>50</c:v>
                </c:pt>
                <c:pt idx="17">
                  <c:v>53</c:v>
                </c:pt>
                <c:pt idx="18">
                  <c:v>54.333333333333336</c:v>
                </c:pt>
                <c:pt idx="19">
                  <c:v>55.666666666666671</c:v>
                </c:pt>
                <c:pt idx="20">
                  <c:v>57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Data'!$D$36:$X$36</c15:f>
                <c15:dlblRangeCache>
                  <c:ptCount val="21"/>
                  <c:pt idx="20">
                    <c:v>44.0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402C-4F40-B0BE-97560A9C0BF8}"/>
            </c:ext>
          </c:extLst>
        </c:ser>
        <c:ser>
          <c:idx val="1"/>
          <c:order val="1"/>
          <c:tx>
            <c:strRef>
              <c:f>'Conditions Chart Data'!$A$16</c:f>
              <c:strCache>
                <c:ptCount val="1"/>
                <c:pt idx="0">
                  <c:v>2014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02C-4F40-B0BE-97560A9C0B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02C-4F40-B0BE-97560A9C0BF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02C-4F40-B0BE-97560A9C0BF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02C-4F40-B0BE-97560A9C0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E2A127A-5A93-47A1-9BB4-B66BB35976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402C-4F40-B0BE-97560A9C0BF8}"/>
                </c:ext>
              </c:extLst>
            </c:dLbl>
            <c:spPr>
              <a:solidFill>
                <a:schemeClr val="bg1"/>
              </a:solidFill>
              <a:ln w="15875">
                <a:solidFill>
                  <a:schemeClr val="accent2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45816</c:v>
                </c:pt>
                <c:pt idx="1">
                  <c:v>45823</c:v>
                </c:pt>
                <c:pt idx="2">
                  <c:v>45830</c:v>
                </c:pt>
                <c:pt idx="3">
                  <c:v>45837</c:v>
                </c:pt>
                <c:pt idx="4">
                  <c:v>45844</c:v>
                </c:pt>
                <c:pt idx="5">
                  <c:v>45851</c:v>
                </c:pt>
                <c:pt idx="6">
                  <c:v>45858</c:v>
                </c:pt>
                <c:pt idx="7">
                  <c:v>45865</c:v>
                </c:pt>
                <c:pt idx="8">
                  <c:v>45872</c:v>
                </c:pt>
                <c:pt idx="9">
                  <c:v>45879</c:v>
                </c:pt>
                <c:pt idx="10">
                  <c:v>45886</c:v>
                </c:pt>
                <c:pt idx="11">
                  <c:v>45893</c:v>
                </c:pt>
                <c:pt idx="12">
                  <c:v>45900</c:v>
                </c:pt>
                <c:pt idx="13">
                  <c:v>45907</c:v>
                </c:pt>
                <c:pt idx="14">
                  <c:v>45914</c:v>
                </c:pt>
                <c:pt idx="15">
                  <c:v>45921</c:v>
                </c:pt>
                <c:pt idx="16">
                  <c:v>45928</c:v>
                </c:pt>
                <c:pt idx="17">
                  <c:v>45935</c:v>
                </c:pt>
                <c:pt idx="18">
                  <c:v>45942</c:v>
                </c:pt>
                <c:pt idx="19">
                  <c:v>45949</c:v>
                </c:pt>
                <c:pt idx="20">
                  <c:v>45956</c:v>
                </c:pt>
              </c:numCache>
            </c:numRef>
          </c:cat>
          <c:val>
            <c:numRef>
              <c:f>'Conditions Chart Data'!$D$16:$X$16</c:f>
              <c:numCache>
                <c:formatCode>#,##0_);[Red]\(#,##0\)</c:formatCode>
                <c:ptCount val="21"/>
                <c:pt idx="0">
                  <c:v>74</c:v>
                </c:pt>
                <c:pt idx="1">
                  <c:v>73</c:v>
                </c:pt>
                <c:pt idx="2">
                  <c:v>72</c:v>
                </c:pt>
                <c:pt idx="3">
                  <c:v>72</c:v>
                </c:pt>
                <c:pt idx="4">
                  <c:v>72</c:v>
                </c:pt>
                <c:pt idx="5">
                  <c:v>72</c:v>
                </c:pt>
                <c:pt idx="6">
                  <c:v>73</c:v>
                </c:pt>
                <c:pt idx="7">
                  <c:v>71</c:v>
                </c:pt>
                <c:pt idx="8">
                  <c:v>71</c:v>
                </c:pt>
                <c:pt idx="9">
                  <c:v>70</c:v>
                </c:pt>
                <c:pt idx="10">
                  <c:v>71</c:v>
                </c:pt>
                <c:pt idx="11">
                  <c:v>70</c:v>
                </c:pt>
                <c:pt idx="12">
                  <c:v>72</c:v>
                </c:pt>
                <c:pt idx="13">
                  <c:v>72</c:v>
                </c:pt>
                <c:pt idx="14">
                  <c:v>72</c:v>
                </c:pt>
                <c:pt idx="15">
                  <c:v>71</c:v>
                </c:pt>
                <c:pt idx="16">
                  <c:v>72</c:v>
                </c:pt>
                <c:pt idx="17">
                  <c:v>73</c:v>
                </c:pt>
                <c:pt idx="18">
                  <c:v>73</c:v>
                </c:pt>
                <c:pt idx="19">
                  <c:v>73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Data'!$D$37:$X$37</c15:f>
                <c15:dlblRangeCache>
                  <c:ptCount val="21"/>
                  <c:pt idx="19">
                    <c:v>47.5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402C-4F40-B0BE-97560A9C0BF8}"/>
            </c:ext>
          </c:extLst>
        </c:ser>
        <c:ser>
          <c:idx val="2"/>
          <c:order val="2"/>
          <c:tx>
            <c:strRef>
              <c:f>'Conditions Chart Data'!$A$17</c:f>
              <c:strCache>
                <c:ptCount val="1"/>
                <c:pt idx="0">
                  <c:v>2015</c:v>
                </c:pt>
              </c:strCache>
            </c:strRef>
          </c:tx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02C-4F40-B0BE-97560A9C0B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402C-4F40-B0BE-97560A9C0BF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402C-4F40-B0BE-97560A9C0BF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146E741-E5EE-4856-959E-0CA5E4763B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402C-4F40-B0BE-97560A9C0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402C-4F40-B0BE-97560A9C0BF8}"/>
                </c:ext>
              </c:extLst>
            </c:dLbl>
            <c:spPr>
              <a:solidFill>
                <a:schemeClr val="bg1"/>
              </a:solidFill>
              <a:ln w="15875">
                <a:solidFill>
                  <a:srgbClr val="8C8C8C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8C8C8C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45816</c:v>
                </c:pt>
                <c:pt idx="1">
                  <c:v>45823</c:v>
                </c:pt>
                <c:pt idx="2">
                  <c:v>45830</c:v>
                </c:pt>
                <c:pt idx="3">
                  <c:v>45837</c:v>
                </c:pt>
                <c:pt idx="4">
                  <c:v>45844</c:v>
                </c:pt>
                <c:pt idx="5">
                  <c:v>45851</c:v>
                </c:pt>
                <c:pt idx="6">
                  <c:v>45858</c:v>
                </c:pt>
                <c:pt idx="7">
                  <c:v>45865</c:v>
                </c:pt>
                <c:pt idx="8">
                  <c:v>45872</c:v>
                </c:pt>
                <c:pt idx="9">
                  <c:v>45879</c:v>
                </c:pt>
                <c:pt idx="10">
                  <c:v>45886</c:v>
                </c:pt>
                <c:pt idx="11">
                  <c:v>45893</c:v>
                </c:pt>
                <c:pt idx="12">
                  <c:v>45900</c:v>
                </c:pt>
                <c:pt idx="13">
                  <c:v>45907</c:v>
                </c:pt>
                <c:pt idx="14">
                  <c:v>45914</c:v>
                </c:pt>
                <c:pt idx="15">
                  <c:v>45921</c:v>
                </c:pt>
                <c:pt idx="16">
                  <c:v>45928</c:v>
                </c:pt>
                <c:pt idx="17">
                  <c:v>45935</c:v>
                </c:pt>
                <c:pt idx="18">
                  <c:v>45942</c:v>
                </c:pt>
                <c:pt idx="19">
                  <c:v>45949</c:v>
                </c:pt>
                <c:pt idx="20">
                  <c:v>45956</c:v>
                </c:pt>
              </c:numCache>
            </c:numRef>
          </c:cat>
          <c:val>
            <c:numRef>
              <c:f>'Conditions Chart Data'!$D$17:$X$17</c:f>
              <c:numCache>
                <c:formatCode>#,##0_);[Red]\(#,##0\)</c:formatCode>
                <c:ptCount val="21"/>
                <c:pt idx="0">
                  <c:v>69</c:v>
                </c:pt>
                <c:pt idx="1">
                  <c:v>67</c:v>
                </c:pt>
                <c:pt idx="2">
                  <c:v>65</c:v>
                </c:pt>
                <c:pt idx="3">
                  <c:v>63</c:v>
                </c:pt>
                <c:pt idx="4">
                  <c:v>63</c:v>
                </c:pt>
                <c:pt idx="5">
                  <c:v>62</c:v>
                </c:pt>
                <c:pt idx="6">
                  <c:v>62</c:v>
                </c:pt>
                <c:pt idx="7">
                  <c:v>62</c:v>
                </c:pt>
                <c:pt idx="8">
                  <c:v>63</c:v>
                </c:pt>
                <c:pt idx="9">
                  <c:v>63</c:v>
                </c:pt>
                <c:pt idx="10">
                  <c:v>63</c:v>
                </c:pt>
                <c:pt idx="11">
                  <c:v>63</c:v>
                </c:pt>
                <c:pt idx="12">
                  <c:v>63</c:v>
                </c:pt>
                <c:pt idx="13">
                  <c:v>63</c:v>
                </c:pt>
                <c:pt idx="14">
                  <c:v>61</c:v>
                </c:pt>
                <c:pt idx="15">
                  <c:v>63</c:v>
                </c:pt>
                <c:pt idx="16">
                  <c:v>62</c:v>
                </c:pt>
                <c:pt idx="17">
                  <c:v>64</c:v>
                </c:pt>
                <c:pt idx="18">
                  <c:v>64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Data'!$D$38:$X$38</c15:f>
                <c15:dlblRangeCache>
                  <c:ptCount val="21"/>
                  <c:pt idx="18">
                    <c:v>48.0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1-402C-4F40-B0BE-97560A9C0BF8}"/>
            </c:ext>
          </c:extLst>
        </c:ser>
        <c:ser>
          <c:idx val="3"/>
          <c:order val="3"/>
          <c:tx>
            <c:strRef>
              <c:f>'Conditions Chart Data'!$A$18</c:f>
              <c:strCache>
                <c:ptCount val="1"/>
                <c:pt idx="0">
                  <c:v>2016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402C-4F40-B0BE-97560A9C0B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402C-4F40-B0BE-97560A9C0BF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402C-4F40-B0BE-97560A9C0BF8}"/>
                </c:ext>
              </c:extLst>
            </c:dLbl>
            <c:dLbl>
              <c:idx val="18"/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700" b="1" i="0" u="none" strike="noStrike" kern="1200" baseline="0">
                        <a:solidFill>
                          <a:srgbClr val="FFC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4D0A99FE-167F-4AE4-92F1-405BA44D9A7C}" type="CELLRANGE">
                      <a:rPr lang="en-US"/>
                      <a:pPr>
                        <a:defRPr sz="700" b="1">
                          <a:solidFill>
                            <a:srgbClr val="FFC000"/>
                          </a:solidFill>
                          <a:latin typeface="Arial" panose="020B0604020202020204" pitchFamily="34" charset="0"/>
                          <a:cs typeface="Arial" panose="020B06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 w="15875">
                  <a:solidFill>
                    <a:srgbClr val="FFC000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rgbClr val="FFC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402C-4F40-B0BE-97560A9C0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402C-4F40-B0BE-97560A9C0BF8}"/>
                </c:ext>
              </c:extLst>
            </c:dLbl>
            <c:spPr>
              <a:solidFill>
                <a:schemeClr val="bg1"/>
              </a:solidFill>
              <a:ln w="15875">
                <a:solidFill>
                  <a:srgbClr val="FFC000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45816</c:v>
                </c:pt>
                <c:pt idx="1">
                  <c:v>45823</c:v>
                </c:pt>
                <c:pt idx="2">
                  <c:v>45830</c:v>
                </c:pt>
                <c:pt idx="3">
                  <c:v>45837</c:v>
                </c:pt>
                <c:pt idx="4">
                  <c:v>45844</c:v>
                </c:pt>
                <c:pt idx="5">
                  <c:v>45851</c:v>
                </c:pt>
                <c:pt idx="6">
                  <c:v>45858</c:v>
                </c:pt>
                <c:pt idx="7">
                  <c:v>45865</c:v>
                </c:pt>
                <c:pt idx="8">
                  <c:v>45872</c:v>
                </c:pt>
                <c:pt idx="9">
                  <c:v>45879</c:v>
                </c:pt>
                <c:pt idx="10">
                  <c:v>45886</c:v>
                </c:pt>
                <c:pt idx="11">
                  <c:v>45893</c:v>
                </c:pt>
                <c:pt idx="12">
                  <c:v>45900</c:v>
                </c:pt>
                <c:pt idx="13">
                  <c:v>45907</c:v>
                </c:pt>
                <c:pt idx="14">
                  <c:v>45914</c:v>
                </c:pt>
                <c:pt idx="15">
                  <c:v>45921</c:v>
                </c:pt>
                <c:pt idx="16">
                  <c:v>45928</c:v>
                </c:pt>
                <c:pt idx="17">
                  <c:v>45935</c:v>
                </c:pt>
                <c:pt idx="18">
                  <c:v>45942</c:v>
                </c:pt>
                <c:pt idx="19">
                  <c:v>45949</c:v>
                </c:pt>
                <c:pt idx="20">
                  <c:v>45956</c:v>
                </c:pt>
              </c:numCache>
            </c:numRef>
          </c:cat>
          <c:val>
            <c:numRef>
              <c:f>'Conditions Chart Data'!$D$18:$X$18</c:f>
              <c:numCache>
                <c:formatCode>#,##0_);[Red]\(#,##0\)</c:formatCode>
                <c:ptCount val="21"/>
                <c:pt idx="0">
                  <c:v>74</c:v>
                </c:pt>
                <c:pt idx="1">
                  <c:v>73</c:v>
                </c:pt>
                <c:pt idx="2">
                  <c:v>72</c:v>
                </c:pt>
                <c:pt idx="3">
                  <c:v>70</c:v>
                </c:pt>
                <c:pt idx="4">
                  <c:v>71</c:v>
                </c:pt>
                <c:pt idx="5">
                  <c:v>71</c:v>
                </c:pt>
                <c:pt idx="6">
                  <c:v>71</c:v>
                </c:pt>
                <c:pt idx="7">
                  <c:v>72</c:v>
                </c:pt>
                <c:pt idx="8">
                  <c:v>72</c:v>
                </c:pt>
                <c:pt idx="9">
                  <c:v>72</c:v>
                </c:pt>
                <c:pt idx="10">
                  <c:v>72</c:v>
                </c:pt>
                <c:pt idx="11">
                  <c:v>73</c:v>
                </c:pt>
                <c:pt idx="12">
                  <c:v>73</c:v>
                </c:pt>
                <c:pt idx="13">
                  <c:v>73</c:v>
                </c:pt>
                <c:pt idx="14">
                  <c:v>73</c:v>
                </c:pt>
                <c:pt idx="15">
                  <c:v>73</c:v>
                </c:pt>
                <c:pt idx="16">
                  <c:v>74</c:v>
                </c:pt>
                <c:pt idx="17">
                  <c:v>74</c:v>
                </c:pt>
                <c:pt idx="18">
                  <c:v>74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Data'!$D$39:$X$39</c15:f>
                <c15:dlblRangeCache>
                  <c:ptCount val="21"/>
                  <c:pt idx="18">
                    <c:v>51.9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7-402C-4F40-B0BE-97560A9C0BF8}"/>
            </c:ext>
          </c:extLst>
        </c:ser>
        <c:ser>
          <c:idx val="4"/>
          <c:order val="4"/>
          <c:tx>
            <c:strRef>
              <c:f>'Conditions Chart Data'!$A$19</c:f>
              <c:strCache>
                <c:ptCount val="1"/>
                <c:pt idx="0">
                  <c:v>2017</c:v>
                </c:pt>
              </c:strCache>
            </c:strRef>
          </c:tx>
          <c:spPr>
            <a:ln w="158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402C-4F40-B0BE-97560A9C0B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402C-4F40-B0BE-97560A9C0BF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402C-4F40-B0BE-97560A9C0BF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73C20EA-DA38-44C1-BD03-AC22E3D3F2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402C-4F40-B0BE-97560A9C0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402C-4F40-B0BE-97560A9C0BF8}"/>
                </c:ext>
              </c:extLst>
            </c:dLbl>
            <c:spPr>
              <a:solidFill>
                <a:schemeClr val="lt1"/>
              </a:solidFill>
              <a:ln w="15875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2">
                        <a:lumMod val="25000"/>
                        <a:lumOff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45816</c:v>
                </c:pt>
                <c:pt idx="1">
                  <c:v>45823</c:v>
                </c:pt>
                <c:pt idx="2">
                  <c:v>45830</c:v>
                </c:pt>
                <c:pt idx="3">
                  <c:v>45837</c:v>
                </c:pt>
                <c:pt idx="4">
                  <c:v>45844</c:v>
                </c:pt>
                <c:pt idx="5">
                  <c:v>45851</c:v>
                </c:pt>
                <c:pt idx="6">
                  <c:v>45858</c:v>
                </c:pt>
                <c:pt idx="7">
                  <c:v>45865</c:v>
                </c:pt>
                <c:pt idx="8">
                  <c:v>45872</c:v>
                </c:pt>
                <c:pt idx="9">
                  <c:v>45879</c:v>
                </c:pt>
                <c:pt idx="10">
                  <c:v>45886</c:v>
                </c:pt>
                <c:pt idx="11">
                  <c:v>45893</c:v>
                </c:pt>
                <c:pt idx="12">
                  <c:v>45900</c:v>
                </c:pt>
                <c:pt idx="13">
                  <c:v>45907</c:v>
                </c:pt>
                <c:pt idx="14">
                  <c:v>45914</c:v>
                </c:pt>
                <c:pt idx="15">
                  <c:v>45921</c:v>
                </c:pt>
                <c:pt idx="16">
                  <c:v>45928</c:v>
                </c:pt>
                <c:pt idx="17">
                  <c:v>45935</c:v>
                </c:pt>
                <c:pt idx="18">
                  <c:v>45942</c:v>
                </c:pt>
                <c:pt idx="19">
                  <c:v>45949</c:v>
                </c:pt>
                <c:pt idx="20">
                  <c:v>45956</c:v>
                </c:pt>
              </c:numCache>
            </c:numRef>
          </c:cat>
          <c:val>
            <c:numRef>
              <c:f>'Conditions Chart Data'!$D$19:$X$19</c:f>
              <c:numCache>
                <c:formatCode>#,##0_);[Red]\(#,##0\)</c:formatCode>
                <c:ptCount val="21"/>
                <c:pt idx="0">
                  <c:v>66</c:v>
                </c:pt>
                <c:pt idx="1">
                  <c:v>67</c:v>
                </c:pt>
                <c:pt idx="2">
                  <c:v>66</c:v>
                </c:pt>
                <c:pt idx="3">
                  <c:v>64</c:v>
                </c:pt>
                <c:pt idx="4">
                  <c:v>62</c:v>
                </c:pt>
                <c:pt idx="5">
                  <c:v>61</c:v>
                </c:pt>
                <c:pt idx="6">
                  <c:v>57</c:v>
                </c:pt>
                <c:pt idx="7">
                  <c:v>59</c:v>
                </c:pt>
                <c:pt idx="8">
                  <c:v>60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61</c:v>
                </c:pt>
                <c:pt idx="13">
                  <c:v>60</c:v>
                </c:pt>
                <c:pt idx="14">
                  <c:v>59</c:v>
                </c:pt>
                <c:pt idx="15">
                  <c:v>60</c:v>
                </c:pt>
                <c:pt idx="16">
                  <c:v>60</c:v>
                </c:pt>
                <c:pt idx="17">
                  <c:v>61</c:v>
                </c:pt>
                <c:pt idx="18">
                  <c:v>61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Data'!$D$40:$X$40</c15:f>
                <c15:dlblRangeCache>
                  <c:ptCount val="21"/>
                  <c:pt idx="18">
                    <c:v>49.3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D-402C-4F40-B0BE-97560A9C0BF8}"/>
            </c:ext>
          </c:extLst>
        </c:ser>
        <c:ser>
          <c:idx val="5"/>
          <c:order val="5"/>
          <c:tx>
            <c:strRef>
              <c:f>'Conditions Chart Data'!$A$20</c:f>
              <c:strCache>
                <c:ptCount val="1"/>
                <c:pt idx="0">
                  <c:v>2018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402C-4F40-B0BE-97560A9C0B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402C-4F40-B0BE-97560A9C0BF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402C-4F40-B0BE-97560A9C0BF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402C-4F40-B0BE-97560A9C0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91D2E4A-D663-4C14-A0DB-38ADE52CEE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402C-4F40-B0BE-97560A9C0BF8}"/>
                </c:ext>
              </c:extLst>
            </c:dLbl>
            <c:spPr>
              <a:solidFill>
                <a:schemeClr val="bg1"/>
              </a:solidFill>
              <a:ln w="15875">
                <a:solidFill>
                  <a:schemeClr val="accent6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45816</c:v>
                </c:pt>
                <c:pt idx="1">
                  <c:v>45823</c:v>
                </c:pt>
                <c:pt idx="2">
                  <c:v>45830</c:v>
                </c:pt>
                <c:pt idx="3">
                  <c:v>45837</c:v>
                </c:pt>
                <c:pt idx="4">
                  <c:v>45844</c:v>
                </c:pt>
                <c:pt idx="5">
                  <c:v>45851</c:v>
                </c:pt>
                <c:pt idx="6">
                  <c:v>45858</c:v>
                </c:pt>
                <c:pt idx="7">
                  <c:v>45865</c:v>
                </c:pt>
                <c:pt idx="8">
                  <c:v>45872</c:v>
                </c:pt>
                <c:pt idx="9">
                  <c:v>45879</c:v>
                </c:pt>
                <c:pt idx="10">
                  <c:v>45886</c:v>
                </c:pt>
                <c:pt idx="11">
                  <c:v>45893</c:v>
                </c:pt>
                <c:pt idx="12">
                  <c:v>45900</c:v>
                </c:pt>
                <c:pt idx="13">
                  <c:v>45907</c:v>
                </c:pt>
                <c:pt idx="14">
                  <c:v>45914</c:v>
                </c:pt>
                <c:pt idx="15">
                  <c:v>45921</c:v>
                </c:pt>
                <c:pt idx="16">
                  <c:v>45928</c:v>
                </c:pt>
                <c:pt idx="17">
                  <c:v>45935</c:v>
                </c:pt>
                <c:pt idx="18">
                  <c:v>45942</c:v>
                </c:pt>
                <c:pt idx="19">
                  <c:v>45949</c:v>
                </c:pt>
                <c:pt idx="20">
                  <c:v>45956</c:v>
                </c:pt>
              </c:numCache>
            </c:numRef>
          </c:cat>
          <c:val>
            <c:numRef>
              <c:f>'Conditions Chart Data'!$D$20:$X$20</c:f>
              <c:numCache>
                <c:formatCode>#,##0_);[Red]\(#,##0\)</c:formatCode>
                <c:ptCount val="21"/>
                <c:pt idx="0">
                  <c:v>74</c:v>
                </c:pt>
                <c:pt idx="1">
                  <c:v>73</c:v>
                </c:pt>
                <c:pt idx="2">
                  <c:v>73</c:v>
                </c:pt>
                <c:pt idx="3">
                  <c:v>71</c:v>
                </c:pt>
                <c:pt idx="4">
                  <c:v>71</c:v>
                </c:pt>
                <c:pt idx="5">
                  <c:v>69</c:v>
                </c:pt>
                <c:pt idx="6">
                  <c:v>70</c:v>
                </c:pt>
                <c:pt idx="7">
                  <c:v>70</c:v>
                </c:pt>
                <c:pt idx="8">
                  <c:v>67</c:v>
                </c:pt>
                <c:pt idx="9">
                  <c:v>66</c:v>
                </c:pt>
                <c:pt idx="10">
                  <c:v>65</c:v>
                </c:pt>
                <c:pt idx="11">
                  <c:v>66</c:v>
                </c:pt>
                <c:pt idx="12">
                  <c:v>66</c:v>
                </c:pt>
                <c:pt idx="13">
                  <c:v>68</c:v>
                </c:pt>
                <c:pt idx="14">
                  <c:v>67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66</c:v>
                </c:pt>
                <c:pt idx="19">
                  <c:v>66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Data'!$D$41:$X$41</c15:f>
                <c15:dlblRangeCache>
                  <c:ptCount val="21"/>
                  <c:pt idx="19">
                    <c:v>50.6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83-402C-4F40-B0BE-97560A9C0BF8}"/>
            </c:ext>
          </c:extLst>
        </c:ser>
        <c:ser>
          <c:idx val="6"/>
          <c:order val="6"/>
          <c:tx>
            <c:strRef>
              <c:f>'Conditions Chart Data'!$A$21</c:f>
              <c:strCache>
                <c:ptCount val="1"/>
                <c:pt idx="0">
                  <c:v>2019</c:v>
                </c:pt>
              </c:strCache>
            </c:strRef>
          </c:tx>
          <c:spPr>
            <a:ln w="158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402C-4F40-B0BE-97560A9C0BF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402C-4F40-B0BE-97560A9C0BF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402C-4F40-B0BE-97560A9C0BF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402C-4F40-B0BE-97560A9C0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E904ECE-CD80-4B5B-AB8B-00771C81CD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402C-4F40-B0BE-97560A9C0BF8}"/>
                </c:ext>
              </c:extLst>
            </c:dLbl>
            <c:spPr>
              <a:solidFill>
                <a:schemeClr val="bg1"/>
              </a:solidFill>
              <a:ln w="15875">
                <a:solidFill>
                  <a:schemeClr val="accent4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45816</c:v>
                </c:pt>
                <c:pt idx="1">
                  <c:v>45823</c:v>
                </c:pt>
                <c:pt idx="2">
                  <c:v>45830</c:v>
                </c:pt>
                <c:pt idx="3">
                  <c:v>45837</c:v>
                </c:pt>
                <c:pt idx="4">
                  <c:v>45844</c:v>
                </c:pt>
                <c:pt idx="5">
                  <c:v>45851</c:v>
                </c:pt>
                <c:pt idx="6">
                  <c:v>45858</c:v>
                </c:pt>
                <c:pt idx="7">
                  <c:v>45865</c:v>
                </c:pt>
                <c:pt idx="8">
                  <c:v>45872</c:v>
                </c:pt>
                <c:pt idx="9">
                  <c:v>45879</c:v>
                </c:pt>
                <c:pt idx="10">
                  <c:v>45886</c:v>
                </c:pt>
                <c:pt idx="11">
                  <c:v>45893</c:v>
                </c:pt>
                <c:pt idx="12">
                  <c:v>45900</c:v>
                </c:pt>
                <c:pt idx="13">
                  <c:v>45907</c:v>
                </c:pt>
                <c:pt idx="14">
                  <c:v>45914</c:v>
                </c:pt>
                <c:pt idx="15">
                  <c:v>45921</c:v>
                </c:pt>
                <c:pt idx="16">
                  <c:v>45928</c:v>
                </c:pt>
                <c:pt idx="17">
                  <c:v>45935</c:v>
                </c:pt>
                <c:pt idx="18">
                  <c:v>45942</c:v>
                </c:pt>
                <c:pt idx="19">
                  <c:v>45949</c:v>
                </c:pt>
                <c:pt idx="20">
                  <c:v>45956</c:v>
                </c:pt>
              </c:numCache>
            </c:numRef>
          </c:cat>
          <c:val>
            <c:numRef>
              <c:f>'Conditions Chart Data'!$D$21:$X$21</c:f>
              <c:numCache>
                <c:formatCode>#,##0_);[Red]\(#,##0\)</c:formatCode>
                <c:ptCount val="21"/>
                <c:pt idx="2">
                  <c:v>54</c:v>
                </c:pt>
                <c:pt idx="3">
                  <c:v>54</c:v>
                </c:pt>
                <c:pt idx="4">
                  <c:v>53</c:v>
                </c:pt>
                <c:pt idx="5">
                  <c:v>54</c:v>
                </c:pt>
                <c:pt idx="6">
                  <c:v>54</c:v>
                </c:pt>
                <c:pt idx="7">
                  <c:v>54</c:v>
                </c:pt>
                <c:pt idx="8">
                  <c:v>54</c:v>
                </c:pt>
                <c:pt idx="9">
                  <c:v>54</c:v>
                </c:pt>
                <c:pt idx="10">
                  <c:v>53</c:v>
                </c:pt>
                <c:pt idx="11">
                  <c:v>55</c:v>
                </c:pt>
                <c:pt idx="12">
                  <c:v>55</c:v>
                </c:pt>
                <c:pt idx="13">
                  <c:v>55</c:v>
                </c:pt>
                <c:pt idx="14">
                  <c:v>54</c:v>
                </c:pt>
                <c:pt idx="15">
                  <c:v>54</c:v>
                </c:pt>
                <c:pt idx="16">
                  <c:v>55</c:v>
                </c:pt>
                <c:pt idx="17">
                  <c:v>53</c:v>
                </c:pt>
                <c:pt idx="18">
                  <c:v>54</c:v>
                </c:pt>
                <c:pt idx="19">
                  <c:v>54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Data'!$D$42:$X$42</c15:f>
                <c15:dlblRangeCache>
                  <c:ptCount val="21"/>
                  <c:pt idx="19">
                    <c:v>47.4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9-402C-4F40-B0BE-97560A9C0BF8}"/>
            </c:ext>
          </c:extLst>
        </c:ser>
        <c:ser>
          <c:idx val="7"/>
          <c:order val="7"/>
          <c:tx>
            <c:strRef>
              <c:f>'Conditions Chart Data'!$A$22</c:f>
              <c:strCache>
                <c:ptCount val="1"/>
                <c:pt idx="0">
                  <c:v>2020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402C-4F40-B0BE-97560A9C0B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402C-4F40-B0BE-97560A9C0BF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402C-4F40-B0BE-97560A9C0BF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F9698BE-467C-4494-B8C3-2AC79CC278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402C-4F40-B0BE-97560A9C0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402C-4F40-B0BE-97560A9C0BF8}"/>
                </c:ext>
              </c:extLst>
            </c:dLbl>
            <c:spPr>
              <a:solidFill>
                <a:schemeClr val="bg1"/>
              </a:solidFill>
              <a:ln w="15875">
                <a:solidFill>
                  <a:schemeClr val="accent2">
                    <a:lumMod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45816</c:v>
                </c:pt>
                <c:pt idx="1">
                  <c:v>45823</c:v>
                </c:pt>
                <c:pt idx="2">
                  <c:v>45830</c:v>
                </c:pt>
                <c:pt idx="3">
                  <c:v>45837</c:v>
                </c:pt>
                <c:pt idx="4">
                  <c:v>45844</c:v>
                </c:pt>
                <c:pt idx="5">
                  <c:v>45851</c:v>
                </c:pt>
                <c:pt idx="6">
                  <c:v>45858</c:v>
                </c:pt>
                <c:pt idx="7">
                  <c:v>45865</c:v>
                </c:pt>
                <c:pt idx="8">
                  <c:v>45872</c:v>
                </c:pt>
                <c:pt idx="9">
                  <c:v>45879</c:v>
                </c:pt>
                <c:pt idx="10">
                  <c:v>45886</c:v>
                </c:pt>
                <c:pt idx="11">
                  <c:v>45893</c:v>
                </c:pt>
                <c:pt idx="12">
                  <c:v>45900</c:v>
                </c:pt>
                <c:pt idx="13">
                  <c:v>45907</c:v>
                </c:pt>
                <c:pt idx="14">
                  <c:v>45914</c:v>
                </c:pt>
                <c:pt idx="15">
                  <c:v>45921</c:v>
                </c:pt>
                <c:pt idx="16">
                  <c:v>45928</c:v>
                </c:pt>
                <c:pt idx="17">
                  <c:v>45935</c:v>
                </c:pt>
                <c:pt idx="18">
                  <c:v>45942</c:v>
                </c:pt>
                <c:pt idx="19">
                  <c:v>45949</c:v>
                </c:pt>
                <c:pt idx="20">
                  <c:v>45956</c:v>
                </c:pt>
              </c:numCache>
            </c:numRef>
          </c:cat>
          <c:val>
            <c:numRef>
              <c:f>'Conditions Chart Data'!$D$22:$X$22</c:f>
              <c:numCache>
                <c:formatCode>#,##0_);[Red]\(#,##0\)</c:formatCode>
                <c:ptCount val="21"/>
                <c:pt idx="0">
                  <c:v>72</c:v>
                </c:pt>
                <c:pt idx="1">
                  <c:v>72</c:v>
                </c:pt>
                <c:pt idx="2">
                  <c:v>70</c:v>
                </c:pt>
                <c:pt idx="3">
                  <c:v>71</c:v>
                </c:pt>
                <c:pt idx="4">
                  <c:v>71</c:v>
                </c:pt>
                <c:pt idx="5">
                  <c:v>68</c:v>
                </c:pt>
                <c:pt idx="6">
                  <c:v>69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72</c:v>
                </c:pt>
                <c:pt idx="11">
                  <c:v>69</c:v>
                </c:pt>
                <c:pt idx="12">
                  <c:v>66</c:v>
                </c:pt>
                <c:pt idx="13">
                  <c:v>65</c:v>
                </c:pt>
                <c:pt idx="14">
                  <c:v>63</c:v>
                </c:pt>
                <c:pt idx="15">
                  <c:v>63</c:v>
                </c:pt>
                <c:pt idx="16">
                  <c:v>64</c:v>
                </c:pt>
                <c:pt idx="17">
                  <c:v>64</c:v>
                </c:pt>
                <c:pt idx="18">
                  <c:v>63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Data'!$D$43:$X$43</c15:f>
                <c15:dlblRangeCache>
                  <c:ptCount val="21"/>
                  <c:pt idx="18">
                    <c:v>50.2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AF-402C-4F40-B0BE-97560A9C0BF8}"/>
            </c:ext>
          </c:extLst>
        </c:ser>
        <c:ser>
          <c:idx val="8"/>
          <c:order val="8"/>
          <c:tx>
            <c:strRef>
              <c:f>'Conditions Chart Data'!$A$23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402C-4F40-B0BE-97560A9C0B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402C-4F40-B0BE-97560A9C0BF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8421CE8-AF3A-43E4-BCBD-712C51EAB3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402C-4F40-B0BE-97560A9C0BF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402C-4F40-B0BE-97560A9C0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402C-4F40-B0BE-97560A9C0BF8}"/>
                </c:ext>
              </c:extLst>
            </c:dLbl>
            <c:spPr>
              <a:solidFill>
                <a:schemeClr val="bg1"/>
              </a:solidFill>
              <a:ln w="22225">
                <a:solidFill>
                  <a:srgbClr val="323232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45816</c:v>
                </c:pt>
                <c:pt idx="1">
                  <c:v>45823</c:v>
                </c:pt>
                <c:pt idx="2">
                  <c:v>45830</c:v>
                </c:pt>
                <c:pt idx="3">
                  <c:v>45837</c:v>
                </c:pt>
                <c:pt idx="4">
                  <c:v>45844</c:v>
                </c:pt>
                <c:pt idx="5">
                  <c:v>45851</c:v>
                </c:pt>
                <c:pt idx="6">
                  <c:v>45858</c:v>
                </c:pt>
                <c:pt idx="7">
                  <c:v>45865</c:v>
                </c:pt>
                <c:pt idx="8">
                  <c:v>45872</c:v>
                </c:pt>
                <c:pt idx="9">
                  <c:v>45879</c:v>
                </c:pt>
                <c:pt idx="10">
                  <c:v>45886</c:v>
                </c:pt>
                <c:pt idx="11">
                  <c:v>45893</c:v>
                </c:pt>
                <c:pt idx="12">
                  <c:v>45900</c:v>
                </c:pt>
                <c:pt idx="13">
                  <c:v>45907</c:v>
                </c:pt>
                <c:pt idx="14">
                  <c:v>45914</c:v>
                </c:pt>
                <c:pt idx="15">
                  <c:v>45921</c:v>
                </c:pt>
                <c:pt idx="16">
                  <c:v>45928</c:v>
                </c:pt>
                <c:pt idx="17">
                  <c:v>45935</c:v>
                </c:pt>
                <c:pt idx="18">
                  <c:v>45942</c:v>
                </c:pt>
                <c:pt idx="19">
                  <c:v>45949</c:v>
                </c:pt>
                <c:pt idx="20">
                  <c:v>45956</c:v>
                </c:pt>
              </c:numCache>
            </c:numRef>
          </c:cat>
          <c:val>
            <c:numRef>
              <c:f>'Conditions Chart Data'!$D$23:$X$23</c:f>
              <c:numCache>
                <c:formatCode>#,##0_);[Red]\(#,##0\)</c:formatCode>
                <c:ptCount val="21"/>
                <c:pt idx="0">
                  <c:v>62</c:v>
                </c:pt>
                <c:pt idx="1">
                  <c:v>60</c:v>
                </c:pt>
                <c:pt idx="2">
                  <c:v>60</c:v>
                </c:pt>
                <c:pt idx="3">
                  <c:v>59</c:v>
                </c:pt>
                <c:pt idx="4">
                  <c:v>59</c:v>
                </c:pt>
                <c:pt idx="5">
                  <c:v>60</c:v>
                </c:pt>
                <c:pt idx="6">
                  <c:v>58</c:v>
                </c:pt>
                <c:pt idx="7">
                  <c:v>60</c:v>
                </c:pt>
                <c:pt idx="8">
                  <c:v>60</c:v>
                </c:pt>
                <c:pt idx="9">
                  <c:v>57</c:v>
                </c:pt>
                <c:pt idx="10">
                  <c:v>56</c:v>
                </c:pt>
                <c:pt idx="11">
                  <c:v>56</c:v>
                </c:pt>
                <c:pt idx="12">
                  <c:v>57</c:v>
                </c:pt>
                <c:pt idx="13">
                  <c:v>57</c:v>
                </c:pt>
                <c:pt idx="14">
                  <c:v>58</c:v>
                </c:pt>
                <c:pt idx="15">
                  <c:v>58</c:v>
                </c:pt>
                <c:pt idx="16">
                  <c:v>58</c:v>
                </c:pt>
                <c:pt idx="17">
                  <c:v>59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Data'!$D$44:$X$44</c15:f>
                <c15:dlblRangeCache>
                  <c:ptCount val="21"/>
                  <c:pt idx="17">
                    <c:v>51.4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C5-402C-4F40-B0BE-97560A9C0BF8}"/>
            </c:ext>
          </c:extLst>
        </c:ser>
        <c:ser>
          <c:idx val="9"/>
          <c:order val="9"/>
          <c:tx>
            <c:strRef>
              <c:f>'Conditions Chart Data'!$A$24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402C-4F40-B0BE-97560A9C0B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402C-4F40-B0BE-97560A9C0BF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402C-4F40-B0BE-97560A9C0BF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5B38363-FE45-4F5C-892E-43E67F4F5B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402C-4F40-B0BE-97560A9C0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402C-4F40-B0BE-97560A9C0BF8}"/>
                </c:ext>
              </c:extLst>
            </c:dLbl>
            <c:spPr>
              <a:solidFill>
                <a:schemeClr val="lt1"/>
              </a:solidFill>
              <a:ln w="22225">
                <a:solidFill>
                  <a:schemeClr val="accent4">
                    <a:lumMod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45816</c:v>
                </c:pt>
                <c:pt idx="1">
                  <c:v>45823</c:v>
                </c:pt>
                <c:pt idx="2">
                  <c:v>45830</c:v>
                </c:pt>
                <c:pt idx="3">
                  <c:v>45837</c:v>
                </c:pt>
                <c:pt idx="4">
                  <c:v>45844</c:v>
                </c:pt>
                <c:pt idx="5">
                  <c:v>45851</c:v>
                </c:pt>
                <c:pt idx="6">
                  <c:v>45858</c:v>
                </c:pt>
                <c:pt idx="7">
                  <c:v>45865</c:v>
                </c:pt>
                <c:pt idx="8">
                  <c:v>45872</c:v>
                </c:pt>
                <c:pt idx="9">
                  <c:v>45879</c:v>
                </c:pt>
                <c:pt idx="10">
                  <c:v>45886</c:v>
                </c:pt>
                <c:pt idx="11">
                  <c:v>45893</c:v>
                </c:pt>
                <c:pt idx="12">
                  <c:v>45900</c:v>
                </c:pt>
                <c:pt idx="13">
                  <c:v>45907</c:v>
                </c:pt>
                <c:pt idx="14">
                  <c:v>45914</c:v>
                </c:pt>
                <c:pt idx="15">
                  <c:v>45921</c:v>
                </c:pt>
                <c:pt idx="16">
                  <c:v>45928</c:v>
                </c:pt>
                <c:pt idx="17">
                  <c:v>45935</c:v>
                </c:pt>
                <c:pt idx="18">
                  <c:v>45942</c:v>
                </c:pt>
                <c:pt idx="19">
                  <c:v>45949</c:v>
                </c:pt>
                <c:pt idx="20">
                  <c:v>45956</c:v>
                </c:pt>
              </c:numCache>
            </c:numRef>
          </c:cat>
          <c:val>
            <c:numRef>
              <c:f>'Conditions Chart Data'!$D$24:$X$24</c:f>
              <c:numCache>
                <c:formatCode>#,##0_);[Red]\(#,##0\)</c:formatCode>
                <c:ptCount val="21"/>
                <c:pt idx="0">
                  <c:v>70</c:v>
                </c:pt>
                <c:pt idx="1">
                  <c:v>68</c:v>
                </c:pt>
                <c:pt idx="2">
                  <c:v>65</c:v>
                </c:pt>
                <c:pt idx="3">
                  <c:v>63</c:v>
                </c:pt>
                <c:pt idx="4">
                  <c:v>62</c:v>
                </c:pt>
                <c:pt idx="5">
                  <c:v>61</c:v>
                </c:pt>
                <c:pt idx="6">
                  <c:v>59</c:v>
                </c:pt>
                <c:pt idx="7">
                  <c:v>60</c:v>
                </c:pt>
                <c:pt idx="8">
                  <c:v>59</c:v>
                </c:pt>
                <c:pt idx="9">
                  <c:v>58</c:v>
                </c:pt>
                <c:pt idx="10">
                  <c:v>57</c:v>
                </c:pt>
                <c:pt idx="11">
                  <c:v>57</c:v>
                </c:pt>
                <c:pt idx="12">
                  <c:v>57</c:v>
                </c:pt>
                <c:pt idx="13">
                  <c:v>56</c:v>
                </c:pt>
                <c:pt idx="14">
                  <c:v>55</c:v>
                </c:pt>
                <c:pt idx="15">
                  <c:v>55</c:v>
                </c:pt>
                <c:pt idx="16">
                  <c:v>55</c:v>
                </c:pt>
                <c:pt idx="17">
                  <c:v>57</c:v>
                </c:pt>
                <c:pt idx="18">
                  <c:v>57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Data'!$D$45:$X$45</c15:f>
                <c15:dlblRangeCache>
                  <c:ptCount val="21"/>
                  <c:pt idx="18">
                    <c:v>49.5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DB-402C-4F40-B0BE-97560A9C0BF8}"/>
            </c:ext>
          </c:extLst>
        </c:ser>
        <c:ser>
          <c:idx val="10"/>
          <c:order val="10"/>
          <c:tx>
            <c:strRef>
              <c:f>'Conditions Chart Data'!$A$25</c:f>
              <c:strCache>
                <c:ptCount val="1"/>
                <c:pt idx="0">
                  <c:v>2023</c:v>
                </c:pt>
              </c:strCache>
            </c:strRef>
          </c:tx>
          <c:spPr>
            <a:ln w="222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402C-4F40-B0BE-97560A9C0B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402C-4F40-B0BE-97560A9C0BF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402C-4F40-B0BE-97560A9C0BF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32BBE98-ADDB-4F98-9B6E-55C5ABCEBE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402C-4F40-B0BE-97560A9C0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402C-4F40-B0BE-97560A9C0BF8}"/>
                </c:ext>
              </c:extLst>
            </c:dLbl>
            <c:spPr>
              <a:solidFill>
                <a:schemeClr val="bg1"/>
              </a:solidFill>
              <a:ln w="22225">
                <a:solidFill>
                  <a:schemeClr val="accent1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45816</c:v>
                </c:pt>
                <c:pt idx="1">
                  <c:v>45823</c:v>
                </c:pt>
                <c:pt idx="2">
                  <c:v>45830</c:v>
                </c:pt>
                <c:pt idx="3">
                  <c:v>45837</c:v>
                </c:pt>
                <c:pt idx="4">
                  <c:v>45844</c:v>
                </c:pt>
                <c:pt idx="5">
                  <c:v>45851</c:v>
                </c:pt>
                <c:pt idx="6">
                  <c:v>45858</c:v>
                </c:pt>
                <c:pt idx="7">
                  <c:v>45865</c:v>
                </c:pt>
                <c:pt idx="8">
                  <c:v>45872</c:v>
                </c:pt>
                <c:pt idx="9">
                  <c:v>45879</c:v>
                </c:pt>
                <c:pt idx="10">
                  <c:v>45886</c:v>
                </c:pt>
                <c:pt idx="11">
                  <c:v>45893</c:v>
                </c:pt>
                <c:pt idx="12">
                  <c:v>45900</c:v>
                </c:pt>
                <c:pt idx="13">
                  <c:v>45907</c:v>
                </c:pt>
                <c:pt idx="14">
                  <c:v>45914</c:v>
                </c:pt>
                <c:pt idx="15">
                  <c:v>45921</c:v>
                </c:pt>
                <c:pt idx="16">
                  <c:v>45928</c:v>
                </c:pt>
                <c:pt idx="17">
                  <c:v>45935</c:v>
                </c:pt>
                <c:pt idx="18">
                  <c:v>45942</c:v>
                </c:pt>
                <c:pt idx="19">
                  <c:v>45949</c:v>
                </c:pt>
                <c:pt idx="20">
                  <c:v>45956</c:v>
                </c:pt>
              </c:numCache>
            </c:numRef>
          </c:cat>
          <c:val>
            <c:numRef>
              <c:f>'Conditions Chart Data'!$D$25:$X$25</c:f>
              <c:numCache>
                <c:formatCode>#,##0_);[Red]\(#,##0\)</c:formatCode>
                <c:ptCount val="21"/>
                <c:pt idx="0">
                  <c:v>59</c:v>
                </c:pt>
                <c:pt idx="1">
                  <c:v>54</c:v>
                </c:pt>
                <c:pt idx="2">
                  <c:v>51</c:v>
                </c:pt>
                <c:pt idx="3">
                  <c:v>50</c:v>
                </c:pt>
                <c:pt idx="4">
                  <c:v>51</c:v>
                </c:pt>
                <c:pt idx="5">
                  <c:v>55</c:v>
                </c:pt>
                <c:pt idx="6">
                  <c:v>54</c:v>
                </c:pt>
                <c:pt idx="7">
                  <c:v>52</c:v>
                </c:pt>
                <c:pt idx="8">
                  <c:v>54</c:v>
                </c:pt>
                <c:pt idx="9">
                  <c:v>59</c:v>
                </c:pt>
                <c:pt idx="10">
                  <c:v>59</c:v>
                </c:pt>
                <c:pt idx="11">
                  <c:v>58</c:v>
                </c:pt>
                <c:pt idx="12">
                  <c:v>53</c:v>
                </c:pt>
                <c:pt idx="13">
                  <c:v>52</c:v>
                </c:pt>
                <c:pt idx="14">
                  <c:v>52</c:v>
                </c:pt>
                <c:pt idx="15">
                  <c:v>50</c:v>
                </c:pt>
                <c:pt idx="16">
                  <c:v>52</c:v>
                </c:pt>
                <c:pt idx="17">
                  <c:v>51</c:v>
                </c:pt>
                <c:pt idx="18">
                  <c:v>52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Data'!$D$46:$X$46</c15:f>
                <c15:dlblRangeCache>
                  <c:ptCount val="21"/>
                  <c:pt idx="18">
                    <c:v>50.6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F1-402C-4F40-B0BE-97560A9C0BF8}"/>
            </c:ext>
          </c:extLst>
        </c:ser>
        <c:ser>
          <c:idx val="11"/>
          <c:order val="11"/>
          <c:tx>
            <c:strRef>
              <c:f>'Conditions Chart Data'!$A$26</c:f>
              <c:strCache>
                <c:ptCount val="1"/>
                <c:pt idx="0">
                  <c:v>2024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402C-4F40-B0BE-97560A9C0B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402C-4F40-B0BE-97560A9C0BF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402C-4F40-B0BE-97560A9C0BF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402C-4F40-B0BE-97560A9C0BF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402C-4F40-B0BE-97560A9C0BF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402C-4F40-B0BE-97560A9C0BF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402C-4F40-B0BE-97560A9C0BF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402C-4F40-B0BE-97560A9C0BF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402C-4F40-B0BE-97560A9C0BF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B-402C-4F40-B0BE-97560A9C0BF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402C-4F40-B0BE-97560A9C0BF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D-402C-4F40-B0BE-97560A9C0BF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E-402C-4F40-B0BE-97560A9C0BF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F-402C-4F40-B0BE-97560A9C0BF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0-402C-4F40-B0BE-97560A9C0BF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1-402C-4F40-B0BE-97560A9C0BF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02-402C-4F40-B0BE-97560A9C0BF8}"/>
                </c:ext>
              </c:extLst>
            </c:dLbl>
            <c:dLbl>
              <c:idx val="17"/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accent5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E1867F66-6326-4C16-A20D-DB86A63B0A0B}" type="CELLRANGE">
                      <a:rPr lang="en-US"/>
                      <a:pPr>
                        <a:defRPr sz="1000" b="1">
                          <a:solidFill>
                            <a:schemeClr val="accent5"/>
                          </a:solidFill>
                          <a:latin typeface="Arial" panose="020B0604020202020204" pitchFamily="34" charset="0"/>
                          <a:cs typeface="Arial" panose="020B06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 w="22225">
                  <a:solidFill>
                    <a:schemeClr val="accent5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402C-4F40-B0BE-97560A9C0BF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402C-4F40-B0BE-97560A9C0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402C-4F40-B0BE-97560A9C0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402C-4F40-B0BE-97560A9C0BF8}"/>
                </c:ext>
              </c:extLst>
            </c:dLbl>
            <c:spPr>
              <a:solidFill>
                <a:schemeClr val="bg1">
                  <a:alpha val="0"/>
                </a:schemeClr>
              </a:solidFill>
              <a:ln w="22225">
                <a:solidFill>
                  <a:schemeClr val="accent5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Data'!$D$1:$X$1</c:f>
              <c:numCache>
                <c:formatCode>d\-mmm</c:formatCode>
                <c:ptCount val="21"/>
                <c:pt idx="0">
                  <c:v>45816</c:v>
                </c:pt>
                <c:pt idx="1">
                  <c:v>45823</c:v>
                </c:pt>
                <c:pt idx="2">
                  <c:v>45830</c:v>
                </c:pt>
                <c:pt idx="3">
                  <c:v>45837</c:v>
                </c:pt>
                <c:pt idx="4">
                  <c:v>45844</c:v>
                </c:pt>
                <c:pt idx="5">
                  <c:v>45851</c:v>
                </c:pt>
                <c:pt idx="6">
                  <c:v>45858</c:v>
                </c:pt>
                <c:pt idx="7">
                  <c:v>45865</c:v>
                </c:pt>
                <c:pt idx="8">
                  <c:v>45872</c:v>
                </c:pt>
                <c:pt idx="9">
                  <c:v>45879</c:v>
                </c:pt>
                <c:pt idx="10">
                  <c:v>45886</c:v>
                </c:pt>
                <c:pt idx="11">
                  <c:v>45893</c:v>
                </c:pt>
                <c:pt idx="12">
                  <c:v>45900</c:v>
                </c:pt>
                <c:pt idx="13">
                  <c:v>45907</c:v>
                </c:pt>
                <c:pt idx="14">
                  <c:v>45914</c:v>
                </c:pt>
                <c:pt idx="15">
                  <c:v>45921</c:v>
                </c:pt>
                <c:pt idx="16">
                  <c:v>45928</c:v>
                </c:pt>
                <c:pt idx="17">
                  <c:v>45935</c:v>
                </c:pt>
                <c:pt idx="18">
                  <c:v>45942</c:v>
                </c:pt>
                <c:pt idx="19">
                  <c:v>45949</c:v>
                </c:pt>
                <c:pt idx="20">
                  <c:v>45956</c:v>
                </c:pt>
              </c:numCache>
            </c:numRef>
          </c:cat>
          <c:val>
            <c:numRef>
              <c:f>'Conditions Chart Data'!$D$26:$X$26</c:f>
              <c:numCache>
                <c:formatCode>#,##0_);[Red]\(#,##0\)</c:formatCode>
                <c:ptCount val="21"/>
                <c:pt idx="0">
                  <c:v>72</c:v>
                </c:pt>
                <c:pt idx="1">
                  <c:v>70</c:v>
                </c:pt>
                <c:pt idx="2">
                  <c:v>67</c:v>
                </c:pt>
                <c:pt idx="3">
                  <c:v>67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67</c:v>
                </c:pt>
                <c:pt idx="12">
                  <c:v>65</c:v>
                </c:pt>
                <c:pt idx="13">
                  <c:v>65</c:v>
                </c:pt>
                <c:pt idx="14">
                  <c:v>64</c:v>
                </c:pt>
                <c:pt idx="15">
                  <c:v>64</c:v>
                </c:pt>
                <c:pt idx="16">
                  <c:v>64</c:v>
                </c:pt>
                <c:pt idx="17">
                  <c:v>63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Data'!$D$47:$X$47</c15:f>
                <c15:dlblRangeCache>
                  <c:ptCount val="21"/>
                  <c:pt idx="17">
                    <c:v>50.7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07-402C-4F40-B0BE-97560A9C0BF8}"/>
            </c:ext>
          </c:extLst>
        </c:ser>
        <c:ser>
          <c:idx val="12"/>
          <c:order val="12"/>
          <c:tx>
            <c:strRef>
              <c:f>'Conditions Chart Data'!$A$27</c:f>
              <c:strCache>
                <c:ptCount val="1"/>
                <c:pt idx="0">
                  <c:v>2025</c:v>
                </c:pt>
              </c:strCache>
            </c:strRef>
          </c:tx>
          <c:spPr>
            <a:ln w="3492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A4-4F3F-81A4-C65060A5CE0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A4-4F3F-81A4-C65060A5CE0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A4-4F3F-81A4-C65060A5CE00}"/>
                </c:ext>
              </c:extLst>
            </c:dLbl>
            <c:dLbl>
              <c:idx val="3"/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BAF55B6-F9CA-4803-AA6C-FF31B63BC166}" type="CELLRANGE">
                      <a:rPr lang="en-US"/>
                      <a:pPr>
                        <a:defRPr sz="1200"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numFmt formatCode="#,##0.0" sourceLinked="0"/>
              <c:spPr>
                <a:solidFill>
                  <a:schemeClr val="bg1"/>
                </a:solidFill>
                <a:ln w="34925">
                  <a:solidFill>
                    <a:schemeClr val="tx2">
                      <a:lumMod val="50000"/>
                      <a:lumOff val="50000"/>
                    </a:scheme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CA4-4F3F-81A4-C65060A5CE0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A4-4F3F-81A4-C65060A5CE0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CA4-4F3F-81A4-C65060A5CE0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CA4-4F3F-81A4-C65060A5CE0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CA4-4F3F-81A4-C65060A5CE00}"/>
                </c:ext>
              </c:extLst>
            </c:dLbl>
            <c:dLbl>
              <c:idx val="8"/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7BB25FE-9EB4-4E26-A176-BC905A33C23D}" type="CELLRANGE">
                      <a:rPr lang="en-US"/>
                      <a:pPr>
                        <a:defRPr sz="1200"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numFmt formatCode="#,##0.0" sourceLinked="0"/>
              <c:spPr>
                <a:solidFill>
                  <a:schemeClr val="bg1"/>
                </a:solidFill>
                <a:ln w="34925">
                  <a:solidFill>
                    <a:schemeClr val="tx2">
                      <a:lumMod val="50000"/>
                      <a:lumOff val="50000"/>
                    </a:scheme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CA4-4F3F-81A4-C65060A5CE0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CA4-4F3F-81A4-C65060A5CE0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CA4-4F3F-81A4-C65060A5CE0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CA4-4F3F-81A4-C65060A5CE0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CA4-4F3F-81A4-C65060A5CE00}"/>
                </c:ext>
              </c:extLst>
            </c:dLbl>
            <c:dLbl>
              <c:idx val="13"/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3476452-E16E-452B-A71F-3DD90B85EDB6}" type="CELLRANGE">
                      <a:rPr lang="en-US"/>
                      <a:pPr>
                        <a:defRPr sz="1200" b="1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numFmt formatCode="#,##0.0" sourceLinked="0"/>
              <c:spPr>
                <a:solidFill>
                  <a:schemeClr val="bg1"/>
                </a:solidFill>
                <a:ln w="34925">
                  <a:solidFill>
                    <a:schemeClr val="tx2">
                      <a:lumMod val="50000"/>
                      <a:lumOff val="50000"/>
                    </a:scheme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CA4-4F3F-81A4-C65060A5CE0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5F16E4D-5C65-4655-B5FA-91D44F9249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CA4-4F3F-81A4-C65060A5CE0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CA4-4F3F-81A4-C65060A5CE0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CA4-4F3F-81A4-C65060A5CE0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CA4-4F3F-81A4-C65060A5CE0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1CA4-4F3F-81A4-C65060A5CE00}"/>
                </c:ext>
              </c:extLst>
            </c:dLbl>
            <c:numFmt formatCode="#,##0.0" sourceLinked="0"/>
            <c:spPr>
              <a:solidFill>
                <a:schemeClr val="bg1"/>
              </a:solidFill>
              <a:ln w="34925"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2E865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val>
            <c:numRef>
              <c:f>'Conditions Chart Data'!$D$27:$V$27</c:f>
              <c:numCache>
                <c:formatCode>#,##0_);[Red]\(#,##0\)</c:formatCode>
                <c:ptCount val="19"/>
                <c:pt idx="0">
                  <c:v>68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70</c:v>
                </c:pt>
                <c:pt idx="6">
                  <c:v>68</c:v>
                </c:pt>
                <c:pt idx="7">
                  <c:v>70</c:v>
                </c:pt>
                <c:pt idx="8">
                  <c:v>69</c:v>
                </c:pt>
                <c:pt idx="9">
                  <c:v>68</c:v>
                </c:pt>
                <c:pt idx="10">
                  <c:v>68</c:v>
                </c:pt>
                <c:pt idx="11">
                  <c:v>69</c:v>
                </c:pt>
                <c:pt idx="12">
                  <c:v>65</c:v>
                </c:pt>
                <c:pt idx="13">
                  <c:v>64</c:v>
                </c:pt>
                <c:pt idx="14">
                  <c:v>63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'Conditions Chart Data'!$D$48:$V$48</c15:f>
                <c15:dlblRangeCache>
                  <c:ptCount val="19"/>
                  <c:pt idx="3">
                    <c:v>52.5 </c:v>
                  </c:pt>
                  <c:pt idx="8">
                    <c:v>53.6 </c:v>
                  </c:pt>
                  <c:pt idx="13">
                    <c:v>53.5 </c:v>
                  </c:pt>
                  <c:pt idx="14">
                    <c:v>53.5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1CA4-4F3F-81A4-C65060A5C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169328"/>
        <c:axId val="2052166928"/>
      </c:lineChart>
      <c:dateAx>
        <c:axId val="2052169328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2166928"/>
        <c:crosses val="autoZero"/>
        <c:auto val="1"/>
        <c:lblOffset val="100"/>
        <c:baseTimeUnit val="days"/>
      </c:dateAx>
      <c:valAx>
        <c:axId val="2052166928"/>
        <c:scaling>
          <c:orientation val="minMax"/>
          <c:min val="4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Percent</a:t>
                </a:r>
                <a:r>
                  <a:rPr lang="en-GB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US Crop Rated Good + Excellent (percent)</a:t>
                </a:r>
                <a:endParaRPr lang="en-GB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216932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76355035057656295"/>
          <c:y val="0.19564592479037465"/>
          <c:w val="0.22737978946821102"/>
          <c:h val="0.627102780294056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'Conditions Chart Data'!$AJ$43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'Conditions Chart Data'!$AK$42:$BH$42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'Conditions Chart Data'!$AK$43:$BH$43</c:f>
              <c:numCache>
                <c:formatCode>0.0_);[Red]\(0.0\)</c:formatCode>
                <c:ptCount val="24"/>
                <c:pt idx="0">
                  <c:v>0.70000000000000284</c:v>
                </c:pt>
                <c:pt idx="1">
                  <c:v>-0.79999999999999716</c:v>
                </c:pt>
                <c:pt idx="2">
                  <c:v>-3.2000000000000028</c:v>
                </c:pt>
                <c:pt idx="3">
                  <c:v>-0.30000000000000426</c:v>
                </c:pt>
                <c:pt idx="4">
                  <c:v>-0.79999999999999716</c:v>
                </c:pt>
                <c:pt idx="5">
                  <c:v>-1.1999999999999957</c:v>
                </c:pt>
                <c:pt idx="6">
                  <c:v>-1.1000000000000014</c:v>
                </c:pt>
                <c:pt idx="7">
                  <c:v>0</c:v>
                </c:pt>
                <c:pt idx="8">
                  <c:v>-1.1000000000000014</c:v>
                </c:pt>
                <c:pt idx="9">
                  <c:v>-1.1000000000000014</c:v>
                </c:pt>
                <c:pt idx="10">
                  <c:v>-0.89999999999999858</c:v>
                </c:pt>
                <c:pt idx="11">
                  <c:v>1.1000000000000014</c:v>
                </c:pt>
                <c:pt idx="12">
                  <c:v>-2</c:v>
                </c:pt>
                <c:pt idx="13">
                  <c:v>-4.3999999999999986</c:v>
                </c:pt>
                <c:pt idx="14">
                  <c:v>-1.8999999999999986</c:v>
                </c:pt>
                <c:pt idx="15">
                  <c:v>0.19999999999999574</c:v>
                </c:pt>
                <c:pt idx="16">
                  <c:v>0.89999999999999858</c:v>
                </c:pt>
                <c:pt idx="17">
                  <c:v>2.1999999999999957</c:v>
                </c:pt>
                <c:pt idx="18">
                  <c:v>1.3999999999999986</c:v>
                </c:pt>
                <c:pt idx="19">
                  <c:v>3.1000000000000014</c:v>
                </c:pt>
                <c:pt idx="20">
                  <c:v>0</c:v>
                </c:pt>
                <c:pt idx="21">
                  <c:v>3.5</c:v>
                </c:pt>
                <c:pt idx="22">
                  <c:v>-0.79999999999999716</c:v>
                </c:pt>
                <c:pt idx="23">
                  <c:v>0.39999999999999858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1-4513-AC52-6000B18F2E07}"/>
            </c:ext>
          </c:extLst>
        </c:ser>
        <c:ser>
          <c:idx val="1"/>
          <c:order val="1"/>
          <c:tx>
            <c:strRef>
              <c:f>'Conditions Chart Data'!$AJ$44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'Conditions Chart Data'!$AK$42:$BH$42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'Conditions Chart Data'!$AK$44:$BH$44</c:f>
              <c:numCache>
                <c:formatCode>0.0_);[Red]\(0.0\)</c:formatCode>
                <c:ptCount val="24"/>
                <c:pt idx="0">
                  <c:v>-1.2000000000000028</c:v>
                </c:pt>
                <c:pt idx="1">
                  <c:v>-0.5</c:v>
                </c:pt>
                <c:pt idx="2">
                  <c:v>0.5</c:v>
                </c:pt>
                <c:pt idx="3">
                  <c:v>-3</c:v>
                </c:pt>
                <c:pt idx="4">
                  <c:v>-0.60000000000000142</c:v>
                </c:pt>
                <c:pt idx="5">
                  <c:v>0.89999999999999858</c:v>
                </c:pt>
                <c:pt idx="6">
                  <c:v>2.1999999999999957</c:v>
                </c:pt>
                <c:pt idx="7">
                  <c:v>-0.10000000000000142</c:v>
                </c:pt>
                <c:pt idx="8">
                  <c:v>-0.5</c:v>
                </c:pt>
                <c:pt idx="9">
                  <c:v>-0.5</c:v>
                </c:pt>
                <c:pt idx="10">
                  <c:v>0.59999999999999432</c:v>
                </c:pt>
                <c:pt idx="11">
                  <c:v>0.70000000000000284</c:v>
                </c:pt>
                <c:pt idx="12">
                  <c:v>0.39999999999999858</c:v>
                </c:pt>
                <c:pt idx="13">
                  <c:v>-0.80000000000000426</c:v>
                </c:pt>
                <c:pt idx="14">
                  <c:v>-1.3999999999999986</c:v>
                </c:pt>
                <c:pt idx="15">
                  <c:v>1.2000000000000028</c:v>
                </c:pt>
                <c:pt idx="16">
                  <c:v>0.20000000000000284</c:v>
                </c:pt>
                <c:pt idx="17">
                  <c:v>1.7000000000000028</c:v>
                </c:pt>
                <c:pt idx="18">
                  <c:v>0.5</c:v>
                </c:pt>
                <c:pt idx="19">
                  <c:v>1.1999999999999957</c:v>
                </c:pt>
                <c:pt idx="20">
                  <c:v>-0.60000000000000142</c:v>
                </c:pt>
                <c:pt idx="21">
                  <c:v>-1.3999999999999986</c:v>
                </c:pt>
                <c:pt idx="22">
                  <c:v>0.60000000000000142</c:v>
                </c:pt>
                <c:pt idx="23">
                  <c:v>-1.3999999999999986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C1-4513-AC52-6000B18F2E07}"/>
            </c:ext>
          </c:extLst>
        </c:ser>
        <c:ser>
          <c:idx val="2"/>
          <c:order val="2"/>
          <c:tx>
            <c:strRef>
              <c:f>'Conditions Chart Data'!$AJ$45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'Conditions Chart Data'!$AK$42:$BH$42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'Conditions Chart Data'!$AK$45:$BH$45</c:f>
              <c:numCache>
                <c:formatCode>0.0_);[Red]\(0.0\)</c:formatCode>
                <c:ptCount val="24"/>
                <c:pt idx="0">
                  <c:v>-0.79999999999999716</c:v>
                </c:pt>
                <c:pt idx="1">
                  <c:v>1</c:v>
                </c:pt>
                <c:pt idx="2">
                  <c:v>0</c:v>
                </c:pt>
                <c:pt idx="3">
                  <c:v>-2.3999999999999986</c:v>
                </c:pt>
                <c:pt idx="4">
                  <c:v>3.5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-0.5</c:v>
                </c:pt>
                <c:pt idx="9">
                  <c:v>-0.5</c:v>
                </c:pt>
                <c:pt idx="10">
                  <c:v>0.10000000000000142</c:v>
                </c:pt>
                <c:pt idx="11">
                  <c:v>-0.30000000000000426</c:v>
                </c:pt>
                <c:pt idx="12">
                  <c:v>-0.29999999999999716</c:v>
                </c:pt>
                <c:pt idx="13">
                  <c:v>2.5</c:v>
                </c:pt>
                <c:pt idx="14">
                  <c:v>1.7999999999999972</c:v>
                </c:pt>
                <c:pt idx="15">
                  <c:v>0.5</c:v>
                </c:pt>
                <c:pt idx="16">
                  <c:v>0.10000000000000142</c:v>
                </c:pt>
                <c:pt idx="17">
                  <c:v>0.79999999999999716</c:v>
                </c:pt>
                <c:pt idx="18">
                  <c:v>-0.39999999999999858</c:v>
                </c:pt>
                <c:pt idx="19">
                  <c:v>0.30000000000000426</c:v>
                </c:pt>
                <c:pt idx="20">
                  <c:v>-1</c:v>
                </c:pt>
                <c:pt idx="21">
                  <c:v>0</c:v>
                </c:pt>
                <c:pt idx="22">
                  <c:v>0.89999999999999858</c:v>
                </c:pt>
                <c:pt idx="23">
                  <c:v>-0.70000000000000284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C1-4513-AC52-6000B18F2E07}"/>
            </c:ext>
          </c:extLst>
        </c:ser>
        <c:ser>
          <c:idx val="3"/>
          <c:order val="3"/>
          <c:tx>
            <c:strRef>
              <c:f>'Conditions Chart Data'!$AJ$46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'Conditions Chart Data'!$AK$42:$BH$42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'Conditions Chart Data'!$AK$46:$BH$46</c:f>
              <c:numCache>
                <c:formatCode>0.0_);[Red]\(0.0\)</c:formatCode>
                <c:ptCount val="24"/>
                <c:pt idx="0">
                  <c:v>-0.70000000000000284</c:v>
                </c:pt>
                <c:pt idx="1">
                  <c:v>0.19999999999999574</c:v>
                </c:pt>
                <c:pt idx="2">
                  <c:v>0.5</c:v>
                </c:pt>
                <c:pt idx="3">
                  <c:v>-0.20000000000000284</c:v>
                </c:pt>
                <c:pt idx="4">
                  <c:v>0.60000000000000142</c:v>
                </c:pt>
                <c:pt idx="5">
                  <c:v>1.1000000000000014</c:v>
                </c:pt>
                <c:pt idx="6">
                  <c:v>0.20000000000000284</c:v>
                </c:pt>
                <c:pt idx="7">
                  <c:v>-0.10000000000000142</c:v>
                </c:pt>
                <c:pt idx="8">
                  <c:v>-0.20000000000000284</c:v>
                </c:pt>
                <c:pt idx="9">
                  <c:v>-0.20000000000000284</c:v>
                </c:pt>
                <c:pt idx="10">
                  <c:v>0.89999999999999858</c:v>
                </c:pt>
                <c:pt idx="11">
                  <c:v>-0.5</c:v>
                </c:pt>
                <c:pt idx="12">
                  <c:v>-0.20000000000000284</c:v>
                </c:pt>
                <c:pt idx="13">
                  <c:v>1.5</c:v>
                </c:pt>
                <c:pt idx="14">
                  <c:v>0</c:v>
                </c:pt>
                <c:pt idx="15">
                  <c:v>0.39999999999999858</c:v>
                </c:pt>
                <c:pt idx="16">
                  <c:v>1.0999999999999943</c:v>
                </c:pt>
                <c:pt idx="17">
                  <c:v>1.1000000000000014</c:v>
                </c:pt>
                <c:pt idx="18">
                  <c:v>0</c:v>
                </c:pt>
                <c:pt idx="19">
                  <c:v>-1</c:v>
                </c:pt>
                <c:pt idx="20">
                  <c:v>0</c:v>
                </c:pt>
                <c:pt idx="21">
                  <c:v>-1.1999999999999957</c:v>
                </c:pt>
                <c:pt idx="22">
                  <c:v>-0.29999999999999716</c:v>
                </c:pt>
                <c:pt idx="23">
                  <c:v>0.40000000000000568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C1-4513-AC52-6000B18F2E07}"/>
            </c:ext>
          </c:extLst>
        </c:ser>
        <c:ser>
          <c:idx val="4"/>
          <c:order val="4"/>
          <c:tx>
            <c:strRef>
              <c:f>'Conditions Chart Data'!$AJ$47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'Conditions Chart Data'!$AK$42:$BH$42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'Conditions Chart Data'!$AK$47:$BH$47</c:f>
              <c:numCache>
                <c:formatCode>0.0_);[Red]\(0.0\)</c:formatCode>
                <c:ptCount val="24"/>
                <c:pt idx="0">
                  <c:v>0.10000000000000142</c:v>
                </c:pt>
                <c:pt idx="1">
                  <c:v>0.20000000000000284</c:v>
                </c:pt>
                <c:pt idx="2">
                  <c:v>0.5</c:v>
                </c:pt>
                <c:pt idx="3">
                  <c:v>0.10000000000000142</c:v>
                </c:pt>
                <c:pt idx="4">
                  <c:v>-0.39999999999999858</c:v>
                </c:pt>
                <c:pt idx="5">
                  <c:v>0.39999999999999858</c:v>
                </c:pt>
                <c:pt idx="6">
                  <c:v>-0.10000000000000142</c:v>
                </c:pt>
                <c:pt idx="7">
                  <c:v>0.40000000000000568</c:v>
                </c:pt>
                <c:pt idx="8">
                  <c:v>0.40000000000000568</c:v>
                </c:pt>
                <c:pt idx="9">
                  <c:v>0.40000000000000568</c:v>
                </c:pt>
                <c:pt idx="10">
                  <c:v>0.70000000000000284</c:v>
                </c:pt>
                <c:pt idx="11">
                  <c:v>-0.39999999999999858</c:v>
                </c:pt>
                <c:pt idx="12">
                  <c:v>0.70000000000000284</c:v>
                </c:pt>
                <c:pt idx="13">
                  <c:v>0.70000000000000284</c:v>
                </c:pt>
                <c:pt idx="14">
                  <c:v>1</c:v>
                </c:pt>
                <c:pt idx="15">
                  <c:v>0</c:v>
                </c:pt>
                <c:pt idx="16">
                  <c:v>-0.29999999999999716</c:v>
                </c:pt>
                <c:pt idx="17">
                  <c:v>-0.60000000000000142</c:v>
                </c:pt>
                <c:pt idx="18">
                  <c:v>-0.20000000000000284</c:v>
                </c:pt>
                <c:pt idx="19">
                  <c:v>-1.5</c:v>
                </c:pt>
                <c:pt idx="20">
                  <c:v>0.5</c:v>
                </c:pt>
                <c:pt idx="21">
                  <c:v>-0.5</c:v>
                </c:pt>
                <c:pt idx="22">
                  <c:v>0.19999999999999574</c:v>
                </c:pt>
                <c:pt idx="23">
                  <c:v>-0.70000000000000284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C1-4513-AC52-6000B18F2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2824512"/>
        <c:axId val="566220192"/>
      </c:barChart>
      <c:catAx>
        <c:axId val="110282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220192"/>
        <c:crosses val="autoZero"/>
        <c:auto val="1"/>
        <c:lblAlgn val="ctr"/>
        <c:lblOffset val="100"/>
        <c:noMultiLvlLbl val="0"/>
      </c:catAx>
      <c:valAx>
        <c:axId val="56622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82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'Conditions Chart Data'!$AK$42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'Conditions Chart Data'!$AJ$43:$AJ$47</c:f>
              <c:strCache>
                <c:ptCount val="5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Final</c:v>
                </c:pt>
              </c:strCache>
            </c:strRef>
          </c:cat>
          <c:val>
            <c:numRef>
              <c:f>'Conditions Chart Data'!$AK$43:$AK$47</c:f>
              <c:numCache>
                <c:formatCode>0.0_);[Red]\(0.0\)</c:formatCode>
                <c:ptCount val="5"/>
                <c:pt idx="0">
                  <c:v>0.70000000000000284</c:v>
                </c:pt>
                <c:pt idx="1">
                  <c:v>-1.2000000000000028</c:v>
                </c:pt>
                <c:pt idx="2">
                  <c:v>-0.79999999999999716</c:v>
                </c:pt>
                <c:pt idx="3">
                  <c:v>-0.70000000000000284</c:v>
                </c:pt>
                <c:pt idx="4">
                  <c:v>0.10000000000000142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2-4850-A493-B6C273807BAB}"/>
            </c:ext>
          </c:extLst>
        </c:ser>
        <c:ser>
          <c:idx val="1"/>
          <c:order val="1"/>
          <c:tx>
            <c:strRef>
              <c:f>'Conditions Chart Data'!$AL$42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'Conditions Chart Data'!$AJ$43:$AJ$47</c:f>
              <c:strCache>
                <c:ptCount val="5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Final</c:v>
                </c:pt>
              </c:strCache>
            </c:strRef>
          </c:cat>
          <c:val>
            <c:numRef>
              <c:f>'Conditions Chart Data'!$AL$43:$AL$47</c:f>
              <c:numCache>
                <c:formatCode>0.0_);[Red]\(0.0\)</c:formatCode>
                <c:ptCount val="5"/>
                <c:pt idx="0">
                  <c:v>-0.79999999999999716</c:v>
                </c:pt>
                <c:pt idx="1">
                  <c:v>-0.5</c:v>
                </c:pt>
                <c:pt idx="2">
                  <c:v>1</c:v>
                </c:pt>
                <c:pt idx="3">
                  <c:v>0.19999999999999574</c:v>
                </c:pt>
                <c:pt idx="4">
                  <c:v>0.20000000000000284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82-4850-A493-B6C273807BAB}"/>
            </c:ext>
          </c:extLst>
        </c:ser>
        <c:ser>
          <c:idx val="2"/>
          <c:order val="2"/>
          <c:tx>
            <c:strRef>
              <c:f>'Conditions Chart Data'!$AM$42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'Conditions Chart Data'!$AJ$43:$AJ$47</c:f>
              <c:strCache>
                <c:ptCount val="5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Final</c:v>
                </c:pt>
              </c:strCache>
            </c:strRef>
          </c:cat>
          <c:val>
            <c:numRef>
              <c:f>'Conditions Chart Data'!$AM$43:$AM$47</c:f>
              <c:numCache>
                <c:formatCode>0.0_);[Red]\(0.0\)</c:formatCode>
                <c:ptCount val="5"/>
                <c:pt idx="0">
                  <c:v>-3.2000000000000028</c:v>
                </c:pt>
                <c:pt idx="1">
                  <c:v>0.5</c:v>
                </c:pt>
                <c:pt idx="2">
                  <c:v>0</c:v>
                </c:pt>
                <c:pt idx="3">
                  <c:v>0.5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82-4850-A493-B6C273807BAB}"/>
            </c:ext>
          </c:extLst>
        </c:ser>
        <c:ser>
          <c:idx val="3"/>
          <c:order val="3"/>
          <c:tx>
            <c:strRef>
              <c:f>'Conditions Chart Data'!$AN$42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'Conditions Chart Data'!$AJ$43:$AJ$47</c:f>
              <c:strCache>
                <c:ptCount val="5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Final</c:v>
                </c:pt>
              </c:strCache>
            </c:strRef>
          </c:cat>
          <c:val>
            <c:numRef>
              <c:f>'Conditions Chart Data'!$AN$43:$AN$47</c:f>
              <c:numCache>
                <c:formatCode>0.0_);[Red]\(0.0\)</c:formatCode>
                <c:ptCount val="5"/>
                <c:pt idx="0">
                  <c:v>-0.30000000000000426</c:v>
                </c:pt>
                <c:pt idx="1">
                  <c:v>-3</c:v>
                </c:pt>
                <c:pt idx="2">
                  <c:v>-2.3999999999999986</c:v>
                </c:pt>
                <c:pt idx="3">
                  <c:v>-0.20000000000000284</c:v>
                </c:pt>
                <c:pt idx="4">
                  <c:v>0.10000000000000142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82-4850-A493-B6C273807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0871471"/>
        <c:axId val="1070329296"/>
      </c:barChart>
      <c:catAx>
        <c:axId val="204087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329296"/>
        <c:crosses val="autoZero"/>
        <c:auto val="1"/>
        <c:lblAlgn val="ctr"/>
        <c:lblOffset val="100"/>
        <c:noMultiLvlLbl val="0"/>
      </c:catAx>
      <c:valAx>
        <c:axId val="107032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7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</a:t>
            </a:r>
            <a:r>
              <a:rPr lang="en-US" baseline="0"/>
              <a:t> in Yield from Trend vs. Mkt-Yr Avg Deviation from 10-Yr Avg Condition Rating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2E865F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018460192475941"/>
                  <c:y val="-9.6954651501895597E-2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rgbClr val="2E865F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'Conditions Chart Data'!$Z$62:$Z$70</c:f>
              <c:numCache>
                <c:formatCode>#,##0_);[Red]\(#,##0\)</c:formatCode>
                <c:ptCount val="9"/>
                <c:pt idx="0">
                  <c:v>-0.52875816993463953</c:v>
                </c:pt>
                <c:pt idx="1">
                  <c:v>6.8401234567901223</c:v>
                </c:pt>
                <c:pt idx="2">
                  <c:v>-8.0733333333333341</c:v>
                </c:pt>
                <c:pt idx="3">
                  <c:v>6.7097222222222213</c:v>
                </c:pt>
                <c:pt idx="4">
                  <c:v>-3.6513888888888886</c:v>
                </c:pt>
                <c:pt idx="5">
                  <c:v>-2.1529411764705881</c:v>
                </c:pt>
                <c:pt idx="6">
                  <c:v>-10.363888888888889</c:v>
                </c:pt>
                <c:pt idx="7">
                  <c:v>3.5921568627450986</c:v>
                </c:pt>
                <c:pt idx="8">
                  <c:v>3.4326388888888881</c:v>
                </c:pt>
              </c:numCache>
            </c:numRef>
          </c:xVal>
          <c:yVal>
            <c:numRef>
              <c:f>'Conditions Chart Data'!$Y$62:$Y$70</c:f>
              <c:numCache>
                <c:formatCode>#,##0.0_);[Red]\(#,##0.0\)</c:formatCode>
                <c:ptCount val="9"/>
                <c:pt idx="0">
                  <c:v>1.2999999999999972</c:v>
                </c:pt>
                <c:pt idx="1">
                  <c:v>2.1000000000000014</c:v>
                </c:pt>
                <c:pt idx="2">
                  <c:v>-1.1000000000000014</c:v>
                </c:pt>
                <c:pt idx="3">
                  <c:v>1.2000000000000028</c:v>
                </c:pt>
                <c:pt idx="4">
                  <c:v>0.90000000000000568</c:v>
                </c:pt>
                <c:pt idx="5">
                  <c:v>-1.8999999999999986</c:v>
                </c:pt>
                <c:pt idx="6">
                  <c:v>-1.3999999999999986</c:v>
                </c:pt>
                <c:pt idx="7">
                  <c:v>-1.2999999999999972</c:v>
                </c:pt>
                <c:pt idx="8">
                  <c:v>0.59970777777777773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61-478C-90C8-1526CD850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560255"/>
        <c:axId val="979547775"/>
      </c:scatterChart>
      <c:valAx>
        <c:axId val="97956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547775"/>
        <c:crosses val="autoZero"/>
        <c:crossBetween val="midCat"/>
      </c:valAx>
      <c:valAx>
        <c:axId val="97954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56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Percent of US Soybean Crop Rated Good or Excellent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366176368716372E-2"/>
          <c:y val="9.4555635091068166E-2"/>
          <c:w val="0.90726764726256726"/>
          <c:h val="0.74530183727034116"/>
        </c:manualLayout>
      </c:layout>
      <c:areaChart>
        <c:grouping val="standard"/>
        <c:varyColors val="0"/>
        <c:ser>
          <c:idx val="1"/>
          <c:order val="1"/>
          <c:tx>
            <c:strRef>
              <c:f>'Conditions Chart Data'!$A$30</c:f>
              <c:strCache>
                <c:ptCount val="1"/>
                <c:pt idx="0">
                  <c:v>Five-Year Range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chemeClr val="tx1"/>
              </a:solidFill>
            </a:ln>
            <a:effectLst/>
          </c:spPr>
          <c:cat>
            <c:numRef>
              <c:f>'Conditions Chart Data'!$D$1:$W$1</c:f>
              <c:numCache>
                <c:formatCode>d\-mmm</c:formatCode>
                <c:ptCount val="20"/>
                <c:pt idx="0">
                  <c:v>45816</c:v>
                </c:pt>
                <c:pt idx="1">
                  <c:v>45823</c:v>
                </c:pt>
                <c:pt idx="2">
                  <c:v>45830</c:v>
                </c:pt>
                <c:pt idx="3">
                  <c:v>45837</c:v>
                </c:pt>
                <c:pt idx="4">
                  <c:v>45844</c:v>
                </c:pt>
                <c:pt idx="5">
                  <c:v>45851</c:v>
                </c:pt>
                <c:pt idx="6">
                  <c:v>45858</c:v>
                </c:pt>
                <c:pt idx="7">
                  <c:v>45865</c:v>
                </c:pt>
                <c:pt idx="8">
                  <c:v>45872</c:v>
                </c:pt>
                <c:pt idx="9">
                  <c:v>45879</c:v>
                </c:pt>
                <c:pt idx="10">
                  <c:v>45886</c:v>
                </c:pt>
                <c:pt idx="11">
                  <c:v>45893</c:v>
                </c:pt>
                <c:pt idx="12">
                  <c:v>45900</c:v>
                </c:pt>
                <c:pt idx="13">
                  <c:v>45907</c:v>
                </c:pt>
                <c:pt idx="14">
                  <c:v>45914</c:v>
                </c:pt>
                <c:pt idx="15">
                  <c:v>45921</c:v>
                </c:pt>
                <c:pt idx="16">
                  <c:v>45928</c:v>
                </c:pt>
                <c:pt idx="17">
                  <c:v>45935</c:v>
                </c:pt>
                <c:pt idx="18">
                  <c:v>45942</c:v>
                </c:pt>
                <c:pt idx="19">
                  <c:v>45949</c:v>
                </c:pt>
              </c:numCache>
            </c:numRef>
          </c:cat>
          <c:val>
            <c:numRef>
              <c:f>'Conditions Chart Data'!$D$30:$V$30</c:f>
              <c:numCache>
                <c:formatCode>0</c:formatCode>
                <c:ptCount val="19"/>
                <c:pt idx="0">
                  <c:v>72</c:v>
                </c:pt>
                <c:pt idx="1">
                  <c:v>72</c:v>
                </c:pt>
                <c:pt idx="2">
                  <c:v>70</c:v>
                </c:pt>
                <c:pt idx="3">
                  <c:v>71</c:v>
                </c:pt>
                <c:pt idx="4">
                  <c:v>71</c:v>
                </c:pt>
                <c:pt idx="5">
                  <c:v>68</c:v>
                </c:pt>
                <c:pt idx="6">
                  <c:v>69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72</c:v>
                </c:pt>
                <c:pt idx="11">
                  <c:v>69</c:v>
                </c:pt>
                <c:pt idx="12">
                  <c:v>66</c:v>
                </c:pt>
                <c:pt idx="13">
                  <c:v>65</c:v>
                </c:pt>
                <c:pt idx="14">
                  <c:v>64</c:v>
                </c:pt>
                <c:pt idx="15">
                  <c:v>64</c:v>
                </c:pt>
                <c:pt idx="16">
                  <c:v>64</c:v>
                </c:pt>
                <c:pt idx="17">
                  <c:v>64</c:v>
                </c:pt>
                <c:pt idx="18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D-4B05-BD7A-FBFEA5575CA3}"/>
            </c:ext>
          </c:extLst>
        </c:ser>
        <c:ser>
          <c:idx val="2"/>
          <c:order val="2"/>
          <c:spPr>
            <a:solidFill>
              <a:schemeClr val="bg1"/>
            </a:solidFill>
            <a:ln w="9525">
              <a:solidFill>
                <a:schemeClr val="tx1"/>
              </a:solidFill>
            </a:ln>
            <a:effectLst/>
          </c:spPr>
          <c:cat>
            <c:numRef>
              <c:f>'Conditions Chart Data'!$D$1:$W$1</c:f>
              <c:numCache>
                <c:formatCode>d\-mmm</c:formatCode>
                <c:ptCount val="20"/>
                <c:pt idx="0">
                  <c:v>45816</c:v>
                </c:pt>
                <c:pt idx="1">
                  <c:v>45823</c:v>
                </c:pt>
                <c:pt idx="2">
                  <c:v>45830</c:v>
                </c:pt>
                <c:pt idx="3">
                  <c:v>45837</c:v>
                </c:pt>
                <c:pt idx="4">
                  <c:v>45844</c:v>
                </c:pt>
                <c:pt idx="5">
                  <c:v>45851</c:v>
                </c:pt>
                <c:pt idx="6">
                  <c:v>45858</c:v>
                </c:pt>
                <c:pt idx="7">
                  <c:v>45865</c:v>
                </c:pt>
                <c:pt idx="8">
                  <c:v>45872</c:v>
                </c:pt>
                <c:pt idx="9">
                  <c:v>45879</c:v>
                </c:pt>
                <c:pt idx="10">
                  <c:v>45886</c:v>
                </c:pt>
                <c:pt idx="11">
                  <c:v>45893</c:v>
                </c:pt>
                <c:pt idx="12">
                  <c:v>45900</c:v>
                </c:pt>
                <c:pt idx="13">
                  <c:v>45907</c:v>
                </c:pt>
                <c:pt idx="14">
                  <c:v>45914</c:v>
                </c:pt>
                <c:pt idx="15">
                  <c:v>45921</c:v>
                </c:pt>
                <c:pt idx="16">
                  <c:v>45928</c:v>
                </c:pt>
                <c:pt idx="17">
                  <c:v>45935</c:v>
                </c:pt>
                <c:pt idx="18">
                  <c:v>45942</c:v>
                </c:pt>
                <c:pt idx="19">
                  <c:v>45949</c:v>
                </c:pt>
              </c:numCache>
            </c:numRef>
          </c:cat>
          <c:val>
            <c:numRef>
              <c:f>'Conditions Chart Data'!$D$31:$V$31</c:f>
              <c:numCache>
                <c:formatCode>0</c:formatCode>
                <c:ptCount val="19"/>
                <c:pt idx="0">
                  <c:v>59</c:v>
                </c:pt>
                <c:pt idx="1">
                  <c:v>54</c:v>
                </c:pt>
                <c:pt idx="2">
                  <c:v>51</c:v>
                </c:pt>
                <c:pt idx="3">
                  <c:v>50</c:v>
                </c:pt>
                <c:pt idx="4">
                  <c:v>51</c:v>
                </c:pt>
                <c:pt idx="5">
                  <c:v>55</c:v>
                </c:pt>
                <c:pt idx="6">
                  <c:v>54</c:v>
                </c:pt>
                <c:pt idx="7">
                  <c:v>52</c:v>
                </c:pt>
                <c:pt idx="8">
                  <c:v>54</c:v>
                </c:pt>
                <c:pt idx="9">
                  <c:v>57</c:v>
                </c:pt>
                <c:pt idx="10">
                  <c:v>56</c:v>
                </c:pt>
                <c:pt idx="11">
                  <c:v>56</c:v>
                </c:pt>
                <c:pt idx="12">
                  <c:v>53</c:v>
                </c:pt>
                <c:pt idx="13">
                  <c:v>52</c:v>
                </c:pt>
                <c:pt idx="14">
                  <c:v>52</c:v>
                </c:pt>
                <c:pt idx="15">
                  <c:v>50</c:v>
                </c:pt>
                <c:pt idx="16">
                  <c:v>52</c:v>
                </c:pt>
                <c:pt idx="17">
                  <c:v>51</c:v>
                </c:pt>
                <c:pt idx="18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3D-4B05-BD7A-FBFEA5575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8577096"/>
        <c:axId val="978577424"/>
      </c:areaChart>
      <c:lineChart>
        <c:grouping val="standard"/>
        <c:varyColors val="0"/>
        <c:ser>
          <c:idx val="0"/>
          <c:order val="0"/>
          <c:tx>
            <c:strRef>
              <c:f>'Conditions Chart Data'!$A$29</c:f>
              <c:strCache>
                <c:ptCount val="1"/>
                <c:pt idx="0">
                  <c:v>Five-Year Average</c:v>
                </c:pt>
              </c:strCache>
            </c:strRef>
          </c:tx>
          <c:spPr>
            <a:ln w="31750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'Conditions Chart Data'!$D$1:$V$1</c:f>
              <c:numCache>
                <c:formatCode>d\-mmm</c:formatCode>
                <c:ptCount val="19"/>
                <c:pt idx="0">
                  <c:v>45816</c:v>
                </c:pt>
                <c:pt idx="1">
                  <c:v>45823</c:v>
                </c:pt>
                <c:pt idx="2">
                  <c:v>45830</c:v>
                </c:pt>
                <c:pt idx="3">
                  <c:v>45837</c:v>
                </c:pt>
                <c:pt idx="4">
                  <c:v>45844</c:v>
                </c:pt>
                <c:pt idx="5">
                  <c:v>45851</c:v>
                </c:pt>
                <c:pt idx="6">
                  <c:v>45858</c:v>
                </c:pt>
                <c:pt idx="7">
                  <c:v>45865</c:v>
                </c:pt>
                <c:pt idx="8">
                  <c:v>45872</c:v>
                </c:pt>
                <c:pt idx="9">
                  <c:v>45879</c:v>
                </c:pt>
                <c:pt idx="10">
                  <c:v>45886</c:v>
                </c:pt>
                <c:pt idx="11">
                  <c:v>45893</c:v>
                </c:pt>
                <c:pt idx="12">
                  <c:v>45900</c:v>
                </c:pt>
                <c:pt idx="13">
                  <c:v>45907</c:v>
                </c:pt>
                <c:pt idx="14">
                  <c:v>45914</c:v>
                </c:pt>
                <c:pt idx="15">
                  <c:v>45921</c:v>
                </c:pt>
                <c:pt idx="16">
                  <c:v>45928</c:v>
                </c:pt>
                <c:pt idx="17">
                  <c:v>45935</c:v>
                </c:pt>
                <c:pt idx="18">
                  <c:v>45942</c:v>
                </c:pt>
              </c:numCache>
            </c:numRef>
          </c:cat>
          <c:val>
            <c:numRef>
              <c:f>'Conditions Chart Data'!$D$29:$V$29</c:f>
              <c:numCache>
                <c:formatCode>0</c:formatCode>
                <c:ptCount val="19"/>
                <c:pt idx="0">
                  <c:v>67</c:v>
                </c:pt>
                <c:pt idx="1">
                  <c:v>64.8</c:v>
                </c:pt>
                <c:pt idx="2">
                  <c:v>62.6</c:v>
                </c:pt>
                <c:pt idx="3">
                  <c:v>62</c:v>
                </c:pt>
                <c:pt idx="4">
                  <c:v>62.2</c:v>
                </c:pt>
                <c:pt idx="5">
                  <c:v>62.4</c:v>
                </c:pt>
                <c:pt idx="6">
                  <c:v>61.6</c:v>
                </c:pt>
                <c:pt idx="7">
                  <c:v>62.2</c:v>
                </c:pt>
                <c:pt idx="8">
                  <c:v>62.8</c:v>
                </c:pt>
                <c:pt idx="9">
                  <c:v>63.2</c:v>
                </c:pt>
                <c:pt idx="10">
                  <c:v>62.4</c:v>
                </c:pt>
                <c:pt idx="11">
                  <c:v>61.4</c:v>
                </c:pt>
                <c:pt idx="12">
                  <c:v>59.6</c:v>
                </c:pt>
                <c:pt idx="13">
                  <c:v>59</c:v>
                </c:pt>
                <c:pt idx="14">
                  <c:v>58.4</c:v>
                </c:pt>
                <c:pt idx="15">
                  <c:v>58</c:v>
                </c:pt>
                <c:pt idx="16">
                  <c:v>58.6</c:v>
                </c:pt>
                <c:pt idx="17">
                  <c:v>58.8</c:v>
                </c:pt>
                <c:pt idx="18">
                  <c:v>57.333333333333336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3D-4B05-BD7A-FBFEA5575CA3}"/>
            </c:ext>
          </c:extLst>
        </c:ser>
        <c:ser>
          <c:idx val="10"/>
          <c:order val="10"/>
          <c:tx>
            <c:v>2023</c:v>
          </c:tx>
          <c:spPr>
            <a:ln w="158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2">
                  <a:lumMod val="50000"/>
                </a:schemeClr>
              </a:solidFill>
              <a:ln w="1587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cat>
            <c:numRef>
              <c:f>'Conditions Chart Data'!$D$1:$V$1</c:f>
              <c:numCache>
                <c:formatCode>d\-mmm</c:formatCode>
                <c:ptCount val="19"/>
                <c:pt idx="0">
                  <c:v>45816</c:v>
                </c:pt>
                <c:pt idx="1">
                  <c:v>45823</c:v>
                </c:pt>
                <c:pt idx="2">
                  <c:v>45830</c:v>
                </c:pt>
                <c:pt idx="3">
                  <c:v>45837</c:v>
                </c:pt>
                <c:pt idx="4">
                  <c:v>45844</c:v>
                </c:pt>
                <c:pt idx="5">
                  <c:v>45851</c:v>
                </c:pt>
                <c:pt idx="6">
                  <c:v>45858</c:v>
                </c:pt>
                <c:pt idx="7">
                  <c:v>45865</c:v>
                </c:pt>
                <c:pt idx="8">
                  <c:v>45872</c:v>
                </c:pt>
                <c:pt idx="9">
                  <c:v>45879</c:v>
                </c:pt>
                <c:pt idx="10">
                  <c:v>45886</c:v>
                </c:pt>
                <c:pt idx="11">
                  <c:v>45893</c:v>
                </c:pt>
                <c:pt idx="12">
                  <c:v>45900</c:v>
                </c:pt>
                <c:pt idx="13">
                  <c:v>45907</c:v>
                </c:pt>
                <c:pt idx="14">
                  <c:v>45914</c:v>
                </c:pt>
                <c:pt idx="15">
                  <c:v>45921</c:v>
                </c:pt>
                <c:pt idx="16">
                  <c:v>45928</c:v>
                </c:pt>
                <c:pt idx="17">
                  <c:v>45935</c:v>
                </c:pt>
                <c:pt idx="18">
                  <c:v>45942</c:v>
                </c:pt>
              </c:numCache>
            </c:numRef>
          </c:cat>
          <c:val>
            <c:numRef>
              <c:f>'Conditions Chart Data'!$D$25:$V$25</c:f>
              <c:numCache>
                <c:formatCode>#,##0_);[Red]\(#,##0\)</c:formatCode>
                <c:ptCount val="19"/>
                <c:pt idx="0">
                  <c:v>59</c:v>
                </c:pt>
                <c:pt idx="1">
                  <c:v>54</c:v>
                </c:pt>
                <c:pt idx="2">
                  <c:v>51</c:v>
                </c:pt>
                <c:pt idx="3">
                  <c:v>50</c:v>
                </c:pt>
                <c:pt idx="4">
                  <c:v>51</c:v>
                </c:pt>
                <c:pt idx="5">
                  <c:v>55</c:v>
                </c:pt>
                <c:pt idx="6">
                  <c:v>54</c:v>
                </c:pt>
                <c:pt idx="7">
                  <c:v>52</c:v>
                </c:pt>
                <c:pt idx="8">
                  <c:v>54</c:v>
                </c:pt>
                <c:pt idx="9">
                  <c:v>59</c:v>
                </c:pt>
                <c:pt idx="10">
                  <c:v>59</c:v>
                </c:pt>
                <c:pt idx="11">
                  <c:v>58</c:v>
                </c:pt>
                <c:pt idx="12">
                  <c:v>53</c:v>
                </c:pt>
                <c:pt idx="13">
                  <c:v>52</c:v>
                </c:pt>
                <c:pt idx="14">
                  <c:v>52</c:v>
                </c:pt>
                <c:pt idx="15">
                  <c:v>50</c:v>
                </c:pt>
                <c:pt idx="16">
                  <c:v>52</c:v>
                </c:pt>
                <c:pt idx="17">
                  <c:v>51</c:v>
                </c:pt>
                <c:pt idx="18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3D-4B05-BD7A-FBFEA5575CA3}"/>
            </c:ext>
          </c:extLst>
        </c:ser>
        <c:ser>
          <c:idx val="11"/>
          <c:order val="11"/>
          <c:tx>
            <c:strRef>
              <c:f>'Conditions Chart Data'!$A$26</c:f>
              <c:strCache>
                <c:ptCount val="1"/>
                <c:pt idx="0">
                  <c:v>2024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22225">
                <a:solidFill>
                  <a:srgbClr val="C00000"/>
                </a:solidFill>
              </a:ln>
              <a:effectLst/>
            </c:spPr>
          </c:marker>
          <c:cat>
            <c:numRef>
              <c:f>'Conditions Chart Data'!$D$1:$V$1</c:f>
              <c:numCache>
                <c:formatCode>d\-mmm</c:formatCode>
                <c:ptCount val="19"/>
                <c:pt idx="0">
                  <c:v>45816</c:v>
                </c:pt>
                <c:pt idx="1">
                  <c:v>45823</c:v>
                </c:pt>
                <c:pt idx="2">
                  <c:v>45830</c:v>
                </c:pt>
                <c:pt idx="3">
                  <c:v>45837</c:v>
                </c:pt>
                <c:pt idx="4">
                  <c:v>45844</c:v>
                </c:pt>
                <c:pt idx="5">
                  <c:v>45851</c:v>
                </c:pt>
                <c:pt idx="6">
                  <c:v>45858</c:v>
                </c:pt>
                <c:pt idx="7">
                  <c:v>45865</c:v>
                </c:pt>
                <c:pt idx="8">
                  <c:v>45872</c:v>
                </c:pt>
                <c:pt idx="9">
                  <c:v>45879</c:v>
                </c:pt>
                <c:pt idx="10">
                  <c:v>45886</c:v>
                </c:pt>
                <c:pt idx="11">
                  <c:v>45893</c:v>
                </c:pt>
                <c:pt idx="12">
                  <c:v>45900</c:v>
                </c:pt>
                <c:pt idx="13">
                  <c:v>45907</c:v>
                </c:pt>
                <c:pt idx="14">
                  <c:v>45914</c:v>
                </c:pt>
                <c:pt idx="15">
                  <c:v>45921</c:v>
                </c:pt>
                <c:pt idx="16">
                  <c:v>45928</c:v>
                </c:pt>
                <c:pt idx="17">
                  <c:v>45935</c:v>
                </c:pt>
                <c:pt idx="18">
                  <c:v>45942</c:v>
                </c:pt>
              </c:numCache>
            </c:numRef>
          </c:cat>
          <c:val>
            <c:numRef>
              <c:f>'Conditions Chart Data'!$D$26:$V$26</c:f>
              <c:numCache>
                <c:formatCode>#,##0_);[Red]\(#,##0\)</c:formatCode>
                <c:ptCount val="19"/>
                <c:pt idx="0">
                  <c:v>72</c:v>
                </c:pt>
                <c:pt idx="1">
                  <c:v>70</c:v>
                </c:pt>
                <c:pt idx="2">
                  <c:v>67</c:v>
                </c:pt>
                <c:pt idx="3">
                  <c:v>67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67</c:v>
                </c:pt>
                <c:pt idx="12">
                  <c:v>65</c:v>
                </c:pt>
                <c:pt idx="13">
                  <c:v>65</c:v>
                </c:pt>
                <c:pt idx="14">
                  <c:v>64</c:v>
                </c:pt>
                <c:pt idx="15">
                  <c:v>64</c:v>
                </c:pt>
                <c:pt idx="16">
                  <c:v>64</c:v>
                </c:pt>
                <c:pt idx="17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3D-4B05-BD7A-FBFEA5575CA3}"/>
            </c:ext>
          </c:extLst>
        </c:ser>
        <c:ser>
          <c:idx val="12"/>
          <c:order val="12"/>
          <c:tx>
            <c:strRef>
              <c:f>'Conditions Chart Data'!$A$27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158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 w="285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'Conditions Chart Data'!$D$27:$V$27</c:f>
              <c:numCache>
                <c:formatCode>#,##0_);[Red]\(#,##0\)</c:formatCode>
                <c:ptCount val="19"/>
                <c:pt idx="0">
                  <c:v>68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70</c:v>
                </c:pt>
                <c:pt idx="6">
                  <c:v>68</c:v>
                </c:pt>
                <c:pt idx="7">
                  <c:v>70</c:v>
                </c:pt>
                <c:pt idx="8">
                  <c:v>69</c:v>
                </c:pt>
                <c:pt idx="9">
                  <c:v>68</c:v>
                </c:pt>
                <c:pt idx="10">
                  <c:v>68</c:v>
                </c:pt>
                <c:pt idx="11">
                  <c:v>69</c:v>
                </c:pt>
                <c:pt idx="12">
                  <c:v>65</c:v>
                </c:pt>
                <c:pt idx="13">
                  <c:v>64</c:v>
                </c:pt>
                <c:pt idx="14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44-4548-80F5-C7468D9C0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4236296"/>
        <c:axId val="854231376"/>
        <c:extLst>
          <c:ext xmlns:c15="http://schemas.microsoft.com/office/drawing/2012/chart" uri="{02D57815-91ED-43cb-92C2-25804820EDAC}">
            <c15:filteredLineSeries>
              <c15:ser>
                <c:idx val="7"/>
                <c:order val="3"/>
                <c:tx>
                  <c:strRef>
                    <c:extLst>
                      <c:ext uri="{02D57815-91ED-43cb-92C2-25804820EDAC}">
                        <c15:formulaRef>
                          <c15:sqref>'Conditions Chart Data'!$A$14</c15:sqref>
                        </c15:formulaRef>
                      </c:ext>
                    </c:extLst>
                    <c:strCache>
                      <c:ptCount val="1"/>
                      <c:pt idx="0">
                        <c:v>2012</c:v>
                      </c:pt>
                    </c:strCache>
                  </c:strRef>
                </c:tx>
                <c:spPr>
                  <a:ln w="158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75000"/>
                      </a:schemeClr>
                    </a:solidFill>
                    <a:ln w="1587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'Conditions Chart Data'!$D$1:$V$1</c15:sqref>
                        </c15:formulaRef>
                      </c:ext>
                    </c:extLst>
                    <c:numCache>
                      <c:formatCode>d\-mmm</c:formatCode>
                      <c:ptCount val="19"/>
                      <c:pt idx="0">
                        <c:v>45816</c:v>
                      </c:pt>
                      <c:pt idx="1">
                        <c:v>45823</c:v>
                      </c:pt>
                      <c:pt idx="2">
                        <c:v>45830</c:v>
                      </c:pt>
                      <c:pt idx="3">
                        <c:v>45837</c:v>
                      </c:pt>
                      <c:pt idx="4">
                        <c:v>45844</c:v>
                      </c:pt>
                      <c:pt idx="5">
                        <c:v>45851</c:v>
                      </c:pt>
                      <c:pt idx="6">
                        <c:v>45858</c:v>
                      </c:pt>
                      <c:pt idx="7">
                        <c:v>45865</c:v>
                      </c:pt>
                      <c:pt idx="8">
                        <c:v>45872</c:v>
                      </c:pt>
                      <c:pt idx="9">
                        <c:v>45879</c:v>
                      </c:pt>
                      <c:pt idx="10">
                        <c:v>45886</c:v>
                      </c:pt>
                      <c:pt idx="11">
                        <c:v>45893</c:v>
                      </c:pt>
                      <c:pt idx="12">
                        <c:v>45900</c:v>
                      </c:pt>
                      <c:pt idx="13">
                        <c:v>45907</c:v>
                      </c:pt>
                      <c:pt idx="14">
                        <c:v>45914</c:v>
                      </c:pt>
                      <c:pt idx="15">
                        <c:v>45921</c:v>
                      </c:pt>
                      <c:pt idx="16">
                        <c:v>45928</c:v>
                      </c:pt>
                      <c:pt idx="17">
                        <c:v>45935</c:v>
                      </c:pt>
                      <c:pt idx="18">
                        <c:v>45942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'Conditions Chart Data'!$D$14:$U$14</c15:sqref>
                        </c15:formulaRef>
                      </c:ext>
                    </c:extLst>
                    <c:numCache>
                      <c:formatCode>#,##0_);[Red]\(#,##0\)</c:formatCode>
                      <c:ptCount val="18"/>
                      <c:pt idx="0">
                        <c:v>60</c:v>
                      </c:pt>
                      <c:pt idx="1">
                        <c:v>56</c:v>
                      </c:pt>
                      <c:pt idx="2">
                        <c:v>53</c:v>
                      </c:pt>
                      <c:pt idx="3">
                        <c:v>45</c:v>
                      </c:pt>
                      <c:pt idx="4">
                        <c:v>40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29</c:v>
                      </c:pt>
                      <c:pt idx="8">
                        <c:v>29</c:v>
                      </c:pt>
                      <c:pt idx="9">
                        <c:v>30</c:v>
                      </c:pt>
                      <c:pt idx="10">
                        <c:v>31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32</c:v>
                      </c:pt>
                      <c:pt idx="14">
                        <c:v>33</c:v>
                      </c:pt>
                      <c:pt idx="15">
                        <c:v>35</c:v>
                      </c:pt>
                      <c:pt idx="16">
                        <c:v>35</c:v>
                      </c:pt>
                      <c:pt idx="17">
                        <c:v>37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F13D-4B05-BD7A-FBFEA5575CA3}"/>
                  </c:ext>
                </c:extLst>
              </c15:ser>
            </c15:filteredLineSeries>
            <c15:filteredLine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Data'!$A$20</c15:sqref>
                        </c15:formulaRef>
                      </c:ext>
                    </c:extLst>
                    <c:strCache>
                      <c:ptCount val="1"/>
                      <c:pt idx="0">
                        <c:v>2018</c:v>
                      </c:pt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bg2">
                        <a:lumMod val="75000"/>
                      </a:schemeClr>
                    </a:solidFill>
                    <a:ln w="15875">
                      <a:solidFill>
                        <a:schemeClr val="accent1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Data'!$D$1:$V$1</c15:sqref>
                        </c15:formulaRef>
                      </c:ext>
                    </c:extLst>
                    <c:numCache>
                      <c:formatCode>d\-mmm</c:formatCode>
                      <c:ptCount val="19"/>
                      <c:pt idx="0">
                        <c:v>45816</c:v>
                      </c:pt>
                      <c:pt idx="1">
                        <c:v>45823</c:v>
                      </c:pt>
                      <c:pt idx="2">
                        <c:v>45830</c:v>
                      </c:pt>
                      <c:pt idx="3">
                        <c:v>45837</c:v>
                      </c:pt>
                      <c:pt idx="4">
                        <c:v>45844</c:v>
                      </c:pt>
                      <c:pt idx="5">
                        <c:v>45851</c:v>
                      </c:pt>
                      <c:pt idx="6">
                        <c:v>45858</c:v>
                      </c:pt>
                      <c:pt idx="7">
                        <c:v>45865</c:v>
                      </c:pt>
                      <c:pt idx="8">
                        <c:v>45872</c:v>
                      </c:pt>
                      <c:pt idx="9">
                        <c:v>45879</c:v>
                      </c:pt>
                      <c:pt idx="10">
                        <c:v>45886</c:v>
                      </c:pt>
                      <c:pt idx="11">
                        <c:v>45893</c:v>
                      </c:pt>
                      <c:pt idx="12">
                        <c:v>45900</c:v>
                      </c:pt>
                      <c:pt idx="13">
                        <c:v>45907</c:v>
                      </c:pt>
                      <c:pt idx="14">
                        <c:v>45914</c:v>
                      </c:pt>
                      <c:pt idx="15">
                        <c:v>45921</c:v>
                      </c:pt>
                      <c:pt idx="16">
                        <c:v>45928</c:v>
                      </c:pt>
                      <c:pt idx="17">
                        <c:v>45935</c:v>
                      </c:pt>
                      <c:pt idx="18">
                        <c:v>45942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Data'!$C$20:$W$20</c15:sqref>
                        </c15:formulaRef>
                      </c:ext>
                    </c:extLst>
                    <c:numCache>
                      <c:formatCode>#,##0_);[Red]\(#,##0\)</c:formatCode>
                      <c:ptCount val="21"/>
                      <c:pt idx="0">
                        <c:v>75</c:v>
                      </c:pt>
                      <c:pt idx="1">
                        <c:v>74</c:v>
                      </c:pt>
                      <c:pt idx="2">
                        <c:v>73</c:v>
                      </c:pt>
                      <c:pt idx="3">
                        <c:v>73</c:v>
                      </c:pt>
                      <c:pt idx="4">
                        <c:v>71</c:v>
                      </c:pt>
                      <c:pt idx="5">
                        <c:v>71</c:v>
                      </c:pt>
                      <c:pt idx="6">
                        <c:v>69</c:v>
                      </c:pt>
                      <c:pt idx="7">
                        <c:v>70</c:v>
                      </c:pt>
                      <c:pt idx="8">
                        <c:v>70</c:v>
                      </c:pt>
                      <c:pt idx="9">
                        <c:v>67</c:v>
                      </c:pt>
                      <c:pt idx="10">
                        <c:v>66</c:v>
                      </c:pt>
                      <c:pt idx="11">
                        <c:v>65</c:v>
                      </c:pt>
                      <c:pt idx="12">
                        <c:v>66</c:v>
                      </c:pt>
                      <c:pt idx="13">
                        <c:v>66</c:v>
                      </c:pt>
                      <c:pt idx="14">
                        <c:v>68</c:v>
                      </c:pt>
                      <c:pt idx="15">
                        <c:v>67</c:v>
                      </c:pt>
                      <c:pt idx="16">
                        <c:v>68</c:v>
                      </c:pt>
                      <c:pt idx="17">
                        <c:v>68</c:v>
                      </c:pt>
                      <c:pt idx="18">
                        <c:v>68</c:v>
                      </c:pt>
                      <c:pt idx="19">
                        <c:v>66</c:v>
                      </c:pt>
                      <c:pt idx="20">
                        <c:v>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13D-4B05-BD7A-FBFEA5575CA3}"/>
                  </c:ext>
                </c:extLst>
              </c15:ser>
            </c15:filteredLineSeries>
            <c15:filteredLine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Data'!$A$19</c15:sqref>
                        </c15:formulaRef>
                      </c:ext>
                    </c:extLst>
                    <c:strCache>
                      <c:ptCount val="1"/>
                      <c:pt idx="0">
                        <c:v>2017</c:v>
                      </c:pt>
                    </c:strCache>
                  </c:strRef>
                </c:tx>
                <c:spPr>
                  <a:ln w="15875" cap="rnd">
                    <a:solidFill>
                      <a:schemeClr val="bg1">
                        <a:lumMod val="6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15875">
                      <a:solidFill>
                        <a:schemeClr val="bg1">
                          <a:lumMod val="65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Data'!$D$1:$V$1</c15:sqref>
                        </c15:formulaRef>
                      </c:ext>
                    </c:extLst>
                    <c:numCache>
                      <c:formatCode>d\-mmm</c:formatCode>
                      <c:ptCount val="19"/>
                      <c:pt idx="0">
                        <c:v>45816</c:v>
                      </c:pt>
                      <c:pt idx="1">
                        <c:v>45823</c:v>
                      </c:pt>
                      <c:pt idx="2">
                        <c:v>45830</c:v>
                      </c:pt>
                      <c:pt idx="3">
                        <c:v>45837</c:v>
                      </c:pt>
                      <c:pt idx="4">
                        <c:v>45844</c:v>
                      </c:pt>
                      <c:pt idx="5">
                        <c:v>45851</c:v>
                      </c:pt>
                      <c:pt idx="6">
                        <c:v>45858</c:v>
                      </c:pt>
                      <c:pt idx="7">
                        <c:v>45865</c:v>
                      </c:pt>
                      <c:pt idx="8">
                        <c:v>45872</c:v>
                      </c:pt>
                      <c:pt idx="9">
                        <c:v>45879</c:v>
                      </c:pt>
                      <c:pt idx="10">
                        <c:v>45886</c:v>
                      </c:pt>
                      <c:pt idx="11">
                        <c:v>45893</c:v>
                      </c:pt>
                      <c:pt idx="12">
                        <c:v>45900</c:v>
                      </c:pt>
                      <c:pt idx="13">
                        <c:v>45907</c:v>
                      </c:pt>
                      <c:pt idx="14">
                        <c:v>45914</c:v>
                      </c:pt>
                      <c:pt idx="15">
                        <c:v>45921</c:v>
                      </c:pt>
                      <c:pt idx="16">
                        <c:v>45928</c:v>
                      </c:pt>
                      <c:pt idx="17">
                        <c:v>45935</c:v>
                      </c:pt>
                      <c:pt idx="18">
                        <c:v>45942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Data'!$C$19:$W$19</c15:sqref>
                        </c15:formulaRef>
                      </c:ext>
                    </c:extLst>
                    <c:numCache>
                      <c:formatCode>#,##0_);[Red]\(#,##0\)</c:formatCode>
                      <c:ptCount val="21"/>
                      <c:pt idx="1">
                        <c:v>66</c:v>
                      </c:pt>
                      <c:pt idx="2">
                        <c:v>67</c:v>
                      </c:pt>
                      <c:pt idx="3">
                        <c:v>66</c:v>
                      </c:pt>
                      <c:pt idx="4">
                        <c:v>64</c:v>
                      </c:pt>
                      <c:pt idx="5">
                        <c:v>62</c:v>
                      </c:pt>
                      <c:pt idx="6">
                        <c:v>61</c:v>
                      </c:pt>
                      <c:pt idx="7">
                        <c:v>57</c:v>
                      </c:pt>
                      <c:pt idx="8">
                        <c:v>59</c:v>
                      </c:pt>
                      <c:pt idx="9">
                        <c:v>60</c:v>
                      </c:pt>
                      <c:pt idx="10">
                        <c:v>59</c:v>
                      </c:pt>
                      <c:pt idx="11">
                        <c:v>60</c:v>
                      </c:pt>
                      <c:pt idx="12">
                        <c:v>61</c:v>
                      </c:pt>
                      <c:pt idx="13">
                        <c:v>61</c:v>
                      </c:pt>
                      <c:pt idx="14">
                        <c:v>60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60</c:v>
                      </c:pt>
                      <c:pt idx="18">
                        <c:v>61</c:v>
                      </c:pt>
                      <c:pt idx="19">
                        <c:v>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13D-4B05-BD7A-FBFEA5575CA3}"/>
                  </c:ext>
                </c:extLst>
              </c15:ser>
            </c15:filteredLineSeries>
            <c15:filteredLineSeries>
              <c15:ser>
                <c:idx val="5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Data'!$A$21</c15:sqref>
                        </c15:formulaRef>
                      </c:ext>
                    </c:extLst>
                    <c:strCache>
                      <c:ptCount val="1"/>
                      <c:pt idx="0">
                        <c:v>2019</c:v>
                      </c:pt>
                    </c:strCache>
                  </c:strRef>
                </c:tx>
                <c:spPr>
                  <a:ln w="15875" cap="rnd">
                    <a:solidFill>
                      <a:schemeClr val="bg2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tx1">
                        <a:lumMod val="95000"/>
                        <a:lumOff val="5000"/>
                      </a:schemeClr>
                    </a:solidFill>
                    <a:ln w="15875">
                      <a:solidFill>
                        <a:schemeClr val="bg2">
                          <a:lumMod val="75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Data'!$D$1:$V$1</c15:sqref>
                        </c15:formulaRef>
                      </c:ext>
                    </c:extLst>
                    <c:numCache>
                      <c:formatCode>d\-mmm</c:formatCode>
                      <c:ptCount val="19"/>
                      <c:pt idx="0">
                        <c:v>45816</c:v>
                      </c:pt>
                      <c:pt idx="1">
                        <c:v>45823</c:v>
                      </c:pt>
                      <c:pt idx="2">
                        <c:v>45830</c:v>
                      </c:pt>
                      <c:pt idx="3">
                        <c:v>45837</c:v>
                      </c:pt>
                      <c:pt idx="4">
                        <c:v>45844</c:v>
                      </c:pt>
                      <c:pt idx="5">
                        <c:v>45851</c:v>
                      </c:pt>
                      <c:pt idx="6">
                        <c:v>45858</c:v>
                      </c:pt>
                      <c:pt idx="7">
                        <c:v>45865</c:v>
                      </c:pt>
                      <c:pt idx="8">
                        <c:v>45872</c:v>
                      </c:pt>
                      <c:pt idx="9">
                        <c:v>45879</c:v>
                      </c:pt>
                      <c:pt idx="10">
                        <c:v>45886</c:v>
                      </c:pt>
                      <c:pt idx="11">
                        <c:v>45893</c:v>
                      </c:pt>
                      <c:pt idx="12">
                        <c:v>45900</c:v>
                      </c:pt>
                      <c:pt idx="13">
                        <c:v>45907</c:v>
                      </c:pt>
                      <c:pt idx="14">
                        <c:v>45914</c:v>
                      </c:pt>
                      <c:pt idx="15">
                        <c:v>45921</c:v>
                      </c:pt>
                      <c:pt idx="16">
                        <c:v>45928</c:v>
                      </c:pt>
                      <c:pt idx="17">
                        <c:v>45935</c:v>
                      </c:pt>
                      <c:pt idx="18">
                        <c:v>45942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Data'!$C$21:$W$21</c15:sqref>
                        </c15:formulaRef>
                      </c:ext>
                    </c:extLst>
                    <c:numCache>
                      <c:formatCode>#,##0_);[Red]\(#,##0\)</c:formatCode>
                      <c:ptCount val="21"/>
                      <c:pt idx="3">
                        <c:v>54</c:v>
                      </c:pt>
                      <c:pt idx="4">
                        <c:v>54</c:v>
                      </c:pt>
                      <c:pt idx="5">
                        <c:v>53</c:v>
                      </c:pt>
                      <c:pt idx="6">
                        <c:v>54</c:v>
                      </c:pt>
                      <c:pt idx="7">
                        <c:v>54</c:v>
                      </c:pt>
                      <c:pt idx="8">
                        <c:v>54</c:v>
                      </c:pt>
                      <c:pt idx="9">
                        <c:v>54</c:v>
                      </c:pt>
                      <c:pt idx="10">
                        <c:v>54</c:v>
                      </c:pt>
                      <c:pt idx="11">
                        <c:v>53</c:v>
                      </c:pt>
                      <c:pt idx="12">
                        <c:v>55</c:v>
                      </c:pt>
                      <c:pt idx="13">
                        <c:v>55</c:v>
                      </c:pt>
                      <c:pt idx="14">
                        <c:v>55</c:v>
                      </c:pt>
                      <c:pt idx="15">
                        <c:v>54</c:v>
                      </c:pt>
                      <c:pt idx="16">
                        <c:v>54</c:v>
                      </c:pt>
                      <c:pt idx="17">
                        <c:v>55</c:v>
                      </c:pt>
                      <c:pt idx="18">
                        <c:v>53</c:v>
                      </c:pt>
                      <c:pt idx="19">
                        <c:v>54</c:v>
                      </c:pt>
                      <c:pt idx="20">
                        <c:v>54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13D-4B05-BD7A-FBFEA5575CA3}"/>
                  </c:ext>
                </c:extLst>
              </c15:ser>
            </c15:filteredLineSeries>
            <c15:filteredLineSeries>
              <c15:ser>
                <c:idx val="6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Data'!$A$22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ln w="15875" cap="rnd">
                    <a:solidFill>
                      <a:schemeClr val="bg1">
                        <a:lumMod val="6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tx1"/>
                    </a:solidFill>
                    <a:ln w="15875">
                      <a:solidFill>
                        <a:schemeClr val="bg1">
                          <a:lumMod val="65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Data'!$D$1:$V$1</c15:sqref>
                        </c15:formulaRef>
                      </c:ext>
                    </c:extLst>
                    <c:numCache>
                      <c:formatCode>d\-mmm</c:formatCode>
                      <c:ptCount val="19"/>
                      <c:pt idx="0">
                        <c:v>45816</c:v>
                      </c:pt>
                      <c:pt idx="1">
                        <c:v>45823</c:v>
                      </c:pt>
                      <c:pt idx="2">
                        <c:v>45830</c:v>
                      </c:pt>
                      <c:pt idx="3">
                        <c:v>45837</c:v>
                      </c:pt>
                      <c:pt idx="4">
                        <c:v>45844</c:v>
                      </c:pt>
                      <c:pt idx="5">
                        <c:v>45851</c:v>
                      </c:pt>
                      <c:pt idx="6">
                        <c:v>45858</c:v>
                      </c:pt>
                      <c:pt idx="7">
                        <c:v>45865</c:v>
                      </c:pt>
                      <c:pt idx="8">
                        <c:v>45872</c:v>
                      </c:pt>
                      <c:pt idx="9">
                        <c:v>45879</c:v>
                      </c:pt>
                      <c:pt idx="10">
                        <c:v>45886</c:v>
                      </c:pt>
                      <c:pt idx="11">
                        <c:v>45893</c:v>
                      </c:pt>
                      <c:pt idx="12">
                        <c:v>45900</c:v>
                      </c:pt>
                      <c:pt idx="13">
                        <c:v>45907</c:v>
                      </c:pt>
                      <c:pt idx="14">
                        <c:v>45914</c:v>
                      </c:pt>
                      <c:pt idx="15">
                        <c:v>45921</c:v>
                      </c:pt>
                      <c:pt idx="16">
                        <c:v>45928</c:v>
                      </c:pt>
                      <c:pt idx="17">
                        <c:v>45935</c:v>
                      </c:pt>
                      <c:pt idx="18">
                        <c:v>45942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Data'!$D$22:$W$22</c15:sqref>
                        </c15:formulaRef>
                      </c:ext>
                    </c:extLst>
                    <c:numCache>
                      <c:formatCode>#,##0_);[Red]\(#,##0\)</c:formatCode>
                      <c:ptCount val="20"/>
                      <c:pt idx="0">
                        <c:v>72</c:v>
                      </c:pt>
                      <c:pt idx="1">
                        <c:v>72</c:v>
                      </c:pt>
                      <c:pt idx="2">
                        <c:v>70</c:v>
                      </c:pt>
                      <c:pt idx="3">
                        <c:v>71</c:v>
                      </c:pt>
                      <c:pt idx="4">
                        <c:v>71</c:v>
                      </c:pt>
                      <c:pt idx="5">
                        <c:v>68</c:v>
                      </c:pt>
                      <c:pt idx="6">
                        <c:v>69</c:v>
                      </c:pt>
                      <c:pt idx="7">
                        <c:v>72</c:v>
                      </c:pt>
                      <c:pt idx="8">
                        <c:v>73</c:v>
                      </c:pt>
                      <c:pt idx="9">
                        <c:v>74</c:v>
                      </c:pt>
                      <c:pt idx="10">
                        <c:v>72</c:v>
                      </c:pt>
                      <c:pt idx="11">
                        <c:v>69</c:v>
                      </c:pt>
                      <c:pt idx="12">
                        <c:v>66</c:v>
                      </c:pt>
                      <c:pt idx="13">
                        <c:v>65</c:v>
                      </c:pt>
                      <c:pt idx="14">
                        <c:v>63</c:v>
                      </c:pt>
                      <c:pt idx="15">
                        <c:v>63</c:v>
                      </c:pt>
                      <c:pt idx="16">
                        <c:v>64</c:v>
                      </c:pt>
                      <c:pt idx="17">
                        <c:v>64</c:v>
                      </c:pt>
                      <c:pt idx="18">
                        <c:v>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13D-4B05-BD7A-FBFEA5575CA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Data'!$A$23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 w="22225" cap="rnd">
                    <a:solidFill>
                      <a:srgbClr val="8C8C8C"/>
                    </a:solidFill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rgbClr val="8C8C8C"/>
                    </a:solidFill>
                    <a:ln w="15875">
                      <a:solidFill>
                        <a:srgbClr val="8C8C8C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Data'!$D$1:$V$1</c15:sqref>
                        </c15:formulaRef>
                      </c:ext>
                    </c:extLst>
                    <c:numCache>
                      <c:formatCode>d\-mmm</c:formatCode>
                      <c:ptCount val="19"/>
                      <c:pt idx="0">
                        <c:v>45816</c:v>
                      </c:pt>
                      <c:pt idx="1">
                        <c:v>45823</c:v>
                      </c:pt>
                      <c:pt idx="2">
                        <c:v>45830</c:v>
                      </c:pt>
                      <c:pt idx="3">
                        <c:v>45837</c:v>
                      </c:pt>
                      <c:pt idx="4">
                        <c:v>45844</c:v>
                      </c:pt>
                      <c:pt idx="5">
                        <c:v>45851</c:v>
                      </c:pt>
                      <c:pt idx="6">
                        <c:v>45858</c:v>
                      </c:pt>
                      <c:pt idx="7">
                        <c:v>45865</c:v>
                      </c:pt>
                      <c:pt idx="8">
                        <c:v>45872</c:v>
                      </c:pt>
                      <c:pt idx="9">
                        <c:v>45879</c:v>
                      </c:pt>
                      <c:pt idx="10">
                        <c:v>45886</c:v>
                      </c:pt>
                      <c:pt idx="11">
                        <c:v>45893</c:v>
                      </c:pt>
                      <c:pt idx="12">
                        <c:v>45900</c:v>
                      </c:pt>
                      <c:pt idx="13">
                        <c:v>45907</c:v>
                      </c:pt>
                      <c:pt idx="14">
                        <c:v>45914</c:v>
                      </c:pt>
                      <c:pt idx="15">
                        <c:v>45921</c:v>
                      </c:pt>
                      <c:pt idx="16">
                        <c:v>45928</c:v>
                      </c:pt>
                      <c:pt idx="17">
                        <c:v>45935</c:v>
                      </c:pt>
                      <c:pt idx="18">
                        <c:v>45942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Data'!$D$23:$W$23</c15:sqref>
                        </c15:formulaRef>
                      </c:ext>
                    </c:extLst>
                    <c:numCache>
                      <c:formatCode>#,##0_);[Red]\(#,##0\)</c:formatCode>
                      <c:ptCount val="20"/>
                      <c:pt idx="0">
                        <c:v>62</c:v>
                      </c:pt>
                      <c:pt idx="1">
                        <c:v>60</c:v>
                      </c:pt>
                      <c:pt idx="2">
                        <c:v>60</c:v>
                      </c:pt>
                      <c:pt idx="3">
                        <c:v>59</c:v>
                      </c:pt>
                      <c:pt idx="4">
                        <c:v>59</c:v>
                      </c:pt>
                      <c:pt idx="5">
                        <c:v>60</c:v>
                      </c:pt>
                      <c:pt idx="6">
                        <c:v>58</c:v>
                      </c:pt>
                      <c:pt idx="7">
                        <c:v>60</c:v>
                      </c:pt>
                      <c:pt idx="8">
                        <c:v>60</c:v>
                      </c:pt>
                      <c:pt idx="9">
                        <c:v>57</c:v>
                      </c:pt>
                      <c:pt idx="10">
                        <c:v>56</c:v>
                      </c:pt>
                      <c:pt idx="11">
                        <c:v>56</c:v>
                      </c:pt>
                      <c:pt idx="12">
                        <c:v>57</c:v>
                      </c:pt>
                      <c:pt idx="13">
                        <c:v>57</c:v>
                      </c:pt>
                      <c:pt idx="14">
                        <c:v>58</c:v>
                      </c:pt>
                      <c:pt idx="15">
                        <c:v>58</c:v>
                      </c:pt>
                      <c:pt idx="16">
                        <c:v>58</c:v>
                      </c:pt>
                      <c:pt idx="17">
                        <c:v>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13D-4B05-BD7A-FBFEA5575CA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v>2022</c:v>
                </c:tx>
                <c:spPr>
                  <a:ln w="22225" cap="rnd">
                    <a:solidFill>
                      <a:srgbClr val="6F0791"/>
                    </a:solidFill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rgbClr val="6F0791"/>
                    </a:solidFill>
                    <a:ln w="15875">
                      <a:solidFill>
                        <a:srgbClr val="6F0791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Data'!$D$1:$V$1</c15:sqref>
                        </c15:formulaRef>
                      </c:ext>
                    </c:extLst>
                    <c:numCache>
                      <c:formatCode>d\-mmm</c:formatCode>
                      <c:ptCount val="19"/>
                      <c:pt idx="0">
                        <c:v>45816</c:v>
                      </c:pt>
                      <c:pt idx="1">
                        <c:v>45823</c:v>
                      </c:pt>
                      <c:pt idx="2">
                        <c:v>45830</c:v>
                      </c:pt>
                      <c:pt idx="3">
                        <c:v>45837</c:v>
                      </c:pt>
                      <c:pt idx="4">
                        <c:v>45844</c:v>
                      </c:pt>
                      <c:pt idx="5">
                        <c:v>45851</c:v>
                      </c:pt>
                      <c:pt idx="6">
                        <c:v>45858</c:v>
                      </c:pt>
                      <c:pt idx="7">
                        <c:v>45865</c:v>
                      </c:pt>
                      <c:pt idx="8">
                        <c:v>45872</c:v>
                      </c:pt>
                      <c:pt idx="9">
                        <c:v>45879</c:v>
                      </c:pt>
                      <c:pt idx="10">
                        <c:v>45886</c:v>
                      </c:pt>
                      <c:pt idx="11">
                        <c:v>45893</c:v>
                      </c:pt>
                      <c:pt idx="12">
                        <c:v>45900</c:v>
                      </c:pt>
                      <c:pt idx="13">
                        <c:v>45907</c:v>
                      </c:pt>
                      <c:pt idx="14">
                        <c:v>45914</c:v>
                      </c:pt>
                      <c:pt idx="15">
                        <c:v>45921</c:v>
                      </c:pt>
                      <c:pt idx="16">
                        <c:v>45928</c:v>
                      </c:pt>
                      <c:pt idx="17">
                        <c:v>45935</c:v>
                      </c:pt>
                      <c:pt idx="18">
                        <c:v>45942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Data'!$D$24:$W$24</c15:sqref>
                        </c15:formulaRef>
                      </c:ext>
                    </c:extLst>
                    <c:numCache>
                      <c:formatCode>#,##0_);[Red]\(#,##0\)</c:formatCode>
                      <c:ptCount val="20"/>
                      <c:pt idx="0">
                        <c:v>70</c:v>
                      </c:pt>
                      <c:pt idx="1">
                        <c:v>68</c:v>
                      </c:pt>
                      <c:pt idx="2">
                        <c:v>65</c:v>
                      </c:pt>
                      <c:pt idx="3">
                        <c:v>63</c:v>
                      </c:pt>
                      <c:pt idx="4">
                        <c:v>62</c:v>
                      </c:pt>
                      <c:pt idx="5">
                        <c:v>61</c:v>
                      </c:pt>
                      <c:pt idx="6">
                        <c:v>59</c:v>
                      </c:pt>
                      <c:pt idx="7">
                        <c:v>60</c:v>
                      </c:pt>
                      <c:pt idx="8">
                        <c:v>59</c:v>
                      </c:pt>
                      <c:pt idx="9">
                        <c:v>58</c:v>
                      </c:pt>
                      <c:pt idx="10">
                        <c:v>57</c:v>
                      </c:pt>
                      <c:pt idx="11">
                        <c:v>57</c:v>
                      </c:pt>
                      <c:pt idx="12">
                        <c:v>57</c:v>
                      </c:pt>
                      <c:pt idx="13">
                        <c:v>56</c:v>
                      </c:pt>
                      <c:pt idx="14">
                        <c:v>55</c:v>
                      </c:pt>
                      <c:pt idx="15">
                        <c:v>55</c:v>
                      </c:pt>
                      <c:pt idx="16">
                        <c:v>55</c:v>
                      </c:pt>
                      <c:pt idx="17">
                        <c:v>57</c:v>
                      </c:pt>
                      <c:pt idx="18">
                        <c:v>57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13D-4B05-BD7A-FBFEA5575CA3}"/>
                  </c:ext>
                </c:extLst>
              </c15:ser>
            </c15:filteredLineSeries>
          </c:ext>
        </c:extLst>
      </c:lineChart>
      <c:dateAx>
        <c:axId val="978577096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1587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78577424"/>
        <c:crosses val="autoZero"/>
        <c:auto val="1"/>
        <c:lblOffset val="100"/>
        <c:baseTimeUnit val="days"/>
      </c:dateAx>
      <c:valAx>
        <c:axId val="978577424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1587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78577096"/>
        <c:crossesAt val="44353"/>
        <c:crossBetween val="midCat"/>
      </c:valAx>
      <c:valAx>
        <c:axId val="854231376"/>
        <c:scaling>
          <c:orientation val="minMax"/>
          <c:max val="80"/>
          <c:min val="40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4236296"/>
        <c:crosses val="max"/>
        <c:crossBetween val="between"/>
      </c:valAx>
      <c:dateAx>
        <c:axId val="854236296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854231376"/>
        <c:crosses val="autoZero"/>
        <c:auto val="1"/>
        <c:lblOffset val="100"/>
        <c:baseTimeUnit val="days"/>
      </c:dateAx>
      <c:spPr>
        <a:noFill/>
        <a:ln w="15875">
          <a:solidFill>
            <a:srgbClr val="8C8C8C"/>
          </a:solidFill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1845211224223853"/>
          <c:y val="0.7547530717952291"/>
          <c:w val="0.60288118950025926"/>
          <c:h val="4.2871994982928013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USDA U.S. Soybean Yield Forecast Change </a:t>
            </a:r>
          </a:p>
          <a:p>
            <a:pPr>
              <a:defRPr sz="2400"/>
            </a:pPr>
            <a:r>
              <a:rPr lang="en-US" sz="2400"/>
              <a:t>July - August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738005261344702E-2"/>
          <c:y val="0.18194453151785733"/>
          <c:w val="0.87044934243726479"/>
          <c:h val="0.683024355523938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'Conditions Chart Data'!$AL$1</c:f>
              <c:strCache>
                <c:ptCount val="1"/>
                <c:pt idx="0">
                  <c:v>Yield Change July - August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2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B0-4F5A-85FE-5553306ADBF9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B0-4F5A-85FE-5553306ADBF9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940-4FA9-A598-91753790209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ADB9329-16BB-461E-9CE5-E724BA908F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BBD-4131-99C8-968056F3B43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453646A-3FE9-40C9-8351-CBABE36079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BBD-4131-99C8-968056F3B43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35AB844-EACD-4B76-965E-87372B3BC0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BBD-4131-99C8-968056F3B43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71C1A21-F06C-42BB-BBBD-FB26681AE3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BBD-4131-99C8-968056F3B43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196F314-A76D-4B75-979C-D42D99CF79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BBD-4131-99C8-968056F3B43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7625316-B5F0-4E3D-ACA9-FF2EFC2E0F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BBD-4131-99C8-968056F3B43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05D8D25-F992-4500-8269-2F60E7DC80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BBD-4131-99C8-968056F3B43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7810A9A-0F1D-4298-B4F2-3E565C3982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BBD-4131-99C8-968056F3B43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E7D22AC-8C95-4A4A-B5DA-B1F0CAFCED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BBD-4131-99C8-968056F3B43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027C7C7-DB6F-492F-ABEE-1EE9F6F6CD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BBD-4131-99C8-968056F3B43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129DE82-6E14-43E5-8244-8A0007A450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BBD-4131-99C8-968056F3B43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B0B92EC-4258-40F1-9CC3-B6D0380A28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BBD-4131-99C8-968056F3B43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1806D21-8CDE-475C-8EED-6F3B844115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BBD-4131-99C8-968056F3B43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B034B33-F6CB-44B7-9A17-067D66452D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BBD-4131-99C8-968056F3B43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E4FDC51-AF7E-4DE6-814C-9FECD6BB0A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BBD-4131-99C8-968056F3B43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04769A0-A9BD-4A70-A8B8-E1E5C2AB02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BBD-4131-99C8-968056F3B43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AA7A241-B409-4EC8-BCAE-F597516D31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BBD-4131-99C8-968056F3B43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0AE70E8-6C18-4016-9D62-B2EB4384A2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BBD-4131-99C8-968056F3B43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0121014-7EA4-4BE4-8A20-AC03B01CEC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BBD-4131-99C8-968056F3B43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3E6CDAC-5C7E-417D-9C81-BF7EDE3B77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BBD-4131-99C8-968056F3B43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E0B7CCB-DC18-4109-A4E8-426E05C79F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BBD-4131-99C8-968056F3B43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4DF9C48-9D2A-4FFA-A55A-B6D09220E9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8B0-4F5A-85FE-5553306ADBF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5C6EC53-0FB8-455D-8737-79272FDE22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8B0-4F5A-85FE-5553306ADBF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3054EE8-1E31-4052-A43D-C5834D5E34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BBD-4131-99C8-968056F3B43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EBA3EE0B-61A0-450D-8A8D-2FA280166D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BBD-4131-99C8-968056F3B43E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B6C7AC02-7CB2-436F-8F16-9B4C3B1E82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940-4FA9-A598-917537902093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'Conditions Chart Data'!$A$2:$A$27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'Conditions Chart Data'!$AL$2:$AL$27</c:f>
              <c:numCache>
                <c:formatCode>#,##0.0_);[Red]\(#,##0.0\)</c:formatCode>
                <c:ptCount val="26"/>
                <c:pt idx="0">
                  <c:v>0.70000000000000284</c:v>
                </c:pt>
                <c:pt idx="1">
                  <c:v>-0.79999999999999716</c:v>
                </c:pt>
                <c:pt idx="2">
                  <c:v>-3.2000000000000028</c:v>
                </c:pt>
                <c:pt idx="3">
                  <c:v>-0.30000000000000426</c:v>
                </c:pt>
                <c:pt idx="4">
                  <c:v>-0.79999999999999716</c:v>
                </c:pt>
                <c:pt idx="5">
                  <c:v>-1.1999999999999957</c:v>
                </c:pt>
                <c:pt idx="6">
                  <c:v>-1.1000000000000014</c:v>
                </c:pt>
                <c:pt idx="7">
                  <c:v>0</c:v>
                </c:pt>
                <c:pt idx="8">
                  <c:v>-1.1000000000000014</c:v>
                </c:pt>
                <c:pt idx="9">
                  <c:v>-0.89999999999999858</c:v>
                </c:pt>
                <c:pt idx="10">
                  <c:v>1.1000000000000014</c:v>
                </c:pt>
                <c:pt idx="11">
                  <c:v>-2</c:v>
                </c:pt>
                <c:pt idx="12">
                  <c:v>-4.3999999999999986</c:v>
                </c:pt>
                <c:pt idx="13">
                  <c:v>-1.8999999999999986</c:v>
                </c:pt>
                <c:pt idx="14">
                  <c:v>0.19999999999999574</c:v>
                </c:pt>
                <c:pt idx="15">
                  <c:v>0.89999999999999858</c:v>
                </c:pt>
                <c:pt idx="16">
                  <c:v>2.1999999999999957</c:v>
                </c:pt>
                <c:pt idx="17">
                  <c:v>1.3999999999999986</c:v>
                </c:pt>
                <c:pt idx="18">
                  <c:v>3.1000000000000014</c:v>
                </c:pt>
                <c:pt idx="19">
                  <c:v>0</c:v>
                </c:pt>
                <c:pt idx="20">
                  <c:v>3.5</c:v>
                </c:pt>
                <c:pt idx="21">
                  <c:v>-0.79999999999999716</c:v>
                </c:pt>
                <c:pt idx="22">
                  <c:v>0.39999999999999858</c:v>
                </c:pt>
                <c:pt idx="23">
                  <c:v>-1.1000000000000014</c:v>
                </c:pt>
                <c:pt idx="24">
                  <c:v>1.2000000000000028</c:v>
                </c:pt>
                <c:pt idx="25">
                  <c:v>1.1000000000000014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'Conditions Chart Data'!$AM$2:$AM$27</c15:f>
                <c15:dlblRangeCache>
                  <c:ptCount val="26"/>
                  <c:pt idx="0">
                    <c:v>(1.0)</c:v>
                  </c:pt>
                  <c:pt idx="1">
                    <c:v>(3.0)</c:v>
                  </c:pt>
                  <c:pt idx="2">
                    <c:v>(13.0)</c:v>
                  </c:pt>
                  <c:pt idx="3">
                    <c:v>(7.0)</c:v>
                  </c:pt>
                  <c:pt idx="4">
                    <c:v>4.0 </c:v>
                  </c:pt>
                  <c:pt idx="5">
                    <c:v>(7.0)</c:v>
                  </c:pt>
                  <c:pt idx="6">
                    <c:v>(11.0)</c:v>
                  </c:pt>
                  <c:pt idx="7">
                    <c:v>(12.0)</c:v>
                  </c:pt>
                  <c:pt idx="8">
                    <c:v>5.0 </c:v>
                  </c:pt>
                  <c:pt idx="9">
                    <c:v>(1.0)</c:v>
                  </c:pt>
                  <c:pt idx="10">
                    <c:v>0.0 </c:v>
                  </c:pt>
                  <c:pt idx="11">
                    <c:v>(5.0)</c:v>
                  </c:pt>
                  <c:pt idx="12">
                    <c:v>(16.0)</c:v>
                  </c:pt>
                  <c:pt idx="13">
                    <c:v>(2.0)</c:v>
                  </c:pt>
                  <c:pt idx="14">
                    <c:v>(1.0)</c:v>
                  </c:pt>
                  <c:pt idx="15">
                    <c:v>0.0 </c:v>
                  </c:pt>
                  <c:pt idx="16">
                    <c:v>2.0 </c:v>
                  </c:pt>
                  <c:pt idx="17">
                    <c:v>(4.0)</c:v>
                  </c:pt>
                  <c:pt idx="18">
                    <c:v>(4.0)</c:v>
                  </c:pt>
                  <c:pt idx="19">
                    <c:v>0.0 </c:v>
                  </c:pt>
                  <c:pt idx="20">
                    <c:v>2.0 </c:v>
                  </c:pt>
                  <c:pt idx="21">
                    <c:v>1.0 </c:v>
                  </c:pt>
                  <c:pt idx="22">
                    <c:v>(4.0)</c:v>
                  </c:pt>
                  <c:pt idx="23">
                    <c:v>4.0 </c:v>
                  </c:pt>
                  <c:pt idx="24">
                    <c:v>1.0 </c:v>
                  </c:pt>
                  <c:pt idx="25">
                    <c:v>3.0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48B0-4F5A-85FE-5553306AD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43364216"/>
        <c:axId val="1843368152"/>
      </c:barChart>
      <c:catAx>
        <c:axId val="184336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8152"/>
        <c:crosses val="autoZero"/>
        <c:auto val="1"/>
        <c:lblAlgn val="ctr"/>
        <c:lblOffset val="100"/>
        <c:tickMarkSkip val="1"/>
        <c:noMultiLvlLbl val="0"/>
      </c:catAx>
      <c:valAx>
        <c:axId val="184336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(bushels</a:t>
                </a:r>
                <a:r>
                  <a:rPr lang="en-US" baseline="0"/>
                  <a:t> per acre)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4216"/>
        <c:crosses val="autoZero"/>
        <c:crossBetween val="between"/>
      </c:valAx>
      <c:spPr>
        <a:noFill/>
        <a:ln w="15875"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USDA U.S. Soybean Yield Forecast Change </a:t>
            </a:r>
          </a:p>
          <a:p>
            <a:pPr>
              <a:defRPr sz="2800"/>
            </a:pPr>
            <a:r>
              <a:rPr lang="en-US" sz="2800"/>
              <a:t>August - September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venir Next LT Pro Demi" panose="020B07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45032574283975"/>
          <c:y val="0.12527794179545565"/>
          <c:w val="0.89453311096759647"/>
          <c:h val="0.727910413131197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'Conditions Chart Data'!$AN$1</c:f>
              <c:strCache>
                <c:ptCount val="1"/>
                <c:pt idx="0">
                  <c:v>Yield Change August - September</c:v>
                </c:pt>
              </c:strCache>
            </c:strRef>
          </c:tx>
          <c:spPr>
            <a:solidFill>
              <a:srgbClr val="FFB108"/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rgbClr val="FFB108"/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FB-4120-9AB9-1B5A480CAC48}"/>
              </c:ext>
            </c:extLst>
          </c:dPt>
          <c:dPt>
            <c:idx val="21"/>
            <c:invertIfNegative val="0"/>
            <c:bubble3D val="0"/>
            <c:spPr>
              <a:solidFill>
                <a:srgbClr val="FFB108"/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FB-4120-9AB9-1B5A480CAC48}"/>
              </c:ext>
            </c:extLst>
          </c:dPt>
          <c:dPt>
            <c:idx val="22"/>
            <c:invertIfNegative val="0"/>
            <c:bubble3D val="0"/>
            <c:spPr>
              <a:solidFill>
                <a:srgbClr val="FFB108"/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FB-4120-9AB9-1B5A480CAC48}"/>
              </c:ext>
            </c:extLst>
          </c:dPt>
          <c:dPt>
            <c:idx val="23"/>
            <c:invertIfNegative val="0"/>
            <c:bubble3D val="0"/>
            <c:spPr>
              <a:solidFill>
                <a:srgbClr val="FFB108"/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FB-4120-9AB9-1B5A480CAC48}"/>
              </c:ext>
            </c:extLst>
          </c:dPt>
          <c:dPt>
            <c:idx val="24"/>
            <c:invertIfNegative val="0"/>
            <c:bubble3D val="0"/>
            <c:spPr>
              <a:solidFill>
                <a:srgbClr val="FFB108"/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FB-4120-9AB9-1B5A480CAC48}"/>
              </c:ext>
            </c:extLst>
          </c:dPt>
          <c:dPt>
            <c:idx val="25"/>
            <c:invertIfNegative val="0"/>
            <c:bubble3D val="0"/>
            <c:spPr>
              <a:pattFill prst="pct30">
                <a:fgClr>
                  <a:srgbClr val="FFB108"/>
                </a:fgClr>
                <a:bgClr>
                  <a:schemeClr val="bg1"/>
                </a:bgClr>
              </a:patt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CA1-4302-8E54-D9FA8CC9142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12C9EC3-CDC0-4838-9EE7-3DC0A9F0CB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8AC-4624-A4D8-FCC45D0B453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E34EA31-E5D9-4E06-A5F2-C558A8260F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8AC-4624-A4D8-FCC45D0B453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FEED63F-DCCF-4C2E-91B6-07D67490EC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8AC-4624-A4D8-FCC45D0B453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2E51AC1-FD35-4E81-B8AA-320753EDEA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8AC-4624-A4D8-FCC45D0B453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139360F-D42A-4AF5-BA16-6E9499B3D0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8AC-4624-A4D8-FCC45D0B453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0CFD50F-6CC7-47F0-9294-D6C8C4D444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8AC-4624-A4D8-FCC45D0B453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D45D4C8-1508-46E5-9FF2-EEBCF58182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8AC-4624-A4D8-FCC45D0B453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746D5AC-F3C9-4427-825B-D06916C448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8AC-4624-A4D8-FCC45D0B453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E0DBF44-15D0-4B62-9475-D3DBE7C898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8AC-4624-A4D8-FCC45D0B453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908975D-8ECA-4150-8E06-35526C547A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8AC-4624-A4D8-FCC45D0B453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549E820-B1E9-49D7-B156-C1E32E7E00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8AC-4624-A4D8-FCC45D0B453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172B7D0-6905-42D4-A626-F94D4AB7DF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8AC-4624-A4D8-FCC45D0B453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B07B002-A160-4B08-87D4-0D28FC5680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8AC-4624-A4D8-FCC45D0B453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908D473-94DF-4EBE-807D-D9F50CE05A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8AC-4624-A4D8-FCC45D0B453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3AFA8AB-1D9F-41BE-8CE5-D6D7856031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8AC-4624-A4D8-FCC45D0B453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E25E7F7-3267-43A7-B817-E28E2DD68B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8AC-4624-A4D8-FCC45D0B453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416835F-568E-4B76-AF96-5FDBEFE0BF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8AC-4624-A4D8-FCC45D0B453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A75E6E8-C166-4D03-A8E1-42E56FD37C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8AC-4624-A4D8-FCC45D0B453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488914D-C664-431F-A4BD-83A7E016D6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8AC-4624-A4D8-FCC45D0B453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0C89B4A-316D-4C2D-80F5-FF247D7993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8AC-4624-A4D8-FCC45D0B453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03ED2CE-6B7A-458C-A3A9-D8BDF72F76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1FB-4120-9AB9-1B5A480CAC4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CD1BFD1-3C71-4E8E-B75B-C155BCD6DB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1FB-4120-9AB9-1B5A480CAC4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A3AE757-BC64-4BF1-A158-ECCA42707E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1FB-4120-9AB9-1B5A480CAC4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08FF523-2BF1-4250-A725-0F73942CC7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1FB-4120-9AB9-1B5A480CAC4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3DF96424-23D5-41D8-A47E-ED5D53271F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1FB-4120-9AB9-1B5A480CAC4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CA1-4302-8E54-D9FA8CC91422}"/>
                </c:ext>
              </c:extLst>
            </c:dLbl>
            <c:numFmt formatCode="#,##0_);[Red]\(#,##0\)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venir Next LT Pro Demi" panose="020B07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'Conditions Chart Data'!$A$2:$A$27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'Conditions Chart Data'!$AN$2:$AN$27</c:f>
              <c:numCache>
                <c:formatCode>#,##0.0_);[Red]\(#,##0.0\)</c:formatCode>
                <c:ptCount val="26"/>
                <c:pt idx="0">
                  <c:v>-1.2000000000000028</c:v>
                </c:pt>
                <c:pt idx="1">
                  <c:v>-0.5</c:v>
                </c:pt>
                <c:pt idx="2">
                  <c:v>0.5</c:v>
                </c:pt>
                <c:pt idx="3">
                  <c:v>-3</c:v>
                </c:pt>
                <c:pt idx="4">
                  <c:v>-0.60000000000000142</c:v>
                </c:pt>
                <c:pt idx="5">
                  <c:v>0.89999999999999858</c:v>
                </c:pt>
                <c:pt idx="6">
                  <c:v>2.1999999999999957</c:v>
                </c:pt>
                <c:pt idx="7">
                  <c:v>-0.10000000000000142</c:v>
                </c:pt>
                <c:pt idx="8">
                  <c:v>-0.5</c:v>
                </c:pt>
                <c:pt idx="9">
                  <c:v>0.59999999999999432</c:v>
                </c:pt>
                <c:pt idx="10">
                  <c:v>0.70000000000000284</c:v>
                </c:pt>
                <c:pt idx="11">
                  <c:v>0.39999999999999858</c:v>
                </c:pt>
                <c:pt idx="12">
                  <c:v>-0.80000000000000426</c:v>
                </c:pt>
                <c:pt idx="13">
                  <c:v>-1.3999999999999986</c:v>
                </c:pt>
                <c:pt idx="14">
                  <c:v>1.2000000000000028</c:v>
                </c:pt>
                <c:pt idx="15">
                  <c:v>0.20000000000000284</c:v>
                </c:pt>
                <c:pt idx="16">
                  <c:v>1.7000000000000028</c:v>
                </c:pt>
                <c:pt idx="17">
                  <c:v>0.5</c:v>
                </c:pt>
                <c:pt idx="18">
                  <c:v>1.1999999999999957</c:v>
                </c:pt>
                <c:pt idx="19">
                  <c:v>-0.60000000000000142</c:v>
                </c:pt>
                <c:pt idx="20">
                  <c:v>-1.3999999999999986</c:v>
                </c:pt>
                <c:pt idx="21">
                  <c:v>0.60000000000000142</c:v>
                </c:pt>
                <c:pt idx="22">
                  <c:v>-1.3999999999999986</c:v>
                </c:pt>
                <c:pt idx="23">
                  <c:v>-0.79999999999999716</c:v>
                </c:pt>
                <c:pt idx="24">
                  <c:v>0</c:v>
                </c:pt>
                <c:pt idx="25">
                  <c:v>-0.52801888029369337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'Conditions Chart Data'!$AO$2:$AO$26</c15:f>
                <c15:dlblRangeCache>
                  <c:ptCount val="25"/>
                  <c:pt idx="0">
                    <c:v>(10.0)</c:v>
                  </c:pt>
                  <c:pt idx="1">
                    <c:v>(5.0)</c:v>
                  </c:pt>
                  <c:pt idx="2">
                    <c:v>3.0 </c:v>
                  </c:pt>
                  <c:pt idx="3">
                    <c:v>(18.0)</c:v>
                  </c:pt>
                  <c:pt idx="4">
                    <c:v>(6.0)</c:v>
                  </c:pt>
                  <c:pt idx="5">
                    <c:v>3.0 </c:v>
                  </c:pt>
                  <c:pt idx="6">
                    <c:v>6.0 </c:v>
                  </c:pt>
                  <c:pt idx="7">
                    <c:v>0.0 </c:v>
                  </c:pt>
                  <c:pt idx="8">
                    <c:v>(6.0)</c:v>
                  </c:pt>
                  <c:pt idx="9">
                    <c:v>2.0 </c:v>
                  </c:pt>
                  <c:pt idx="10">
                    <c:v>(2.0)</c:v>
                  </c:pt>
                  <c:pt idx="11">
                    <c:v>(5.0)</c:v>
                  </c:pt>
                  <c:pt idx="12">
                    <c:v>1.0 </c:v>
                  </c:pt>
                  <c:pt idx="13">
                    <c:v>(5.0)</c:v>
                  </c:pt>
                  <c:pt idx="14">
                    <c:v>1.0 </c:v>
                  </c:pt>
                  <c:pt idx="15">
                    <c:v>0.0 </c:v>
                  </c:pt>
                  <c:pt idx="16">
                    <c:v>1.0 </c:v>
                  </c:pt>
                  <c:pt idx="17">
                    <c:v>1.0 </c:v>
                  </c:pt>
                  <c:pt idx="18">
                    <c:v>(1.0)</c:v>
                  </c:pt>
                  <c:pt idx="19">
                    <c:v>1.0 </c:v>
                  </c:pt>
                  <c:pt idx="20">
                    <c:v>(7.0)</c:v>
                  </c:pt>
                  <c:pt idx="21">
                    <c:v>(3.0)</c:v>
                  </c:pt>
                  <c:pt idx="22">
                    <c:v>(2.0)</c:v>
                  </c:pt>
                  <c:pt idx="23">
                    <c:v>(7.0)</c:v>
                  </c:pt>
                  <c:pt idx="24">
                    <c:v>(3.0)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F1FB-4120-9AB9-1B5A480CA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43364216"/>
        <c:axId val="1843368152"/>
      </c:barChart>
      <c:catAx>
        <c:axId val="184336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81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4336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venir Next LT Pro Demi" panose="020B07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(bushels per acre)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venir Next LT Pro Demi" panose="020B07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4216"/>
        <c:crosses val="autoZero"/>
        <c:crossBetween val="between"/>
      </c:valAx>
      <c:spPr>
        <a:noFill/>
        <a:ln w="1587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tx1"/>
          </a:solidFill>
          <a:latin typeface="Avenir Next LT Pro Demi" panose="020B07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USDA U.S. Soybean Yield Forecast Change </a:t>
            </a:r>
          </a:p>
          <a:p>
            <a:pPr>
              <a:defRPr sz="2400"/>
            </a:pPr>
            <a:r>
              <a:rPr lang="en-US" sz="2400"/>
              <a:t>September - October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749030486089677E-2"/>
          <c:y val="0.15595583074267971"/>
          <c:w val="0.89453311096759647"/>
          <c:h val="0.720826102106014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'Conditions Chart Data'!$AP$1</c:f>
              <c:strCache>
                <c:ptCount val="1"/>
                <c:pt idx="0">
                  <c:v>Yield Change September - October</c:v>
                </c:pt>
              </c:strCache>
            </c:strRef>
          </c:tx>
          <c:spPr>
            <a:solidFill>
              <a:srgbClr val="8C8C8C"/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rgbClr val="8C8C8C"/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88-4C2F-84F9-B2BCCD686D56}"/>
              </c:ext>
            </c:extLst>
          </c:dPt>
          <c:dPt>
            <c:idx val="21"/>
            <c:invertIfNegative val="0"/>
            <c:bubble3D val="0"/>
            <c:spPr>
              <a:solidFill>
                <a:srgbClr val="8C8C8C"/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88-4C2F-84F9-B2BCCD686D56}"/>
              </c:ext>
            </c:extLst>
          </c:dPt>
          <c:dPt>
            <c:idx val="23"/>
            <c:invertIfNegative val="0"/>
            <c:bubble3D val="0"/>
            <c:spPr>
              <a:solidFill>
                <a:srgbClr val="6F0791"/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888-4C2F-84F9-B2BCCD686D56}"/>
              </c:ext>
            </c:extLst>
          </c:dPt>
          <c:cat>
            <c:numRef>
              <c:f>'Conditions Chart Data'!$A$2:$A$25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'Conditions Chart Data'!$AP$2:$AP$25</c:f>
              <c:numCache>
                <c:formatCode>#,##0.0_);[Red]\(#,##0.0\)</c:formatCode>
                <c:ptCount val="24"/>
                <c:pt idx="0">
                  <c:v>-0.79999999999999716</c:v>
                </c:pt>
                <c:pt idx="1">
                  <c:v>1</c:v>
                </c:pt>
                <c:pt idx="2">
                  <c:v>0</c:v>
                </c:pt>
                <c:pt idx="3">
                  <c:v>-2.3999999999999986</c:v>
                </c:pt>
                <c:pt idx="4">
                  <c:v>3.5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-0.5</c:v>
                </c:pt>
                <c:pt idx="9">
                  <c:v>0.10000000000000142</c:v>
                </c:pt>
                <c:pt idx="10">
                  <c:v>-0.30000000000000426</c:v>
                </c:pt>
                <c:pt idx="11">
                  <c:v>-0.29999999999999716</c:v>
                </c:pt>
                <c:pt idx="12">
                  <c:v>2.5</c:v>
                </c:pt>
                <c:pt idx="13">
                  <c:v>1.7999999999999972</c:v>
                </c:pt>
                <c:pt idx="14">
                  <c:v>0.5</c:v>
                </c:pt>
                <c:pt idx="15">
                  <c:v>0.10000000000000142</c:v>
                </c:pt>
                <c:pt idx="16">
                  <c:v>0.79999999999999716</c:v>
                </c:pt>
                <c:pt idx="17">
                  <c:v>-0.39999999999999858</c:v>
                </c:pt>
                <c:pt idx="18">
                  <c:v>0.30000000000000426</c:v>
                </c:pt>
                <c:pt idx="19">
                  <c:v>-1</c:v>
                </c:pt>
                <c:pt idx="20">
                  <c:v>0</c:v>
                </c:pt>
                <c:pt idx="21">
                  <c:v>0.89999999999999858</c:v>
                </c:pt>
                <c:pt idx="22">
                  <c:v>-0.70000000000000284</c:v>
                </c:pt>
                <c:pt idx="23">
                  <c:v>-0.5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88-4C2F-84F9-B2BCCD686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43364216"/>
        <c:axId val="1843368152"/>
      </c:barChart>
      <c:catAx>
        <c:axId val="184336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8152"/>
        <c:crosses val="autoZero"/>
        <c:auto val="1"/>
        <c:lblAlgn val="ctr"/>
        <c:lblOffset val="100"/>
        <c:noMultiLvlLbl val="0"/>
      </c:catAx>
      <c:valAx>
        <c:axId val="184336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(bushels</a:t>
                </a:r>
                <a:r>
                  <a:rPr lang="en-US" baseline="0"/>
                  <a:t> per acre)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4216"/>
        <c:crosses val="autoZero"/>
        <c:crossBetween val="between"/>
      </c:valAx>
      <c:spPr>
        <a:noFill/>
        <a:ln w="1587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accent6">
                    <a:lumMod val="60000"/>
                    <a:lumOff val="4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>
                <a:solidFill>
                  <a:schemeClr val="accent6">
                    <a:lumMod val="60000"/>
                    <a:lumOff val="40000"/>
                  </a:schemeClr>
                </a:solidFill>
              </a:rPr>
              <a:t>USDA U.S. Soybean Yield Forecast Change </a:t>
            </a:r>
          </a:p>
          <a:p>
            <a:pPr>
              <a:defRPr sz="2400">
                <a:solidFill>
                  <a:schemeClr val="accent6">
                    <a:lumMod val="60000"/>
                    <a:lumOff val="40000"/>
                  </a:schemeClr>
                </a:solidFill>
              </a:defRPr>
            </a:pPr>
            <a:r>
              <a:rPr lang="en-US" sz="2400">
                <a:solidFill>
                  <a:schemeClr val="accent6">
                    <a:lumMod val="60000"/>
                    <a:lumOff val="40000"/>
                  </a:schemeClr>
                </a:solidFill>
              </a:rPr>
              <a:t>October to November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accent6">
                  <a:lumMod val="60000"/>
                  <a:lumOff val="4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749030486089677E-2"/>
          <c:y val="0.18194453151785733"/>
          <c:w val="0.89453311096759647"/>
          <c:h val="0.6924938099551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'Conditions Chart Data'!$AR$1</c:f>
              <c:strCache>
                <c:ptCount val="1"/>
                <c:pt idx="0">
                  <c:v>Yield Change October - November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CE-4BBC-8B01-153CF5679C5B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CE-4BBC-8B01-153CF5679C5B}"/>
              </c:ext>
            </c:extLst>
          </c:dPt>
          <c:dPt>
            <c:idx val="23"/>
            <c:invertIfNegative val="0"/>
            <c:bubble3D val="0"/>
            <c:spPr>
              <a:pattFill prst="wdDn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CE-4BBC-8B01-153CF5679C5B}"/>
              </c:ext>
            </c:extLst>
          </c:dPt>
          <c:cat>
            <c:numRef>
              <c:f>'Conditions Chart Data'!$A$2:$A$25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'Conditions Chart Data'!$AR$2:$AR$25</c:f>
              <c:numCache>
                <c:formatCode>#,##0.0_);[Red]\(#,##0.0\)</c:formatCode>
                <c:ptCount val="24"/>
                <c:pt idx="0">
                  <c:v>-0.70000000000000284</c:v>
                </c:pt>
                <c:pt idx="1">
                  <c:v>0.19999999999999574</c:v>
                </c:pt>
                <c:pt idx="2">
                  <c:v>0.5</c:v>
                </c:pt>
                <c:pt idx="3">
                  <c:v>-0.20000000000000284</c:v>
                </c:pt>
                <c:pt idx="4">
                  <c:v>0.60000000000000142</c:v>
                </c:pt>
                <c:pt idx="5">
                  <c:v>1.1000000000000014</c:v>
                </c:pt>
                <c:pt idx="6">
                  <c:v>0.20000000000000284</c:v>
                </c:pt>
                <c:pt idx="7">
                  <c:v>-0.10000000000000142</c:v>
                </c:pt>
                <c:pt idx="8">
                  <c:v>-0.20000000000000284</c:v>
                </c:pt>
                <c:pt idx="9">
                  <c:v>0.89999999999999858</c:v>
                </c:pt>
                <c:pt idx="10">
                  <c:v>-0.5</c:v>
                </c:pt>
                <c:pt idx="11">
                  <c:v>-0.20000000000000284</c:v>
                </c:pt>
                <c:pt idx="12">
                  <c:v>1.5</c:v>
                </c:pt>
                <c:pt idx="13">
                  <c:v>0</c:v>
                </c:pt>
                <c:pt idx="14">
                  <c:v>0.39999999999999858</c:v>
                </c:pt>
                <c:pt idx="15">
                  <c:v>1.0999999999999943</c:v>
                </c:pt>
                <c:pt idx="16">
                  <c:v>1.1000000000000014</c:v>
                </c:pt>
                <c:pt idx="17">
                  <c:v>0</c:v>
                </c:pt>
                <c:pt idx="18">
                  <c:v>-1</c:v>
                </c:pt>
                <c:pt idx="19">
                  <c:v>0</c:v>
                </c:pt>
                <c:pt idx="20">
                  <c:v>-1.1999999999999957</c:v>
                </c:pt>
                <c:pt idx="21">
                  <c:v>-0.29999999999999716</c:v>
                </c:pt>
                <c:pt idx="22">
                  <c:v>0.40000000000000568</c:v>
                </c:pt>
                <c:pt idx="23">
                  <c:v>0.29999999999999716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CE-4BBC-8B01-153CF5679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43364216"/>
        <c:axId val="1843368152"/>
      </c:barChart>
      <c:catAx>
        <c:axId val="184336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8152"/>
        <c:crosses val="autoZero"/>
        <c:auto val="1"/>
        <c:lblAlgn val="ctr"/>
        <c:lblOffset val="100"/>
        <c:noMultiLvlLbl val="0"/>
      </c:catAx>
      <c:valAx>
        <c:axId val="184336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(bushels</a:t>
                </a:r>
                <a:r>
                  <a:rPr lang="en-US" baseline="0"/>
                  <a:t> per acre)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4216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>
                <a:solidFill>
                  <a:schemeClr val="tx1"/>
                </a:solidFill>
              </a:rPr>
              <a:t>USDA U.S. Soybean Yield Change </a:t>
            </a:r>
          </a:p>
          <a:p>
            <a:pPr>
              <a:defRPr sz="2400">
                <a:solidFill>
                  <a:schemeClr val="tx1"/>
                </a:solidFill>
              </a:defRPr>
            </a:pPr>
            <a:r>
              <a:rPr lang="en-US" sz="2400">
                <a:solidFill>
                  <a:schemeClr val="tx1"/>
                </a:solidFill>
              </a:rPr>
              <a:t>November to January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749030486089677E-2"/>
          <c:y val="0.18194453151785733"/>
          <c:w val="0.89453311096759647"/>
          <c:h val="0.678299137201178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'Conditions Chart Data'!$AX$1</c:f>
              <c:strCache>
                <c:ptCount val="1"/>
                <c:pt idx="0">
                  <c:v>Yield Change November - Final</c:v>
                </c:pt>
              </c:strCache>
            </c:strRef>
          </c:tx>
          <c:spPr>
            <a:solidFill>
              <a:srgbClr val="ECECEC"/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rgbClr val="ECECEC"/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DC-489A-B331-53C4A5DEB947}"/>
              </c:ext>
            </c:extLst>
          </c:dPt>
          <c:dPt>
            <c:idx val="21"/>
            <c:invertIfNegative val="0"/>
            <c:bubble3D val="0"/>
            <c:spPr>
              <a:solidFill>
                <a:srgbClr val="ECECEC"/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DC-489A-B331-53C4A5DEB947}"/>
              </c:ext>
            </c:extLst>
          </c:dPt>
          <c:dPt>
            <c:idx val="22"/>
            <c:invertIfNegative val="0"/>
            <c:bubble3D val="0"/>
            <c:spPr>
              <a:solidFill>
                <a:srgbClr val="ECECEC"/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DC-489A-B331-53C4A5DEB947}"/>
              </c:ext>
            </c:extLst>
          </c:dPt>
          <c:dLbls>
            <c:dLbl>
              <c:idx val="0"/>
              <c:layout>
                <c:manualLayout>
                  <c:x val="-1.2264740438600067E-17"/>
                  <c:y val="-1.34940329236097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1DC-489A-B331-53C4A5DEB947}"/>
                </c:ext>
              </c:extLst>
            </c:dLbl>
            <c:dLbl>
              <c:idx val="1"/>
              <c:layout>
                <c:manualLayout>
                  <c:x val="0"/>
                  <c:y val="5.097803647831338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1DC-489A-B331-53C4A5DEB947}"/>
                </c:ext>
              </c:extLst>
            </c:dLbl>
            <c:dLbl>
              <c:idx val="3"/>
              <c:layout>
                <c:manualLayout>
                  <c:x val="0"/>
                  <c:y val="-8.768814600850204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1DC-489A-B331-53C4A5DEB947}"/>
                </c:ext>
              </c:extLst>
            </c:dLbl>
            <c:dLbl>
              <c:idx val="6"/>
              <c:layout>
                <c:manualLayout>
                  <c:x val="-4.9058961754400268E-17"/>
                  <c:y val="-1.585645605277213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1DC-489A-B331-53C4A5DEB947}"/>
                </c:ext>
              </c:extLst>
            </c:dLbl>
            <c:dLbl>
              <c:idx val="15"/>
              <c:layout>
                <c:manualLayout>
                  <c:x val="0"/>
                  <c:y val="6.52279183013473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1DC-489A-B331-53C4A5DEB947}"/>
                </c:ext>
              </c:extLst>
            </c:dLbl>
            <c:dLbl>
              <c:idx val="17"/>
              <c:layout>
                <c:manualLayout>
                  <c:x val="-9.8117923508800536E-17"/>
                  <c:y val="-5.72439736258404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1DC-489A-B331-53C4A5DEB947}"/>
                </c:ext>
              </c:extLst>
            </c:dLbl>
            <c:dLbl>
              <c:idx val="21"/>
              <c:layout>
                <c:manualLayout>
                  <c:x val="1.3379871405737897E-3"/>
                  <c:y val="4.8615427316933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DC-489A-B331-53C4A5DEB9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587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'Conditions Chart Data'!$A$2:$A$26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'Conditions Chart Data'!$AX$2:$AX$26</c:f>
              <c:numCache>
                <c:formatCode>#,##0.0_);[Red]\(#,##0.0\)</c:formatCode>
                <c:ptCount val="25"/>
                <c:pt idx="0">
                  <c:v>0.10000000000000142</c:v>
                </c:pt>
                <c:pt idx="1">
                  <c:v>0.20000000000000284</c:v>
                </c:pt>
                <c:pt idx="2">
                  <c:v>0.5</c:v>
                </c:pt>
                <c:pt idx="3">
                  <c:v>0.10000000000000142</c:v>
                </c:pt>
                <c:pt idx="4">
                  <c:v>-0.39999999999999858</c:v>
                </c:pt>
                <c:pt idx="5">
                  <c:v>0.39999999999999858</c:v>
                </c:pt>
                <c:pt idx="6">
                  <c:v>-0.10000000000000142</c:v>
                </c:pt>
                <c:pt idx="7">
                  <c:v>0.40000000000000568</c:v>
                </c:pt>
                <c:pt idx="8">
                  <c:v>0.40000000000000568</c:v>
                </c:pt>
                <c:pt idx="9">
                  <c:v>0.70000000000000284</c:v>
                </c:pt>
                <c:pt idx="10">
                  <c:v>-0.39999999999999858</c:v>
                </c:pt>
                <c:pt idx="11">
                  <c:v>0.70000000000000284</c:v>
                </c:pt>
                <c:pt idx="12">
                  <c:v>0.70000000000000284</c:v>
                </c:pt>
                <c:pt idx="13">
                  <c:v>1</c:v>
                </c:pt>
                <c:pt idx="14">
                  <c:v>0</c:v>
                </c:pt>
                <c:pt idx="15">
                  <c:v>-0.29999999999999716</c:v>
                </c:pt>
                <c:pt idx="16">
                  <c:v>-0.60000000000000142</c:v>
                </c:pt>
                <c:pt idx="17">
                  <c:v>-0.20000000000000284</c:v>
                </c:pt>
                <c:pt idx="18">
                  <c:v>-1.5</c:v>
                </c:pt>
                <c:pt idx="19">
                  <c:v>0.5</c:v>
                </c:pt>
                <c:pt idx="20">
                  <c:v>-0.5</c:v>
                </c:pt>
                <c:pt idx="21">
                  <c:v>0.19999999999999574</c:v>
                </c:pt>
                <c:pt idx="22">
                  <c:v>-0.70000000000000284</c:v>
                </c:pt>
                <c:pt idx="23">
                  <c:v>0.70000000000000284</c:v>
                </c:pt>
                <c:pt idx="24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1DC-489A-B331-53C4A5DEB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43364216"/>
        <c:axId val="1843368152"/>
      </c:barChart>
      <c:catAx>
        <c:axId val="184336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8152"/>
        <c:crosses val="autoZero"/>
        <c:auto val="1"/>
        <c:lblAlgn val="ctr"/>
        <c:lblOffset val="100"/>
        <c:noMultiLvlLbl val="0"/>
      </c:catAx>
      <c:valAx>
        <c:axId val="184336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/>
                  <a:t>(bushels</a:t>
                </a:r>
                <a:r>
                  <a:rPr lang="en-US" sz="1050" baseline="0"/>
                  <a:t> per acre)</a:t>
                </a:r>
                <a:endParaRPr lang="en-US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4216"/>
        <c:crosses val="autoZero"/>
        <c:crossBetween val="between"/>
      </c:valAx>
      <c:spPr>
        <a:noFill/>
        <a:ln w="1587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 b="1">
                <a:solidFill>
                  <a:sysClr val="windowText" lastClr="000000"/>
                </a:solidFill>
                <a:latin typeface="Aptos Display" panose="020B0004020202020204" pitchFamily="34" charset="0"/>
                <a:cs typeface="Arial" panose="020B0604020202020204" pitchFamily="34" charset="0"/>
              </a:rPr>
              <a:t>U.S. Soybean Planting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98275576888432E-2"/>
          <c:y val="0.14488822183856834"/>
          <c:w val="0.90579200937223114"/>
          <c:h val="0.6707353702294766"/>
        </c:manualLayout>
      </c:layout>
      <c:areaChart>
        <c:grouping val="standard"/>
        <c:varyColors val="0"/>
        <c:ser>
          <c:idx val="6"/>
          <c:order val="8"/>
          <c:tx>
            <c:v>5-Year Range</c:v>
          </c:tx>
          <c:spPr>
            <a:solidFill>
              <a:schemeClr val="bg2"/>
            </a:solidFill>
            <a:ln w="9525">
              <a:solidFill>
                <a:schemeClr val="tx1"/>
              </a:solidFill>
            </a:ln>
            <a:effectLst/>
          </c:spPr>
          <c:cat>
            <c:numRef>
              <c:f>'Planting Chart Data'!$B$1:$N$1</c:f>
              <c:numCache>
                <c:formatCode>m/d/yyyy</c:formatCode>
                <c:ptCount val="13"/>
                <c:pt idx="0">
                  <c:v>45396</c:v>
                </c:pt>
                <c:pt idx="1">
                  <c:v>45403</c:v>
                </c:pt>
                <c:pt idx="2">
                  <c:v>45410</c:v>
                </c:pt>
                <c:pt idx="3">
                  <c:v>45417</c:v>
                </c:pt>
                <c:pt idx="4">
                  <c:v>45424</c:v>
                </c:pt>
                <c:pt idx="5">
                  <c:v>45431</c:v>
                </c:pt>
                <c:pt idx="6">
                  <c:v>45438</c:v>
                </c:pt>
                <c:pt idx="7">
                  <c:v>45445</c:v>
                </c:pt>
                <c:pt idx="8">
                  <c:v>45452</c:v>
                </c:pt>
                <c:pt idx="9">
                  <c:v>45459</c:v>
                </c:pt>
                <c:pt idx="10">
                  <c:v>45466</c:v>
                </c:pt>
                <c:pt idx="11">
                  <c:v>45473</c:v>
                </c:pt>
                <c:pt idx="12">
                  <c:v>45480</c:v>
                </c:pt>
              </c:numCache>
            </c:numRef>
          </c:cat>
          <c:val>
            <c:numRef>
              <c:f>'Planting Chart Data'!$B$51:$N$51</c:f>
              <c:numCache>
                <c:formatCode>0</c:formatCode>
                <c:ptCount val="13"/>
                <c:pt idx="0">
                  <c:v>4</c:v>
                </c:pt>
                <c:pt idx="1">
                  <c:v>9</c:v>
                </c:pt>
                <c:pt idx="2">
                  <c:v>24</c:v>
                </c:pt>
                <c:pt idx="3">
                  <c:v>42</c:v>
                </c:pt>
                <c:pt idx="4">
                  <c:v>61</c:v>
                </c:pt>
                <c:pt idx="5">
                  <c:v>75</c:v>
                </c:pt>
                <c:pt idx="6">
                  <c:v>84</c:v>
                </c:pt>
                <c:pt idx="7">
                  <c:v>91</c:v>
                </c:pt>
                <c:pt idx="8">
                  <c:v>96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5-4E9F-9181-2B6664F9674F}"/>
            </c:ext>
          </c:extLst>
        </c:ser>
        <c:ser>
          <c:idx val="5"/>
          <c:order val="9"/>
          <c:tx>
            <c:strRef>
              <c:f>'Planting Chart Data'!$A$50</c:f>
              <c:strCache>
                <c:ptCount val="1"/>
                <c:pt idx="0">
                  <c:v>5-Yr Min</c:v>
                </c:pt>
              </c:strCache>
            </c:strRef>
          </c:tx>
          <c:spPr>
            <a:solidFill>
              <a:schemeClr val="bg1"/>
            </a:solidFill>
            <a:ln w="9525">
              <a:solidFill>
                <a:schemeClr val="tx1"/>
              </a:solidFill>
            </a:ln>
            <a:effectLst/>
          </c:spPr>
          <c:cat>
            <c:numRef>
              <c:f>'Planting Chart Data'!$B$1:$N$1</c:f>
              <c:numCache>
                <c:formatCode>m/d/yyyy</c:formatCode>
                <c:ptCount val="13"/>
                <c:pt idx="0">
                  <c:v>45396</c:v>
                </c:pt>
                <c:pt idx="1">
                  <c:v>45403</c:v>
                </c:pt>
                <c:pt idx="2">
                  <c:v>45410</c:v>
                </c:pt>
                <c:pt idx="3">
                  <c:v>45417</c:v>
                </c:pt>
                <c:pt idx="4">
                  <c:v>45424</c:v>
                </c:pt>
                <c:pt idx="5">
                  <c:v>45431</c:v>
                </c:pt>
                <c:pt idx="6">
                  <c:v>45438</c:v>
                </c:pt>
                <c:pt idx="7">
                  <c:v>45445</c:v>
                </c:pt>
                <c:pt idx="8">
                  <c:v>45452</c:v>
                </c:pt>
                <c:pt idx="9">
                  <c:v>45459</c:v>
                </c:pt>
                <c:pt idx="10">
                  <c:v>45466</c:v>
                </c:pt>
                <c:pt idx="11">
                  <c:v>45473</c:v>
                </c:pt>
                <c:pt idx="12">
                  <c:v>45480</c:v>
                </c:pt>
              </c:numCache>
            </c:numRef>
          </c:cat>
          <c:val>
            <c:numRef>
              <c:f>'Planting Chart Data'!$B$50:$N$50</c:f>
              <c:numCache>
                <c:formatCode>0</c:formatCode>
                <c:ptCount val="13"/>
                <c:pt idx="0">
                  <c:v>1</c:v>
                </c:pt>
                <c:pt idx="1">
                  <c:v>3</c:v>
                </c:pt>
                <c:pt idx="2">
                  <c:v>8</c:v>
                </c:pt>
                <c:pt idx="3">
                  <c:v>12</c:v>
                </c:pt>
                <c:pt idx="4">
                  <c:v>30</c:v>
                </c:pt>
                <c:pt idx="5">
                  <c:v>50</c:v>
                </c:pt>
                <c:pt idx="6">
                  <c:v>66</c:v>
                </c:pt>
                <c:pt idx="7">
                  <c:v>78</c:v>
                </c:pt>
                <c:pt idx="8">
                  <c:v>87</c:v>
                </c:pt>
                <c:pt idx="9">
                  <c:v>93</c:v>
                </c:pt>
                <c:pt idx="10">
                  <c:v>97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A5-4E9F-9181-2B6664F96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670144"/>
        <c:axId val="914665880"/>
      </c:areaChart>
      <c:lineChart>
        <c:grouping val="standard"/>
        <c:varyColors val="0"/>
        <c:ser>
          <c:idx val="4"/>
          <c:order val="7"/>
          <c:tx>
            <c:v>5-Year Average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A5-4E9F-9181-2B6664F9674F}"/>
              </c:ext>
            </c:extLst>
          </c:dPt>
          <c:cat>
            <c:numRef>
              <c:f>'Planting Chart Data'!$B$1:$N$1</c:f>
              <c:numCache>
                <c:formatCode>m/d/yyyy</c:formatCode>
                <c:ptCount val="13"/>
                <c:pt idx="0">
                  <c:v>45396</c:v>
                </c:pt>
                <c:pt idx="1">
                  <c:v>45403</c:v>
                </c:pt>
                <c:pt idx="2">
                  <c:v>45410</c:v>
                </c:pt>
                <c:pt idx="3">
                  <c:v>45417</c:v>
                </c:pt>
                <c:pt idx="4">
                  <c:v>45424</c:v>
                </c:pt>
                <c:pt idx="5">
                  <c:v>45431</c:v>
                </c:pt>
                <c:pt idx="6">
                  <c:v>45438</c:v>
                </c:pt>
                <c:pt idx="7">
                  <c:v>45445</c:v>
                </c:pt>
                <c:pt idx="8">
                  <c:v>45452</c:v>
                </c:pt>
                <c:pt idx="9">
                  <c:v>45459</c:v>
                </c:pt>
                <c:pt idx="10">
                  <c:v>45466</c:v>
                </c:pt>
                <c:pt idx="11">
                  <c:v>45473</c:v>
                </c:pt>
                <c:pt idx="12">
                  <c:v>45480</c:v>
                </c:pt>
              </c:numCache>
            </c:numRef>
          </c:cat>
          <c:val>
            <c:numRef>
              <c:f>'Planting Chart Data'!$B$49:$N$49</c:f>
              <c:numCache>
                <c:formatCode>0</c:formatCode>
                <c:ptCount val="13"/>
                <c:pt idx="0">
                  <c:v>2.6</c:v>
                </c:pt>
                <c:pt idx="1">
                  <c:v>7.2</c:v>
                </c:pt>
                <c:pt idx="2">
                  <c:v>18.399999999999999</c:v>
                </c:pt>
                <c:pt idx="3">
                  <c:v>30.4</c:v>
                </c:pt>
                <c:pt idx="4">
                  <c:v>45.6</c:v>
                </c:pt>
                <c:pt idx="5">
                  <c:v>61.6</c:v>
                </c:pt>
                <c:pt idx="6">
                  <c:v>75.2</c:v>
                </c:pt>
                <c:pt idx="7">
                  <c:v>84.6</c:v>
                </c:pt>
                <c:pt idx="8">
                  <c:v>91.6</c:v>
                </c:pt>
                <c:pt idx="9">
                  <c:v>96</c:v>
                </c:pt>
                <c:pt idx="10">
                  <c:v>98.8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A5-4E9F-9181-2B6664F9674F}"/>
            </c:ext>
          </c:extLst>
        </c:ser>
        <c:ser>
          <c:idx val="11"/>
          <c:order val="11"/>
          <c:tx>
            <c:v>2024</c:v>
          </c:tx>
          <c:spPr>
            <a:ln w="222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2">
                  <a:lumMod val="50000"/>
                </a:schemeClr>
              </a:solidFill>
              <a:ln w="222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dPt>
            <c:idx val="3"/>
            <c:marker>
              <c:symbol val="circle"/>
              <c:size val="7"/>
              <c:spPr>
                <a:solidFill>
                  <a:schemeClr val="bg2">
                    <a:lumMod val="50000"/>
                  </a:schemeClr>
                </a:solidFill>
                <a:ln w="22225">
                  <a:solidFill>
                    <a:schemeClr val="bg2">
                      <a:lumMod val="50000"/>
                    </a:schemeClr>
                  </a:solidFill>
                </a:ln>
                <a:effectLst/>
              </c:spPr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E-28A5-4E9F-9181-2B6664F9674F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chemeClr val="bg2">
                    <a:lumMod val="50000"/>
                  </a:schemeClr>
                </a:solidFill>
                <a:ln w="22225">
                  <a:solidFill>
                    <a:schemeClr val="bg2">
                      <a:lumMod val="50000"/>
                    </a:schemeClr>
                  </a:solidFill>
                </a:ln>
                <a:effectLst/>
              </c:spPr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F-28A5-4E9F-9181-2B6664F9674F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chemeClr val="bg2">
                    <a:lumMod val="50000"/>
                  </a:schemeClr>
                </a:solidFill>
                <a:ln w="22225">
                  <a:solidFill>
                    <a:schemeClr val="bg2">
                      <a:lumMod val="50000"/>
                    </a:schemeClr>
                  </a:solidFill>
                </a:ln>
                <a:effectLst/>
              </c:spPr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10-28A5-4E9F-9181-2B6664F9674F}"/>
              </c:ext>
            </c:extLst>
          </c:dPt>
          <c:val>
            <c:numRef>
              <c:f>'Planting Chart Data'!$B$46:$N$46</c:f>
              <c:numCache>
                <c:formatCode>General</c:formatCode>
                <c:ptCount val="13"/>
                <c:pt idx="0">
                  <c:v>3</c:v>
                </c:pt>
                <c:pt idx="1">
                  <c:v>8</c:v>
                </c:pt>
                <c:pt idx="2">
                  <c:v>18</c:v>
                </c:pt>
                <c:pt idx="3">
                  <c:v>25</c:v>
                </c:pt>
                <c:pt idx="4">
                  <c:v>35</c:v>
                </c:pt>
                <c:pt idx="5">
                  <c:v>52</c:v>
                </c:pt>
                <c:pt idx="6">
                  <c:v>68</c:v>
                </c:pt>
                <c:pt idx="7">
                  <c:v>78</c:v>
                </c:pt>
                <c:pt idx="8">
                  <c:v>87</c:v>
                </c:pt>
                <c:pt idx="9">
                  <c:v>93</c:v>
                </c:pt>
                <c:pt idx="10">
                  <c:v>97</c:v>
                </c:pt>
                <c:pt idx="11">
                  <c:v>100</c:v>
                </c:pt>
                <c:pt idx="12">
                  <c:v>100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28A5-4E9F-9181-2B6664F9674F}"/>
            </c:ext>
          </c:extLst>
        </c:ser>
        <c:ser>
          <c:idx val="12"/>
          <c:order val="12"/>
          <c:tx>
            <c:strRef>
              <c:f>'Planting Chart Data'!$A$47</c:f>
              <c:strCache>
                <c:ptCount val="1"/>
                <c:pt idx="0">
                  <c:v>2025</c:v>
                </c:pt>
              </c:strCache>
            </c:strRef>
          </c:tx>
          <c:spPr>
            <a:ln w="22225" cap="rnd">
              <a:solidFill>
                <a:srgbClr val="69C129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22225">
                <a:solidFill>
                  <a:srgbClr val="69C129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2FEB0B4-56BF-4251-976B-B87CC6095B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BF8-4285-97A7-F4D8CF60780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EE5E3DE-32CC-4574-BA2D-99F27284DD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BF8-4285-97A7-F4D8CF60780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A28EAFC-645D-4CEB-B346-B9214F8BD4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BF8-4285-97A7-F4D8CF60780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F96CB01-D789-4970-96A3-17839B10A7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BF8-4285-97A7-F4D8CF60780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0C2D735-C453-4DFD-A7A6-8609BA9F52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BF8-4285-97A7-F4D8CF60780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B22D5F8-BE26-4EEA-B499-58A713FA45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BF8-4285-97A7-F4D8CF60780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DE624C5-1030-4953-A331-434A73E5BB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BF8-4285-97A7-F4D8CF60780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8915508-719A-424B-A43A-A80588E346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BF8-4285-97A7-F4D8CF60780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91B430F-E485-4713-A9D4-FDBFED8BC3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BF8-4285-97A7-F4D8CF60780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BFEE29C-C5DB-4D40-86D8-7108DA9EB7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BF8-4285-97A7-F4D8CF60780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AF879E9-8CD7-4F0B-A343-B7CC5E8639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BF8-4285-97A7-F4D8CF60780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BF6D04D-BF7F-49C1-B499-2BF97FB184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BF8-4285-97A7-F4D8CF60780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F44C4A0-5650-4E91-A669-E602A88CEF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BF8-4285-97A7-F4D8CF607807}"/>
                </c:ext>
              </c:extLst>
            </c:dLbl>
            <c:spPr>
              <a:solidFill>
                <a:schemeClr val="bg1"/>
              </a:solidFill>
              <a:ln w="22225">
                <a:solidFill>
                  <a:srgbClr val="69C129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val>
            <c:numRef>
              <c:f>'Planting Chart Data'!$B$47:$N$47</c:f>
              <c:numCache>
                <c:formatCode>General</c:formatCode>
                <c:ptCount val="13"/>
                <c:pt idx="0">
                  <c:v>2</c:v>
                </c:pt>
                <c:pt idx="1">
                  <c:v>8</c:v>
                </c:pt>
                <c:pt idx="2">
                  <c:v>18</c:v>
                </c:pt>
                <c:pt idx="3">
                  <c:v>30</c:v>
                </c:pt>
                <c:pt idx="4">
                  <c:v>48</c:v>
                </c:pt>
                <c:pt idx="5">
                  <c:v>66</c:v>
                </c:pt>
                <c:pt idx="6">
                  <c:v>76</c:v>
                </c:pt>
                <c:pt idx="7">
                  <c:v>84</c:v>
                </c:pt>
                <c:pt idx="8">
                  <c:v>90</c:v>
                </c:pt>
                <c:pt idx="9">
                  <c:v>93</c:v>
                </c:pt>
                <c:pt idx="10">
                  <c:v>96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'Planting Chart Data'!$B$99:$N$99</c15:f>
                <c15:dlblRangeCache>
                  <c:ptCount val="13"/>
                  <c:pt idx="0">
                    <c:v>2</c:v>
                  </c:pt>
                  <c:pt idx="1">
                    <c:v>6</c:v>
                  </c:pt>
                  <c:pt idx="2">
                    <c:v>10</c:v>
                  </c:pt>
                  <c:pt idx="3">
                    <c:v>12</c:v>
                  </c:pt>
                  <c:pt idx="4">
                    <c:v>18</c:v>
                  </c:pt>
                  <c:pt idx="5">
                    <c:v>18</c:v>
                  </c:pt>
                  <c:pt idx="6">
                    <c:v>10</c:v>
                  </c:pt>
                  <c:pt idx="7">
                    <c:v>8</c:v>
                  </c:pt>
                  <c:pt idx="8">
                    <c:v>6</c:v>
                  </c:pt>
                  <c:pt idx="9">
                    <c:v>3</c:v>
                  </c:pt>
                  <c:pt idx="10">
                    <c:v>3</c:v>
                  </c:pt>
                  <c:pt idx="11">
                    <c:v>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28A5-4E9F-9181-2B6664F96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670144"/>
        <c:axId val="9146658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'Planting Chart Data'!$A$15</c15:sqref>
                        </c15:formulaRef>
                      </c:ext>
                    </c:extLst>
                    <c:strCache>
                      <c:ptCount val="1"/>
                      <c:pt idx="0">
                        <c:v>1993</c:v>
                      </c:pt>
                    </c:strCache>
                  </c:strRef>
                </c:tx>
                <c:spPr>
                  <a:ln w="158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1587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'Planting Chart Data'!$B$1:$N$1</c15:sqref>
                        </c15:formulaRef>
                      </c:ext>
                    </c:extLst>
                    <c:numCache>
                      <c:formatCode>m/d/yyyy</c:formatCode>
                      <c:ptCount val="13"/>
                      <c:pt idx="0">
                        <c:v>45396</c:v>
                      </c:pt>
                      <c:pt idx="1">
                        <c:v>45403</c:v>
                      </c:pt>
                      <c:pt idx="2">
                        <c:v>45410</c:v>
                      </c:pt>
                      <c:pt idx="3">
                        <c:v>45417</c:v>
                      </c:pt>
                      <c:pt idx="4">
                        <c:v>45424</c:v>
                      </c:pt>
                      <c:pt idx="5">
                        <c:v>45431</c:v>
                      </c:pt>
                      <c:pt idx="6">
                        <c:v>45438</c:v>
                      </c:pt>
                      <c:pt idx="7">
                        <c:v>45445</c:v>
                      </c:pt>
                      <c:pt idx="8">
                        <c:v>45452</c:v>
                      </c:pt>
                      <c:pt idx="9">
                        <c:v>45459</c:v>
                      </c:pt>
                      <c:pt idx="10">
                        <c:v>45466</c:v>
                      </c:pt>
                      <c:pt idx="11">
                        <c:v>45473</c:v>
                      </c:pt>
                      <c:pt idx="12">
                        <c:v>45480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'Planting Chart Data'!$B$15:$L$15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2">
                        <c:v>2</c:v>
                      </c:pt>
                      <c:pt idx="3">
                        <c:v>9</c:v>
                      </c:pt>
                      <c:pt idx="4">
                        <c:v>25</c:v>
                      </c:pt>
                      <c:pt idx="5">
                        <c:v>45</c:v>
                      </c:pt>
                      <c:pt idx="6">
                        <c:v>59</c:v>
                      </c:pt>
                      <c:pt idx="7">
                        <c:v>72</c:v>
                      </c:pt>
                      <c:pt idx="8">
                        <c:v>83</c:v>
                      </c:pt>
                      <c:pt idx="9">
                        <c:v>89</c:v>
                      </c:pt>
                      <c:pt idx="10">
                        <c:v>93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28A5-4E9F-9181-2B6664F9674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Data'!$A$39</c15:sqref>
                        </c15:formulaRef>
                      </c:ext>
                    </c:extLst>
                    <c:strCache>
                      <c:ptCount val="1"/>
                      <c:pt idx="0">
                        <c:v>2017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Data'!$B$1:$N$1</c15:sqref>
                        </c15:formulaRef>
                      </c:ext>
                    </c:extLst>
                    <c:numCache>
                      <c:formatCode>m/d/yyyy</c:formatCode>
                      <c:ptCount val="13"/>
                      <c:pt idx="0">
                        <c:v>45396</c:v>
                      </c:pt>
                      <c:pt idx="1">
                        <c:v>45403</c:v>
                      </c:pt>
                      <c:pt idx="2">
                        <c:v>45410</c:v>
                      </c:pt>
                      <c:pt idx="3">
                        <c:v>45417</c:v>
                      </c:pt>
                      <c:pt idx="4">
                        <c:v>45424</c:v>
                      </c:pt>
                      <c:pt idx="5">
                        <c:v>45431</c:v>
                      </c:pt>
                      <c:pt idx="6">
                        <c:v>45438</c:v>
                      </c:pt>
                      <c:pt idx="7">
                        <c:v>45445</c:v>
                      </c:pt>
                      <c:pt idx="8">
                        <c:v>45452</c:v>
                      </c:pt>
                      <c:pt idx="9">
                        <c:v>45459</c:v>
                      </c:pt>
                      <c:pt idx="10">
                        <c:v>45466</c:v>
                      </c:pt>
                      <c:pt idx="11">
                        <c:v>45473</c:v>
                      </c:pt>
                      <c:pt idx="12">
                        <c:v>45480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Data'!$B$39:$L$39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6</c:v>
                      </c:pt>
                      <c:pt idx="1">
                        <c:v>10</c:v>
                      </c:pt>
                      <c:pt idx="2">
                        <c:v>14</c:v>
                      </c:pt>
                      <c:pt idx="3">
                        <c:v>32</c:v>
                      </c:pt>
                      <c:pt idx="4">
                        <c:v>53</c:v>
                      </c:pt>
                      <c:pt idx="5">
                        <c:v>67</c:v>
                      </c:pt>
                      <c:pt idx="6">
                        <c:v>83</c:v>
                      </c:pt>
                      <c:pt idx="7">
                        <c:v>92</c:v>
                      </c:pt>
                      <c:pt idx="8">
                        <c:v>96</c:v>
                      </c:pt>
                      <c:pt idx="9">
                        <c:v>100</c:v>
                      </c:pt>
                      <c:pt idx="10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8A5-4E9F-9181-2B6664F9674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Data'!$A$40</c15:sqref>
                        </c15:formulaRef>
                      </c:ext>
                    </c:extLst>
                    <c:strCache>
                      <c:ptCount val="1"/>
                      <c:pt idx="0">
                        <c:v>2018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Data'!$B$1:$N$1</c15:sqref>
                        </c15:formulaRef>
                      </c:ext>
                    </c:extLst>
                    <c:numCache>
                      <c:formatCode>m/d/yyyy</c:formatCode>
                      <c:ptCount val="13"/>
                      <c:pt idx="0">
                        <c:v>45396</c:v>
                      </c:pt>
                      <c:pt idx="1">
                        <c:v>45403</c:v>
                      </c:pt>
                      <c:pt idx="2">
                        <c:v>45410</c:v>
                      </c:pt>
                      <c:pt idx="3">
                        <c:v>45417</c:v>
                      </c:pt>
                      <c:pt idx="4">
                        <c:v>45424</c:v>
                      </c:pt>
                      <c:pt idx="5">
                        <c:v>45431</c:v>
                      </c:pt>
                      <c:pt idx="6">
                        <c:v>45438</c:v>
                      </c:pt>
                      <c:pt idx="7">
                        <c:v>45445</c:v>
                      </c:pt>
                      <c:pt idx="8">
                        <c:v>45452</c:v>
                      </c:pt>
                      <c:pt idx="9">
                        <c:v>45459</c:v>
                      </c:pt>
                      <c:pt idx="10">
                        <c:v>45466</c:v>
                      </c:pt>
                      <c:pt idx="11">
                        <c:v>45473</c:v>
                      </c:pt>
                      <c:pt idx="12">
                        <c:v>45480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Data'!$B$40:$L$40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</c:v>
                      </c:pt>
                      <c:pt idx="1">
                        <c:v>5</c:v>
                      </c:pt>
                      <c:pt idx="2">
                        <c:v>15</c:v>
                      </c:pt>
                      <c:pt idx="3">
                        <c:v>35</c:v>
                      </c:pt>
                      <c:pt idx="4">
                        <c:v>56</c:v>
                      </c:pt>
                      <c:pt idx="5">
                        <c:v>77</c:v>
                      </c:pt>
                      <c:pt idx="6">
                        <c:v>87</c:v>
                      </c:pt>
                      <c:pt idx="7">
                        <c:v>93</c:v>
                      </c:pt>
                      <c:pt idx="8">
                        <c:v>97</c:v>
                      </c:pt>
                      <c:pt idx="9">
                        <c:v>100</c:v>
                      </c:pt>
                      <c:pt idx="10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8A5-4E9F-9181-2B6664F9674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Data'!$A$41</c15:sqref>
                        </c15:formulaRef>
                      </c:ext>
                    </c:extLst>
                    <c:strCache>
                      <c:ptCount val="1"/>
                      <c:pt idx="0">
                        <c:v>2019</c:v>
                      </c:pt>
                    </c:strCache>
                  </c:strRef>
                </c:tx>
                <c:spPr>
                  <a:ln w="22225" cap="rnd">
                    <a:solidFill>
                      <a:srgbClr val="8E9A44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335163"/>
                    </a:solidFill>
                    <a:ln w="15875">
                      <a:solidFill>
                        <a:srgbClr val="8E9A4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Data'!$B$1:$N$1</c15:sqref>
                        </c15:formulaRef>
                      </c:ext>
                    </c:extLst>
                    <c:numCache>
                      <c:formatCode>m/d/yyyy</c:formatCode>
                      <c:ptCount val="13"/>
                      <c:pt idx="0">
                        <c:v>45396</c:v>
                      </c:pt>
                      <c:pt idx="1">
                        <c:v>45403</c:v>
                      </c:pt>
                      <c:pt idx="2">
                        <c:v>45410</c:v>
                      </c:pt>
                      <c:pt idx="3">
                        <c:v>45417</c:v>
                      </c:pt>
                      <c:pt idx="4">
                        <c:v>45424</c:v>
                      </c:pt>
                      <c:pt idx="5">
                        <c:v>45431</c:v>
                      </c:pt>
                      <c:pt idx="6">
                        <c:v>45438</c:v>
                      </c:pt>
                      <c:pt idx="7">
                        <c:v>45445</c:v>
                      </c:pt>
                      <c:pt idx="8">
                        <c:v>45452</c:v>
                      </c:pt>
                      <c:pt idx="9">
                        <c:v>45459</c:v>
                      </c:pt>
                      <c:pt idx="10">
                        <c:v>45466</c:v>
                      </c:pt>
                      <c:pt idx="11">
                        <c:v>45473</c:v>
                      </c:pt>
                      <c:pt idx="12">
                        <c:v>45480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Data'!$B$41:$L$41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3</c:v>
                      </c:pt>
                      <c:pt idx="2">
                        <c:v>6</c:v>
                      </c:pt>
                      <c:pt idx="3">
                        <c:v>9</c:v>
                      </c:pt>
                      <c:pt idx="4">
                        <c:v>19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60</c:v>
                      </c:pt>
                      <c:pt idx="8">
                        <c:v>77</c:v>
                      </c:pt>
                      <c:pt idx="9">
                        <c:v>85</c:v>
                      </c:pt>
                      <c:pt idx="10">
                        <c:v>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8A5-4E9F-9181-2B6664F9674F}"/>
                  </c:ext>
                </c:extLst>
              </c15:ser>
            </c15:filteredLineSeries>
            <c15:filteredLineSeries>
              <c15:ser>
                <c:idx val="7"/>
                <c:order val="4"/>
                <c:tx>
                  <c:v>2020</c:v>
                </c:tx>
                <c:spPr>
                  <a:ln w="28575" cap="rnd">
                    <a:solidFill>
                      <a:srgbClr val="8C8C8C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15875">
                      <a:solidFill>
                        <a:srgbClr val="8C8C8C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Data'!$B$1:$N$1</c15:sqref>
                        </c15:formulaRef>
                      </c:ext>
                    </c:extLst>
                    <c:numCache>
                      <c:formatCode>m/d/yyyy</c:formatCode>
                      <c:ptCount val="13"/>
                      <c:pt idx="0">
                        <c:v>45396</c:v>
                      </c:pt>
                      <c:pt idx="1">
                        <c:v>45403</c:v>
                      </c:pt>
                      <c:pt idx="2">
                        <c:v>45410</c:v>
                      </c:pt>
                      <c:pt idx="3">
                        <c:v>45417</c:v>
                      </c:pt>
                      <c:pt idx="4">
                        <c:v>45424</c:v>
                      </c:pt>
                      <c:pt idx="5">
                        <c:v>45431</c:v>
                      </c:pt>
                      <c:pt idx="6">
                        <c:v>45438</c:v>
                      </c:pt>
                      <c:pt idx="7">
                        <c:v>45445</c:v>
                      </c:pt>
                      <c:pt idx="8">
                        <c:v>45452</c:v>
                      </c:pt>
                      <c:pt idx="9">
                        <c:v>45459</c:v>
                      </c:pt>
                      <c:pt idx="10">
                        <c:v>45466</c:v>
                      </c:pt>
                      <c:pt idx="11">
                        <c:v>45473</c:v>
                      </c:pt>
                      <c:pt idx="12">
                        <c:v>45480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Data'!$B$42:$N$42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</c:v>
                      </c:pt>
                      <c:pt idx="1">
                        <c:v>8</c:v>
                      </c:pt>
                      <c:pt idx="2">
                        <c:v>23</c:v>
                      </c:pt>
                      <c:pt idx="3">
                        <c:v>38</c:v>
                      </c:pt>
                      <c:pt idx="4">
                        <c:v>53</c:v>
                      </c:pt>
                      <c:pt idx="5">
                        <c:v>65</c:v>
                      </c:pt>
                      <c:pt idx="6">
                        <c:v>75</c:v>
                      </c:pt>
                      <c:pt idx="7">
                        <c:v>86</c:v>
                      </c:pt>
                      <c:pt idx="8">
                        <c:v>93</c:v>
                      </c:pt>
                      <c:pt idx="9">
                        <c:v>96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8A5-4E9F-9181-2B6664F9674F}"/>
                  </c:ext>
                </c:extLst>
              </c15:ser>
            </c15:filteredLineSeries>
            <c15:filteredLineSeries>
              <c15:ser>
                <c:idx val="8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Data'!$A$43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1587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Data'!$B$1:$N$1</c15:sqref>
                        </c15:formulaRef>
                      </c:ext>
                    </c:extLst>
                    <c:numCache>
                      <c:formatCode>m/d/yyyy</c:formatCode>
                      <c:ptCount val="13"/>
                      <c:pt idx="0">
                        <c:v>45396</c:v>
                      </c:pt>
                      <c:pt idx="1">
                        <c:v>45403</c:v>
                      </c:pt>
                      <c:pt idx="2">
                        <c:v>45410</c:v>
                      </c:pt>
                      <c:pt idx="3">
                        <c:v>45417</c:v>
                      </c:pt>
                      <c:pt idx="4">
                        <c:v>45424</c:v>
                      </c:pt>
                      <c:pt idx="5">
                        <c:v>45431</c:v>
                      </c:pt>
                      <c:pt idx="6">
                        <c:v>45438</c:v>
                      </c:pt>
                      <c:pt idx="7">
                        <c:v>45445</c:v>
                      </c:pt>
                      <c:pt idx="8">
                        <c:v>45452</c:v>
                      </c:pt>
                      <c:pt idx="9">
                        <c:v>45459</c:v>
                      </c:pt>
                      <c:pt idx="10">
                        <c:v>45466</c:v>
                      </c:pt>
                      <c:pt idx="11">
                        <c:v>45473</c:v>
                      </c:pt>
                      <c:pt idx="12">
                        <c:v>45480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Data'!$B$43:$N$43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3</c:v>
                      </c:pt>
                      <c:pt idx="1">
                        <c:v>8</c:v>
                      </c:pt>
                      <c:pt idx="2">
                        <c:v>24</c:v>
                      </c:pt>
                      <c:pt idx="3">
                        <c:v>42</c:v>
                      </c:pt>
                      <c:pt idx="4">
                        <c:v>61</c:v>
                      </c:pt>
                      <c:pt idx="5">
                        <c:v>75</c:v>
                      </c:pt>
                      <c:pt idx="6">
                        <c:v>84</c:v>
                      </c:pt>
                      <c:pt idx="7">
                        <c:v>90</c:v>
                      </c:pt>
                      <c:pt idx="8">
                        <c:v>94</c:v>
                      </c:pt>
                      <c:pt idx="9">
                        <c:v>97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8A5-4E9F-9181-2B6664F9674F}"/>
                  </c:ext>
                </c:extLst>
              </c15:ser>
            </c15:filteredLineSeries>
            <c15:filteredLineSeries>
              <c15:ser>
                <c:idx val="9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Data'!$A$44</c15:sqref>
                        </c15:formulaRef>
                      </c:ext>
                    </c:extLst>
                    <c:strCache>
                      <c:ptCount val="1"/>
                      <c:pt idx="0">
                        <c:v>2022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bg1"/>
                    </a:solidFill>
                    <a:ln w="1587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Data'!$B$44:$N$44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3</c:v>
                      </c:pt>
                      <c:pt idx="2">
                        <c:v>8</c:v>
                      </c:pt>
                      <c:pt idx="3">
                        <c:v>12</c:v>
                      </c:pt>
                      <c:pt idx="4">
                        <c:v>30</c:v>
                      </c:pt>
                      <c:pt idx="5">
                        <c:v>50</c:v>
                      </c:pt>
                      <c:pt idx="6">
                        <c:v>66</c:v>
                      </c:pt>
                      <c:pt idx="7">
                        <c:v>78</c:v>
                      </c:pt>
                      <c:pt idx="8">
                        <c:v>88</c:v>
                      </c:pt>
                      <c:pt idx="9">
                        <c:v>94</c:v>
                      </c:pt>
                      <c:pt idx="10">
                        <c:v>97</c:v>
                      </c:pt>
                      <c:pt idx="11">
                        <c:v>100</c:v>
                      </c:pt>
                      <c:pt idx="12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8A5-4E9F-9181-2B6664F9674F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Data'!$A$45</c15:sqref>
                        </c15:formulaRef>
                      </c:ext>
                    </c:extLst>
                    <c:strCache>
                      <c:ptCount val="1"/>
                      <c:pt idx="0">
                        <c:v>2023</c:v>
                      </c:pt>
                    </c:strCache>
                  </c:strRef>
                </c:tx>
                <c:spPr>
                  <a:ln w="22225" cap="rnd">
                    <a:solidFill>
                      <a:srgbClr val="8C8C8C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bg1"/>
                    </a:solidFill>
                    <a:ln w="22225">
                      <a:solidFill>
                        <a:srgbClr val="8C8C8C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Data'!$B$45:$N$45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4</c:v>
                      </c:pt>
                      <c:pt idx="1">
                        <c:v>9</c:v>
                      </c:pt>
                      <c:pt idx="2">
                        <c:v>19</c:v>
                      </c:pt>
                      <c:pt idx="3">
                        <c:v>35</c:v>
                      </c:pt>
                      <c:pt idx="4">
                        <c:v>49</c:v>
                      </c:pt>
                      <c:pt idx="5">
                        <c:v>66</c:v>
                      </c:pt>
                      <c:pt idx="6">
                        <c:v>83</c:v>
                      </c:pt>
                      <c:pt idx="7">
                        <c:v>91</c:v>
                      </c:pt>
                      <c:pt idx="8">
                        <c:v>96</c:v>
                      </c:pt>
                      <c:pt idx="9">
                        <c:v>100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8A5-4E9F-9181-2B6664F9674F}"/>
                  </c:ext>
                </c:extLst>
              </c15:ser>
            </c15:filteredLineSeries>
          </c:ext>
        </c:extLst>
      </c:lineChart>
      <c:dateAx>
        <c:axId val="914670144"/>
        <c:scaling>
          <c:orientation val="minMax"/>
        </c:scaling>
        <c:delete val="0"/>
        <c:axPos val="b"/>
        <c:numFmt formatCode="[$-409]d\-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4665880"/>
        <c:crosses val="autoZero"/>
        <c:auto val="1"/>
        <c:lblOffset val="100"/>
        <c:baseTimeUnit val="days"/>
        <c:majorUnit val="7"/>
        <c:majorTimeUnit val="days"/>
      </c:dateAx>
      <c:valAx>
        <c:axId val="914665880"/>
        <c:scaling>
          <c:orientation val="minMax"/>
          <c:max val="101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rgbClr val="323232"/>
                    </a:solidFill>
                    <a:latin typeface="Aptos Display" panose="020B0004020202020204" pitchFamily="34" charset="0"/>
                    <a:cs typeface="Arial" panose="020B0604020202020204" pitchFamily="34" charset="0"/>
                  </a:rPr>
                  <a:t>(percent</a:t>
                </a:r>
                <a:r>
                  <a:rPr lang="en-US" sz="1200" b="1" baseline="0">
                    <a:solidFill>
                      <a:srgbClr val="323232"/>
                    </a:solidFill>
                    <a:latin typeface="Aptos Display" panose="020B0004020202020204" pitchFamily="34" charset="0"/>
                    <a:cs typeface="Arial" panose="020B0604020202020204" pitchFamily="34" charset="0"/>
                  </a:rPr>
                  <a:t> complete)</a:t>
                </a:r>
                <a:endParaRPr lang="en-US" sz="1200" b="1">
                  <a:solidFill>
                    <a:srgbClr val="323232"/>
                  </a:solidFill>
                  <a:latin typeface="Aptos Display" panose="020B00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4670144"/>
        <c:crossesAt val="44304"/>
        <c:crossBetween val="midCat"/>
      </c:valAx>
      <c:spPr>
        <a:noFill/>
        <a:ln w="9525">
          <a:solidFill>
            <a:schemeClr val="tx1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3629932774047685"/>
          <c:y val="0.73192831881010822"/>
          <c:w val="0.43664420682028943"/>
          <c:h val="5.4114430961117149E-2"/>
        </c:manualLayout>
      </c:layout>
      <c:overlay val="0"/>
      <c:spPr>
        <a:solidFill>
          <a:schemeClr val="bg1"/>
        </a:solidFill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323232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U.S. Soybean Crop Progress - Pod Setting</a:t>
            </a:r>
          </a:p>
        </c:rich>
      </c:tx>
      <c:layout>
        <c:manualLayout>
          <c:xMode val="edge"/>
          <c:yMode val="edge"/>
          <c:x val="0.13690036768770439"/>
          <c:y val="1.93065411821119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98275576888432E-2"/>
          <c:y val="0.10708500512267097"/>
          <c:w val="0.90579200937223114"/>
          <c:h val="0.70853867414466576"/>
        </c:manualLayout>
      </c:layout>
      <c:areaChart>
        <c:grouping val="standard"/>
        <c:varyColors val="0"/>
        <c:ser>
          <c:idx val="6"/>
          <c:order val="7"/>
          <c:tx>
            <c:v>5-Year Range</c:v>
          </c:tx>
          <c:spPr>
            <a:solidFill>
              <a:schemeClr val="bg2"/>
            </a:solidFill>
            <a:ln w="9525">
              <a:solidFill>
                <a:schemeClr val="tx1"/>
              </a:solidFill>
            </a:ln>
            <a:effectLst/>
          </c:spPr>
          <c:cat>
            <c:numRef>
              <c:f>'Pod Setting Data'!$B$1:$N$1</c:f>
              <c:numCache>
                <c:formatCode>d\-mmm</c:formatCode>
                <c:ptCount val="13"/>
                <c:pt idx="0">
                  <c:v>45844</c:v>
                </c:pt>
                <c:pt idx="1">
                  <c:v>45851</c:v>
                </c:pt>
                <c:pt idx="2">
                  <c:v>45858</c:v>
                </c:pt>
                <c:pt idx="3">
                  <c:v>45865</c:v>
                </c:pt>
                <c:pt idx="4">
                  <c:v>45872</c:v>
                </c:pt>
                <c:pt idx="5">
                  <c:v>45879</c:v>
                </c:pt>
                <c:pt idx="6">
                  <c:v>45886</c:v>
                </c:pt>
                <c:pt idx="7">
                  <c:v>45893</c:v>
                </c:pt>
                <c:pt idx="8">
                  <c:v>45900</c:v>
                </c:pt>
                <c:pt idx="9">
                  <c:v>45907</c:v>
                </c:pt>
                <c:pt idx="10">
                  <c:v>45914</c:v>
                </c:pt>
                <c:pt idx="11">
                  <c:v>45921</c:v>
                </c:pt>
                <c:pt idx="12">
                  <c:v>45928</c:v>
                </c:pt>
              </c:numCache>
            </c:numRef>
          </c:cat>
          <c:val>
            <c:numRef>
              <c:f>'Pod Setting Data'!$B$50:$N$50</c:f>
              <c:numCache>
                <c:formatCode>#,##0_);[Red]\(#,##0\)</c:formatCode>
                <c:ptCount val="13"/>
                <c:pt idx="0">
                  <c:v>4</c:v>
                </c:pt>
                <c:pt idx="1">
                  <c:v>10</c:v>
                </c:pt>
                <c:pt idx="2">
                  <c:v>23</c:v>
                </c:pt>
                <c:pt idx="3">
                  <c:v>42</c:v>
                </c:pt>
                <c:pt idx="4">
                  <c:v>58</c:v>
                </c:pt>
                <c:pt idx="5">
                  <c:v>72</c:v>
                </c:pt>
                <c:pt idx="6">
                  <c:v>81</c:v>
                </c:pt>
                <c:pt idx="7">
                  <c:v>88</c:v>
                </c:pt>
                <c:pt idx="8">
                  <c:v>93</c:v>
                </c:pt>
                <c:pt idx="9">
                  <c:v>96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D-472A-8F2B-A4279C73A0E2}"/>
            </c:ext>
          </c:extLst>
        </c:ser>
        <c:ser>
          <c:idx val="5"/>
          <c:order val="8"/>
          <c:tx>
            <c:strRef>
              <c:f>'Pod Setting Data'!$A$51</c:f>
              <c:strCache>
                <c:ptCount val="1"/>
                <c:pt idx="0">
                  <c:v>Five-Year Min</c:v>
                </c:pt>
              </c:strCache>
            </c:strRef>
          </c:tx>
          <c:spPr>
            <a:solidFill>
              <a:schemeClr val="bg1"/>
            </a:solidFill>
            <a:ln w="9525">
              <a:solidFill>
                <a:schemeClr val="tx1"/>
              </a:solidFill>
            </a:ln>
            <a:effectLst/>
          </c:spPr>
          <c:cat>
            <c:numRef>
              <c:f>'Pod Setting Data'!$B$1:$N$1</c:f>
              <c:numCache>
                <c:formatCode>d\-mmm</c:formatCode>
                <c:ptCount val="13"/>
                <c:pt idx="0">
                  <c:v>45844</c:v>
                </c:pt>
                <c:pt idx="1">
                  <c:v>45851</c:v>
                </c:pt>
                <c:pt idx="2">
                  <c:v>45858</c:v>
                </c:pt>
                <c:pt idx="3">
                  <c:v>45865</c:v>
                </c:pt>
                <c:pt idx="4">
                  <c:v>45872</c:v>
                </c:pt>
                <c:pt idx="5">
                  <c:v>45879</c:v>
                </c:pt>
                <c:pt idx="6">
                  <c:v>45886</c:v>
                </c:pt>
                <c:pt idx="7">
                  <c:v>45893</c:v>
                </c:pt>
                <c:pt idx="8">
                  <c:v>45900</c:v>
                </c:pt>
                <c:pt idx="9">
                  <c:v>45907</c:v>
                </c:pt>
                <c:pt idx="10">
                  <c:v>45914</c:v>
                </c:pt>
                <c:pt idx="11">
                  <c:v>45921</c:v>
                </c:pt>
                <c:pt idx="12">
                  <c:v>45928</c:v>
                </c:pt>
              </c:numCache>
            </c:numRef>
          </c:cat>
          <c:val>
            <c:numRef>
              <c:f>'Pod Setting Data'!$B$51:$N$51</c:f>
              <c:numCache>
                <c:formatCode>#,##0_);[Red]\(#,##0\)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11</c:v>
                </c:pt>
                <c:pt idx="3">
                  <c:v>25</c:v>
                </c:pt>
                <c:pt idx="4">
                  <c:v>43</c:v>
                </c:pt>
                <c:pt idx="5">
                  <c:v>59</c:v>
                </c:pt>
                <c:pt idx="6">
                  <c:v>72</c:v>
                </c:pt>
                <c:pt idx="7">
                  <c:v>81</c:v>
                </c:pt>
                <c:pt idx="8">
                  <c:v>89</c:v>
                </c:pt>
                <c:pt idx="9">
                  <c:v>94</c:v>
                </c:pt>
                <c:pt idx="10">
                  <c:v>97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9D-472A-8F2B-A4279C73A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670144"/>
        <c:axId val="914665880"/>
      </c:areaChart>
      <c:lineChart>
        <c:grouping val="standard"/>
        <c:varyColors val="0"/>
        <c:ser>
          <c:idx val="4"/>
          <c:order val="6"/>
          <c:tx>
            <c:strRef>
              <c:f>'Pod Setting Data'!$A$49</c:f>
              <c:strCache>
                <c:ptCount val="1"/>
                <c:pt idx="0">
                  <c:v>5-Year Average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19D-472A-8F2B-A4279C73A0E2}"/>
              </c:ext>
            </c:extLst>
          </c:dPt>
          <c:cat>
            <c:numRef>
              <c:f>'Pod Setting Data'!$B$1:$N$1</c:f>
              <c:numCache>
                <c:formatCode>d\-mmm</c:formatCode>
                <c:ptCount val="13"/>
                <c:pt idx="0">
                  <c:v>45844</c:v>
                </c:pt>
                <c:pt idx="1">
                  <c:v>45851</c:v>
                </c:pt>
                <c:pt idx="2">
                  <c:v>45858</c:v>
                </c:pt>
                <c:pt idx="3">
                  <c:v>45865</c:v>
                </c:pt>
                <c:pt idx="4">
                  <c:v>45872</c:v>
                </c:pt>
                <c:pt idx="5">
                  <c:v>45879</c:v>
                </c:pt>
                <c:pt idx="6">
                  <c:v>45886</c:v>
                </c:pt>
                <c:pt idx="7">
                  <c:v>45893</c:v>
                </c:pt>
                <c:pt idx="8">
                  <c:v>45900</c:v>
                </c:pt>
                <c:pt idx="9">
                  <c:v>45907</c:v>
                </c:pt>
                <c:pt idx="10">
                  <c:v>45914</c:v>
                </c:pt>
                <c:pt idx="11">
                  <c:v>45921</c:v>
                </c:pt>
                <c:pt idx="12">
                  <c:v>45928</c:v>
                </c:pt>
              </c:numCache>
            </c:numRef>
          </c:cat>
          <c:val>
            <c:numRef>
              <c:f>'Pod Setting Data'!$B$49:$N$49</c:f>
              <c:numCache>
                <c:formatCode>#,##0_);[Red]\(#,##0\)</c:formatCode>
                <c:ptCount val="13"/>
                <c:pt idx="0">
                  <c:v>2.6</c:v>
                </c:pt>
                <c:pt idx="1">
                  <c:v>7.4</c:v>
                </c:pt>
                <c:pt idx="2">
                  <c:v>17.2</c:v>
                </c:pt>
                <c:pt idx="3">
                  <c:v>31.4</c:v>
                </c:pt>
                <c:pt idx="4">
                  <c:v>47.8</c:v>
                </c:pt>
                <c:pt idx="5">
                  <c:v>63.4</c:v>
                </c:pt>
                <c:pt idx="6">
                  <c:v>76</c:v>
                </c:pt>
                <c:pt idx="7">
                  <c:v>84.6</c:v>
                </c:pt>
                <c:pt idx="8">
                  <c:v>91.2</c:v>
                </c:pt>
                <c:pt idx="9">
                  <c:v>94.8</c:v>
                </c:pt>
                <c:pt idx="10">
                  <c:v>98.8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9D-472A-8F2B-A4279C73A0E2}"/>
            </c:ext>
          </c:extLst>
        </c:ser>
        <c:ser>
          <c:idx val="11"/>
          <c:order val="11"/>
          <c:tx>
            <c:strRef>
              <c:f>'Pod Setting Data'!$A$45</c:f>
              <c:strCache>
                <c:ptCount val="1"/>
                <c:pt idx="0">
                  <c:v>2024</c:v>
                </c:pt>
              </c:strCache>
            </c:strRef>
          </c:tx>
          <c:spPr>
            <a:ln w="222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2">
                  <a:lumMod val="50000"/>
                </a:schemeClr>
              </a:solidFill>
              <a:ln w="222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val>
            <c:numRef>
              <c:f>'Pod Setting Data'!$B$45:$N$45</c:f>
              <c:numCache>
                <c:formatCode>#,##0_);[Red]\(#,##0\)</c:formatCode>
                <c:ptCount val="13"/>
                <c:pt idx="0">
                  <c:v>3</c:v>
                </c:pt>
                <c:pt idx="1">
                  <c:v>9</c:v>
                </c:pt>
                <c:pt idx="2">
                  <c:v>18</c:v>
                </c:pt>
                <c:pt idx="3">
                  <c:v>29</c:v>
                </c:pt>
                <c:pt idx="4">
                  <c:v>44</c:v>
                </c:pt>
                <c:pt idx="5">
                  <c:v>59</c:v>
                </c:pt>
                <c:pt idx="6">
                  <c:v>72</c:v>
                </c:pt>
                <c:pt idx="7">
                  <c:v>81</c:v>
                </c:pt>
                <c:pt idx="8">
                  <c:v>89</c:v>
                </c:pt>
                <c:pt idx="9">
                  <c:v>94</c:v>
                </c:pt>
                <c:pt idx="10">
                  <c:v>97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5B-4852-BAB7-728AEA7DCF93}"/>
            </c:ext>
          </c:extLst>
        </c:ser>
        <c:ser>
          <c:idx val="12"/>
          <c:order val="12"/>
          <c:tx>
            <c:strRef>
              <c:f>'Pod Setting Data'!$A$46</c:f>
              <c:strCache>
                <c:ptCount val="1"/>
                <c:pt idx="0">
                  <c:v>2025</c:v>
                </c:pt>
              </c:strCache>
            </c:strRef>
          </c:tx>
          <c:spPr>
            <a:ln w="22225" cap="rnd">
              <a:solidFill>
                <a:srgbClr val="69C129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22225">
                <a:solidFill>
                  <a:srgbClr val="69C129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50564DB-0A90-4785-8912-09FE93C3A3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75B-4852-BAB7-728AEA7DCF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88311F3-A0E8-40F0-8155-B212897277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75B-4852-BAB7-728AEA7DCF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C4098F1-BFE9-48EC-B495-9C50659EBD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75B-4852-BAB7-728AEA7DCF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A3A4A8E-2AD0-4D45-8BAA-0BD7DE2DE8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75B-4852-BAB7-728AEA7DCF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14F9848-9F4D-48CA-9BA1-EBC3A48B2F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75B-4852-BAB7-728AEA7DCF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030E60F-DC56-4D82-B514-AFC6FCD359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75B-4852-BAB7-728AEA7DCF9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6AC46CB-CC21-4152-AA95-5145C9023E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75B-4852-BAB7-728AEA7DCF9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4C4CD40-95F1-404F-AFC6-F3D146477A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75B-4852-BAB7-728AEA7DCF9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6450754-75C7-4BE7-97F2-904DEC6E9C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75B-4852-BAB7-728AEA7DCF9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3EB6843-FB92-4944-8C6D-A88F7A38B0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75B-4852-BAB7-728AEA7DCF9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75B-4852-BAB7-728AEA7DCF9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75B-4852-BAB7-728AEA7DCF9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75B-4852-BAB7-728AEA7DCF93}"/>
                </c:ext>
              </c:extLst>
            </c:dLbl>
            <c:spPr>
              <a:solidFill>
                <a:schemeClr val="bg1"/>
              </a:solidFill>
              <a:ln w="22225">
                <a:solidFill>
                  <a:srgbClr val="69C129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69C129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val>
            <c:numRef>
              <c:f>'Pod Setting Data'!$B$46:$N$46</c:f>
              <c:numCache>
                <c:formatCode>#,##0_);[Red]\(#,##0\)</c:formatCode>
                <c:ptCount val="13"/>
                <c:pt idx="0">
                  <c:v>3</c:v>
                </c:pt>
                <c:pt idx="1">
                  <c:v>8</c:v>
                </c:pt>
                <c:pt idx="2">
                  <c:v>15</c:v>
                </c:pt>
                <c:pt idx="3">
                  <c:v>26</c:v>
                </c:pt>
                <c:pt idx="4">
                  <c:v>58</c:v>
                </c:pt>
                <c:pt idx="5">
                  <c:v>71</c:v>
                </c:pt>
                <c:pt idx="6">
                  <c:v>82</c:v>
                </c:pt>
                <c:pt idx="7">
                  <c:v>89</c:v>
                </c:pt>
                <c:pt idx="8">
                  <c:v>94</c:v>
                </c:pt>
                <c:pt idx="9">
                  <c:v>97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'Pod Setting Data'!$B$98:$N$98</c15:f>
                <c15:dlblRangeCache>
                  <c:ptCount val="13"/>
                  <c:pt idx="0">
                    <c:v>3 </c:v>
                  </c:pt>
                  <c:pt idx="1">
                    <c:v>5</c:v>
                  </c:pt>
                  <c:pt idx="2">
                    <c:v>7</c:v>
                  </c:pt>
                  <c:pt idx="3">
                    <c:v>11</c:v>
                  </c:pt>
                  <c:pt idx="4">
                    <c:v>32</c:v>
                  </c:pt>
                  <c:pt idx="5">
                    <c:v>13</c:v>
                  </c:pt>
                  <c:pt idx="6">
                    <c:v>11</c:v>
                  </c:pt>
                  <c:pt idx="7">
                    <c:v>7</c:v>
                  </c:pt>
                  <c:pt idx="8">
                    <c:v>5</c:v>
                  </c:pt>
                  <c:pt idx="9">
                    <c:v>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975B-4852-BAB7-728AEA7DCF93}"/>
            </c:ext>
          </c:extLst>
        </c:ser>
        <c:ser>
          <c:idx val="13"/>
          <c:order val="13"/>
          <c:tx>
            <c:strRef>
              <c:f>'Pod Setting Data'!$A$101</c:f>
              <c:strCache>
                <c:ptCount val="1"/>
                <c:pt idx="0">
                  <c:v>Offset Pace of Planting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1587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BD5C4BD-9298-4363-87F9-B98B7BDD10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66A-4A3B-8C5C-D56AAC685DE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F5F0BC0-7FC5-4908-8F60-EF7C3E109B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66A-4A3B-8C5C-D56AAC685DE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CFB4EB3-03C8-4B50-B3EA-3E31EB47FB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66A-4A3B-8C5C-D56AAC685DE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0FB590D-7C65-449E-8810-3264A37C5A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66A-4A3B-8C5C-D56AAC685DE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8AF9565-0F08-4BB5-B584-EEA5CCE8E3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66A-4A3B-8C5C-D56AAC685DE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5BF1D4D-84A5-44E4-B912-0B9AC8D6AB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66A-4A3B-8C5C-D56AAC685DE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1FE6AD6-031E-4C4B-82CB-27AC14EE3E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66A-4A3B-8C5C-D56AAC685DE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882108C-53F5-4533-BA81-E035F7F4C3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66A-4A3B-8C5C-D56AAC685DE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A7EC5D5-639F-4AA3-B99D-D6B8FBCE3D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66A-4A3B-8C5C-D56AAC685DE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EB1480E-119F-4720-8F60-8B8890883C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66A-4A3B-8C5C-D56AAC685DE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082830F-8450-455C-B395-471DB430D0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66A-4A3B-8C5C-D56AAC685DE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B3094C2-CE54-4B41-BB9A-408351401F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66A-4A3B-8C5C-D56AAC685DE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6A-4A3B-8C5C-D56AAC685DEB}"/>
                </c:ext>
              </c:extLst>
            </c:dLbl>
            <c:spPr>
              <a:solidFill>
                <a:schemeClr val="bg1"/>
              </a:solidFill>
              <a:ln w="15875">
                <a:solidFill>
                  <a:srgbClr val="FF0000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val>
            <c:numRef>
              <c:f>'Pod Setting Data'!$B$52:$N$52</c:f>
              <c:numCache>
                <c:formatCode>General</c:formatCode>
                <c:ptCount val="13"/>
                <c:pt idx="0">
                  <c:v>2</c:v>
                </c:pt>
                <c:pt idx="1">
                  <c:v>8</c:v>
                </c:pt>
                <c:pt idx="2">
                  <c:v>18</c:v>
                </c:pt>
                <c:pt idx="3">
                  <c:v>30</c:v>
                </c:pt>
                <c:pt idx="4">
                  <c:v>48</c:v>
                </c:pt>
                <c:pt idx="5">
                  <c:v>66</c:v>
                </c:pt>
                <c:pt idx="6">
                  <c:v>76</c:v>
                </c:pt>
                <c:pt idx="7">
                  <c:v>84</c:v>
                </c:pt>
                <c:pt idx="8">
                  <c:v>90</c:v>
                </c:pt>
                <c:pt idx="9">
                  <c:v>93</c:v>
                </c:pt>
                <c:pt idx="10">
                  <c:v>96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'Pod Setting Data'!$B$101:$N$101</c15:f>
                <c15:dlblRangeCache>
                  <c:ptCount val="13"/>
                  <c:pt idx="0">
                    <c:v>2</c:v>
                  </c:pt>
                  <c:pt idx="1">
                    <c:v>6</c:v>
                  </c:pt>
                  <c:pt idx="2">
                    <c:v>10</c:v>
                  </c:pt>
                  <c:pt idx="3">
                    <c:v>12</c:v>
                  </c:pt>
                  <c:pt idx="4">
                    <c:v>18</c:v>
                  </c:pt>
                  <c:pt idx="5">
                    <c:v>18</c:v>
                  </c:pt>
                  <c:pt idx="6">
                    <c:v>10</c:v>
                  </c:pt>
                  <c:pt idx="7">
                    <c:v>8</c:v>
                  </c:pt>
                  <c:pt idx="8">
                    <c:v>6</c:v>
                  </c:pt>
                  <c:pt idx="9">
                    <c:v>3</c:v>
                  </c:pt>
                  <c:pt idx="10">
                    <c:v>3</c:v>
                  </c:pt>
                  <c:pt idx="11">
                    <c:v>4</c:v>
                  </c:pt>
                  <c:pt idx="12">
                    <c:v>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566A-4A3B-8C5C-D56AAC685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670144"/>
        <c:axId val="9146658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'Planting Chart Data'!$A$15</c15:sqref>
                        </c15:formulaRef>
                      </c:ext>
                    </c:extLst>
                    <c:strCache>
                      <c:ptCount val="1"/>
                      <c:pt idx="0">
                        <c:v>1993</c:v>
                      </c:pt>
                    </c:strCache>
                  </c:strRef>
                </c:tx>
                <c:spPr>
                  <a:ln w="158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1587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'Pod Setting Data'!$B$1:$N$1</c15:sqref>
                        </c15:formulaRef>
                      </c:ext>
                    </c:extLst>
                    <c:numCache>
                      <c:formatCode>d\-mmm</c:formatCode>
                      <c:ptCount val="13"/>
                      <c:pt idx="0">
                        <c:v>45844</c:v>
                      </c:pt>
                      <c:pt idx="1">
                        <c:v>45851</c:v>
                      </c:pt>
                      <c:pt idx="2">
                        <c:v>45858</c:v>
                      </c:pt>
                      <c:pt idx="3">
                        <c:v>45865</c:v>
                      </c:pt>
                      <c:pt idx="4">
                        <c:v>45872</c:v>
                      </c:pt>
                      <c:pt idx="5">
                        <c:v>45879</c:v>
                      </c:pt>
                      <c:pt idx="6">
                        <c:v>45886</c:v>
                      </c:pt>
                      <c:pt idx="7">
                        <c:v>45893</c:v>
                      </c:pt>
                      <c:pt idx="8">
                        <c:v>45900</c:v>
                      </c:pt>
                      <c:pt idx="9">
                        <c:v>45907</c:v>
                      </c:pt>
                      <c:pt idx="10">
                        <c:v>45914</c:v>
                      </c:pt>
                      <c:pt idx="11">
                        <c:v>45921</c:v>
                      </c:pt>
                      <c:pt idx="12">
                        <c:v>45928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'Planting Chart Data'!$B$15:$L$15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2">
                        <c:v>2</c:v>
                      </c:pt>
                      <c:pt idx="3">
                        <c:v>9</c:v>
                      </c:pt>
                      <c:pt idx="4">
                        <c:v>25</c:v>
                      </c:pt>
                      <c:pt idx="5">
                        <c:v>45</c:v>
                      </c:pt>
                      <c:pt idx="6">
                        <c:v>59</c:v>
                      </c:pt>
                      <c:pt idx="7">
                        <c:v>72</c:v>
                      </c:pt>
                      <c:pt idx="8">
                        <c:v>83</c:v>
                      </c:pt>
                      <c:pt idx="9">
                        <c:v>89</c:v>
                      </c:pt>
                      <c:pt idx="10">
                        <c:v>93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1-919D-472A-8F2B-A4279C73A0E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Data'!$A$39</c15:sqref>
                        </c15:formulaRef>
                      </c:ext>
                    </c:extLst>
                    <c:strCache>
                      <c:ptCount val="1"/>
                      <c:pt idx="0">
                        <c:v>2017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'Pod Setting Data'!$B$1:$N$1</c15:sqref>
                        </c15:formulaRef>
                      </c:ext>
                    </c:extLst>
                    <c:numCache>
                      <c:formatCode>d\-mmm</c:formatCode>
                      <c:ptCount val="13"/>
                      <c:pt idx="0">
                        <c:v>45844</c:v>
                      </c:pt>
                      <c:pt idx="1">
                        <c:v>45851</c:v>
                      </c:pt>
                      <c:pt idx="2">
                        <c:v>45858</c:v>
                      </c:pt>
                      <c:pt idx="3">
                        <c:v>45865</c:v>
                      </c:pt>
                      <c:pt idx="4">
                        <c:v>45872</c:v>
                      </c:pt>
                      <c:pt idx="5">
                        <c:v>45879</c:v>
                      </c:pt>
                      <c:pt idx="6">
                        <c:v>45886</c:v>
                      </c:pt>
                      <c:pt idx="7">
                        <c:v>45893</c:v>
                      </c:pt>
                      <c:pt idx="8">
                        <c:v>45900</c:v>
                      </c:pt>
                      <c:pt idx="9">
                        <c:v>45907</c:v>
                      </c:pt>
                      <c:pt idx="10">
                        <c:v>45914</c:v>
                      </c:pt>
                      <c:pt idx="11">
                        <c:v>45921</c:v>
                      </c:pt>
                      <c:pt idx="12">
                        <c:v>45928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Data'!$B$39:$L$39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6</c:v>
                      </c:pt>
                      <c:pt idx="1">
                        <c:v>10</c:v>
                      </c:pt>
                      <c:pt idx="2">
                        <c:v>14</c:v>
                      </c:pt>
                      <c:pt idx="3">
                        <c:v>32</c:v>
                      </c:pt>
                      <c:pt idx="4">
                        <c:v>53</c:v>
                      </c:pt>
                      <c:pt idx="5">
                        <c:v>67</c:v>
                      </c:pt>
                      <c:pt idx="6">
                        <c:v>83</c:v>
                      </c:pt>
                      <c:pt idx="7">
                        <c:v>92</c:v>
                      </c:pt>
                      <c:pt idx="8">
                        <c:v>96</c:v>
                      </c:pt>
                      <c:pt idx="9">
                        <c:v>100</c:v>
                      </c:pt>
                      <c:pt idx="10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919D-472A-8F2B-A4279C73A0E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Data'!$A$40</c15:sqref>
                        </c15:formulaRef>
                      </c:ext>
                    </c:extLst>
                    <c:strCache>
                      <c:ptCount val="1"/>
                      <c:pt idx="0">
                        <c:v>2018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'Pod Setting Data'!$B$1:$N$1</c15:sqref>
                        </c15:formulaRef>
                      </c:ext>
                    </c:extLst>
                    <c:numCache>
                      <c:formatCode>d\-mmm</c:formatCode>
                      <c:ptCount val="13"/>
                      <c:pt idx="0">
                        <c:v>45844</c:v>
                      </c:pt>
                      <c:pt idx="1">
                        <c:v>45851</c:v>
                      </c:pt>
                      <c:pt idx="2">
                        <c:v>45858</c:v>
                      </c:pt>
                      <c:pt idx="3">
                        <c:v>45865</c:v>
                      </c:pt>
                      <c:pt idx="4">
                        <c:v>45872</c:v>
                      </c:pt>
                      <c:pt idx="5">
                        <c:v>45879</c:v>
                      </c:pt>
                      <c:pt idx="6">
                        <c:v>45886</c:v>
                      </c:pt>
                      <c:pt idx="7">
                        <c:v>45893</c:v>
                      </c:pt>
                      <c:pt idx="8">
                        <c:v>45900</c:v>
                      </c:pt>
                      <c:pt idx="9">
                        <c:v>45907</c:v>
                      </c:pt>
                      <c:pt idx="10">
                        <c:v>45914</c:v>
                      </c:pt>
                      <c:pt idx="11">
                        <c:v>45921</c:v>
                      </c:pt>
                      <c:pt idx="12">
                        <c:v>45928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Data'!$B$40:$L$40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</c:v>
                      </c:pt>
                      <c:pt idx="1">
                        <c:v>5</c:v>
                      </c:pt>
                      <c:pt idx="2">
                        <c:v>15</c:v>
                      </c:pt>
                      <c:pt idx="3">
                        <c:v>35</c:v>
                      </c:pt>
                      <c:pt idx="4">
                        <c:v>56</c:v>
                      </c:pt>
                      <c:pt idx="5">
                        <c:v>77</c:v>
                      </c:pt>
                      <c:pt idx="6">
                        <c:v>87</c:v>
                      </c:pt>
                      <c:pt idx="7">
                        <c:v>93</c:v>
                      </c:pt>
                      <c:pt idx="8">
                        <c:v>97</c:v>
                      </c:pt>
                      <c:pt idx="9">
                        <c:v>100</c:v>
                      </c:pt>
                      <c:pt idx="10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919D-472A-8F2B-A4279C73A0E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Data'!$A$41</c15:sqref>
                        </c15:formulaRef>
                      </c:ext>
                    </c:extLst>
                    <c:strCache>
                      <c:ptCount val="1"/>
                      <c:pt idx="0">
                        <c:v>2019</c:v>
                      </c:pt>
                    </c:strCache>
                  </c:strRef>
                </c:tx>
                <c:spPr>
                  <a:ln w="22225" cap="rnd">
                    <a:solidFill>
                      <a:srgbClr val="8E9A44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335163"/>
                    </a:solidFill>
                    <a:ln w="15875">
                      <a:solidFill>
                        <a:srgbClr val="8E9A4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'Pod Setting Data'!$B$1:$N$1</c15:sqref>
                        </c15:formulaRef>
                      </c:ext>
                    </c:extLst>
                    <c:numCache>
                      <c:formatCode>d\-mmm</c:formatCode>
                      <c:ptCount val="13"/>
                      <c:pt idx="0">
                        <c:v>45844</c:v>
                      </c:pt>
                      <c:pt idx="1">
                        <c:v>45851</c:v>
                      </c:pt>
                      <c:pt idx="2">
                        <c:v>45858</c:v>
                      </c:pt>
                      <c:pt idx="3">
                        <c:v>45865</c:v>
                      </c:pt>
                      <c:pt idx="4">
                        <c:v>45872</c:v>
                      </c:pt>
                      <c:pt idx="5">
                        <c:v>45879</c:v>
                      </c:pt>
                      <c:pt idx="6">
                        <c:v>45886</c:v>
                      </c:pt>
                      <c:pt idx="7">
                        <c:v>45893</c:v>
                      </c:pt>
                      <c:pt idx="8">
                        <c:v>45900</c:v>
                      </c:pt>
                      <c:pt idx="9">
                        <c:v>45907</c:v>
                      </c:pt>
                      <c:pt idx="10">
                        <c:v>45914</c:v>
                      </c:pt>
                      <c:pt idx="11">
                        <c:v>45921</c:v>
                      </c:pt>
                      <c:pt idx="12">
                        <c:v>45928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Data'!$B$41:$L$41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3</c:v>
                      </c:pt>
                      <c:pt idx="2">
                        <c:v>6</c:v>
                      </c:pt>
                      <c:pt idx="3">
                        <c:v>9</c:v>
                      </c:pt>
                      <c:pt idx="4">
                        <c:v>19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60</c:v>
                      </c:pt>
                      <c:pt idx="8">
                        <c:v>77</c:v>
                      </c:pt>
                      <c:pt idx="9">
                        <c:v>85</c:v>
                      </c:pt>
                      <c:pt idx="10">
                        <c:v>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919D-472A-8F2B-A4279C73A0E2}"/>
                  </c:ext>
                </c:extLst>
              </c15:ser>
            </c15:filteredLineSeries>
            <c15:filteredLineSeries>
              <c15:ser>
                <c:idx val="7"/>
                <c:order val="4"/>
                <c:tx>
                  <c:v>2020</c:v>
                </c:tx>
                <c:spPr>
                  <a:ln w="28575" cap="rnd">
                    <a:solidFill>
                      <a:srgbClr val="8C8C8C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15875">
                      <a:solidFill>
                        <a:srgbClr val="8C8C8C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'Pod Setting Data'!$B$1:$N$1</c15:sqref>
                        </c15:formulaRef>
                      </c:ext>
                    </c:extLst>
                    <c:numCache>
                      <c:formatCode>d\-mmm</c:formatCode>
                      <c:ptCount val="13"/>
                      <c:pt idx="0">
                        <c:v>45844</c:v>
                      </c:pt>
                      <c:pt idx="1">
                        <c:v>45851</c:v>
                      </c:pt>
                      <c:pt idx="2">
                        <c:v>45858</c:v>
                      </c:pt>
                      <c:pt idx="3">
                        <c:v>45865</c:v>
                      </c:pt>
                      <c:pt idx="4">
                        <c:v>45872</c:v>
                      </c:pt>
                      <c:pt idx="5">
                        <c:v>45879</c:v>
                      </c:pt>
                      <c:pt idx="6">
                        <c:v>45886</c:v>
                      </c:pt>
                      <c:pt idx="7">
                        <c:v>45893</c:v>
                      </c:pt>
                      <c:pt idx="8">
                        <c:v>45900</c:v>
                      </c:pt>
                      <c:pt idx="9">
                        <c:v>45907</c:v>
                      </c:pt>
                      <c:pt idx="10">
                        <c:v>45914</c:v>
                      </c:pt>
                      <c:pt idx="11">
                        <c:v>45921</c:v>
                      </c:pt>
                      <c:pt idx="12">
                        <c:v>45928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Data'!$B$42:$N$42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</c:v>
                      </c:pt>
                      <c:pt idx="1">
                        <c:v>8</c:v>
                      </c:pt>
                      <c:pt idx="2">
                        <c:v>23</c:v>
                      </c:pt>
                      <c:pt idx="3">
                        <c:v>38</c:v>
                      </c:pt>
                      <c:pt idx="4">
                        <c:v>53</c:v>
                      </c:pt>
                      <c:pt idx="5">
                        <c:v>65</c:v>
                      </c:pt>
                      <c:pt idx="6">
                        <c:v>75</c:v>
                      </c:pt>
                      <c:pt idx="7">
                        <c:v>86</c:v>
                      </c:pt>
                      <c:pt idx="8">
                        <c:v>93</c:v>
                      </c:pt>
                      <c:pt idx="9">
                        <c:v>96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919D-472A-8F2B-A4279C73A0E2}"/>
                  </c:ext>
                </c:extLst>
              </c15:ser>
            </c15:filteredLineSeries>
            <c15:filteredLineSeries>
              <c15:ser>
                <c:idx val="8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Data'!$A$43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1587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'Pod Setting Data'!$B$1:$N$1</c15:sqref>
                        </c15:formulaRef>
                      </c:ext>
                    </c:extLst>
                    <c:numCache>
                      <c:formatCode>d\-mmm</c:formatCode>
                      <c:ptCount val="13"/>
                      <c:pt idx="0">
                        <c:v>45844</c:v>
                      </c:pt>
                      <c:pt idx="1">
                        <c:v>45851</c:v>
                      </c:pt>
                      <c:pt idx="2">
                        <c:v>45858</c:v>
                      </c:pt>
                      <c:pt idx="3">
                        <c:v>45865</c:v>
                      </c:pt>
                      <c:pt idx="4">
                        <c:v>45872</c:v>
                      </c:pt>
                      <c:pt idx="5">
                        <c:v>45879</c:v>
                      </c:pt>
                      <c:pt idx="6">
                        <c:v>45886</c:v>
                      </c:pt>
                      <c:pt idx="7">
                        <c:v>45893</c:v>
                      </c:pt>
                      <c:pt idx="8">
                        <c:v>45900</c:v>
                      </c:pt>
                      <c:pt idx="9">
                        <c:v>45907</c:v>
                      </c:pt>
                      <c:pt idx="10">
                        <c:v>45914</c:v>
                      </c:pt>
                      <c:pt idx="11">
                        <c:v>45921</c:v>
                      </c:pt>
                      <c:pt idx="12">
                        <c:v>45928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Chart Data'!$B$43:$N$43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3</c:v>
                      </c:pt>
                      <c:pt idx="1">
                        <c:v>8</c:v>
                      </c:pt>
                      <c:pt idx="2">
                        <c:v>24</c:v>
                      </c:pt>
                      <c:pt idx="3">
                        <c:v>42</c:v>
                      </c:pt>
                      <c:pt idx="4">
                        <c:v>61</c:v>
                      </c:pt>
                      <c:pt idx="5">
                        <c:v>75</c:v>
                      </c:pt>
                      <c:pt idx="6">
                        <c:v>84</c:v>
                      </c:pt>
                      <c:pt idx="7">
                        <c:v>90</c:v>
                      </c:pt>
                      <c:pt idx="8">
                        <c:v>94</c:v>
                      </c:pt>
                      <c:pt idx="9">
                        <c:v>97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919D-472A-8F2B-A4279C73A0E2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'Pod Setting Data'!$A$43</c15:sqref>
                        </c15:formulaRef>
                      </c:ext>
                    </c:extLst>
                    <c:strCache>
                      <c:ptCount val="1"/>
                      <c:pt idx="0">
                        <c:v>2022</c:v>
                      </c:pt>
                    </c:strCache>
                  </c:strRef>
                </c:tx>
                <c:spPr>
                  <a:ln w="22225" cap="rnd">
                    <a:solidFill>
                      <a:srgbClr val="6F0791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bg1"/>
                    </a:solidFill>
                    <a:ln w="15875">
                      <a:solidFill>
                        <a:srgbClr val="6F0791"/>
                      </a:solidFill>
                    </a:ln>
                    <a:effectLst/>
                  </c:spPr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7E1B53E0-7BFF-4B12-B8D3-4D3740478C4A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5-919D-472A-8F2B-A4279C73A0E2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2A60A514-D863-456E-9F1D-BEF10B2C8898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6-919D-472A-8F2B-A4279C73A0E2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CAFEB44A-6FD9-4E74-BBFC-9EC5E6121957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7-919D-472A-8F2B-A4279C73A0E2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fld id="{7841C26D-4C2C-46F2-B0FB-F139721257F6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8-919D-472A-8F2B-A4279C73A0E2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fld id="{B5E1BFE9-8E2E-40F7-AA16-ECC89E7C4AB6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9-919D-472A-8F2B-A4279C73A0E2}"/>
                      </c:ext>
                    </c:extLst>
                  </c:dLbl>
                  <c:dLbl>
                    <c:idx val="5"/>
                    <c:tx>
                      <c:rich>
                        <a:bodyPr/>
                        <a:lstStyle/>
                        <a:p>
                          <a:fld id="{8C308B47-1857-4577-B56A-0734F48FAC98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A-919D-472A-8F2B-A4279C73A0E2}"/>
                      </c:ext>
                    </c:extLst>
                  </c:dLbl>
                  <c:dLbl>
                    <c:idx val="6"/>
                    <c:tx>
                      <c:rich>
                        <a:bodyPr/>
                        <a:lstStyle/>
                        <a:p>
                          <a:fld id="{7E9A5293-B7BA-494A-B29C-ED4A7ED9CC54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B-919D-472A-8F2B-A4279C73A0E2}"/>
                      </c:ext>
                    </c:extLst>
                  </c:dLbl>
                  <c:dLbl>
                    <c:idx val="7"/>
                    <c:tx>
                      <c:rich>
                        <a:bodyPr/>
                        <a:lstStyle/>
                        <a:p>
                          <a:fld id="{78B14B5D-61E7-4C22-8C81-7CE1B28EC7B6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C-919D-472A-8F2B-A4279C73A0E2}"/>
                      </c:ext>
                    </c:extLst>
                  </c:dLbl>
                  <c:dLbl>
                    <c:idx val="8"/>
                    <c:tx>
                      <c:rich>
                        <a:bodyPr/>
                        <a:lstStyle/>
                        <a:p>
                          <a:fld id="{6728A52A-007C-4323-BBF6-7707639A62DC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D-919D-472A-8F2B-A4279C73A0E2}"/>
                      </c:ext>
                    </c:extLst>
                  </c:dLbl>
                  <c:dLbl>
                    <c:idx val="9"/>
                    <c:tx>
                      <c:rich>
                        <a:bodyPr/>
                        <a:lstStyle/>
                        <a:p>
                          <a:fld id="{D9B69CB2-4116-471B-B518-CC32DA2338AC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E-919D-472A-8F2B-A4279C73A0E2}"/>
                      </c:ext>
                    </c:extLst>
                  </c:dLbl>
                  <c:dLbl>
                    <c:idx val="10"/>
                    <c:tx>
                      <c:rich>
                        <a:bodyPr/>
                        <a:lstStyle/>
                        <a:p>
                          <a:fld id="{3C3ADFA3-B97C-4C4F-A25D-32E2FBCEB3C7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F-919D-472A-8F2B-A4279C73A0E2}"/>
                      </c:ext>
                    </c:extLst>
                  </c:dLbl>
                  <c:dLbl>
                    <c:idx val="11"/>
                    <c:tx>
                      <c:rich>
                        <a:bodyPr/>
                        <a:lstStyle/>
                        <a:p>
                          <a:fld id="{022B1A56-411C-473F-9FF6-277565DA625F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0-919D-472A-8F2B-A4279C73A0E2}"/>
                      </c:ext>
                    </c:extLst>
                  </c:dLbl>
                  <c:dLbl>
                    <c:idx val="12"/>
                    <c:tx>
                      <c:rich>
                        <a:bodyPr/>
                        <a:lstStyle/>
                        <a:p>
                          <a:fld id="{AE8AA199-74EB-472E-8A39-51765A1E7D3E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1-919D-472A-8F2B-A4279C73A0E2}"/>
                      </c:ext>
                    </c:extLst>
                  </c:dLbl>
                  <c:spPr>
                    <a:solidFill>
                      <a:schemeClr val="bg1"/>
                    </a:solidFill>
                    <a:ln w="15875">
                      <a:solidFill>
                        <a:srgbClr val="6F0791"/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6576" tIns="18288" rIns="36576" bIns="18288" anchor="ctr" anchorCtr="1">
                      <a:spAutoFit/>
                    </a:bodyPr>
                    <a:lstStyle/>
                    <a:p>
                      <a:pPr>
                        <a:defRPr sz="800" b="1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ellipse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DataLabelsRange val="1"/>
                      <c15:showLeaderLines val="0"/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'Pod Setting Data'!$B$1:$N$1</c15:sqref>
                        </c15:formulaRef>
                      </c:ext>
                    </c:extLst>
                    <c:numCache>
                      <c:formatCode>d\-mmm</c:formatCode>
                      <c:ptCount val="13"/>
                      <c:pt idx="0">
                        <c:v>45844</c:v>
                      </c:pt>
                      <c:pt idx="1">
                        <c:v>45851</c:v>
                      </c:pt>
                      <c:pt idx="2">
                        <c:v>45858</c:v>
                      </c:pt>
                      <c:pt idx="3">
                        <c:v>45865</c:v>
                      </c:pt>
                      <c:pt idx="4">
                        <c:v>45872</c:v>
                      </c:pt>
                      <c:pt idx="5">
                        <c:v>45879</c:v>
                      </c:pt>
                      <c:pt idx="6">
                        <c:v>45886</c:v>
                      </c:pt>
                      <c:pt idx="7">
                        <c:v>45893</c:v>
                      </c:pt>
                      <c:pt idx="8">
                        <c:v>45900</c:v>
                      </c:pt>
                      <c:pt idx="9">
                        <c:v>45907</c:v>
                      </c:pt>
                      <c:pt idx="10">
                        <c:v>45914</c:v>
                      </c:pt>
                      <c:pt idx="11">
                        <c:v>45921</c:v>
                      </c:pt>
                      <c:pt idx="12">
                        <c:v>45928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'Pod Setting Data'!$B$43:$N$43</c15:sqref>
                        </c15:formulaRef>
                      </c:ext>
                    </c:extLst>
                    <c:numCache>
                      <c:formatCode>#,##0_);[Red]\(#,##0\)</c:formatCode>
                      <c:ptCount val="13"/>
                      <c:pt idx="0">
                        <c:v>3</c:v>
                      </c:pt>
                      <c:pt idx="1">
                        <c:v>6</c:v>
                      </c:pt>
                      <c:pt idx="2">
                        <c:v>14</c:v>
                      </c:pt>
                      <c:pt idx="3">
                        <c:v>26</c:v>
                      </c:pt>
                      <c:pt idx="4">
                        <c:v>44</c:v>
                      </c:pt>
                      <c:pt idx="5">
                        <c:v>61</c:v>
                      </c:pt>
                      <c:pt idx="6">
                        <c:v>74</c:v>
                      </c:pt>
                      <c:pt idx="7">
                        <c:v>84</c:v>
                      </c:pt>
                      <c:pt idx="8">
                        <c:v>91</c:v>
                      </c:pt>
                      <c:pt idx="9">
                        <c:v>94</c:v>
                      </c:pt>
                      <c:pt idx="10">
                        <c:v>97</c:v>
                      </c:pt>
                      <c:pt idx="11">
                        <c:v>100</c:v>
                      </c:pt>
                      <c:pt idx="12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'Pod Setting Data'!$B$95:$N$95</c15:f>
                      <c15:dlblRangeCache>
                        <c:ptCount val="13"/>
                        <c:pt idx="0">
                          <c:v>3 </c:v>
                        </c:pt>
                        <c:pt idx="1">
                          <c:v>3</c:v>
                        </c:pt>
                        <c:pt idx="2">
                          <c:v>8</c:v>
                        </c:pt>
                        <c:pt idx="3">
                          <c:v>12</c:v>
                        </c:pt>
                        <c:pt idx="4">
                          <c:v>18</c:v>
                        </c:pt>
                        <c:pt idx="5">
                          <c:v>17</c:v>
                        </c:pt>
                        <c:pt idx="6">
                          <c:v>13</c:v>
                        </c:pt>
                        <c:pt idx="7">
                          <c:v>10</c:v>
                        </c:pt>
                        <c:pt idx="8">
                          <c:v>7</c:v>
                        </c:pt>
                        <c:pt idx="9">
                          <c:v>3</c:v>
                        </c:pt>
                        <c:pt idx="10">
                          <c:v>3</c:v>
                        </c:pt>
                        <c:pt idx="11">
                          <c:v>3</c:v>
                        </c:pt>
                        <c:pt idx="12">
                          <c:v>0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12-919D-472A-8F2B-A4279C73A0E2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'Pod Setting Data'!$A$44</c15:sqref>
                        </c15:formulaRef>
                      </c:ext>
                    </c:extLst>
                    <c:strCache>
                      <c:ptCount val="1"/>
                      <c:pt idx="0">
                        <c:v>2023</c:v>
                      </c:pt>
                    </c:strCache>
                  </c:strRef>
                </c:tx>
                <c:spPr>
                  <a:ln w="22225" cap="rnd">
                    <a:solidFill>
                      <a:srgbClr val="323232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bg1"/>
                    </a:solidFill>
                    <a:ln w="15875">
                      <a:solidFill>
                        <a:srgbClr val="323232"/>
                      </a:solidFill>
                    </a:ln>
                    <a:effectLst/>
                  </c:spPr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C93BDEC9-9510-4B04-AD8A-4A9F9CBC9996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3-919D-472A-8F2B-A4279C73A0E2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C91E2E5E-A468-4B7C-929E-F2A95947D08B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4-919D-472A-8F2B-A4279C73A0E2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F84FAD64-0CCE-4B1C-8D85-E40A6849188C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5-919D-472A-8F2B-A4279C73A0E2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fld id="{157B7EA4-405E-4834-93D1-F2E4344B21B7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6-919D-472A-8F2B-A4279C73A0E2}"/>
                      </c:ext>
                    </c:extLst>
                  </c:dLbl>
                  <c:dLbl>
                    <c:idx val="4"/>
                    <c:layout>
                      <c:manualLayout>
                        <c:x val="-2.9779518962313758E-2"/>
                        <c:y val="-2.7580773117302764E-3"/>
                      </c:manualLayout>
                    </c:layout>
                    <c:tx>
                      <c:rich>
                        <a:bodyPr/>
                        <a:lstStyle/>
                        <a:p>
                          <a:fld id="{1DCC9260-8CA5-43D6-9F41-40E5B43E2D3B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7-919D-472A-8F2B-A4279C73A0E2}"/>
                      </c:ext>
                    </c:extLst>
                  </c:dLbl>
                  <c:dLbl>
                    <c:idx val="5"/>
                    <c:tx>
                      <c:rich>
                        <a:bodyPr/>
                        <a:lstStyle/>
                        <a:p>
                          <a:fld id="{1407534B-BF4B-428C-A321-0D7E17E6E14E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8-919D-472A-8F2B-A4279C73A0E2}"/>
                      </c:ext>
                    </c:extLst>
                  </c:dLbl>
                  <c:dLbl>
                    <c:idx val="6"/>
                    <c:tx>
                      <c:rich>
                        <a:bodyPr/>
                        <a:lstStyle/>
                        <a:p>
                          <a:fld id="{3B59B435-7323-4C34-8BC9-9A08590BF3DC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9-919D-472A-8F2B-A4279C73A0E2}"/>
                      </c:ext>
                    </c:extLst>
                  </c:dLbl>
                  <c:dLbl>
                    <c:idx val="7"/>
                    <c:tx>
                      <c:rich>
                        <a:bodyPr/>
                        <a:lstStyle/>
                        <a:p>
                          <a:fld id="{8AE60CB4-9FE7-4AC1-9219-28BF94D2B011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A-919D-472A-8F2B-A4279C73A0E2}"/>
                      </c:ext>
                    </c:extLst>
                  </c:dLbl>
                  <c:dLbl>
                    <c:idx val="8"/>
                    <c:tx>
                      <c:rich>
                        <a:bodyPr/>
                        <a:lstStyle/>
                        <a:p>
                          <a:fld id="{ABA1F406-2751-4100-ACC5-2810D3824D03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B-919D-472A-8F2B-A4279C73A0E2}"/>
                      </c:ext>
                    </c:extLst>
                  </c:dLbl>
                  <c:dLbl>
                    <c:idx val="9"/>
                    <c:tx>
                      <c:rich>
                        <a:bodyPr/>
                        <a:lstStyle/>
                        <a:p>
                          <a:fld id="{C5D9B5DE-505A-4EB7-A2F1-3073477AC0AA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C-919D-472A-8F2B-A4279C73A0E2}"/>
                      </c:ext>
                    </c:extLst>
                  </c:dLbl>
                  <c:dLbl>
                    <c:idx val="10"/>
                    <c:tx>
                      <c:rich>
                        <a:bodyPr/>
                        <a:lstStyle/>
                        <a:p>
                          <a:fld id="{B5C8CEE4-CCB9-4C49-A100-C98FA52E727E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D-919D-472A-8F2B-A4279C73A0E2}"/>
                      </c:ext>
                    </c:extLst>
                  </c:dLbl>
                  <c:dLbl>
                    <c:idx val="11"/>
                    <c:tx>
                      <c:rich>
                        <a:bodyPr/>
                        <a:lstStyle/>
                        <a:p>
                          <a:fld id="{F9976DC7-924E-4012-A0C6-08B3A0EC4B7A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E-919D-472A-8F2B-A4279C73A0E2}"/>
                      </c:ext>
                    </c:extLst>
                  </c:dLbl>
                  <c:dLbl>
                    <c:idx val="12"/>
                    <c:tx>
                      <c:rich>
                        <a:bodyPr/>
                        <a:lstStyle/>
                        <a:p>
                          <a:fld id="{502CADB0-92AE-4BC8-9F17-156104FD8804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F-919D-472A-8F2B-A4279C73A0E2}"/>
                      </c:ext>
                    </c:extLst>
                  </c:dLbl>
                  <c:numFmt formatCode="#,##0_);[Red]\(#,##0\)" sourceLinked="0"/>
                  <c:spPr>
                    <a:solidFill>
                      <a:schemeClr val="bg1"/>
                    </a:solidFill>
                    <a:ln w="15875">
                      <a:solidFill>
                        <a:srgbClr val="323232"/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6576" tIns="18288" rIns="36576" bIns="18288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ellipse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DataLabelsRange val="1"/>
                      <c15:showLeaderLines val="0"/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'Pod Setting Data'!$B$1:$N$1</c15:sqref>
                        </c15:formulaRef>
                      </c:ext>
                    </c:extLst>
                    <c:numCache>
                      <c:formatCode>d\-mmm</c:formatCode>
                      <c:ptCount val="13"/>
                      <c:pt idx="0">
                        <c:v>45844</c:v>
                      </c:pt>
                      <c:pt idx="1">
                        <c:v>45851</c:v>
                      </c:pt>
                      <c:pt idx="2">
                        <c:v>45858</c:v>
                      </c:pt>
                      <c:pt idx="3">
                        <c:v>45865</c:v>
                      </c:pt>
                      <c:pt idx="4">
                        <c:v>45872</c:v>
                      </c:pt>
                      <c:pt idx="5">
                        <c:v>45879</c:v>
                      </c:pt>
                      <c:pt idx="6">
                        <c:v>45886</c:v>
                      </c:pt>
                      <c:pt idx="7">
                        <c:v>45893</c:v>
                      </c:pt>
                      <c:pt idx="8">
                        <c:v>45900</c:v>
                      </c:pt>
                      <c:pt idx="9">
                        <c:v>45907</c:v>
                      </c:pt>
                      <c:pt idx="10">
                        <c:v>45914</c:v>
                      </c:pt>
                      <c:pt idx="11">
                        <c:v>45921</c:v>
                      </c:pt>
                      <c:pt idx="12">
                        <c:v>45928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'Pod Setting Data'!$B$44:$N$44</c15:sqref>
                        </c15:formulaRef>
                      </c:ext>
                    </c:extLst>
                    <c:numCache>
                      <c:formatCode>#,##0_);[Red]\(#,##0\)</c:formatCode>
                      <c:ptCount val="13"/>
                      <c:pt idx="0">
                        <c:v>4</c:v>
                      </c:pt>
                      <c:pt idx="1">
                        <c:v>10</c:v>
                      </c:pt>
                      <c:pt idx="2">
                        <c:v>20</c:v>
                      </c:pt>
                      <c:pt idx="3">
                        <c:v>35</c:v>
                      </c:pt>
                      <c:pt idx="4">
                        <c:v>50</c:v>
                      </c:pt>
                      <c:pt idx="5">
                        <c:v>66</c:v>
                      </c:pt>
                      <c:pt idx="6">
                        <c:v>78</c:v>
                      </c:pt>
                      <c:pt idx="7">
                        <c:v>86</c:v>
                      </c:pt>
                      <c:pt idx="8">
                        <c:v>91</c:v>
                      </c:pt>
                      <c:pt idx="9">
                        <c:v>95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'Pod Setting Data'!$B$96:$N$96</c15:f>
                      <c15:dlblRangeCache>
                        <c:ptCount val="13"/>
                        <c:pt idx="0">
                          <c:v>4 </c:v>
                        </c:pt>
                        <c:pt idx="1">
                          <c:v>6</c:v>
                        </c:pt>
                        <c:pt idx="2">
                          <c:v>10</c:v>
                        </c:pt>
                        <c:pt idx="3">
                          <c:v>15</c:v>
                        </c:pt>
                        <c:pt idx="4">
                          <c:v>15</c:v>
                        </c:pt>
                        <c:pt idx="5">
                          <c:v>16</c:v>
                        </c:pt>
                        <c:pt idx="6">
                          <c:v>12</c:v>
                        </c:pt>
                        <c:pt idx="7">
                          <c:v>8</c:v>
                        </c:pt>
                        <c:pt idx="8">
                          <c:v>5</c:v>
                        </c:pt>
                        <c:pt idx="9">
                          <c:v>4</c:v>
                        </c:pt>
                        <c:pt idx="10">
                          <c:v>5</c:v>
                        </c:pt>
                        <c:pt idx="11">
                          <c:v>0</c:v>
                        </c:pt>
                        <c:pt idx="12">
                          <c:v>0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20-919D-472A-8F2B-A4279C73A0E2}"/>
                  </c:ext>
                </c:extLst>
              </c15:ser>
            </c15:filteredLineSeries>
          </c:ext>
        </c:extLst>
      </c:lineChart>
      <c:dateAx>
        <c:axId val="914670144"/>
        <c:scaling>
          <c:orientation val="minMax"/>
        </c:scaling>
        <c:delete val="0"/>
        <c:axPos val="b"/>
        <c:numFmt formatCode="[$-409]d\-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4665880"/>
        <c:crosses val="autoZero"/>
        <c:auto val="1"/>
        <c:lblOffset val="100"/>
        <c:baseTimeUnit val="days"/>
        <c:majorUnit val="7"/>
        <c:majorTimeUnit val="days"/>
      </c:dateAx>
      <c:valAx>
        <c:axId val="91466588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rgbClr val="323232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(percent</a:t>
                </a:r>
                <a:r>
                  <a:rPr lang="en-US" sz="1200" b="1" baseline="0">
                    <a:solidFill>
                      <a:srgbClr val="323232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complete)</a:t>
                </a:r>
                <a:endParaRPr lang="en-US" sz="1200" b="1">
                  <a:solidFill>
                    <a:srgbClr val="323232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4670144"/>
        <c:crossesAt val="44304"/>
        <c:crossBetween val="midCat"/>
      </c:valAx>
      <c:spPr>
        <a:noFill/>
        <a:ln w="15875">
          <a:solidFill>
            <a:srgbClr val="8C8C8C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72675117215162544"/>
          <c:y val="0.41098441455879964"/>
          <c:w val="0.23045377602624145"/>
          <c:h val="0.3881619399344993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4000" b="1">
                <a:solidFill>
                  <a:srgbClr val="32323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 Soybean Harvest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05867037704627E-2"/>
          <c:y val="0.15602520429627151"/>
          <c:w val="0.89204550841931041"/>
          <c:h val="0.63922879320935944"/>
        </c:manualLayout>
      </c:layout>
      <c:areaChart>
        <c:grouping val="standard"/>
        <c:varyColors val="0"/>
        <c:ser>
          <c:idx val="8"/>
          <c:order val="9"/>
          <c:tx>
            <c:v>Five-Year Range</c:v>
          </c:tx>
          <c:spPr>
            <a:solidFill>
              <a:srgbClr val="ECECEC"/>
            </a:solidFill>
            <a:ln>
              <a:solidFill>
                <a:schemeClr val="tx1"/>
              </a:solidFill>
            </a:ln>
            <a:effectLst/>
          </c:spPr>
          <c:cat>
            <c:numRef>
              <c:f>'Harvest Chart Data'!$B$1:$O$1</c:f>
              <c:numCache>
                <c:formatCode>m/d/yyyy</c:formatCode>
                <c:ptCount val="14"/>
                <c:pt idx="0">
                  <c:v>45179</c:v>
                </c:pt>
                <c:pt idx="1">
                  <c:v>45186</c:v>
                </c:pt>
                <c:pt idx="2">
                  <c:v>45193</c:v>
                </c:pt>
                <c:pt idx="3">
                  <c:v>45200</c:v>
                </c:pt>
                <c:pt idx="4">
                  <c:v>45207</c:v>
                </c:pt>
                <c:pt idx="5">
                  <c:v>45214</c:v>
                </c:pt>
                <c:pt idx="6">
                  <c:v>45221</c:v>
                </c:pt>
                <c:pt idx="7">
                  <c:v>45228</c:v>
                </c:pt>
                <c:pt idx="8">
                  <c:v>45235</c:v>
                </c:pt>
                <c:pt idx="9">
                  <c:v>45242</c:v>
                </c:pt>
                <c:pt idx="10">
                  <c:v>45249</c:v>
                </c:pt>
                <c:pt idx="11">
                  <c:v>45256</c:v>
                </c:pt>
                <c:pt idx="12">
                  <c:v>45263</c:v>
                </c:pt>
                <c:pt idx="13">
                  <c:v>45270</c:v>
                </c:pt>
              </c:numCache>
            </c:numRef>
          </c:cat>
          <c:val>
            <c:numRef>
              <c:f>'Harvest Chart Data'!$B$32:$O$32</c:f>
              <c:numCache>
                <c:formatCode>#,##0_);[Red]\(#,##0\)</c:formatCode>
                <c:ptCount val="14"/>
                <c:pt idx="0">
                  <c:v>0</c:v>
                </c:pt>
                <c:pt idx="1">
                  <c:v>6</c:v>
                </c:pt>
                <c:pt idx="2">
                  <c:v>16</c:v>
                </c:pt>
                <c:pt idx="3">
                  <c:v>34</c:v>
                </c:pt>
                <c:pt idx="4">
                  <c:v>49</c:v>
                </c:pt>
                <c:pt idx="5">
                  <c:v>63</c:v>
                </c:pt>
                <c:pt idx="6">
                  <c:v>80</c:v>
                </c:pt>
                <c:pt idx="7">
                  <c:v>88</c:v>
                </c:pt>
                <c:pt idx="8">
                  <c:v>94</c:v>
                </c:pt>
                <c:pt idx="9">
                  <c:v>96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B-4432-B696-4EAE1CCE765F}"/>
            </c:ext>
          </c:extLst>
        </c:ser>
        <c:ser>
          <c:idx val="9"/>
          <c:order val="10"/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cat>
            <c:numRef>
              <c:f>'Harvest Chart Data'!$B$1:$O$1</c:f>
              <c:numCache>
                <c:formatCode>m/d/yyyy</c:formatCode>
                <c:ptCount val="14"/>
                <c:pt idx="0">
                  <c:v>45179</c:v>
                </c:pt>
                <c:pt idx="1">
                  <c:v>45186</c:v>
                </c:pt>
                <c:pt idx="2">
                  <c:v>45193</c:v>
                </c:pt>
                <c:pt idx="3">
                  <c:v>45200</c:v>
                </c:pt>
                <c:pt idx="4">
                  <c:v>45207</c:v>
                </c:pt>
                <c:pt idx="5">
                  <c:v>45214</c:v>
                </c:pt>
                <c:pt idx="6">
                  <c:v>45221</c:v>
                </c:pt>
                <c:pt idx="7">
                  <c:v>45228</c:v>
                </c:pt>
                <c:pt idx="8">
                  <c:v>45235</c:v>
                </c:pt>
                <c:pt idx="9">
                  <c:v>45242</c:v>
                </c:pt>
                <c:pt idx="10">
                  <c:v>45249</c:v>
                </c:pt>
                <c:pt idx="11">
                  <c:v>45256</c:v>
                </c:pt>
                <c:pt idx="12">
                  <c:v>45263</c:v>
                </c:pt>
                <c:pt idx="13">
                  <c:v>45270</c:v>
                </c:pt>
              </c:numCache>
            </c:numRef>
          </c:cat>
          <c:val>
            <c:numRef>
              <c:f>'Harvest Chart Data'!$B$33:$O$33</c:f>
              <c:numCache>
                <c:formatCode>#,##0_);[Red]\(#,##0\)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14</c:v>
                </c:pt>
                <c:pt idx="5">
                  <c:v>26</c:v>
                </c:pt>
                <c:pt idx="6">
                  <c:v>46</c:v>
                </c:pt>
                <c:pt idx="7">
                  <c:v>62</c:v>
                </c:pt>
                <c:pt idx="8">
                  <c:v>75</c:v>
                </c:pt>
                <c:pt idx="9">
                  <c:v>85</c:v>
                </c:pt>
                <c:pt idx="10">
                  <c:v>91</c:v>
                </c:pt>
                <c:pt idx="11">
                  <c:v>94</c:v>
                </c:pt>
                <c:pt idx="12">
                  <c:v>96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5B-4432-B696-4EAE1CCE7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473248"/>
        <c:axId val="772475872"/>
      </c:areaChart>
      <c:lineChart>
        <c:grouping val="standard"/>
        <c:varyColors val="0"/>
        <c:ser>
          <c:idx val="0"/>
          <c:order val="4"/>
          <c:tx>
            <c:strRef>
              <c:f>'Harvest Chart Data'!$A$31</c:f>
              <c:strCache>
                <c:ptCount val="1"/>
                <c:pt idx="0">
                  <c:v>Five-Year Average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'Harvest Chart Data'!$B$1:$O$1</c:f>
              <c:numCache>
                <c:formatCode>m/d/yyyy</c:formatCode>
                <c:ptCount val="14"/>
                <c:pt idx="0">
                  <c:v>45179</c:v>
                </c:pt>
                <c:pt idx="1">
                  <c:v>45186</c:v>
                </c:pt>
                <c:pt idx="2">
                  <c:v>45193</c:v>
                </c:pt>
                <c:pt idx="3">
                  <c:v>45200</c:v>
                </c:pt>
                <c:pt idx="4">
                  <c:v>45207</c:v>
                </c:pt>
                <c:pt idx="5">
                  <c:v>45214</c:v>
                </c:pt>
                <c:pt idx="6">
                  <c:v>45221</c:v>
                </c:pt>
                <c:pt idx="7">
                  <c:v>45228</c:v>
                </c:pt>
                <c:pt idx="8">
                  <c:v>45235</c:v>
                </c:pt>
                <c:pt idx="9">
                  <c:v>45242</c:v>
                </c:pt>
                <c:pt idx="10">
                  <c:v>45249</c:v>
                </c:pt>
                <c:pt idx="11">
                  <c:v>45256</c:v>
                </c:pt>
                <c:pt idx="12">
                  <c:v>45263</c:v>
                </c:pt>
                <c:pt idx="13">
                  <c:v>45270</c:v>
                </c:pt>
              </c:numCache>
            </c:numRef>
          </c:cat>
          <c:val>
            <c:numRef>
              <c:f>'Harvest Chart Data'!$B$31:$O$31</c:f>
              <c:numCache>
                <c:formatCode>#,##0_);[Red]\(#,##0\)</c:formatCode>
                <c:ptCount val="14"/>
                <c:pt idx="0">
                  <c:v>0</c:v>
                </c:pt>
                <c:pt idx="1">
                  <c:v>3</c:v>
                </c:pt>
                <c:pt idx="2">
                  <c:v>8.8000000000000007</c:v>
                </c:pt>
                <c:pt idx="3">
                  <c:v>21.2</c:v>
                </c:pt>
                <c:pt idx="4">
                  <c:v>35.4</c:v>
                </c:pt>
                <c:pt idx="5">
                  <c:v>49.6</c:v>
                </c:pt>
                <c:pt idx="6">
                  <c:v>65.400000000000006</c:v>
                </c:pt>
                <c:pt idx="7">
                  <c:v>76.8</c:v>
                </c:pt>
                <c:pt idx="8">
                  <c:v>85.2</c:v>
                </c:pt>
                <c:pt idx="9">
                  <c:v>90.6</c:v>
                </c:pt>
                <c:pt idx="10">
                  <c:v>94.6</c:v>
                </c:pt>
                <c:pt idx="11">
                  <c:v>97.6</c:v>
                </c:pt>
                <c:pt idx="12">
                  <c:v>99.2</c:v>
                </c:pt>
                <c:pt idx="1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5B-4432-B696-4EAE1CCE765F}"/>
            </c:ext>
          </c:extLst>
        </c:ser>
        <c:ser>
          <c:idx val="10"/>
          <c:order val="8"/>
          <c:tx>
            <c:strRef>
              <c:f>'Harvest Chart Data'!$A$25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rgbClr val="8C8C8C">
                  <a:alpha val="55686"/>
                </a:srgb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15875">
                <a:solidFill>
                  <a:srgbClr val="8C8C8C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5B-4432-B696-4EAE1CCE765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05B-4432-B696-4EAE1CCE765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05B-4432-B696-4EAE1CCE765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05B-4432-B696-4EAE1CCE765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05B-4432-B696-4EAE1CCE765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05B-4432-B696-4EAE1CCE765F}"/>
                </c:ext>
              </c:extLst>
            </c:dLbl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8C8C8C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'Harvest Chart Data'!$B$1:$O$1</c:f>
              <c:numCache>
                <c:formatCode>m/d/yyyy</c:formatCode>
                <c:ptCount val="14"/>
                <c:pt idx="0">
                  <c:v>45179</c:v>
                </c:pt>
                <c:pt idx="1">
                  <c:v>45186</c:v>
                </c:pt>
                <c:pt idx="2">
                  <c:v>45193</c:v>
                </c:pt>
                <c:pt idx="3">
                  <c:v>45200</c:v>
                </c:pt>
                <c:pt idx="4">
                  <c:v>45207</c:v>
                </c:pt>
                <c:pt idx="5">
                  <c:v>45214</c:v>
                </c:pt>
                <c:pt idx="6">
                  <c:v>45221</c:v>
                </c:pt>
                <c:pt idx="7">
                  <c:v>45228</c:v>
                </c:pt>
                <c:pt idx="8">
                  <c:v>45235</c:v>
                </c:pt>
                <c:pt idx="9">
                  <c:v>45242</c:v>
                </c:pt>
                <c:pt idx="10">
                  <c:v>45249</c:v>
                </c:pt>
                <c:pt idx="11">
                  <c:v>45256</c:v>
                </c:pt>
                <c:pt idx="12">
                  <c:v>45263</c:v>
                </c:pt>
                <c:pt idx="13">
                  <c:v>45270</c:v>
                </c:pt>
              </c:numCache>
            </c:numRef>
          </c:cat>
          <c:val>
            <c:numRef>
              <c:f>'Harvest Chart Data'!$B$25:$O$25</c:f>
              <c:numCache>
                <c:formatCode>#,##0_);[Red]\(#,##0\)</c:formatCode>
                <c:ptCount val="14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23</c:v>
                </c:pt>
                <c:pt idx="4">
                  <c:v>43</c:v>
                </c:pt>
                <c:pt idx="5">
                  <c:v>62</c:v>
                </c:pt>
                <c:pt idx="6">
                  <c:v>76</c:v>
                </c:pt>
                <c:pt idx="7">
                  <c:v>85</c:v>
                </c:pt>
                <c:pt idx="8">
                  <c:v>91</c:v>
                </c:pt>
                <c:pt idx="9">
                  <c:v>95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05B-4432-B696-4EAE1CCE765F}"/>
            </c:ext>
          </c:extLst>
        </c:ser>
        <c:ser>
          <c:idx val="11"/>
          <c:order val="11"/>
          <c:tx>
            <c:strRef>
              <c:f>'Harvest Chart Data'!$A$26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rgbClr val="69C129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9525">
                <a:solidFill>
                  <a:srgbClr val="69C129"/>
                </a:solidFill>
              </a:ln>
              <a:effectLst/>
            </c:spPr>
          </c:marker>
          <c:dPt>
            <c:idx val="1"/>
            <c:marker>
              <c:symbol val="circle"/>
              <c:size val="9"/>
              <c:spPr>
                <a:solidFill>
                  <a:schemeClr val="bg1"/>
                </a:solidFill>
                <a:ln w="9525">
                  <a:solidFill>
                    <a:srgbClr val="69C129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69C129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F05B-4432-B696-4EAE1CCE765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05B-4432-B696-4EAE1CCE765F}"/>
                </c:ext>
              </c:extLst>
            </c:dLbl>
            <c:dLbl>
              <c:idx val="1"/>
              <c:tx>
                <c:rich>
                  <a:bodyPr rot="0" spcFirstLastPara="1" vertOverflow="clip" horzOverflow="clip" vert="horz" wrap="square" lIns="36576" tIns="18288" rIns="36576" bIns="18288" anchor="ctr" anchorCtr="0">
                    <a:spAutoFit/>
                  </a:bodyPr>
                  <a:lstStyle/>
                  <a:p>
                    <a:pPr algn="ctr">
                      <a:defRPr lang="en-US" sz="1100" b="1" i="0" u="none" strike="noStrike" kern="1200" baseline="0">
                        <a:solidFill>
                          <a:srgbClr val="69C129"/>
                        </a:solidFill>
                        <a:latin typeface="Aptos Display" panose="020B0004020202020204" pitchFamily="34" charset="0"/>
                        <a:ea typeface="+mn-ea"/>
                        <a:cs typeface="+mn-cs"/>
                      </a:defRPr>
                    </a:pPr>
                    <a:fld id="{47B4BE8D-7199-4E7D-9011-6A3A8404E8B1}" type="VALUE">
                      <a:rPr lang="en-US" sz="1100" b="1" i="0" u="none" strike="noStrike" kern="1200" baseline="0">
                        <a:solidFill>
                          <a:srgbClr val="69C129"/>
                        </a:solidFill>
                        <a:latin typeface="Aptos Display" panose="020B0004020202020204" pitchFamily="34" charset="0"/>
                        <a:ea typeface="+mn-ea"/>
                        <a:cs typeface="+mn-cs"/>
                      </a:rPr>
                      <a:pPr algn="ctr">
                        <a:defRPr lang="en-US" sz="1100" b="1">
                          <a:solidFill>
                            <a:srgbClr val="69C129"/>
                          </a:solidFill>
                          <a:latin typeface="Aptos Display" panose="020B0004020202020204" pitchFamily="34" charset="0"/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solidFill>
                  <a:schemeClr val="lt1"/>
                </a:solidFill>
                <a:ln w="22225">
                  <a:solidFill>
                    <a:srgbClr val="69C129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0">
                  <a:spAutoFit/>
                </a:bodyPr>
                <a:lstStyle/>
                <a:p>
                  <a:pPr algn="ctr">
                    <a:defRPr lang="en-US" sz="1100" b="1" i="0" u="none" strike="noStrike" kern="1200" baseline="0">
                      <a:solidFill>
                        <a:srgbClr val="69C129"/>
                      </a:solidFill>
                      <a:latin typeface="Aptos Display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2.5345827755466309E-2"/>
                      <c:h val="4.917257683215129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F05B-4432-B696-4EAE1CCE765F}"/>
                </c:ext>
              </c:extLst>
            </c:dLbl>
            <c:spPr>
              <a:solidFill>
                <a:schemeClr val="lt1"/>
              </a:solidFill>
              <a:ln>
                <a:solidFill>
                  <a:srgbClr val="69C129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69C12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'Harvest Chart Data'!$B$26:$O$26</c:f>
              <c:numCache>
                <c:formatCode>#,##0_);[Red]\(#,##0\)</c:formatCode>
                <c:ptCount val="14"/>
                <c:pt idx="0">
                  <c:v>0</c:v>
                </c:pt>
                <c:pt idx="1">
                  <c:v>6</c:v>
                </c:pt>
                <c:pt idx="2">
                  <c:v>13</c:v>
                </c:pt>
                <c:pt idx="3">
                  <c:v>26</c:v>
                </c:pt>
                <c:pt idx="4">
                  <c:v>47</c:v>
                </c:pt>
                <c:pt idx="5">
                  <c:v>67</c:v>
                </c:pt>
                <c:pt idx="6">
                  <c:v>81</c:v>
                </c:pt>
                <c:pt idx="7">
                  <c:v>89</c:v>
                </c:pt>
                <c:pt idx="8">
                  <c:v>94</c:v>
                </c:pt>
                <c:pt idx="9">
                  <c:v>96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05B-4432-B696-4EAE1CCE7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473248"/>
        <c:axId val="772475872"/>
        <c:extLst>
          <c:ext xmlns:c15="http://schemas.microsoft.com/office/drawing/2012/chart" uri="{02D57815-91ED-43cb-92C2-25804820EDAC}">
            <c15:filteredLine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'Harvest Chart Data'!$A$18</c15:sqref>
                        </c15:formulaRef>
                      </c:ext>
                    </c:extLst>
                    <c:strCache>
                      <c:ptCount val="1"/>
                      <c:pt idx="0">
                        <c:v>2016</c:v>
                      </c:pt>
                    </c:strCache>
                  </c:strRef>
                </c:tx>
                <c:spPr>
                  <a:ln w="158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2"/>
                    </a:solidFill>
                    <a:ln w="15875">
                      <a:solidFill>
                        <a:srgbClr val="C00000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'Harvest Chart Data'!$B$1:$O$1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45179</c:v>
                      </c:pt>
                      <c:pt idx="1">
                        <c:v>45186</c:v>
                      </c:pt>
                      <c:pt idx="2">
                        <c:v>45193</c:v>
                      </c:pt>
                      <c:pt idx="3">
                        <c:v>45200</c:v>
                      </c:pt>
                      <c:pt idx="4">
                        <c:v>45207</c:v>
                      </c:pt>
                      <c:pt idx="5">
                        <c:v>45214</c:v>
                      </c:pt>
                      <c:pt idx="6">
                        <c:v>45221</c:v>
                      </c:pt>
                      <c:pt idx="7">
                        <c:v>45228</c:v>
                      </c:pt>
                      <c:pt idx="8">
                        <c:v>45235</c:v>
                      </c:pt>
                      <c:pt idx="9">
                        <c:v>45242</c:v>
                      </c:pt>
                      <c:pt idx="10">
                        <c:v>45249</c:v>
                      </c:pt>
                      <c:pt idx="11">
                        <c:v>45256</c:v>
                      </c:pt>
                      <c:pt idx="12">
                        <c:v>45263</c:v>
                      </c:pt>
                      <c:pt idx="13">
                        <c:v>45270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'Harvest Chart Data'!$B$18:$O$18</c15:sqref>
                        </c15:formulaRef>
                      </c:ext>
                    </c:extLst>
                    <c:numCache>
                      <c:formatCode>#,##0_);[Red]\(#,##0\)</c:formatCode>
                      <c:ptCount val="14"/>
                      <c:pt idx="0">
                        <c:v>0</c:v>
                      </c:pt>
                      <c:pt idx="1">
                        <c:v>4</c:v>
                      </c:pt>
                      <c:pt idx="2">
                        <c:v>10</c:v>
                      </c:pt>
                      <c:pt idx="3">
                        <c:v>26</c:v>
                      </c:pt>
                      <c:pt idx="4">
                        <c:v>44</c:v>
                      </c:pt>
                      <c:pt idx="5">
                        <c:v>62</c:v>
                      </c:pt>
                      <c:pt idx="6">
                        <c:v>76</c:v>
                      </c:pt>
                      <c:pt idx="7">
                        <c:v>87</c:v>
                      </c:pt>
                      <c:pt idx="8">
                        <c:v>93</c:v>
                      </c:pt>
                      <c:pt idx="9">
                        <c:v>97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F05B-4432-B696-4EAE1CCE765F}"/>
                  </c:ext>
                </c:extLst>
              </c15:ser>
            </c15:filteredLineSeries>
            <c15:filteredLineSeries>
              <c15:ser>
                <c:idx val="4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Data'!$A$19</c15:sqref>
                        </c15:formulaRef>
                      </c:ext>
                    </c:extLst>
                    <c:strCache>
                      <c:ptCount val="1"/>
                      <c:pt idx="0">
                        <c:v>2017</c:v>
                      </c:pt>
                    </c:strCache>
                  </c:strRef>
                </c:tx>
                <c:spPr>
                  <a:ln w="158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bg1">
                        <a:lumMod val="85000"/>
                      </a:schemeClr>
                    </a:solidFill>
                    <a:ln w="1587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Data'!$B$1:$O$1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45179</c:v>
                      </c:pt>
                      <c:pt idx="1">
                        <c:v>45186</c:v>
                      </c:pt>
                      <c:pt idx="2">
                        <c:v>45193</c:v>
                      </c:pt>
                      <c:pt idx="3">
                        <c:v>45200</c:v>
                      </c:pt>
                      <c:pt idx="4">
                        <c:v>45207</c:v>
                      </c:pt>
                      <c:pt idx="5">
                        <c:v>45214</c:v>
                      </c:pt>
                      <c:pt idx="6">
                        <c:v>45221</c:v>
                      </c:pt>
                      <c:pt idx="7">
                        <c:v>45228</c:v>
                      </c:pt>
                      <c:pt idx="8">
                        <c:v>45235</c:v>
                      </c:pt>
                      <c:pt idx="9">
                        <c:v>45242</c:v>
                      </c:pt>
                      <c:pt idx="10">
                        <c:v>45249</c:v>
                      </c:pt>
                      <c:pt idx="11">
                        <c:v>45256</c:v>
                      </c:pt>
                      <c:pt idx="12">
                        <c:v>45263</c:v>
                      </c:pt>
                      <c:pt idx="13">
                        <c:v>45270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Data'!$B$19:$O$19</c15:sqref>
                        </c15:formulaRef>
                      </c:ext>
                    </c:extLst>
                    <c:numCache>
                      <c:formatCode>#,##0_);[Red]\(#,##0\)</c:formatCode>
                      <c:ptCount val="14"/>
                      <c:pt idx="0">
                        <c:v>0</c:v>
                      </c:pt>
                      <c:pt idx="1">
                        <c:v>4</c:v>
                      </c:pt>
                      <c:pt idx="2">
                        <c:v>10</c:v>
                      </c:pt>
                      <c:pt idx="3">
                        <c:v>22</c:v>
                      </c:pt>
                      <c:pt idx="4">
                        <c:v>36</c:v>
                      </c:pt>
                      <c:pt idx="5">
                        <c:v>49</c:v>
                      </c:pt>
                      <c:pt idx="6">
                        <c:v>70</c:v>
                      </c:pt>
                      <c:pt idx="7">
                        <c:v>83</c:v>
                      </c:pt>
                      <c:pt idx="8">
                        <c:v>90</c:v>
                      </c:pt>
                      <c:pt idx="9">
                        <c:v>93</c:v>
                      </c:pt>
                      <c:pt idx="10">
                        <c:v>96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F05B-4432-B696-4EAE1CCE765F}"/>
                  </c:ext>
                </c:extLst>
              </c15:ser>
            </c15:filteredLineSeries>
            <c15:filteredLineSeries>
              <c15:ser>
                <c:idx val="5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Data'!$A$20</c15:sqref>
                        </c15:formulaRef>
                      </c:ext>
                    </c:extLst>
                    <c:strCache>
                      <c:ptCount val="1"/>
                      <c:pt idx="0">
                        <c:v>2018</c:v>
                      </c:pt>
                    </c:strCache>
                  </c:strRef>
                </c:tx>
                <c:spPr>
                  <a:ln w="15875" cap="rnd">
                    <a:solidFill>
                      <a:srgbClr val="8E9A44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335163"/>
                    </a:solidFill>
                    <a:ln w="15875">
                      <a:solidFill>
                        <a:srgbClr val="8E9A4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Data'!$B$1:$O$1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45179</c:v>
                      </c:pt>
                      <c:pt idx="1">
                        <c:v>45186</c:v>
                      </c:pt>
                      <c:pt idx="2">
                        <c:v>45193</c:v>
                      </c:pt>
                      <c:pt idx="3">
                        <c:v>45200</c:v>
                      </c:pt>
                      <c:pt idx="4">
                        <c:v>45207</c:v>
                      </c:pt>
                      <c:pt idx="5">
                        <c:v>45214</c:v>
                      </c:pt>
                      <c:pt idx="6">
                        <c:v>45221</c:v>
                      </c:pt>
                      <c:pt idx="7">
                        <c:v>45228</c:v>
                      </c:pt>
                      <c:pt idx="8">
                        <c:v>45235</c:v>
                      </c:pt>
                      <c:pt idx="9">
                        <c:v>45242</c:v>
                      </c:pt>
                      <c:pt idx="10">
                        <c:v>45249</c:v>
                      </c:pt>
                      <c:pt idx="11">
                        <c:v>45256</c:v>
                      </c:pt>
                      <c:pt idx="12">
                        <c:v>45263</c:v>
                      </c:pt>
                      <c:pt idx="13">
                        <c:v>45270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Data'!$B$20:$O$20</c15:sqref>
                        </c15:formulaRef>
                      </c:ext>
                    </c:extLst>
                    <c:numCache>
                      <c:formatCode>#,##0_);[Red]\(#,##0\)</c:formatCode>
                      <c:ptCount val="1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14</c:v>
                      </c:pt>
                      <c:pt idx="3">
                        <c:v>23</c:v>
                      </c:pt>
                      <c:pt idx="4">
                        <c:v>32</c:v>
                      </c:pt>
                      <c:pt idx="5">
                        <c:v>38</c:v>
                      </c:pt>
                      <c:pt idx="6">
                        <c:v>53</c:v>
                      </c:pt>
                      <c:pt idx="7">
                        <c:v>72</c:v>
                      </c:pt>
                      <c:pt idx="8">
                        <c:v>83</c:v>
                      </c:pt>
                      <c:pt idx="9">
                        <c:v>88</c:v>
                      </c:pt>
                      <c:pt idx="10">
                        <c:v>91</c:v>
                      </c:pt>
                      <c:pt idx="11">
                        <c:v>94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05B-4432-B696-4EAE1CCE765F}"/>
                  </c:ext>
                </c:extLst>
              </c15:ser>
            </c15:filteredLineSeries>
            <c15:filteredLine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Data'!$A$21</c15:sqref>
                        </c15:formulaRef>
                      </c:ext>
                    </c:extLst>
                    <c:strCache>
                      <c:ptCount val="1"/>
                      <c:pt idx="0">
                        <c:v>2019</c:v>
                      </c:pt>
                    </c:strCache>
                  </c:strRef>
                </c:tx>
                <c:spPr>
                  <a:ln w="158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1587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Data'!$B$1:$O$1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45179</c:v>
                      </c:pt>
                      <c:pt idx="1">
                        <c:v>45186</c:v>
                      </c:pt>
                      <c:pt idx="2">
                        <c:v>45193</c:v>
                      </c:pt>
                      <c:pt idx="3">
                        <c:v>45200</c:v>
                      </c:pt>
                      <c:pt idx="4">
                        <c:v>45207</c:v>
                      </c:pt>
                      <c:pt idx="5">
                        <c:v>45214</c:v>
                      </c:pt>
                      <c:pt idx="6">
                        <c:v>45221</c:v>
                      </c:pt>
                      <c:pt idx="7">
                        <c:v>45228</c:v>
                      </c:pt>
                      <c:pt idx="8">
                        <c:v>45235</c:v>
                      </c:pt>
                      <c:pt idx="9">
                        <c:v>45242</c:v>
                      </c:pt>
                      <c:pt idx="10">
                        <c:v>45249</c:v>
                      </c:pt>
                      <c:pt idx="11">
                        <c:v>45256</c:v>
                      </c:pt>
                      <c:pt idx="12">
                        <c:v>45263</c:v>
                      </c:pt>
                      <c:pt idx="13">
                        <c:v>45270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Data'!$B$21:$O$21</c15:sqref>
                        </c15:formulaRef>
                      </c:ext>
                    </c:extLst>
                    <c:numCache>
                      <c:formatCode>#,##0_);[Red]\(#,##0\)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7</c:v>
                      </c:pt>
                      <c:pt idx="4">
                        <c:v>14</c:v>
                      </c:pt>
                      <c:pt idx="5">
                        <c:v>26</c:v>
                      </c:pt>
                      <c:pt idx="6">
                        <c:v>46</c:v>
                      </c:pt>
                      <c:pt idx="7">
                        <c:v>62</c:v>
                      </c:pt>
                      <c:pt idx="8">
                        <c:v>75</c:v>
                      </c:pt>
                      <c:pt idx="9">
                        <c:v>85</c:v>
                      </c:pt>
                      <c:pt idx="10">
                        <c:v>91</c:v>
                      </c:pt>
                      <c:pt idx="11">
                        <c:v>94</c:v>
                      </c:pt>
                      <c:pt idx="12">
                        <c:v>96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F05B-4432-B696-4EAE1CCE765F}"/>
                  </c:ext>
                </c:extLst>
              </c15:ser>
            </c15:filteredLineSeries>
            <c15:filteredLineSeries>
              <c15:ser>
                <c:idx val="2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Data'!$A$22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6"/>
                  <c:marker>
                    <c:symbol val="none"/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F05B-4432-B696-4EAE1CCE765F}"/>
                    </c:ext>
                  </c:extLst>
                </c:dPt>
                <c:dLbls>
                  <c:spPr>
                    <a:solidFill>
                      <a:schemeClr val="bg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accent6">
                              <a:lumMod val="75000"/>
                            </a:schemeClr>
                          </a:solidFill>
                          <a:latin typeface="Arial Narrow" panose="020B0606020202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Data'!$B$1:$O$1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45179</c:v>
                      </c:pt>
                      <c:pt idx="1">
                        <c:v>45186</c:v>
                      </c:pt>
                      <c:pt idx="2">
                        <c:v>45193</c:v>
                      </c:pt>
                      <c:pt idx="3">
                        <c:v>45200</c:v>
                      </c:pt>
                      <c:pt idx="4">
                        <c:v>45207</c:v>
                      </c:pt>
                      <c:pt idx="5">
                        <c:v>45214</c:v>
                      </c:pt>
                      <c:pt idx="6">
                        <c:v>45221</c:v>
                      </c:pt>
                      <c:pt idx="7">
                        <c:v>45228</c:v>
                      </c:pt>
                      <c:pt idx="8">
                        <c:v>45235</c:v>
                      </c:pt>
                      <c:pt idx="9">
                        <c:v>45242</c:v>
                      </c:pt>
                      <c:pt idx="10">
                        <c:v>45249</c:v>
                      </c:pt>
                      <c:pt idx="11">
                        <c:v>45256</c:v>
                      </c:pt>
                      <c:pt idx="12">
                        <c:v>45263</c:v>
                      </c:pt>
                      <c:pt idx="13">
                        <c:v>45270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Data'!$B$22:$O$22</c15:sqref>
                        </c15:formulaRef>
                      </c:ext>
                    </c:extLst>
                    <c:numCache>
                      <c:formatCode>#,##0_);[Red]\(#,##0\)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6</c:v>
                      </c:pt>
                      <c:pt idx="3">
                        <c:v>20</c:v>
                      </c:pt>
                      <c:pt idx="4">
                        <c:v>38</c:v>
                      </c:pt>
                      <c:pt idx="5">
                        <c:v>61</c:v>
                      </c:pt>
                      <c:pt idx="6">
                        <c:v>75</c:v>
                      </c:pt>
                      <c:pt idx="7">
                        <c:v>83</c:v>
                      </c:pt>
                      <c:pt idx="8">
                        <c:v>87</c:v>
                      </c:pt>
                      <c:pt idx="9">
                        <c:v>92</c:v>
                      </c:pt>
                      <c:pt idx="10">
                        <c:v>96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F05B-4432-B696-4EAE1CCE765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Data'!$A$23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 w="28575" cap="rnd">
                    <a:solidFill>
                      <a:srgbClr val="FF5B5B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solidFill>
                      <a:schemeClr val="bg1"/>
                    </a:solidFill>
                    <a:ln w="15875">
                      <a:solidFill>
                        <a:srgbClr val="FF5B5B"/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6576" tIns="18288" rIns="36576" bIns="18288" anchor="ctr" anchorCtr="1">
                      <a:spAutoFit/>
                    </a:bodyPr>
                    <a:lstStyle/>
                    <a:p>
                      <a:pPr>
                        <a:defRPr sz="800" b="1" i="0" u="none" strike="noStrike" kern="1200" baseline="0">
                          <a:solidFill>
                            <a:srgbClr val="FF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ellipse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0"/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Data'!$B$1:$O$1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45179</c:v>
                      </c:pt>
                      <c:pt idx="1">
                        <c:v>45186</c:v>
                      </c:pt>
                      <c:pt idx="2">
                        <c:v>45193</c:v>
                      </c:pt>
                      <c:pt idx="3">
                        <c:v>45200</c:v>
                      </c:pt>
                      <c:pt idx="4">
                        <c:v>45207</c:v>
                      </c:pt>
                      <c:pt idx="5">
                        <c:v>45214</c:v>
                      </c:pt>
                      <c:pt idx="6">
                        <c:v>45221</c:v>
                      </c:pt>
                      <c:pt idx="7">
                        <c:v>45228</c:v>
                      </c:pt>
                      <c:pt idx="8">
                        <c:v>45235</c:v>
                      </c:pt>
                      <c:pt idx="9">
                        <c:v>45242</c:v>
                      </c:pt>
                      <c:pt idx="10">
                        <c:v>45249</c:v>
                      </c:pt>
                      <c:pt idx="11">
                        <c:v>45256</c:v>
                      </c:pt>
                      <c:pt idx="12">
                        <c:v>45263</c:v>
                      </c:pt>
                      <c:pt idx="13">
                        <c:v>45270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Data'!$B$23:$O$23</c15:sqref>
                        </c15:formulaRef>
                      </c:ext>
                    </c:extLst>
                    <c:numCache>
                      <c:formatCode>#,##0_);[Red]\(#,##0\)</c:formatCode>
                      <c:ptCount val="14"/>
                      <c:pt idx="0">
                        <c:v>0</c:v>
                      </c:pt>
                      <c:pt idx="1">
                        <c:v>6</c:v>
                      </c:pt>
                      <c:pt idx="2">
                        <c:v>16</c:v>
                      </c:pt>
                      <c:pt idx="3">
                        <c:v>34</c:v>
                      </c:pt>
                      <c:pt idx="4">
                        <c:v>49</c:v>
                      </c:pt>
                      <c:pt idx="5">
                        <c:v>60</c:v>
                      </c:pt>
                      <c:pt idx="6">
                        <c:v>73</c:v>
                      </c:pt>
                      <c:pt idx="7">
                        <c:v>79</c:v>
                      </c:pt>
                      <c:pt idx="8">
                        <c:v>87</c:v>
                      </c:pt>
                      <c:pt idx="9">
                        <c:v>92</c:v>
                      </c:pt>
                      <c:pt idx="10">
                        <c:v>95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F05B-4432-B696-4EAE1CCE765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Data'!$A$24</c15:sqref>
                        </c15:formulaRef>
                      </c:ext>
                    </c:extLst>
                    <c:strCache>
                      <c:ptCount val="1"/>
                      <c:pt idx="0">
                        <c:v>2022</c:v>
                      </c:pt>
                    </c:strCache>
                  </c:strRef>
                </c:tx>
                <c:spPr>
                  <a:ln w="28575" cap="rnd">
                    <a:solidFill>
                      <a:srgbClr val="6F0791"/>
                    </a:solidFill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bg1"/>
                    </a:solidFill>
                    <a:ln w="15875">
                      <a:solidFill>
                        <a:srgbClr val="6F0791"/>
                      </a:solidFill>
                    </a:ln>
                    <a:effectLst/>
                  </c:spPr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A2A08816-A012-4C13-8F72-95871F66D5FF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5-F05B-4432-B696-4EAE1CCE765F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7D0B7C87-333A-4F02-A449-0E0EE55010C6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6-F05B-4432-B696-4EAE1CCE765F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65A31B0A-C5B1-4C79-8079-17575911C659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7-F05B-4432-B696-4EAE1CCE765F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fld id="{E89CEC35-60EB-4AB0-988E-E323EA400F14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8-F05B-4432-B696-4EAE1CCE765F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fld id="{6DFB1651-CACD-4B9D-AA4A-FE45C29D85AE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9-F05B-4432-B696-4EAE1CCE765F}"/>
                      </c:ext>
                    </c:extLst>
                  </c:dLbl>
                  <c:dLbl>
                    <c:idx val="5"/>
                    <c:tx>
                      <c:rich>
                        <a:bodyPr/>
                        <a:lstStyle/>
                        <a:p>
                          <a:fld id="{86E57BD7-B932-49A6-8FDD-E1F9FC7ABA6E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A-F05B-4432-B696-4EAE1CCE765F}"/>
                      </c:ext>
                    </c:extLst>
                  </c:dLbl>
                  <c:dLbl>
                    <c:idx val="6"/>
                    <c:tx>
                      <c:rich>
                        <a:bodyPr/>
                        <a:lstStyle/>
                        <a:p>
                          <a:fld id="{F100E5ED-0997-4EDA-BBFE-95F713D44401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B-F05B-4432-B696-4EAE1CCE765F}"/>
                      </c:ext>
                    </c:extLst>
                  </c:dLbl>
                  <c:dLbl>
                    <c:idx val="7"/>
                    <c:tx>
                      <c:rich>
                        <a:bodyPr/>
                        <a:lstStyle/>
                        <a:p>
                          <a:fld id="{E1A3AB6A-9309-446C-9B5F-065C278E6677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C-F05B-4432-B696-4EAE1CCE765F}"/>
                      </c:ext>
                    </c:extLst>
                  </c:dLbl>
                  <c:dLbl>
                    <c:idx val="8"/>
                    <c:tx>
                      <c:rich>
                        <a:bodyPr/>
                        <a:lstStyle/>
                        <a:p>
                          <a:fld id="{3FD56B62-DF1C-47E2-90DA-095B2084F962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D-F05B-4432-B696-4EAE1CCE765F}"/>
                      </c:ext>
                    </c:extLst>
                  </c:dLbl>
                  <c:dLbl>
                    <c:idx val="9"/>
                    <c:tx>
                      <c:rich>
                        <a:bodyPr/>
                        <a:lstStyle/>
                        <a:p>
                          <a:fld id="{D9A8959E-2A87-4397-8707-D44C3E8C0A03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E-F05B-4432-B696-4EAE1CCE765F}"/>
                      </c:ext>
                    </c:extLst>
                  </c:dLbl>
                  <c:dLbl>
                    <c:idx val="10"/>
                    <c:tx>
                      <c:rich>
                        <a:bodyPr/>
                        <a:lstStyle/>
                        <a:p>
                          <a:fld id="{AA25F71D-C2AB-48AD-8CCE-2B61325B6462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F-F05B-4432-B696-4EAE1CCE765F}"/>
                      </c:ext>
                    </c:extLst>
                  </c:dLbl>
                  <c:dLbl>
                    <c:idx val="11"/>
                    <c:tx>
                      <c:rich>
                        <a:bodyPr/>
                        <a:lstStyle/>
                        <a:p>
                          <a:fld id="{0E20D923-3420-4150-849E-0165DE0815C1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0-F05B-4432-B696-4EAE1CCE765F}"/>
                      </c:ext>
                    </c:extLst>
                  </c:dLbl>
                  <c:dLbl>
                    <c:idx val="12"/>
                    <c:tx>
                      <c:rich>
                        <a:bodyPr/>
                        <a:lstStyle/>
                        <a:p>
                          <a:fld id="{2E27F48B-E237-4DA1-8044-111739F476B6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1-F05B-4432-B696-4EAE1CCE765F}"/>
                      </c:ext>
                    </c:extLst>
                  </c:dLbl>
                  <c:dLbl>
                    <c:idx val="13"/>
                    <c:tx>
                      <c:rich>
                        <a:bodyPr/>
                        <a:lstStyle/>
                        <a:p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2-F05B-4432-B696-4EAE1CCE765F}"/>
                      </c:ext>
                    </c:extLst>
                  </c:dLbl>
                  <c:spPr>
                    <a:solidFill>
                      <a:schemeClr val="lt1"/>
                    </a:solidFill>
                    <a:ln w="22225">
                      <a:solidFill>
                        <a:srgbClr val="6F0791"/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6576" tIns="18288" rIns="36576" bIns="18288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6F079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ellipse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DataLabelsRange val="1"/>
                      <c15:showLeaderLines val="0"/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Data'!$B$1:$O$1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45179</c:v>
                      </c:pt>
                      <c:pt idx="1">
                        <c:v>45186</c:v>
                      </c:pt>
                      <c:pt idx="2">
                        <c:v>45193</c:v>
                      </c:pt>
                      <c:pt idx="3">
                        <c:v>45200</c:v>
                      </c:pt>
                      <c:pt idx="4">
                        <c:v>45207</c:v>
                      </c:pt>
                      <c:pt idx="5">
                        <c:v>45214</c:v>
                      </c:pt>
                      <c:pt idx="6">
                        <c:v>45221</c:v>
                      </c:pt>
                      <c:pt idx="7">
                        <c:v>45228</c:v>
                      </c:pt>
                      <c:pt idx="8">
                        <c:v>45235</c:v>
                      </c:pt>
                      <c:pt idx="9">
                        <c:v>45242</c:v>
                      </c:pt>
                      <c:pt idx="10">
                        <c:v>45249</c:v>
                      </c:pt>
                      <c:pt idx="11">
                        <c:v>45256</c:v>
                      </c:pt>
                      <c:pt idx="12">
                        <c:v>45263</c:v>
                      </c:pt>
                      <c:pt idx="13">
                        <c:v>45270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Chart Data'!$B$24:$O$24</c15:sqref>
                        </c15:formulaRef>
                      </c:ext>
                    </c:extLst>
                    <c:numCache>
                      <c:formatCode>#,##0_);[Red]\(#,##0\)</c:formatCode>
                      <c:ptCount val="14"/>
                      <c:pt idx="0">
                        <c:v>0</c:v>
                      </c:pt>
                      <c:pt idx="1">
                        <c:v>3</c:v>
                      </c:pt>
                      <c:pt idx="2">
                        <c:v>8</c:v>
                      </c:pt>
                      <c:pt idx="3">
                        <c:v>22</c:v>
                      </c:pt>
                      <c:pt idx="4">
                        <c:v>44</c:v>
                      </c:pt>
                      <c:pt idx="5">
                        <c:v>63</c:v>
                      </c:pt>
                      <c:pt idx="6">
                        <c:v>80</c:v>
                      </c:pt>
                      <c:pt idx="7">
                        <c:v>88</c:v>
                      </c:pt>
                      <c:pt idx="8">
                        <c:v>94</c:v>
                      </c:pt>
                      <c:pt idx="9">
                        <c:v>96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'Harvest Chart Data'!$C$58:$O$58</c15:f>
                      <c15:dlblRangeCache>
                        <c:ptCount val="13"/>
                        <c:pt idx="0">
                          <c:v>3 </c:v>
                        </c:pt>
                        <c:pt idx="1">
                          <c:v>5 </c:v>
                        </c:pt>
                        <c:pt idx="2">
                          <c:v>14 </c:v>
                        </c:pt>
                        <c:pt idx="3">
                          <c:v>22 </c:v>
                        </c:pt>
                        <c:pt idx="4">
                          <c:v>19 </c:v>
                        </c:pt>
                        <c:pt idx="5">
                          <c:v>17 </c:v>
                        </c:pt>
                        <c:pt idx="6">
                          <c:v>8 </c:v>
                        </c:pt>
                        <c:pt idx="7">
                          <c:v>6 </c:v>
                        </c:pt>
                        <c:pt idx="8">
                          <c:v>2 </c:v>
                        </c:pt>
                        <c:pt idx="9">
                          <c:v>4 </c:v>
                        </c:pt>
                        <c:pt idx="10">
                          <c:v>0 </c:v>
                        </c:pt>
                        <c:pt idx="11">
                          <c:v>0 </c:v>
                        </c:pt>
                        <c:pt idx="12">
                          <c:v>0 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23-F05B-4432-B696-4EAE1CCE765F}"/>
                  </c:ext>
                </c:extLst>
              </c15:ser>
            </c15:filteredLineSeries>
          </c:ext>
        </c:extLst>
      </c:lineChart>
      <c:dateAx>
        <c:axId val="772473248"/>
        <c:scaling>
          <c:orientation val="minMax"/>
        </c:scaling>
        <c:delete val="0"/>
        <c:axPos val="b"/>
        <c:numFmt formatCode="[$-409]d\-mmm;@" sourceLinked="0"/>
        <c:majorTickMark val="none"/>
        <c:minorTickMark val="none"/>
        <c:tickLblPos val="low"/>
        <c:spPr>
          <a:noFill/>
          <a:ln w="1587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72475872"/>
        <c:crosses val="autoZero"/>
        <c:auto val="1"/>
        <c:lblOffset val="100"/>
        <c:baseTimeUnit val="days"/>
        <c:majorUnit val="7"/>
        <c:majorTimeUnit val="days"/>
      </c:dateAx>
      <c:valAx>
        <c:axId val="772475872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rgbClr val="323232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(percent</a:t>
                </a:r>
                <a:r>
                  <a:rPr lang="en-US" sz="1200" b="1" baseline="0">
                    <a:solidFill>
                      <a:srgbClr val="323232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complete)</a:t>
                </a:r>
                <a:endParaRPr lang="en-US" sz="1200" b="1">
                  <a:solidFill>
                    <a:srgbClr val="323232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9.7241112657463707E-5"/>
              <c:y val="0.353516836752822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72473248"/>
        <c:crosses val="autoZero"/>
        <c:crossBetween val="midCat"/>
      </c:valAx>
      <c:spPr>
        <a:noFill/>
        <a:ln w="15875">
          <a:solidFill>
            <a:srgbClr val="8C8C8C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73403914872086762"/>
          <c:y val="0.53490217978071886"/>
          <c:w val="0.23517102530858341"/>
          <c:h val="0.26219597550306206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8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9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F15AE4-CCBB-436F-94D9-B57FB4C1F3E5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1505DE-094C-4910-86FA-B5EBBAE8EF79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C812612-C972-47B7-8454-AABAE3A63670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3075979-8279-4B07-A37C-FD154B40E971}">
  <sheetPr/>
  <sheetViews>
    <sheetView zoomScale="85"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9CF3B7-C9AC-4296-A7F7-FD33ADDAE6F2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A5A3D82-E891-4A05-8519-8178F85B7DB5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1811A2A-80A6-41BD-9433-D7532F009EAF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332D78-44E9-4DD8-8EA4-CC19D69CD292}">
  <sheetPr/>
  <sheetViews>
    <sheetView zoomScale="85" workbookViewId="0"/>
  </sheetViews>
  <pageMargins left="0.25" right="0.25" top="1.25" bottom="1.25" header="0.3" footer="0.3"/>
  <pageSetup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CFBEE40-EE48-4428-ABAD-A7D25A086F0C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DFAD57D-5309-4C94-B1A9-69821FC27CCE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3BBAA8-F7E6-5BA8-ACCD-24C502B659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0.8014</cdr:x>
      <cdr:y>0.8283</cdr:y>
    </cdr:from>
    <cdr:to>
      <cdr:x>0.99059</cdr:x>
      <cdr:y>0.96814</cdr:y>
    </cdr:to>
    <cdr:sp macro="" textlink="">
      <cdr:nvSpPr>
        <cdr:cNvPr id="4" name="Oval 3">
          <a:extLst xmlns:a="http://schemas.openxmlformats.org/drawingml/2006/main">
            <a:ext uri="{FF2B5EF4-FFF2-40B4-BE49-F238E27FC236}">
              <a16:creationId xmlns:a16="http://schemas.microsoft.com/office/drawing/2014/main" id="{050A8708-7446-931C-9C81-94C2EE475FAC}"/>
            </a:ext>
          </a:extLst>
        </cdr:cNvPr>
        <cdr:cNvSpPr/>
      </cdr:nvSpPr>
      <cdr:spPr>
        <a:xfrm xmlns:a="http://schemas.openxmlformats.org/drawingml/2006/main">
          <a:off x="7610474" y="4457600"/>
          <a:ext cx="1796589" cy="752575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1"/>
        </a:solidFill>
        <a:ln xmlns:a="http://schemas.openxmlformats.org/drawingml/2006/main" w="28575">
          <a:solidFill>
            <a:srgbClr val="69C129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GB" kern="1200"/>
            <a:t>3</a:t>
          </a:r>
        </a:p>
      </cdr:txBody>
    </cdr:sp>
  </cdr:relSizeAnchor>
  <cdr:relSizeAnchor xmlns:cdr="http://schemas.openxmlformats.org/drawingml/2006/chartDrawing">
    <cdr:from>
      <cdr:x>0</cdr:x>
      <cdr:y>0.95679</cdr:y>
    </cdr:from>
    <cdr:to>
      <cdr:x>0.21067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9261E60-8E5A-7465-5106-5A086D0888F7}"/>
            </a:ext>
          </a:extLst>
        </cdr:cNvPr>
        <cdr:cNvSpPr txBox="1"/>
      </cdr:nvSpPr>
      <cdr:spPr>
        <a:xfrm xmlns:a="http://schemas.openxmlformats.org/drawingml/2006/main">
          <a:off x="0" y="5827059"/>
          <a:ext cx="1961029" cy="2631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200" b="1" kern="1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GB" sz="12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USDA</a:t>
          </a:r>
          <a:endParaRPr lang="en-GB" sz="12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0.81143</cdr:x>
      <cdr:y>0.84956</cdr:y>
    </cdr:from>
    <cdr:to>
      <cdr:x>0.98094</cdr:x>
      <cdr:y>0.96106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8B15192-82FF-BE9F-FECF-ECF21A110EAC}"/>
            </a:ext>
          </a:extLst>
        </cdr:cNvPr>
        <cdr:cNvSpPr txBox="1"/>
      </cdr:nvSpPr>
      <cdr:spPr>
        <a:xfrm xmlns:a="http://schemas.openxmlformats.org/drawingml/2006/main">
          <a:off x="7705684" y="4572000"/>
          <a:ext cx="1609739" cy="600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800" b="1" kern="1200">
              <a:latin typeface="Arial" panose="020B0604020202020204" pitchFamily="34" charset="0"/>
              <a:cs typeface="Arial" panose="020B0604020202020204" pitchFamily="34" charset="0"/>
            </a:rPr>
            <a:t>Data labels</a:t>
          </a:r>
          <a:r>
            <a:rPr lang="en-GB" sz="800" b="1" kern="1200" baseline="0">
              <a:latin typeface="Arial" panose="020B0604020202020204" pitchFamily="34" charset="0"/>
              <a:cs typeface="Arial" panose="020B0604020202020204" pitchFamily="34" charset="0"/>
            </a:rPr>
            <a:t> are USDA's current marketing year and final average US soybean yield assessments.</a:t>
          </a:r>
          <a:endParaRPr lang="en-GB" sz="800" b="1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0.37412</cdr:x>
      <cdr:y>0.21593</cdr:y>
    </cdr:from>
    <cdr:to>
      <cdr:x>0.76229</cdr:x>
      <cdr:y>0.46549</cdr:y>
    </cdr:to>
    <cdr:grpSp>
      <cdr:nvGrpSpPr>
        <cdr:cNvPr id="6" name="Group 5">
          <a:extLst xmlns:a="http://schemas.openxmlformats.org/drawingml/2006/main">
            <a:ext uri="{FF2B5EF4-FFF2-40B4-BE49-F238E27FC236}">
              <a16:creationId xmlns:a16="http://schemas.microsoft.com/office/drawing/2014/main" id="{09FFFED8-0AFF-50D2-3002-C179F79E3BE2}"/>
            </a:ext>
          </a:extLst>
        </cdr:cNvPr>
        <cdr:cNvGrpSpPr/>
      </cdr:nvGrpSpPr>
      <cdr:grpSpPr>
        <a:xfrm xmlns:a="http://schemas.openxmlformats.org/drawingml/2006/main">
          <a:off x="3552825" y="1162054"/>
          <a:ext cx="3686175" cy="1343021"/>
          <a:chOff x="3067050" y="1162054"/>
          <a:chExt cx="3686175" cy="1343021"/>
        </a:xfrm>
      </cdr:grpSpPr>
      <cdr:sp macro="" textlink="">
        <cdr:nvSpPr>
          <cdr:cNvPr id="5" name="TextBox 4">
            <a:extLst xmlns:a="http://schemas.openxmlformats.org/drawingml/2006/main">
              <a:ext uri="{FF2B5EF4-FFF2-40B4-BE49-F238E27FC236}">
                <a16:creationId xmlns:a16="http://schemas.microsoft.com/office/drawing/2014/main" id="{20EA0A7A-5656-91D2-E48D-7010166EC0EF}"/>
              </a:ext>
            </a:extLst>
          </cdr:cNvPr>
          <cdr:cNvSpPr txBox="1"/>
        </cdr:nvSpPr>
        <cdr:spPr>
          <a:xfrm xmlns:a="http://schemas.openxmlformats.org/drawingml/2006/main">
            <a:off x="3067050" y="1162054"/>
            <a:ext cx="3686175" cy="542899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n-US" sz="1200" b="1" kern="1200">
                <a:solidFill>
                  <a:srgbClr val="2E865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Yield implied by mid-September </a:t>
            </a:r>
            <a:r>
              <a:rPr lang="en-US" sz="1200" b="1" kern="1200" baseline="0">
                <a:solidFill>
                  <a:srgbClr val="2E865F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crop conditions</a:t>
            </a:r>
            <a:endParaRPr lang="en-US" sz="1200" b="1" kern="1200">
              <a:solidFill>
                <a:srgbClr val="2E865F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dr:txBody>
      </cdr:sp>
      <cdr:cxnSp macro="">
        <cdr:nvCxnSpPr>
          <cdr:cNvPr id="7" name="Straight Arrow Connector 6">
            <a:extLst xmlns:a="http://schemas.openxmlformats.org/drawingml/2006/main">
              <a:ext uri="{FF2B5EF4-FFF2-40B4-BE49-F238E27FC236}">
                <a16:creationId xmlns:a16="http://schemas.microsoft.com/office/drawing/2014/main" id="{FDAFA82A-F637-C360-C34F-21DDCE3AE733}"/>
              </a:ext>
            </a:extLst>
          </cdr:cNvPr>
          <cdr:cNvCxnSpPr/>
        </cdr:nvCxnSpPr>
        <cdr:spPr>
          <a:xfrm xmlns:a="http://schemas.openxmlformats.org/drawingml/2006/main">
            <a:off x="3905215" y="1400191"/>
            <a:ext cx="866810" cy="1104884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solidFill>
              <a:srgbClr val="2E865F"/>
            </a:solidFill>
            <a:tailEnd type="triangle"/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0" name="Straight Connector 9">
            <a:extLst xmlns:a="http://schemas.openxmlformats.org/drawingml/2006/main">
              <a:ext uri="{FF2B5EF4-FFF2-40B4-BE49-F238E27FC236}">
                <a16:creationId xmlns:a16="http://schemas.microsoft.com/office/drawing/2014/main" id="{C17AE01F-09C3-D25A-92B2-5B3B8C2753C7}"/>
              </a:ext>
            </a:extLst>
          </cdr:cNvPr>
          <cdr:cNvCxnSpPr/>
        </cdr:nvCxnSpPr>
        <cdr:spPr>
          <a:xfrm xmlns:a="http://schemas.openxmlformats.org/drawingml/2006/main" flipV="1">
            <a:off x="3171837" y="1381141"/>
            <a:ext cx="3486138" cy="28577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rgbClr val="2E865F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56029</xdr:colOff>
      <xdr:row>48</xdr:row>
      <xdr:rowOff>79561</xdr:rowOff>
    </xdr:from>
    <xdr:to>
      <xdr:col>42</xdr:col>
      <xdr:colOff>392206</xdr:colOff>
      <xdr:row>65</xdr:row>
      <xdr:rowOff>155761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77B90C-6FB0-40DC-AA78-E53D249FD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56029</xdr:colOff>
      <xdr:row>48</xdr:row>
      <xdr:rowOff>90767</xdr:rowOff>
    </xdr:from>
    <xdr:to>
      <xdr:col>51</xdr:col>
      <xdr:colOff>392206</xdr:colOff>
      <xdr:row>66</xdr:row>
      <xdr:rowOff>10085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DDBC3E-D0CB-4C51-8C5D-AFC603204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183173</xdr:colOff>
      <xdr:row>54</xdr:row>
      <xdr:rowOff>20516</xdr:rowOff>
    </xdr:from>
    <xdr:to>
      <xdr:col>33</xdr:col>
      <xdr:colOff>498231</xdr:colOff>
      <xdr:row>72</xdr:row>
      <xdr:rowOff>126023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67AE23-1B70-4C3E-3A89-2D099E327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684D8A-F9CB-5A90-1DEA-23055854146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0.00635</cdr:x>
      <cdr:y>0.9528</cdr:y>
    </cdr:from>
    <cdr:to>
      <cdr:x>0.37847</cdr:x>
      <cdr:y>0.98997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EB459E1-1F50-4E83-9498-8674FF24B77F}"/>
            </a:ext>
          </a:extLst>
        </cdr:cNvPr>
        <cdr:cNvSpPr txBox="1"/>
      </cdr:nvSpPr>
      <cdr:spPr>
        <a:xfrm xmlns:a="http://schemas.openxmlformats.org/drawingml/2006/main">
          <a:off x="60325" y="5127625"/>
          <a:ext cx="3533775" cy="200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Source: NASS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934131-1508-D307-A389-9C8E2ECB4C2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0.94936</cdr:y>
    </cdr:from>
    <cdr:to>
      <cdr:x>0.47557</cdr:x>
      <cdr:y>0.9925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679689C-4AC5-481A-B9E6-B2FCF2C5B42D}"/>
            </a:ext>
          </a:extLst>
        </cdr:cNvPr>
        <cdr:cNvSpPr txBox="1"/>
      </cdr:nvSpPr>
      <cdr:spPr>
        <a:xfrm xmlns:a="http://schemas.openxmlformats.org/drawingml/2006/main">
          <a:off x="0" y="5103192"/>
          <a:ext cx="4514022" cy="2319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USDA, HigbyBarrett</a:t>
          </a:r>
        </a:p>
        <a:p xmlns:a="http://schemas.openxmlformats.org/drawingml/2006/main"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0.11344</cdr:x>
      <cdr:y>0.20493</cdr:y>
    </cdr:from>
    <cdr:to>
      <cdr:x>0.41449</cdr:x>
      <cdr:y>0.44376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AB723CD-4CCE-37A4-3B24-E3F8D1292E7B}"/>
            </a:ext>
          </a:extLst>
        </cdr:cNvPr>
        <cdr:cNvSpPr txBox="1"/>
      </cdr:nvSpPr>
      <cdr:spPr>
        <a:xfrm xmlns:a="http://schemas.openxmlformats.org/drawingml/2006/main">
          <a:off x="1076739" y="1101570"/>
          <a:ext cx="2857500" cy="128381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Change in crop condition ratings from</a:t>
          </a:r>
          <a:r>
            <a:rPr lang="en-US" sz="1400" b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the first week of July to the first week of August.</a:t>
          </a:r>
          <a:endParaRPr lang="en-US" sz="1400" b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0.34031</cdr:x>
      <cdr:y>0.23814</cdr:y>
    </cdr:from>
    <cdr:to>
      <cdr:x>0.40098</cdr:x>
      <cdr:y>0.44684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929F0D0B-00A6-7808-5B88-6ED4F6893F70}"/>
            </a:ext>
          </a:extLst>
        </cdr:cNvPr>
        <cdr:cNvCxnSpPr>
          <a:stCxn xmlns:a="http://schemas.openxmlformats.org/drawingml/2006/main" id="22" idx="1"/>
        </cdr:cNvCxnSpPr>
      </cdr:nvCxnSpPr>
      <cdr:spPr>
        <a:xfrm xmlns:a="http://schemas.openxmlformats.org/drawingml/2006/main" flipH="1">
          <a:off x="3230217" y="1280076"/>
          <a:ext cx="575807" cy="112188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C0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0.3975</cdr:x>
      <cdr:y>0.24117</cdr:y>
    </cdr:from>
    <cdr:to>
      <cdr:x>0.43106</cdr:x>
      <cdr:y>0.36518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D0870B27-6CF7-15FF-FA27-482F3CB7EE3C}"/>
            </a:ext>
          </a:extLst>
        </cdr:cNvPr>
        <cdr:cNvCxnSpPr>
          <a:stCxn xmlns:a="http://schemas.openxmlformats.org/drawingml/2006/main" id="22" idx="3"/>
        </cdr:cNvCxnSpPr>
      </cdr:nvCxnSpPr>
      <cdr:spPr>
        <a:xfrm xmlns:a="http://schemas.openxmlformats.org/drawingml/2006/main">
          <a:off x="3772991" y="1296393"/>
          <a:ext cx="318618" cy="666585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C0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0.40098</cdr:x>
      <cdr:y>0.23814</cdr:y>
    </cdr:from>
    <cdr:to>
      <cdr:x>0.56021</cdr:x>
      <cdr:y>0.44684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ECA4A6FB-BCEE-9CA6-3AC1-70832C617B60}"/>
            </a:ext>
          </a:extLst>
        </cdr:cNvPr>
        <cdr:cNvCxnSpPr>
          <a:stCxn xmlns:a="http://schemas.openxmlformats.org/drawingml/2006/main" id="22" idx="1"/>
        </cdr:cNvCxnSpPr>
      </cdr:nvCxnSpPr>
      <cdr:spPr>
        <a:xfrm xmlns:a="http://schemas.openxmlformats.org/drawingml/2006/main">
          <a:off x="3806024" y="1280076"/>
          <a:ext cx="1511411" cy="112188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C0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0.4005</cdr:x>
      <cdr:y>0.23421</cdr:y>
    </cdr:from>
    <cdr:to>
      <cdr:x>0.69197</cdr:x>
      <cdr:y>0.23435</cdr:y>
    </cdr:to>
    <cdr:cxnSp macro="">
      <cdr:nvCxnSpPr>
        <cdr:cNvPr id="13" name="Straight Arrow Connector 12">
          <a:extLst xmlns:a="http://schemas.openxmlformats.org/drawingml/2006/main">
            <a:ext uri="{FF2B5EF4-FFF2-40B4-BE49-F238E27FC236}">
              <a16:creationId xmlns:a16="http://schemas.microsoft.com/office/drawing/2014/main" id="{A32FEEDD-B556-8861-44F5-9E7FE89CAC20}"/>
            </a:ext>
          </a:extLst>
        </cdr:cNvPr>
        <cdr:cNvCxnSpPr>
          <a:stCxn xmlns:a="http://schemas.openxmlformats.org/drawingml/2006/main" id="22" idx="0"/>
        </cdr:cNvCxnSpPr>
      </cdr:nvCxnSpPr>
      <cdr:spPr>
        <a:xfrm xmlns:a="http://schemas.openxmlformats.org/drawingml/2006/main" flipV="1">
          <a:off x="3801496" y="1258957"/>
          <a:ext cx="2766613" cy="77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C0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0.39616</cdr:x>
      <cdr:y>0.23267</cdr:y>
    </cdr:from>
    <cdr:to>
      <cdr:x>0.40098</cdr:x>
      <cdr:y>0.24117</cdr:y>
    </cdr:to>
    <cdr:sp macro="" textlink="">
      <cdr:nvSpPr>
        <cdr:cNvPr id="22" name="Star: 7 Points 21">
          <a:extLst xmlns:a="http://schemas.openxmlformats.org/drawingml/2006/main">
            <a:ext uri="{FF2B5EF4-FFF2-40B4-BE49-F238E27FC236}">
              <a16:creationId xmlns:a16="http://schemas.microsoft.com/office/drawing/2014/main" id="{C49A8EF1-6F99-C5C4-7F8D-DFBB4171BF42}"/>
            </a:ext>
          </a:extLst>
        </cdr:cNvPr>
        <cdr:cNvSpPr/>
      </cdr:nvSpPr>
      <cdr:spPr>
        <a:xfrm xmlns:a="http://schemas.openxmlformats.org/drawingml/2006/main">
          <a:off x="3760305" y="1250674"/>
          <a:ext cx="45719" cy="45719"/>
        </a:xfrm>
        <a:prstGeom xmlns:a="http://schemas.openxmlformats.org/drawingml/2006/main" prst="star7">
          <a:avLst/>
        </a:prstGeom>
        <a:solidFill xmlns:a="http://schemas.openxmlformats.org/drawingml/2006/main">
          <a:srgbClr val="C00000"/>
        </a:solidFill>
        <a:ln xmlns:a="http://schemas.openxmlformats.org/drawingml/2006/main" w="15875">
          <a:solidFill>
            <a:srgbClr val="C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502588" cy="5378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408E41-EAE5-B0E6-878B-AB564C4C134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0.95532</cdr:y>
    </cdr:from>
    <cdr:to>
      <cdr:x>0.24956</cdr:x>
      <cdr:y>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BF34672-1E25-486B-89B4-E5241CFB471B}"/>
            </a:ext>
          </a:extLst>
        </cdr:cNvPr>
        <cdr:cNvSpPr txBox="1"/>
      </cdr:nvSpPr>
      <cdr:spPr>
        <a:xfrm xmlns:a="http://schemas.openxmlformats.org/drawingml/2006/main">
          <a:off x="0" y="5135217"/>
          <a:ext cx="2368826" cy="240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NASS, HigbyBarrett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486348" cy="537265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557176-4A6A-1329-DADD-69117BEEE06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0.95532</cdr:y>
    </cdr:from>
    <cdr:to>
      <cdr:x>0.24956</cdr:x>
      <cdr:y>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BF34672-1E25-486B-89B4-E5241CFB471B}"/>
            </a:ext>
          </a:extLst>
        </cdr:cNvPr>
        <cdr:cNvSpPr txBox="1"/>
      </cdr:nvSpPr>
      <cdr:spPr>
        <a:xfrm xmlns:a="http://schemas.openxmlformats.org/drawingml/2006/main">
          <a:off x="0" y="5135217"/>
          <a:ext cx="2368826" cy="240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NASS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180286" cy="53702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B912F4-AD0A-86CE-61CF-B36899BD32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0.94453</cdr:y>
    </cdr:from>
    <cdr:to>
      <cdr:x>0.24607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81BEE1F-6E6A-4DAD-9331-1D2105C62CFC}"/>
            </a:ext>
          </a:extLst>
        </cdr:cNvPr>
        <cdr:cNvSpPr txBox="1"/>
      </cdr:nvSpPr>
      <cdr:spPr>
        <a:xfrm xmlns:a="http://schemas.openxmlformats.org/drawingml/2006/main">
          <a:off x="0" y="5077239"/>
          <a:ext cx="2335695" cy="2981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NASS, Fastmarkets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188174" cy="53671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7269E2-7CCE-CB3C-BE45-DD788953F8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</cdr:x>
      <cdr:y>0.94453</cdr:y>
    </cdr:from>
    <cdr:to>
      <cdr:x>0.24607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81BEE1F-6E6A-4DAD-9331-1D2105C62CFC}"/>
            </a:ext>
          </a:extLst>
        </cdr:cNvPr>
        <cdr:cNvSpPr txBox="1"/>
      </cdr:nvSpPr>
      <cdr:spPr>
        <a:xfrm xmlns:a="http://schemas.openxmlformats.org/drawingml/2006/main">
          <a:off x="0" y="5077239"/>
          <a:ext cx="2335695" cy="2981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NASS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03765" cy="5378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810683-8930-7A3C-B9B4-7D0173F110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</cdr:x>
      <cdr:y>0.94453</cdr:y>
    </cdr:from>
    <cdr:to>
      <cdr:x>0.24956</cdr:x>
      <cdr:y>0.99323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6892EFD-5417-46E5-9888-443CB7EE4465}"/>
            </a:ext>
          </a:extLst>
        </cdr:cNvPr>
        <cdr:cNvSpPr txBox="1"/>
      </cdr:nvSpPr>
      <cdr:spPr>
        <a:xfrm xmlns:a="http://schemas.openxmlformats.org/drawingml/2006/main">
          <a:off x="0" y="5083106"/>
          <a:ext cx="2369928" cy="262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USDA</a:t>
          </a:r>
        </a:p>
      </cdr:txBody>
    </cdr:sp>
  </cdr:relSizeAnchor>
  <cdr:relSizeAnchor xmlns:cdr="http://schemas.openxmlformats.org/drawingml/2006/chartDrawing">
    <cdr:from>
      <cdr:x>0.66199</cdr:x>
      <cdr:y>0.95398</cdr:y>
    </cdr:from>
    <cdr:to>
      <cdr:x>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DCA3574-71A0-EFDB-8DD9-456459F874C3}"/>
            </a:ext>
          </a:extLst>
        </cdr:cNvPr>
        <cdr:cNvSpPr txBox="1"/>
      </cdr:nvSpPr>
      <cdr:spPr>
        <a:xfrm xmlns:a="http://schemas.openxmlformats.org/drawingml/2006/main">
          <a:off x="6286500" y="5133976"/>
          <a:ext cx="3209925" cy="247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Labels indicate the progress for the week</a:t>
          </a: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286675-544A-DDCB-AA9E-069796CC13A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0.01134</cdr:x>
      <cdr:y>0.94453</cdr:y>
    </cdr:from>
    <cdr:to>
      <cdr:x>0.24956</cdr:x>
      <cdr:y>0.99075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6892EFD-5417-46E5-9888-443CB7EE4465}"/>
            </a:ext>
          </a:extLst>
        </cdr:cNvPr>
        <cdr:cNvSpPr txBox="1"/>
      </cdr:nvSpPr>
      <cdr:spPr>
        <a:xfrm xmlns:a="http://schemas.openxmlformats.org/drawingml/2006/main">
          <a:off x="107674" y="5077239"/>
          <a:ext cx="2261152" cy="24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USDA</a:t>
          </a:r>
        </a:p>
      </cdr:txBody>
    </cdr:sp>
  </cdr:relSizeAnchor>
  <cdr:relSizeAnchor xmlns:cdr="http://schemas.openxmlformats.org/drawingml/2006/chartDrawing">
    <cdr:from>
      <cdr:x>0.66199</cdr:x>
      <cdr:y>0.95398</cdr:y>
    </cdr:from>
    <cdr:to>
      <cdr:x>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DCA3574-71A0-EFDB-8DD9-456459F874C3}"/>
            </a:ext>
          </a:extLst>
        </cdr:cNvPr>
        <cdr:cNvSpPr txBox="1"/>
      </cdr:nvSpPr>
      <cdr:spPr>
        <a:xfrm xmlns:a="http://schemas.openxmlformats.org/drawingml/2006/main">
          <a:off x="6286500" y="5133976"/>
          <a:ext cx="3209925" cy="247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Labels indicate the progress for the week</a:t>
          </a: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BB6AE7-D18A-C210-7A7F-E095B99F3A4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</cdr:x>
      <cdr:y>0.96285</cdr:y>
    </cdr:from>
    <cdr:to>
      <cdr:x>0.37203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7F6A442-DC8F-4C3F-B2CA-2DBD59088C34}"/>
            </a:ext>
          </a:extLst>
        </cdr:cNvPr>
        <cdr:cNvSpPr txBox="1"/>
      </cdr:nvSpPr>
      <cdr:spPr>
        <a:xfrm xmlns:a="http://schemas.openxmlformats.org/drawingml/2006/main">
          <a:off x="0" y="5175717"/>
          <a:ext cx="3531260" cy="1996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Source: NASS</a:t>
          </a:r>
        </a:p>
      </cdr:txBody>
    </cdr:sp>
  </cdr:relSizeAnchor>
  <cdr:relSizeAnchor xmlns:cdr="http://schemas.openxmlformats.org/drawingml/2006/chartDrawing">
    <cdr:from>
      <cdr:x>0.44734</cdr:x>
      <cdr:y>0.92212</cdr:y>
    </cdr:from>
    <cdr:to>
      <cdr:x>1</cdr:x>
      <cdr:y>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E236F8AD-1CEA-A33E-02B2-DD4BE57CB899}"/>
            </a:ext>
          </a:extLst>
        </cdr:cNvPr>
        <cdr:cNvSpPr txBox="1"/>
      </cdr:nvSpPr>
      <cdr:spPr>
        <a:xfrm xmlns:a="http://schemas.openxmlformats.org/drawingml/2006/main">
          <a:off x="4248150" y="4962525"/>
          <a:ext cx="5248275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Data labels for this year and last year indicate weekly progress.</a:t>
          </a:r>
        </a:p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For the 5-year average, the lableslin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dicated the cumulative progress.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Tore Alden" id="{4B7CAC3C-0160-4096-B044-F56637B38AB2}" userId="S::tore.alden@fastmarkets.com::e5711f0d-88c9-43f8-a012-4edd348f70e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5" dT="2024-06-12T09:50:50.83" personId="{4B7CAC3C-0160-4096-B044-F56637B38AB2}" id="{F2BBB3DF-DD24-4636-B62B-EBCCE8343FFD}">
    <text>Govt Shut Down - Ratings Interpolated From Oct 3 and Oct 24 Data</text>
  </threadedComment>
  <threadedComment ref="W15" dT="2024-06-12T09:51:17.49" personId="{4B7CAC3C-0160-4096-B044-F56637B38AB2}" id="{C7EACD35-3ACE-4744-AB62-32021654EC25}">
    <text>Govt Shut Down - Ratings Interpolated From Oct 3 and Oct 24 Data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5B1C-B377-4ECB-BEC0-933414F1F233}">
  <dimension ref="A1:BI70"/>
  <sheetViews>
    <sheetView tabSelected="1" zoomScale="130" zoomScaleNormal="130" workbookViewId="0">
      <pane xSplit="1" ySplit="1" topLeftCell="W53" activePane="bottomRight" state="frozen"/>
      <selection pane="topRight" activeCell="B1" sqref="B1"/>
      <selection pane="bottomLeft" activeCell="A2" sqref="A2"/>
      <selection pane="bottomRight" activeCell="Z71" sqref="Z71"/>
    </sheetView>
  </sheetViews>
  <sheetFormatPr defaultColWidth="9.140625" defaultRowHeight="11.25"/>
  <cols>
    <col min="1" max="29" width="9.140625" style="6"/>
    <col min="30" max="40" width="9.140625" style="6" customWidth="1"/>
    <col min="41" max="16384" width="9.140625" style="6"/>
  </cols>
  <sheetData>
    <row r="1" spans="1:50" ht="67.5">
      <c r="B1" s="7">
        <f>C1-7</f>
        <v>45802</v>
      </c>
      <c r="C1" s="7">
        <v>45809</v>
      </c>
      <c r="D1" s="7">
        <f>C1+7</f>
        <v>45816</v>
      </c>
      <c r="E1" s="7">
        <f t="shared" ref="E1:Y1" si="0">D1+7</f>
        <v>45823</v>
      </c>
      <c r="F1" s="7">
        <f t="shared" si="0"/>
        <v>45830</v>
      </c>
      <c r="G1" s="7">
        <f t="shared" si="0"/>
        <v>45837</v>
      </c>
      <c r="H1" s="7">
        <f t="shared" si="0"/>
        <v>45844</v>
      </c>
      <c r="I1" s="7">
        <f t="shared" si="0"/>
        <v>45851</v>
      </c>
      <c r="J1" s="7">
        <f t="shared" si="0"/>
        <v>45858</v>
      </c>
      <c r="K1" s="7">
        <f t="shared" si="0"/>
        <v>45865</v>
      </c>
      <c r="L1" s="7">
        <f t="shared" si="0"/>
        <v>45872</v>
      </c>
      <c r="M1" s="7">
        <f t="shared" si="0"/>
        <v>45879</v>
      </c>
      <c r="N1" s="7">
        <f t="shared" si="0"/>
        <v>45886</v>
      </c>
      <c r="O1" s="7">
        <f t="shared" si="0"/>
        <v>45893</v>
      </c>
      <c r="P1" s="7">
        <f t="shared" si="0"/>
        <v>45900</v>
      </c>
      <c r="Q1" s="7">
        <f t="shared" si="0"/>
        <v>45907</v>
      </c>
      <c r="R1" s="7">
        <f t="shared" si="0"/>
        <v>45914</v>
      </c>
      <c r="S1" s="7">
        <f t="shared" si="0"/>
        <v>45921</v>
      </c>
      <c r="T1" s="7">
        <f t="shared" si="0"/>
        <v>45928</v>
      </c>
      <c r="U1" s="7">
        <f t="shared" si="0"/>
        <v>45935</v>
      </c>
      <c r="V1" s="7">
        <f t="shared" si="0"/>
        <v>45942</v>
      </c>
      <c r="W1" s="7">
        <f t="shared" si="0"/>
        <v>45949</v>
      </c>
      <c r="X1" s="7">
        <f t="shared" si="0"/>
        <v>45956</v>
      </c>
      <c r="Y1" s="7">
        <f t="shared" si="0"/>
        <v>45963</v>
      </c>
      <c r="AD1" s="8" t="s">
        <v>0</v>
      </c>
      <c r="AE1" s="8" t="s">
        <v>1</v>
      </c>
      <c r="AF1" s="8" t="s">
        <v>2</v>
      </c>
      <c r="AG1" s="8" t="s">
        <v>3</v>
      </c>
      <c r="AH1" s="8" t="s">
        <v>4</v>
      </c>
      <c r="AI1" s="8" t="s">
        <v>5</v>
      </c>
      <c r="AJ1" s="8" t="s">
        <v>6</v>
      </c>
      <c r="AK1" s="8" t="s">
        <v>7</v>
      </c>
      <c r="AL1" s="8" t="s">
        <v>8</v>
      </c>
      <c r="AM1" s="8" t="s">
        <v>9</v>
      </c>
      <c r="AN1" s="8" t="s">
        <v>10</v>
      </c>
      <c r="AO1" s="8" t="s">
        <v>11</v>
      </c>
      <c r="AP1" s="8" t="s">
        <v>12</v>
      </c>
      <c r="AQ1" s="8" t="s">
        <v>13</v>
      </c>
      <c r="AR1" s="8" t="s">
        <v>14</v>
      </c>
      <c r="AS1" s="8" t="s">
        <v>15</v>
      </c>
      <c r="AT1" s="8" t="s">
        <v>16</v>
      </c>
      <c r="AV1" s="8" t="s">
        <v>17</v>
      </c>
      <c r="AW1" s="8" t="s">
        <v>18</v>
      </c>
      <c r="AX1" s="8" t="s">
        <v>16</v>
      </c>
    </row>
    <row r="2" spans="1:50">
      <c r="A2" s="6">
        <v>2000</v>
      </c>
      <c r="B2" s="18">
        <v>66</v>
      </c>
      <c r="C2" s="18">
        <v>66</v>
      </c>
      <c r="D2" s="18">
        <v>65</v>
      </c>
      <c r="E2" s="18">
        <v>68</v>
      </c>
      <c r="F2" s="18">
        <v>66</v>
      </c>
      <c r="G2" s="18">
        <v>66</v>
      </c>
      <c r="H2" s="18">
        <v>66</v>
      </c>
      <c r="I2" s="18">
        <v>66</v>
      </c>
      <c r="J2" s="18">
        <v>68</v>
      </c>
      <c r="K2" s="18">
        <v>66</v>
      </c>
      <c r="L2" s="18">
        <v>65</v>
      </c>
      <c r="M2" s="18">
        <v>65</v>
      </c>
      <c r="N2" s="18">
        <v>62</v>
      </c>
      <c r="O2" s="18">
        <v>58</v>
      </c>
      <c r="P2" s="18">
        <v>55</v>
      </c>
      <c r="Q2" s="18">
        <v>52</v>
      </c>
      <c r="R2" s="18">
        <v>53</v>
      </c>
      <c r="S2" s="18">
        <v>52</v>
      </c>
      <c r="T2" s="18">
        <v>54</v>
      </c>
      <c r="U2" s="18"/>
      <c r="V2" s="18"/>
      <c r="W2" s="18"/>
      <c r="X2" s="18"/>
      <c r="AA2" s="6">
        <f t="shared" ref="AA2:AA25" si="1">D2</f>
        <v>65</v>
      </c>
      <c r="AD2" s="11">
        <v>40</v>
      </c>
      <c r="AE2" s="11">
        <v>40.700000000000003</v>
      </c>
      <c r="AF2" s="11">
        <v>39.5</v>
      </c>
      <c r="AG2" s="11">
        <v>38.700000000000003</v>
      </c>
      <c r="AH2" s="11">
        <v>38</v>
      </c>
      <c r="AI2" s="11">
        <v>38.1</v>
      </c>
      <c r="AJ2" s="11">
        <v>38.1</v>
      </c>
      <c r="AK2" s="18">
        <f>M2</f>
        <v>65</v>
      </c>
      <c r="AL2" s="11">
        <f>AE2-AD2</f>
        <v>0.70000000000000284</v>
      </c>
      <c r="AM2" s="11">
        <f>(L2-G2)</f>
        <v>-1</v>
      </c>
      <c r="AN2" s="11">
        <f>AF2-AE2</f>
        <v>-1.2000000000000028</v>
      </c>
      <c r="AO2" s="11">
        <f>P2-L2</f>
        <v>-10</v>
      </c>
      <c r="AP2" s="11">
        <f>AG2-AF2</f>
        <v>-0.79999999999999716</v>
      </c>
      <c r="AQ2" s="11">
        <f>T2-P2</f>
        <v>-1</v>
      </c>
      <c r="AR2" s="11">
        <f t="shared" ref="AR2:AR24" si="2">AH2-AG2</f>
        <v>-0.70000000000000284</v>
      </c>
      <c r="AS2" s="11">
        <f>T2-T2</f>
        <v>0</v>
      </c>
      <c r="AT2" s="11">
        <f t="shared" ref="AT2:AT24" si="3">AI2-AH2</f>
        <v>0.10000000000000142</v>
      </c>
      <c r="AU2" s="11" t="str">
        <f t="shared" ref="AU2:AU23" si="4">IF(AR2&gt;0,AT2,"")</f>
        <v/>
      </c>
      <c r="AV2" s="11">
        <f>AI2-AF2</f>
        <v>-1.3999999999999986</v>
      </c>
      <c r="AW2" s="11">
        <f>AI2-AG2</f>
        <v>-0.60000000000000142</v>
      </c>
      <c r="AX2" s="11">
        <f t="shared" ref="AX2:AX22" si="5">AI2-AH2</f>
        <v>0.10000000000000142</v>
      </c>
    </row>
    <row r="3" spans="1:50">
      <c r="A3" s="6">
        <v>2001</v>
      </c>
      <c r="B3" s="18">
        <v>61</v>
      </c>
      <c r="C3" s="18">
        <v>56</v>
      </c>
      <c r="D3" s="18">
        <v>55</v>
      </c>
      <c r="E3" s="18">
        <v>58</v>
      </c>
      <c r="F3" s="18">
        <v>60</v>
      </c>
      <c r="G3" s="18">
        <v>60</v>
      </c>
      <c r="H3" s="18">
        <v>61</v>
      </c>
      <c r="I3" s="18">
        <v>57</v>
      </c>
      <c r="J3" s="18">
        <v>55</v>
      </c>
      <c r="K3" s="18">
        <v>60</v>
      </c>
      <c r="L3" s="18">
        <v>57</v>
      </c>
      <c r="M3" s="18">
        <v>54</v>
      </c>
      <c r="N3" s="18">
        <v>52</v>
      </c>
      <c r="O3" s="18">
        <v>52</v>
      </c>
      <c r="P3" s="18">
        <v>52</v>
      </c>
      <c r="Q3" s="18">
        <v>53</v>
      </c>
      <c r="R3" s="18">
        <v>55</v>
      </c>
      <c r="S3" s="18">
        <v>53</v>
      </c>
      <c r="T3" s="18">
        <v>55</v>
      </c>
      <c r="U3" s="18">
        <v>54</v>
      </c>
      <c r="V3" s="18"/>
      <c r="W3" s="18"/>
      <c r="X3" s="18"/>
      <c r="AA3" s="6">
        <f t="shared" si="1"/>
        <v>55</v>
      </c>
      <c r="AD3" s="11">
        <v>39.5</v>
      </c>
      <c r="AE3" s="11">
        <v>38.700000000000003</v>
      </c>
      <c r="AF3" s="11">
        <v>38.200000000000003</v>
      </c>
      <c r="AG3" s="11">
        <v>39.200000000000003</v>
      </c>
      <c r="AH3" s="11">
        <v>39.4</v>
      </c>
      <c r="AI3" s="11">
        <v>39.6</v>
      </c>
      <c r="AJ3" s="11">
        <v>39.6</v>
      </c>
      <c r="AK3" s="18">
        <f t="shared" ref="AK3:AK27" si="6">M3</f>
        <v>54</v>
      </c>
      <c r="AL3" s="11">
        <f t="shared" ref="AL3:AL21" si="7">AE3-AD3</f>
        <v>-0.79999999999999716</v>
      </c>
      <c r="AM3" s="11">
        <f t="shared" ref="AM3:AM26" si="8">(L3-G3)</f>
        <v>-3</v>
      </c>
      <c r="AN3" s="11">
        <f t="shared" ref="AN3:AN24" si="9">AF3-AE3</f>
        <v>-0.5</v>
      </c>
      <c r="AO3" s="11">
        <f t="shared" ref="AO3:AO21" si="10">P3-L3</f>
        <v>-5</v>
      </c>
      <c r="AP3" s="11">
        <f t="shared" ref="AP3:AP24" si="11">AG3-AF3</f>
        <v>1</v>
      </c>
      <c r="AQ3" s="11">
        <f t="shared" ref="AQ3:AQ24" si="12">T3-P3</f>
        <v>3</v>
      </c>
      <c r="AR3" s="11">
        <f t="shared" si="2"/>
        <v>0.19999999999999574</v>
      </c>
      <c r="AS3" s="11">
        <f>U3-T3</f>
        <v>-1</v>
      </c>
      <c r="AT3" s="11">
        <f t="shared" si="3"/>
        <v>0.20000000000000284</v>
      </c>
      <c r="AU3" s="11">
        <f>IF(AR3&gt;0,AT3,"")</f>
        <v>0.20000000000000284</v>
      </c>
      <c r="AV3" s="11">
        <f t="shared" ref="AV3:AV26" si="13">AI3-AF3</f>
        <v>1.3999999999999986</v>
      </c>
      <c r="AW3" s="11">
        <f t="shared" ref="AW3:AW22" si="14">AI3-AG3</f>
        <v>0.39999999999999858</v>
      </c>
      <c r="AX3" s="11">
        <f t="shared" si="5"/>
        <v>0.20000000000000284</v>
      </c>
    </row>
    <row r="4" spans="1:50">
      <c r="A4" s="6">
        <v>2002</v>
      </c>
      <c r="B4" s="18"/>
      <c r="C4" s="18"/>
      <c r="D4" s="18">
        <v>60</v>
      </c>
      <c r="E4" s="18">
        <v>62</v>
      </c>
      <c r="F4" s="18">
        <v>62</v>
      </c>
      <c r="G4" s="18">
        <v>56</v>
      </c>
      <c r="H4" s="18">
        <v>52</v>
      </c>
      <c r="I4" s="18">
        <v>50</v>
      </c>
      <c r="J4" s="18">
        <v>43</v>
      </c>
      <c r="K4" s="18">
        <v>45</v>
      </c>
      <c r="L4" s="18">
        <v>43</v>
      </c>
      <c r="M4" s="18">
        <v>42</v>
      </c>
      <c r="N4" s="18">
        <v>44</v>
      </c>
      <c r="O4" s="18">
        <v>46</v>
      </c>
      <c r="P4" s="18">
        <v>46</v>
      </c>
      <c r="Q4" s="18">
        <v>45</v>
      </c>
      <c r="R4" s="18">
        <v>44</v>
      </c>
      <c r="S4" s="18">
        <v>44</v>
      </c>
      <c r="T4" s="18">
        <v>43</v>
      </c>
      <c r="U4" s="18">
        <v>45</v>
      </c>
      <c r="V4" s="18"/>
      <c r="W4" s="18"/>
      <c r="X4" s="18"/>
      <c r="AA4" s="6">
        <f>E4</f>
        <v>62</v>
      </c>
      <c r="AD4" s="11">
        <v>39.700000000000003</v>
      </c>
      <c r="AE4" s="11">
        <v>36.5</v>
      </c>
      <c r="AF4" s="11">
        <v>37</v>
      </c>
      <c r="AG4" s="11">
        <v>37</v>
      </c>
      <c r="AH4" s="11">
        <v>37.5</v>
      </c>
      <c r="AI4" s="11">
        <v>38</v>
      </c>
      <c r="AJ4" s="11">
        <v>38</v>
      </c>
      <c r="AK4" s="18">
        <f t="shared" si="6"/>
        <v>42</v>
      </c>
      <c r="AL4" s="11">
        <f t="shared" si="7"/>
        <v>-3.2000000000000028</v>
      </c>
      <c r="AM4" s="11">
        <f t="shared" si="8"/>
        <v>-13</v>
      </c>
      <c r="AN4" s="11">
        <f t="shared" si="9"/>
        <v>0.5</v>
      </c>
      <c r="AO4" s="11">
        <f t="shared" si="10"/>
        <v>3</v>
      </c>
      <c r="AP4" s="11">
        <f t="shared" si="11"/>
        <v>0</v>
      </c>
      <c r="AQ4" s="11">
        <f t="shared" si="12"/>
        <v>-3</v>
      </c>
      <c r="AR4" s="11">
        <f t="shared" si="2"/>
        <v>0.5</v>
      </c>
      <c r="AS4" s="11">
        <f>U4-T4</f>
        <v>2</v>
      </c>
      <c r="AT4" s="11">
        <f t="shared" si="3"/>
        <v>0.5</v>
      </c>
      <c r="AU4" s="11">
        <f t="shared" si="4"/>
        <v>0.5</v>
      </c>
      <c r="AV4" s="11">
        <f t="shared" si="13"/>
        <v>1</v>
      </c>
      <c r="AW4" s="11">
        <f t="shared" si="14"/>
        <v>1</v>
      </c>
      <c r="AX4" s="11">
        <f t="shared" si="5"/>
        <v>0.5</v>
      </c>
    </row>
    <row r="5" spans="1:50">
      <c r="A5" s="6">
        <v>2003</v>
      </c>
      <c r="B5" s="18"/>
      <c r="C5" s="18"/>
      <c r="D5" s="18">
        <v>66</v>
      </c>
      <c r="E5" s="18">
        <v>68</v>
      </c>
      <c r="F5" s="18">
        <v>70</v>
      </c>
      <c r="G5" s="18">
        <v>70</v>
      </c>
      <c r="H5" s="18">
        <v>70</v>
      </c>
      <c r="I5" s="18">
        <v>70</v>
      </c>
      <c r="J5" s="18">
        <v>68</v>
      </c>
      <c r="K5" s="18">
        <v>66</v>
      </c>
      <c r="L5" s="18">
        <v>63</v>
      </c>
      <c r="M5" s="18">
        <v>62</v>
      </c>
      <c r="N5" s="18">
        <v>56</v>
      </c>
      <c r="O5" s="18">
        <v>48</v>
      </c>
      <c r="P5" s="18">
        <v>45</v>
      </c>
      <c r="Q5" s="18">
        <v>43</v>
      </c>
      <c r="R5" s="18">
        <v>41</v>
      </c>
      <c r="S5" s="18">
        <v>40</v>
      </c>
      <c r="T5" s="18">
        <v>39</v>
      </c>
      <c r="U5" s="18">
        <v>38</v>
      </c>
      <c r="V5" s="18">
        <v>38</v>
      </c>
      <c r="W5" s="18"/>
      <c r="X5" s="18"/>
      <c r="AA5" s="6">
        <f>E5</f>
        <v>68</v>
      </c>
      <c r="AD5" s="11">
        <v>39.700000000000003</v>
      </c>
      <c r="AE5" s="11">
        <v>39.4</v>
      </c>
      <c r="AF5" s="11">
        <v>36.4</v>
      </c>
      <c r="AG5" s="11">
        <v>34</v>
      </c>
      <c r="AH5" s="11">
        <v>33.799999999999997</v>
      </c>
      <c r="AI5" s="11">
        <v>33.9</v>
      </c>
      <c r="AJ5" s="11">
        <v>33.9</v>
      </c>
      <c r="AK5" s="18">
        <f t="shared" si="6"/>
        <v>62</v>
      </c>
      <c r="AL5" s="11">
        <f t="shared" si="7"/>
        <v>-0.30000000000000426</v>
      </c>
      <c r="AM5" s="11">
        <f t="shared" si="8"/>
        <v>-7</v>
      </c>
      <c r="AN5" s="11">
        <f t="shared" si="9"/>
        <v>-3</v>
      </c>
      <c r="AO5" s="11">
        <f t="shared" si="10"/>
        <v>-18</v>
      </c>
      <c r="AP5" s="11">
        <f t="shared" si="11"/>
        <v>-2.3999999999999986</v>
      </c>
      <c r="AQ5" s="11">
        <f t="shared" si="12"/>
        <v>-6</v>
      </c>
      <c r="AR5" s="11">
        <f t="shared" si="2"/>
        <v>-0.20000000000000284</v>
      </c>
      <c r="AS5" s="11">
        <f>V5-T5</f>
        <v>-1</v>
      </c>
      <c r="AT5" s="11">
        <f t="shared" si="3"/>
        <v>0.10000000000000142</v>
      </c>
      <c r="AU5" s="11" t="str">
        <f t="shared" si="4"/>
        <v/>
      </c>
      <c r="AV5" s="11">
        <f t="shared" si="13"/>
        <v>-2.5</v>
      </c>
      <c r="AW5" s="11">
        <f t="shared" si="14"/>
        <v>-0.10000000000000142</v>
      </c>
      <c r="AX5" s="11">
        <f t="shared" si="5"/>
        <v>0.10000000000000142</v>
      </c>
    </row>
    <row r="6" spans="1:50">
      <c r="A6" s="6">
        <v>2004</v>
      </c>
      <c r="B6" s="18"/>
      <c r="C6" s="18"/>
      <c r="D6" s="18">
        <v>65</v>
      </c>
      <c r="E6" s="18">
        <v>68</v>
      </c>
      <c r="F6" s="18">
        <v>67</v>
      </c>
      <c r="G6" s="18">
        <v>66</v>
      </c>
      <c r="H6" s="18">
        <v>67</v>
      </c>
      <c r="I6" s="18">
        <v>68</v>
      </c>
      <c r="J6" s="18">
        <v>68</v>
      </c>
      <c r="K6" s="18">
        <v>69</v>
      </c>
      <c r="L6" s="18">
        <v>70</v>
      </c>
      <c r="M6" s="18">
        <v>73</v>
      </c>
      <c r="N6" s="18">
        <v>69</v>
      </c>
      <c r="O6" s="18">
        <v>67</v>
      </c>
      <c r="P6" s="18">
        <v>64</v>
      </c>
      <c r="Q6" s="18">
        <v>62</v>
      </c>
      <c r="R6" s="18">
        <v>63</v>
      </c>
      <c r="S6" s="18">
        <v>64</v>
      </c>
      <c r="T6" s="18">
        <v>66</v>
      </c>
      <c r="U6" s="18">
        <v>66</v>
      </c>
      <c r="V6" s="18">
        <v>66</v>
      </c>
      <c r="W6" s="18"/>
      <c r="X6" s="18"/>
      <c r="AA6" s="6">
        <f>E6</f>
        <v>68</v>
      </c>
      <c r="AD6" s="11">
        <v>39.9</v>
      </c>
      <c r="AE6" s="11">
        <v>39.1</v>
      </c>
      <c r="AF6" s="11">
        <v>38.5</v>
      </c>
      <c r="AG6" s="11">
        <v>42</v>
      </c>
      <c r="AH6" s="11">
        <v>42.6</v>
      </c>
      <c r="AI6" s="11">
        <v>42.2</v>
      </c>
      <c r="AJ6" s="11">
        <v>42.2</v>
      </c>
      <c r="AK6" s="18">
        <f t="shared" si="6"/>
        <v>73</v>
      </c>
      <c r="AL6" s="11">
        <f t="shared" si="7"/>
        <v>-0.79999999999999716</v>
      </c>
      <c r="AM6" s="11">
        <f t="shared" si="8"/>
        <v>4</v>
      </c>
      <c r="AN6" s="11">
        <f t="shared" si="9"/>
        <v>-0.60000000000000142</v>
      </c>
      <c r="AO6" s="11">
        <f t="shared" si="10"/>
        <v>-6</v>
      </c>
      <c r="AP6" s="11">
        <f t="shared" si="11"/>
        <v>3.5</v>
      </c>
      <c r="AQ6" s="11">
        <f t="shared" si="12"/>
        <v>2</v>
      </c>
      <c r="AR6" s="11">
        <f t="shared" si="2"/>
        <v>0.60000000000000142</v>
      </c>
      <c r="AS6" s="11">
        <f>V6-T6</f>
        <v>0</v>
      </c>
      <c r="AT6" s="11">
        <f t="shared" si="3"/>
        <v>-0.39999999999999858</v>
      </c>
      <c r="AU6" s="11">
        <f t="shared" si="4"/>
        <v>-0.39999999999999858</v>
      </c>
      <c r="AV6" s="11">
        <f t="shared" si="13"/>
        <v>3.7000000000000028</v>
      </c>
      <c r="AW6" s="11">
        <f t="shared" si="14"/>
        <v>0.20000000000000284</v>
      </c>
      <c r="AX6" s="11">
        <f t="shared" si="5"/>
        <v>-0.39999999999999858</v>
      </c>
    </row>
    <row r="7" spans="1:50">
      <c r="A7" s="6">
        <v>2005</v>
      </c>
      <c r="B7" s="18"/>
      <c r="C7" s="18">
        <v>62</v>
      </c>
      <c r="D7" s="18">
        <v>64</v>
      </c>
      <c r="E7" s="18">
        <v>63</v>
      </c>
      <c r="F7" s="18">
        <v>59</v>
      </c>
      <c r="G7" s="18">
        <v>58</v>
      </c>
      <c r="H7" s="18">
        <v>54</v>
      </c>
      <c r="I7" s="18">
        <v>53</v>
      </c>
      <c r="J7" s="18">
        <v>54</v>
      </c>
      <c r="K7" s="18">
        <v>54</v>
      </c>
      <c r="L7" s="18">
        <v>51</v>
      </c>
      <c r="M7" s="18">
        <v>51</v>
      </c>
      <c r="N7" s="18">
        <v>52</v>
      </c>
      <c r="O7" s="18">
        <v>53</v>
      </c>
      <c r="P7" s="18">
        <v>54</v>
      </c>
      <c r="Q7" s="18">
        <v>54</v>
      </c>
      <c r="R7" s="18">
        <v>53</v>
      </c>
      <c r="S7" s="18">
        <v>55</v>
      </c>
      <c r="T7" s="18">
        <v>56</v>
      </c>
      <c r="U7" s="18">
        <v>57</v>
      </c>
      <c r="V7" s="18"/>
      <c r="W7" s="18"/>
      <c r="X7" s="18"/>
      <c r="AA7" s="6">
        <f t="shared" si="1"/>
        <v>64</v>
      </c>
      <c r="AD7" s="11">
        <v>39.9</v>
      </c>
      <c r="AE7" s="11">
        <v>38.700000000000003</v>
      </c>
      <c r="AF7" s="11">
        <v>39.6</v>
      </c>
      <c r="AG7" s="11">
        <v>41.6</v>
      </c>
      <c r="AH7" s="11">
        <v>42.7</v>
      </c>
      <c r="AI7" s="11">
        <v>43.1</v>
      </c>
      <c r="AJ7" s="11">
        <v>43.1</v>
      </c>
      <c r="AK7" s="18">
        <f t="shared" si="6"/>
        <v>51</v>
      </c>
      <c r="AL7" s="11">
        <f t="shared" si="7"/>
        <v>-1.1999999999999957</v>
      </c>
      <c r="AM7" s="11">
        <f t="shared" si="8"/>
        <v>-7</v>
      </c>
      <c r="AN7" s="11">
        <f t="shared" si="9"/>
        <v>0.89999999999999858</v>
      </c>
      <c r="AO7" s="11">
        <f t="shared" si="10"/>
        <v>3</v>
      </c>
      <c r="AP7" s="11">
        <f t="shared" si="11"/>
        <v>2</v>
      </c>
      <c r="AQ7" s="11">
        <f t="shared" si="12"/>
        <v>2</v>
      </c>
      <c r="AR7" s="11">
        <f t="shared" si="2"/>
        <v>1.1000000000000014</v>
      </c>
      <c r="AS7" s="11">
        <f>U7-T7</f>
        <v>1</v>
      </c>
      <c r="AT7" s="11">
        <f t="shared" si="3"/>
        <v>0.39999999999999858</v>
      </c>
      <c r="AU7" s="11">
        <f t="shared" si="4"/>
        <v>0.39999999999999858</v>
      </c>
      <c r="AV7" s="11">
        <f t="shared" si="13"/>
        <v>3.5</v>
      </c>
      <c r="AW7" s="11">
        <f t="shared" si="14"/>
        <v>1.5</v>
      </c>
      <c r="AX7" s="11">
        <f t="shared" si="5"/>
        <v>0.39999999999999858</v>
      </c>
    </row>
    <row r="8" spans="1:50">
      <c r="A8" s="6">
        <v>2006</v>
      </c>
      <c r="B8" s="18"/>
      <c r="C8" s="18">
        <v>70</v>
      </c>
      <c r="D8" s="18">
        <v>67</v>
      </c>
      <c r="E8" s="18">
        <v>67</v>
      </c>
      <c r="F8" s="18">
        <v>67</v>
      </c>
      <c r="G8" s="18">
        <v>64</v>
      </c>
      <c r="H8" s="18">
        <v>58</v>
      </c>
      <c r="I8" s="18">
        <v>57</v>
      </c>
      <c r="J8" s="18">
        <v>54</v>
      </c>
      <c r="K8" s="18">
        <v>53</v>
      </c>
      <c r="L8" s="18">
        <v>53</v>
      </c>
      <c r="M8" s="18">
        <v>56</v>
      </c>
      <c r="N8" s="18">
        <v>58</v>
      </c>
      <c r="O8" s="18">
        <v>59</v>
      </c>
      <c r="P8" s="18">
        <v>59</v>
      </c>
      <c r="Q8" s="18">
        <v>60</v>
      </c>
      <c r="R8" s="18">
        <v>61</v>
      </c>
      <c r="S8" s="18">
        <v>62</v>
      </c>
      <c r="T8" s="18">
        <v>62</v>
      </c>
      <c r="U8" s="18">
        <v>62</v>
      </c>
      <c r="V8" s="18"/>
      <c r="W8" s="18"/>
      <c r="X8" s="18"/>
      <c r="AA8" s="6">
        <f t="shared" si="1"/>
        <v>67</v>
      </c>
      <c r="AD8" s="11">
        <v>40.700000000000003</v>
      </c>
      <c r="AE8" s="11">
        <v>39.6</v>
      </c>
      <c r="AF8" s="11">
        <v>41.8</v>
      </c>
      <c r="AG8" s="11">
        <v>42.8</v>
      </c>
      <c r="AH8" s="11">
        <v>43</v>
      </c>
      <c r="AI8" s="11">
        <v>42.9</v>
      </c>
      <c r="AJ8" s="11">
        <v>42.9</v>
      </c>
      <c r="AK8" s="18">
        <f t="shared" si="6"/>
        <v>56</v>
      </c>
      <c r="AL8" s="11">
        <f t="shared" si="7"/>
        <v>-1.1000000000000014</v>
      </c>
      <c r="AM8" s="11">
        <f t="shared" si="8"/>
        <v>-11</v>
      </c>
      <c r="AN8" s="11">
        <f t="shared" si="9"/>
        <v>2.1999999999999957</v>
      </c>
      <c r="AO8" s="11">
        <f t="shared" si="10"/>
        <v>6</v>
      </c>
      <c r="AP8" s="11">
        <f t="shared" si="11"/>
        <v>1</v>
      </c>
      <c r="AQ8" s="11">
        <f t="shared" si="12"/>
        <v>3</v>
      </c>
      <c r="AR8" s="11">
        <f t="shared" si="2"/>
        <v>0.20000000000000284</v>
      </c>
      <c r="AS8" s="11">
        <f>U8-T8</f>
        <v>0</v>
      </c>
      <c r="AT8" s="11">
        <f t="shared" si="3"/>
        <v>-0.10000000000000142</v>
      </c>
      <c r="AU8" s="11">
        <f t="shared" si="4"/>
        <v>-0.10000000000000142</v>
      </c>
      <c r="AV8" s="11">
        <f t="shared" si="13"/>
        <v>1.1000000000000014</v>
      </c>
      <c r="AW8" s="11">
        <f t="shared" si="14"/>
        <v>0.10000000000000142</v>
      </c>
      <c r="AX8" s="11">
        <f t="shared" si="5"/>
        <v>-0.10000000000000142</v>
      </c>
    </row>
    <row r="9" spans="1:50">
      <c r="A9" s="6">
        <v>2007</v>
      </c>
      <c r="B9" s="18"/>
      <c r="C9" s="18">
        <v>71</v>
      </c>
      <c r="D9" s="18">
        <v>70</v>
      </c>
      <c r="E9" s="18">
        <v>65</v>
      </c>
      <c r="F9" s="18">
        <v>66</v>
      </c>
      <c r="G9" s="18">
        <v>68</v>
      </c>
      <c r="H9" s="18">
        <v>65</v>
      </c>
      <c r="I9" s="18">
        <v>62</v>
      </c>
      <c r="J9" s="18">
        <v>61</v>
      </c>
      <c r="K9" s="18">
        <v>58</v>
      </c>
      <c r="L9" s="18">
        <v>56</v>
      </c>
      <c r="M9" s="18">
        <v>56</v>
      </c>
      <c r="N9" s="18">
        <v>54</v>
      </c>
      <c r="O9" s="18">
        <v>55</v>
      </c>
      <c r="P9" s="18">
        <v>56</v>
      </c>
      <c r="Q9" s="18">
        <v>56</v>
      </c>
      <c r="R9" s="18">
        <v>56</v>
      </c>
      <c r="S9" s="18">
        <v>58</v>
      </c>
      <c r="T9" s="18">
        <v>57</v>
      </c>
      <c r="U9" s="18">
        <v>58</v>
      </c>
      <c r="V9" s="18"/>
      <c r="W9" s="18"/>
      <c r="X9" s="18"/>
      <c r="AA9" s="6">
        <f t="shared" si="1"/>
        <v>70</v>
      </c>
      <c r="AD9" s="11">
        <v>41.5</v>
      </c>
      <c r="AE9" s="11">
        <v>41.5</v>
      </c>
      <c r="AF9" s="11">
        <v>41.4</v>
      </c>
      <c r="AG9" s="11">
        <v>41.4</v>
      </c>
      <c r="AH9" s="11">
        <v>41.3</v>
      </c>
      <c r="AI9" s="11">
        <v>41.7</v>
      </c>
      <c r="AJ9" s="11">
        <v>41.7</v>
      </c>
      <c r="AK9" s="18">
        <f t="shared" si="6"/>
        <v>56</v>
      </c>
      <c r="AL9" s="11">
        <f t="shared" si="7"/>
        <v>0</v>
      </c>
      <c r="AM9" s="11">
        <f t="shared" si="8"/>
        <v>-12</v>
      </c>
      <c r="AN9" s="11">
        <f t="shared" si="9"/>
        <v>-0.10000000000000142</v>
      </c>
      <c r="AO9" s="11">
        <f t="shared" si="10"/>
        <v>0</v>
      </c>
      <c r="AP9" s="11">
        <f t="shared" si="11"/>
        <v>0</v>
      </c>
      <c r="AQ9" s="11">
        <f t="shared" si="12"/>
        <v>1</v>
      </c>
      <c r="AR9" s="11">
        <f t="shared" si="2"/>
        <v>-0.10000000000000142</v>
      </c>
      <c r="AS9" s="11">
        <f>U9-T9</f>
        <v>1</v>
      </c>
      <c r="AT9" s="11">
        <f t="shared" si="3"/>
        <v>0.40000000000000568</v>
      </c>
      <c r="AU9" s="11" t="str">
        <f t="shared" si="4"/>
        <v/>
      </c>
      <c r="AV9" s="11">
        <f t="shared" si="13"/>
        <v>0.30000000000000426</v>
      </c>
      <c r="AW9" s="11">
        <f t="shared" si="14"/>
        <v>0.30000000000000426</v>
      </c>
      <c r="AX9" s="11">
        <f t="shared" si="5"/>
        <v>0.40000000000000568</v>
      </c>
    </row>
    <row r="10" spans="1:50">
      <c r="A10" s="6">
        <v>2008</v>
      </c>
      <c r="B10" s="18"/>
      <c r="C10" s="18"/>
      <c r="D10" s="18">
        <v>57</v>
      </c>
      <c r="E10" s="18">
        <v>56</v>
      </c>
      <c r="F10" s="18">
        <v>57</v>
      </c>
      <c r="G10" s="18">
        <v>58</v>
      </c>
      <c r="H10" s="18">
        <v>59</v>
      </c>
      <c r="I10" s="18">
        <v>59</v>
      </c>
      <c r="J10" s="18">
        <v>61</v>
      </c>
      <c r="K10" s="18">
        <v>62</v>
      </c>
      <c r="L10" s="18">
        <v>63</v>
      </c>
      <c r="M10" s="18">
        <v>63</v>
      </c>
      <c r="N10" s="18">
        <v>62</v>
      </c>
      <c r="O10" s="18">
        <v>61</v>
      </c>
      <c r="P10" s="18">
        <v>57</v>
      </c>
      <c r="Q10" s="18">
        <v>57</v>
      </c>
      <c r="R10" s="18">
        <v>57</v>
      </c>
      <c r="S10" s="18">
        <v>57</v>
      </c>
      <c r="T10" s="18">
        <v>57</v>
      </c>
      <c r="U10" s="18">
        <v>57</v>
      </c>
      <c r="V10" s="18">
        <v>57</v>
      </c>
      <c r="W10" s="18">
        <v>57</v>
      </c>
      <c r="X10" s="18"/>
      <c r="AA10" s="6">
        <f>E10</f>
        <v>56</v>
      </c>
      <c r="AD10" s="11">
        <v>41.6</v>
      </c>
      <c r="AE10" s="11">
        <v>40.5</v>
      </c>
      <c r="AF10" s="11">
        <v>40</v>
      </c>
      <c r="AG10" s="11">
        <v>39.5</v>
      </c>
      <c r="AH10" s="11">
        <v>39.299999999999997</v>
      </c>
      <c r="AI10" s="11">
        <v>39.700000000000003</v>
      </c>
      <c r="AJ10" s="11">
        <v>39.700000000000003</v>
      </c>
      <c r="AK10" s="18">
        <f t="shared" si="6"/>
        <v>63</v>
      </c>
      <c r="AL10" s="11">
        <f t="shared" si="7"/>
        <v>-1.1000000000000014</v>
      </c>
      <c r="AM10" s="11">
        <f t="shared" si="8"/>
        <v>5</v>
      </c>
      <c r="AN10" s="11">
        <f t="shared" si="9"/>
        <v>-0.5</v>
      </c>
      <c r="AO10" s="11">
        <f t="shared" si="10"/>
        <v>-6</v>
      </c>
      <c r="AP10" s="11">
        <f t="shared" si="11"/>
        <v>-0.5</v>
      </c>
      <c r="AQ10" s="11">
        <f t="shared" si="12"/>
        <v>0</v>
      </c>
      <c r="AR10" s="11">
        <f t="shared" si="2"/>
        <v>-0.20000000000000284</v>
      </c>
      <c r="AS10" s="11">
        <f>W10-T10</f>
        <v>0</v>
      </c>
      <c r="AT10" s="11">
        <f t="shared" si="3"/>
        <v>0.40000000000000568</v>
      </c>
      <c r="AU10" s="11" t="str">
        <f t="shared" si="4"/>
        <v/>
      </c>
      <c r="AV10" s="11">
        <f t="shared" si="13"/>
        <v>-0.29999999999999716</v>
      </c>
      <c r="AW10" s="11">
        <f t="shared" si="14"/>
        <v>0.20000000000000284</v>
      </c>
      <c r="AX10" s="11">
        <f t="shared" si="5"/>
        <v>0.40000000000000568</v>
      </c>
    </row>
    <row r="11" spans="1:50">
      <c r="A11" s="6">
        <v>2009</v>
      </c>
      <c r="B11" s="18"/>
      <c r="C11" s="18"/>
      <c r="D11" s="18"/>
      <c r="E11" s="18">
        <v>66</v>
      </c>
      <c r="F11" s="18">
        <v>67</v>
      </c>
      <c r="G11" s="18">
        <v>68</v>
      </c>
      <c r="H11" s="18">
        <v>66</v>
      </c>
      <c r="I11" s="18">
        <v>66</v>
      </c>
      <c r="J11" s="18">
        <v>67</v>
      </c>
      <c r="K11" s="18">
        <v>67</v>
      </c>
      <c r="L11" s="18">
        <v>67</v>
      </c>
      <c r="M11" s="18">
        <v>66</v>
      </c>
      <c r="N11" s="18">
        <v>66</v>
      </c>
      <c r="O11" s="18">
        <v>69</v>
      </c>
      <c r="P11" s="18">
        <v>69</v>
      </c>
      <c r="Q11" s="18">
        <v>68</v>
      </c>
      <c r="R11" s="18">
        <v>68</v>
      </c>
      <c r="S11" s="18">
        <v>67</v>
      </c>
      <c r="T11" s="18">
        <v>66</v>
      </c>
      <c r="U11" s="18">
        <v>67</v>
      </c>
      <c r="V11" s="18">
        <v>65</v>
      </c>
      <c r="W11" s="18">
        <v>65</v>
      </c>
      <c r="X11" s="18">
        <v>65</v>
      </c>
      <c r="Y11" s="6">
        <v>63</v>
      </c>
      <c r="AA11" s="6">
        <f>F11</f>
        <v>67</v>
      </c>
      <c r="AD11" s="11">
        <v>42.6</v>
      </c>
      <c r="AE11" s="11">
        <v>41.7</v>
      </c>
      <c r="AF11" s="11">
        <v>42.3</v>
      </c>
      <c r="AG11" s="11">
        <v>42.4</v>
      </c>
      <c r="AH11" s="11">
        <v>43.3</v>
      </c>
      <c r="AI11" s="11">
        <v>44</v>
      </c>
      <c r="AJ11" s="11">
        <v>44</v>
      </c>
      <c r="AK11" s="18">
        <f t="shared" si="6"/>
        <v>66</v>
      </c>
      <c r="AL11" s="11">
        <f t="shared" si="7"/>
        <v>-0.89999999999999858</v>
      </c>
      <c r="AM11" s="11">
        <f t="shared" si="8"/>
        <v>-1</v>
      </c>
      <c r="AN11" s="11">
        <f t="shared" si="9"/>
        <v>0.59999999999999432</v>
      </c>
      <c r="AO11" s="11">
        <f t="shared" si="10"/>
        <v>2</v>
      </c>
      <c r="AP11" s="11">
        <f t="shared" si="11"/>
        <v>0.10000000000000142</v>
      </c>
      <c r="AQ11" s="11">
        <f t="shared" si="12"/>
        <v>-3</v>
      </c>
      <c r="AR11" s="11">
        <f t="shared" si="2"/>
        <v>0.89999999999999858</v>
      </c>
      <c r="AS11" s="11">
        <f>Y11-T11</f>
        <v>-3</v>
      </c>
      <c r="AT11" s="11">
        <f t="shared" si="3"/>
        <v>0.70000000000000284</v>
      </c>
      <c r="AU11" s="11">
        <f t="shared" si="4"/>
        <v>0.70000000000000284</v>
      </c>
      <c r="AV11" s="11">
        <f t="shared" si="13"/>
        <v>1.7000000000000028</v>
      </c>
      <c r="AW11" s="11">
        <f t="shared" si="14"/>
        <v>1.6000000000000014</v>
      </c>
      <c r="AX11" s="11">
        <f t="shared" si="5"/>
        <v>0.70000000000000284</v>
      </c>
    </row>
    <row r="12" spans="1:50">
      <c r="A12" s="6">
        <v>2010</v>
      </c>
      <c r="B12" s="18"/>
      <c r="C12" s="18">
        <v>75</v>
      </c>
      <c r="D12" s="18">
        <v>73</v>
      </c>
      <c r="E12" s="18">
        <v>69</v>
      </c>
      <c r="F12" s="18">
        <v>67</v>
      </c>
      <c r="G12" s="18">
        <v>66</v>
      </c>
      <c r="H12" s="18">
        <v>65</v>
      </c>
      <c r="I12" s="18">
        <v>67</v>
      </c>
      <c r="J12" s="18">
        <v>67</v>
      </c>
      <c r="K12" s="18">
        <v>66</v>
      </c>
      <c r="L12" s="18">
        <v>66</v>
      </c>
      <c r="M12" s="18">
        <v>66</v>
      </c>
      <c r="N12" s="18">
        <v>64</v>
      </c>
      <c r="O12" s="18">
        <v>64</v>
      </c>
      <c r="P12" s="18">
        <v>64</v>
      </c>
      <c r="Q12" s="18">
        <v>63</v>
      </c>
      <c r="R12" s="18">
        <v>63</v>
      </c>
      <c r="S12" s="18">
        <v>63</v>
      </c>
      <c r="T12" s="18">
        <v>64</v>
      </c>
      <c r="U12" s="18">
        <v>64</v>
      </c>
      <c r="V12" s="18"/>
      <c r="W12" s="18"/>
      <c r="X12" s="18"/>
      <c r="AA12" s="6">
        <f t="shared" si="1"/>
        <v>73</v>
      </c>
      <c r="AD12" s="11">
        <v>42.9</v>
      </c>
      <c r="AE12" s="11">
        <v>44</v>
      </c>
      <c r="AF12" s="11">
        <v>44.7</v>
      </c>
      <c r="AG12" s="11">
        <v>44.4</v>
      </c>
      <c r="AH12" s="11">
        <v>43.9</v>
      </c>
      <c r="AI12" s="11">
        <v>43.5</v>
      </c>
      <c r="AJ12" s="11">
        <v>43.5</v>
      </c>
      <c r="AK12" s="18">
        <f t="shared" si="6"/>
        <v>66</v>
      </c>
      <c r="AL12" s="11">
        <f t="shared" si="7"/>
        <v>1.1000000000000014</v>
      </c>
      <c r="AM12" s="11">
        <f t="shared" si="8"/>
        <v>0</v>
      </c>
      <c r="AN12" s="11">
        <f t="shared" si="9"/>
        <v>0.70000000000000284</v>
      </c>
      <c r="AO12" s="11">
        <f t="shared" si="10"/>
        <v>-2</v>
      </c>
      <c r="AP12" s="11">
        <f t="shared" si="11"/>
        <v>-0.30000000000000426</v>
      </c>
      <c r="AQ12" s="11">
        <f t="shared" si="12"/>
        <v>0</v>
      </c>
      <c r="AR12" s="11">
        <f t="shared" si="2"/>
        <v>-0.5</v>
      </c>
      <c r="AS12" s="11">
        <f>U12-T12</f>
        <v>0</v>
      </c>
      <c r="AT12" s="11">
        <f t="shared" si="3"/>
        <v>-0.39999999999999858</v>
      </c>
      <c r="AU12" s="11" t="str">
        <f t="shared" si="4"/>
        <v/>
      </c>
      <c r="AV12" s="11">
        <f t="shared" si="13"/>
        <v>-1.2000000000000028</v>
      </c>
      <c r="AW12" s="11">
        <f t="shared" si="14"/>
        <v>-0.89999999999999858</v>
      </c>
      <c r="AX12" s="11">
        <f t="shared" si="5"/>
        <v>-0.39999999999999858</v>
      </c>
    </row>
    <row r="13" spans="1:50">
      <c r="A13" s="6">
        <v>2011</v>
      </c>
      <c r="B13" s="18"/>
      <c r="C13" s="18"/>
      <c r="D13" s="18">
        <v>67</v>
      </c>
      <c r="E13" s="18">
        <v>68</v>
      </c>
      <c r="F13" s="18">
        <v>65</v>
      </c>
      <c r="G13" s="18">
        <v>66</v>
      </c>
      <c r="H13" s="18">
        <v>66</v>
      </c>
      <c r="I13" s="18">
        <v>64</v>
      </c>
      <c r="J13" s="18">
        <v>62</v>
      </c>
      <c r="K13" s="18">
        <v>60</v>
      </c>
      <c r="L13" s="18">
        <v>61</v>
      </c>
      <c r="M13" s="18">
        <v>61</v>
      </c>
      <c r="N13" s="18">
        <v>59</v>
      </c>
      <c r="O13" s="18">
        <v>57</v>
      </c>
      <c r="P13" s="18">
        <v>56</v>
      </c>
      <c r="Q13" s="18">
        <v>56</v>
      </c>
      <c r="R13" s="18">
        <v>53</v>
      </c>
      <c r="S13" s="18">
        <v>53</v>
      </c>
      <c r="T13" s="18">
        <v>54</v>
      </c>
      <c r="U13" s="18">
        <v>56</v>
      </c>
      <c r="V13" s="18"/>
      <c r="W13" s="18"/>
      <c r="X13" s="18"/>
      <c r="AA13" s="6">
        <f>E13</f>
        <v>68</v>
      </c>
      <c r="AD13" s="11">
        <v>43.4</v>
      </c>
      <c r="AE13" s="11">
        <v>41.4</v>
      </c>
      <c r="AF13" s="11">
        <v>41.8</v>
      </c>
      <c r="AG13" s="11">
        <v>41.5</v>
      </c>
      <c r="AH13" s="11">
        <v>41.3</v>
      </c>
      <c r="AI13" s="11">
        <v>42</v>
      </c>
      <c r="AJ13" s="11">
        <v>42</v>
      </c>
      <c r="AK13" s="18">
        <f t="shared" si="6"/>
        <v>61</v>
      </c>
      <c r="AL13" s="11">
        <f t="shared" si="7"/>
        <v>-2</v>
      </c>
      <c r="AM13" s="11">
        <f t="shared" si="8"/>
        <v>-5</v>
      </c>
      <c r="AN13" s="11">
        <f t="shared" si="9"/>
        <v>0.39999999999999858</v>
      </c>
      <c r="AO13" s="11">
        <f t="shared" si="10"/>
        <v>-5</v>
      </c>
      <c r="AP13" s="11">
        <f t="shared" si="11"/>
        <v>-0.29999999999999716</v>
      </c>
      <c r="AQ13" s="11">
        <f t="shared" si="12"/>
        <v>-2</v>
      </c>
      <c r="AR13" s="11">
        <f t="shared" si="2"/>
        <v>-0.20000000000000284</v>
      </c>
      <c r="AS13" s="11">
        <f>U13-T13</f>
        <v>2</v>
      </c>
      <c r="AT13" s="11">
        <f t="shared" si="3"/>
        <v>0.70000000000000284</v>
      </c>
      <c r="AU13" s="11" t="str">
        <f t="shared" si="4"/>
        <v/>
      </c>
      <c r="AV13" s="11">
        <f t="shared" si="13"/>
        <v>0.20000000000000284</v>
      </c>
      <c r="AW13" s="11">
        <f t="shared" si="14"/>
        <v>0.5</v>
      </c>
      <c r="AX13" s="11">
        <f t="shared" si="5"/>
        <v>0.70000000000000284</v>
      </c>
    </row>
    <row r="14" spans="1:50">
      <c r="A14" s="6">
        <v>2012</v>
      </c>
      <c r="B14" s="18"/>
      <c r="C14" s="18">
        <v>65</v>
      </c>
      <c r="D14" s="18">
        <v>60</v>
      </c>
      <c r="E14" s="18">
        <v>56</v>
      </c>
      <c r="F14" s="18">
        <v>53</v>
      </c>
      <c r="G14" s="18">
        <v>45</v>
      </c>
      <c r="H14" s="18">
        <v>40</v>
      </c>
      <c r="I14" s="18">
        <v>34</v>
      </c>
      <c r="J14" s="18">
        <v>31</v>
      </c>
      <c r="K14" s="18">
        <v>29</v>
      </c>
      <c r="L14" s="18">
        <v>29</v>
      </c>
      <c r="M14" s="18">
        <v>30</v>
      </c>
      <c r="N14" s="18">
        <v>31</v>
      </c>
      <c r="O14" s="18">
        <v>30</v>
      </c>
      <c r="P14" s="18">
        <v>30</v>
      </c>
      <c r="Q14" s="18">
        <v>32</v>
      </c>
      <c r="R14" s="18">
        <v>33</v>
      </c>
      <c r="S14" s="18">
        <v>35</v>
      </c>
      <c r="T14" s="18">
        <v>35</v>
      </c>
      <c r="U14" s="18">
        <v>37</v>
      </c>
      <c r="V14" s="18"/>
      <c r="W14" s="18"/>
      <c r="X14" s="18"/>
      <c r="AA14" s="6">
        <f t="shared" si="1"/>
        <v>60</v>
      </c>
      <c r="AD14" s="11">
        <v>40.5</v>
      </c>
      <c r="AE14" s="11">
        <v>36.1</v>
      </c>
      <c r="AF14" s="11">
        <v>35.299999999999997</v>
      </c>
      <c r="AG14" s="11">
        <v>37.799999999999997</v>
      </c>
      <c r="AH14" s="11">
        <v>39.299999999999997</v>
      </c>
      <c r="AI14" s="11">
        <v>40</v>
      </c>
      <c r="AJ14" s="11">
        <v>40</v>
      </c>
      <c r="AK14" s="18">
        <f t="shared" si="6"/>
        <v>30</v>
      </c>
      <c r="AL14" s="11">
        <f t="shared" si="7"/>
        <v>-4.3999999999999986</v>
      </c>
      <c r="AM14" s="11">
        <f t="shared" si="8"/>
        <v>-16</v>
      </c>
      <c r="AN14" s="11">
        <f t="shared" si="9"/>
        <v>-0.80000000000000426</v>
      </c>
      <c r="AO14" s="11">
        <f t="shared" si="10"/>
        <v>1</v>
      </c>
      <c r="AP14" s="11">
        <f t="shared" si="11"/>
        <v>2.5</v>
      </c>
      <c r="AQ14" s="11">
        <f t="shared" si="12"/>
        <v>5</v>
      </c>
      <c r="AR14" s="11">
        <f t="shared" si="2"/>
        <v>1.5</v>
      </c>
      <c r="AS14" s="11">
        <f>U14-T14</f>
        <v>2</v>
      </c>
      <c r="AT14" s="11">
        <f t="shared" si="3"/>
        <v>0.70000000000000284</v>
      </c>
      <c r="AU14" s="11">
        <f t="shared" si="4"/>
        <v>0.70000000000000284</v>
      </c>
      <c r="AV14" s="11">
        <f t="shared" si="13"/>
        <v>4.7000000000000028</v>
      </c>
      <c r="AW14" s="11">
        <f t="shared" si="14"/>
        <v>2.2000000000000028</v>
      </c>
      <c r="AX14" s="11">
        <f t="shared" si="5"/>
        <v>0.70000000000000284</v>
      </c>
    </row>
    <row r="15" spans="1:50">
      <c r="A15" s="6">
        <v>2013</v>
      </c>
      <c r="B15" s="18"/>
      <c r="C15" s="18"/>
      <c r="D15" s="18"/>
      <c r="E15" s="18"/>
      <c r="F15" s="18">
        <v>64</v>
      </c>
      <c r="G15" s="18">
        <v>65</v>
      </c>
      <c r="H15" s="18">
        <v>67</v>
      </c>
      <c r="I15" s="18">
        <v>67</v>
      </c>
      <c r="J15" s="18">
        <v>65</v>
      </c>
      <c r="K15" s="18">
        <v>64</v>
      </c>
      <c r="L15" s="18">
        <v>63</v>
      </c>
      <c r="M15" s="18">
        <v>64</v>
      </c>
      <c r="N15" s="18">
        <v>64</v>
      </c>
      <c r="O15" s="18">
        <v>62</v>
      </c>
      <c r="P15" s="18">
        <v>58</v>
      </c>
      <c r="Q15" s="18">
        <v>54</v>
      </c>
      <c r="R15" s="18">
        <v>52</v>
      </c>
      <c r="S15" s="18">
        <v>50</v>
      </c>
      <c r="T15" s="18">
        <v>50</v>
      </c>
      <c r="U15" s="23">
        <v>53</v>
      </c>
      <c r="V15" s="22">
        <f>($X15-$U15)/3+U15</f>
        <v>54.333333333333336</v>
      </c>
      <c r="W15" s="22">
        <f>($X15-$U15)/3+V15</f>
        <v>55.666666666666671</v>
      </c>
      <c r="X15" s="18">
        <v>57</v>
      </c>
      <c r="AA15" s="6">
        <f>F15</f>
        <v>64</v>
      </c>
      <c r="AD15" s="11">
        <v>44.5</v>
      </c>
      <c r="AE15" s="11">
        <v>42.6</v>
      </c>
      <c r="AF15" s="11">
        <v>41.2</v>
      </c>
      <c r="AG15" s="24">
        <v>43</v>
      </c>
      <c r="AH15" s="11">
        <v>43</v>
      </c>
      <c r="AI15" s="11">
        <v>44</v>
      </c>
      <c r="AJ15" s="11">
        <v>44</v>
      </c>
      <c r="AK15" s="18">
        <f t="shared" si="6"/>
        <v>64</v>
      </c>
      <c r="AL15" s="11">
        <f t="shared" si="7"/>
        <v>-1.8999999999999986</v>
      </c>
      <c r="AM15" s="11">
        <f t="shared" si="8"/>
        <v>-2</v>
      </c>
      <c r="AN15" s="11">
        <f t="shared" si="9"/>
        <v>-1.3999999999999986</v>
      </c>
      <c r="AO15" s="11">
        <f t="shared" si="10"/>
        <v>-5</v>
      </c>
      <c r="AP15" s="11">
        <f t="shared" si="11"/>
        <v>1.7999999999999972</v>
      </c>
      <c r="AQ15" s="11">
        <f t="shared" si="12"/>
        <v>-8</v>
      </c>
      <c r="AR15" s="11">
        <f t="shared" si="2"/>
        <v>0</v>
      </c>
      <c r="AS15" s="11">
        <f>X15-T15</f>
        <v>7</v>
      </c>
      <c r="AT15" s="11">
        <f t="shared" si="3"/>
        <v>1</v>
      </c>
      <c r="AU15" s="11" t="str">
        <f t="shared" si="4"/>
        <v/>
      </c>
      <c r="AV15" s="11">
        <f t="shared" si="13"/>
        <v>2.7999999999999972</v>
      </c>
      <c r="AW15" s="11">
        <f t="shared" si="14"/>
        <v>1</v>
      </c>
      <c r="AX15" s="11">
        <f t="shared" si="5"/>
        <v>1</v>
      </c>
    </row>
    <row r="16" spans="1:50">
      <c r="A16" s="6">
        <v>2014</v>
      </c>
      <c r="B16" s="18"/>
      <c r="C16" s="18"/>
      <c r="D16" s="18">
        <v>74</v>
      </c>
      <c r="E16" s="18">
        <v>73</v>
      </c>
      <c r="F16" s="18">
        <v>72</v>
      </c>
      <c r="G16" s="18">
        <v>72</v>
      </c>
      <c r="H16" s="18">
        <v>72</v>
      </c>
      <c r="I16" s="18">
        <v>72</v>
      </c>
      <c r="J16" s="18">
        <v>73</v>
      </c>
      <c r="K16" s="18">
        <v>71</v>
      </c>
      <c r="L16" s="18">
        <v>71</v>
      </c>
      <c r="M16" s="18">
        <v>70</v>
      </c>
      <c r="N16" s="18">
        <v>71</v>
      </c>
      <c r="O16" s="18">
        <v>70</v>
      </c>
      <c r="P16" s="18">
        <v>72</v>
      </c>
      <c r="Q16" s="18">
        <v>72</v>
      </c>
      <c r="R16" s="18">
        <v>72</v>
      </c>
      <c r="S16" s="18">
        <v>71</v>
      </c>
      <c r="T16" s="18">
        <v>72</v>
      </c>
      <c r="U16" s="18">
        <v>73</v>
      </c>
      <c r="V16" s="18">
        <v>73</v>
      </c>
      <c r="W16" s="18">
        <v>73</v>
      </c>
      <c r="X16" s="18"/>
      <c r="AA16" s="6">
        <f>E16</f>
        <v>73</v>
      </c>
      <c r="AD16" s="11">
        <v>45.2</v>
      </c>
      <c r="AE16" s="11">
        <v>45.4</v>
      </c>
      <c r="AF16" s="11">
        <v>46.6</v>
      </c>
      <c r="AG16" s="11">
        <v>47.1</v>
      </c>
      <c r="AH16" s="11">
        <v>47.5</v>
      </c>
      <c r="AI16" s="11">
        <v>47.5</v>
      </c>
      <c r="AJ16" s="11">
        <v>47.5</v>
      </c>
      <c r="AK16" s="18">
        <f t="shared" si="6"/>
        <v>70</v>
      </c>
      <c r="AL16" s="11">
        <f t="shared" si="7"/>
        <v>0.19999999999999574</v>
      </c>
      <c r="AM16" s="11">
        <f t="shared" si="8"/>
        <v>-1</v>
      </c>
      <c r="AN16" s="11">
        <f t="shared" si="9"/>
        <v>1.2000000000000028</v>
      </c>
      <c r="AO16" s="11">
        <f t="shared" si="10"/>
        <v>1</v>
      </c>
      <c r="AP16" s="11">
        <f t="shared" si="11"/>
        <v>0.5</v>
      </c>
      <c r="AQ16" s="11">
        <f t="shared" si="12"/>
        <v>0</v>
      </c>
      <c r="AR16" s="11">
        <f t="shared" si="2"/>
        <v>0.39999999999999858</v>
      </c>
      <c r="AS16" s="11">
        <f>W16-T16</f>
        <v>1</v>
      </c>
      <c r="AT16" s="11">
        <f t="shared" si="3"/>
        <v>0</v>
      </c>
      <c r="AU16" s="11">
        <f t="shared" si="4"/>
        <v>0</v>
      </c>
      <c r="AV16" s="11">
        <f t="shared" si="13"/>
        <v>0.89999999999999858</v>
      </c>
      <c r="AW16" s="11">
        <f t="shared" si="14"/>
        <v>0.39999999999999858</v>
      </c>
      <c r="AX16" s="11">
        <f t="shared" si="5"/>
        <v>0</v>
      </c>
    </row>
    <row r="17" spans="1:50">
      <c r="A17" s="6">
        <v>2015</v>
      </c>
      <c r="B17" s="18"/>
      <c r="C17" s="18"/>
      <c r="D17" s="18">
        <v>69</v>
      </c>
      <c r="E17" s="18">
        <v>67</v>
      </c>
      <c r="F17" s="18">
        <v>65</v>
      </c>
      <c r="G17" s="18">
        <v>63</v>
      </c>
      <c r="H17" s="18">
        <v>63</v>
      </c>
      <c r="I17" s="18">
        <v>62</v>
      </c>
      <c r="J17" s="18">
        <v>62</v>
      </c>
      <c r="K17" s="18">
        <v>62</v>
      </c>
      <c r="L17" s="18">
        <v>63</v>
      </c>
      <c r="M17" s="18">
        <v>63</v>
      </c>
      <c r="N17" s="18">
        <v>63</v>
      </c>
      <c r="O17" s="18">
        <v>63</v>
      </c>
      <c r="P17" s="18">
        <v>63</v>
      </c>
      <c r="Q17" s="18">
        <v>63</v>
      </c>
      <c r="R17" s="18">
        <v>61</v>
      </c>
      <c r="S17" s="18">
        <v>63</v>
      </c>
      <c r="T17" s="18">
        <v>62</v>
      </c>
      <c r="U17" s="18">
        <v>64</v>
      </c>
      <c r="V17" s="18">
        <v>64</v>
      </c>
      <c r="W17" s="18"/>
      <c r="X17" s="18"/>
      <c r="AA17" s="6">
        <f>E17</f>
        <v>67</v>
      </c>
      <c r="AD17" s="11">
        <v>46</v>
      </c>
      <c r="AE17" s="11">
        <v>46.9</v>
      </c>
      <c r="AF17" s="11">
        <v>47.1</v>
      </c>
      <c r="AG17" s="11">
        <v>47.2</v>
      </c>
      <c r="AH17" s="11">
        <v>48.3</v>
      </c>
      <c r="AI17" s="11">
        <v>48</v>
      </c>
      <c r="AJ17" s="11">
        <v>48</v>
      </c>
      <c r="AK17" s="18">
        <f t="shared" si="6"/>
        <v>63</v>
      </c>
      <c r="AL17" s="11">
        <f t="shared" si="7"/>
        <v>0.89999999999999858</v>
      </c>
      <c r="AM17" s="11">
        <f t="shared" si="8"/>
        <v>0</v>
      </c>
      <c r="AN17" s="11">
        <f t="shared" si="9"/>
        <v>0.20000000000000284</v>
      </c>
      <c r="AO17" s="11">
        <f t="shared" si="10"/>
        <v>0</v>
      </c>
      <c r="AP17" s="11">
        <f t="shared" si="11"/>
        <v>0.10000000000000142</v>
      </c>
      <c r="AQ17" s="11">
        <f t="shared" si="12"/>
        <v>-1</v>
      </c>
      <c r="AR17" s="11">
        <f t="shared" si="2"/>
        <v>1.0999999999999943</v>
      </c>
      <c r="AS17" s="11">
        <f>V17-T17</f>
        <v>2</v>
      </c>
      <c r="AT17" s="11">
        <f t="shared" si="3"/>
        <v>-0.29999999999999716</v>
      </c>
      <c r="AU17" s="11">
        <f t="shared" si="4"/>
        <v>-0.29999999999999716</v>
      </c>
      <c r="AV17" s="11">
        <f t="shared" si="13"/>
        <v>0.89999999999999858</v>
      </c>
      <c r="AW17" s="11">
        <f t="shared" si="14"/>
        <v>0.79999999999999716</v>
      </c>
      <c r="AX17" s="11">
        <f t="shared" si="5"/>
        <v>-0.29999999999999716</v>
      </c>
    </row>
    <row r="18" spans="1:50">
      <c r="A18" s="6">
        <v>2016</v>
      </c>
      <c r="B18" s="18"/>
      <c r="C18" s="18">
        <v>72</v>
      </c>
      <c r="D18" s="18">
        <v>74</v>
      </c>
      <c r="E18" s="18">
        <v>73</v>
      </c>
      <c r="F18" s="18">
        <v>72</v>
      </c>
      <c r="G18" s="18">
        <v>70</v>
      </c>
      <c r="H18" s="18">
        <v>71</v>
      </c>
      <c r="I18" s="18">
        <v>71</v>
      </c>
      <c r="J18" s="18">
        <v>71</v>
      </c>
      <c r="K18" s="18">
        <v>72</v>
      </c>
      <c r="L18" s="18">
        <v>72</v>
      </c>
      <c r="M18" s="18">
        <v>72</v>
      </c>
      <c r="N18" s="18">
        <v>72</v>
      </c>
      <c r="O18" s="18">
        <v>73</v>
      </c>
      <c r="P18" s="18">
        <v>73</v>
      </c>
      <c r="Q18" s="18">
        <v>73</v>
      </c>
      <c r="R18" s="18">
        <v>73</v>
      </c>
      <c r="S18" s="18">
        <v>73</v>
      </c>
      <c r="T18" s="18">
        <v>74</v>
      </c>
      <c r="U18" s="18">
        <v>74</v>
      </c>
      <c r="V18" s="18">
        <v>74</v>
      </c>
      <c r="W18" s="18"/>
      <c r="X18" s="18"/>
      <c r="AA18" s="6">
        <f t="shared" si="1"/>
        <v>74</v>
      </c>
      <c r="AD18" s="11">
        <v>46.7</v>
      </c>
      <c r="AE18" s="11">
        <v>48.9</v>
      </c>
      <c r="AF18" s="11">
        <v>50.6</v>
      </c>
      <c r="AG18" s="11">
        <v>51.4</v>
      </c>
      <c r="AH18" s="11">
        <v>52.5</v>
      </c>
      <c r="AI18" s="11">
        <v>51.9</v>
      </c>
      <c r="AJ18" s="11">
        <v>51.9</v>
      </c>
      <c r="AK18" s="18">
        <f t="shared" si="6"/>
        <v>72</v>
      </c>
      <c r="AL18" s="11">
        <f t="shared" si="7"/>
        <v>2.1999999999999957</v>
      </c>
      <c r="AM18" s="11">
        <f t="shared" si="8"/>
        <v>2</v>
      </c>
      <c r="AN18" s="11">
        <f t="shared" si="9"/>
        <v>1.7000000000000028</v>
      </c>
      <c r="AO18" s="11">
        <f t="shared" si="10"/>
        <v>1</v>
      </c>
      <c r="AP18" s="11">
        <f t="shared" si="11"/>
        <v>0.79999999999999716</v>
      </c>
      <c r="AQ18" s="11">
        <f t="shared" si="12"/>
        <v>1</v>
      </c>
      <c r="AR18" s="11">
        <f t="shared" si="2"/>
        <v>1.1000000000000014</v>
      </c>
      <c r="AS18" s="11">
        <f>V18-T18</f>
        <v>0</v>
      </c>
      <c r="AT18" s="11">
        <f t="shared" si="3"/>
        <v>-0.60000000000000142</v>
      </c>
      <c r="AU18" s="11">
        <f t="shared" si="4"/>
        <v>-0.60000000000000142</v>
      </c>
      <c r="AV18" s="11">
        <f t="shared" si="13"/>
        <v>1.2999999999999972</v>
      </c>
      <c r="AW18" s="11">
        <f t="shared" si="14"/>
        <v>0.5</v>
      </c>
      <c r="AX18" s="11">
        <f t="shared" si="5"/>
        <v>-0.60000000000000142</v>
      </c>
    </row>
    <row r="19" spans="1:50">
      <c r="A19" s="6">
        <v>2017</v>
      </c>
      <c r="B19" s="18"/>
      <c r="C19" s="18"/>
      <c r="D19" s="18">
        <v>66</v>
      </c>
      <c r="E19" s="18">
        <v>67</v>
      </c>
      <c r="F19" s="18">
        <v>66</v>
      </c>
      <c r="G19" s="18">
        <v>64</v>
      </c>
      <c r="H19" s="18">
        <v>62</v>
      </c>
      <c r="I19" s="18">
        <v>61</v>
      </c>
      <c r="J19" s="18">
        <v>57</v>
      </c>
      <c r="K19" s="18">
        <v>59</v>
      </c>
      <c r="L19" s="18">
        <v>60</v>
      </c>
      <c r="M19" s="18">
        <v>59</v>
      </c>
      <c r="N19" s="18">
        <v>60</v>
      </c>
      <c r="O19" s="18">
        <v>61</v>
      </c>
      <c r="P19" s="18">
        <v>61</v>
      </c>
      <c r="Q19" s="18">
        <v>60</v>
      </c>
      <c r="R19" s="18">
        <v>59</v>
      </c>
      <c r="S19" s="18">
        <v>60</v>
      </c>
      <c r="T19" s="18">
        <v>60</v>
      </c>
      <c r="U19" s="18">
        <v>61</v>
      </c>
      <c r="V19" s="18">
        <v>61</v>
      </c>
      <c r="W19" s="18"/>
      <c r="X19" s="18"/>
      <c r="AA19" s="6">
        <f>E19</f>
        <v>67</v>
      </c>
      <c r="AD19" s="11">
        <v>48</v>
      </c>
      <c r="AE19" s="11">
        <v>49.4</v>
      </c>
      <c r="AF19" s="11">
        <v>49.9</v>
      </c>
      <c r="AG19" s="11">
        <v>49.5</v>
      </c>
      <c r="AH19" s="11">
        <v>49.5</v>
      </c>
      <c r="AI19" s="11">
        <v>49.3</v>
      </c>
      <c r="AJ19" s="11">
        <v>49.3</v>
      </c>
      <c r="AK19" s="18">
        <f t="shared" si="6"/>
        <v>59</v>
      </c>
      <c r="AL19" s="11">
        <f t="shared" si="7"/>
        <v>1.3999999999999986</v>
      </c>
      <c r="AM19" s="11">
        <f t="shared" si="8"/>
        <v>-4</v>
      </c>
      <c r="AN19" s="11">
        <f t="shared" si="9"/>
        <v>0.5</v>
      </c>
      <c r="AO19" s="11">
        <f t="shared" si="10"/>
        <v>1</v>
      </c>
      <c r="AP19" s="11">
        <f t="shared" si="11"/>
        <v>-0.39999999999999858</v>
      </c>
      <c r="AQ19" s="11">
        <f t="shared" si="12"/>
        <v>-1</v>
      </c>
      <c r="AR19" s="11">
        <f t="shared" si="2"/>
        <v>0</v>
      </c>
      <c r="AS19" s="11">
        <f>V19-T19</f>
        <v>1</v>
      </c>
      <c r="AT19" s="11">
        <f t="shared" si="3"/>
        <v>-0.20000000000000284</v>
      </c>
      <c r="AU19" s="11" t="str">
        <f t="shared" si="4"/>
        <v/>
      </c>
      <c r="AV19" s="11">
        <f t="shared" si="13"/>
        <v>-0.60000000000000142</v>
      </c>
      <c r="AW19" s="11">
        <f t="shared" si="14"/>
        <v>-0.20000000000000284</v>
      </c>
      <c r="AX19" s="11">
        <f t="shared" si="5"/>
        <v>-0.20000000000000284</v>
      </c>
    </row>
    <row r="20" spans="1:50">
      <c r="A20" s="6">
        <v>2018</v>
      </c>
      <c r="B20" s="18"/>
      <c r="C20" s="18">
        <v>75</v>
      </c>
      <c r="D20" s="18">
        <v>74</v>
      </c>
      <c r="E20" s="18">
        <v>73</v>
      </c>
      <c r="F20" s="18">
        <v>73</v>
      </c>
      <c r="G20" s="18">
        <v>71</v>
      </c>
      <c r="H20" s="18">
        <v>71</v>
      </c>
      <c r="I20" s="18">
        <v>69</v>
      </c>
      <c r="J20" s="18">
        <v>70</v>
      </c>
      <c r="K20" s="18">
        <v>70</v>
      </c>
      <c r="L20" s="18">
        <v>67</v>
      </c>
      <c r="M20" s="18">
        <v>66</v>
      </c>
      <c r="N20" s="18">
        <v>65</v>
      </c>
      <c r="O20" s="18">
        <v>66</v>
      </c>
      <c r="P20" s="18">
        <v>66</v>
      </c>
      <c r="Q20" s="18">
        <v>68</v>
      </c>
      <c r="R20" s="18">
        <v>67</v>
      </c>
      <c r="S20" s="18">
        <v>68</v>
      </c>
      <c r="T20" s="18">
        <v>68</v>
      </c>
      <c r="U20" s="18">
        <v>68</v>
      </c>
      <c r="V20" s="18">
        <v>66</v>
      </c>
      <c r="W20" s="18">
        <v>66</v>
      </c>
      <c r="X20" s="18"/>
      <c r="AA20" s="6">
        <f t="shared" si="1"/>
        <v>74</v>
      </c>
      <c r="AD20" s="11">
        <v>48.5</v>
      </c>
      <c r="AE20" s="11">
        <v>51.6</v>
      </c>
      <c r="AF20" s="11">
        <v>52.8</v>
      </c>
      <c r="AG20" s="11">
        <v>53.1</v>
      </c>
      <c r="AH20" s="11">
        <v>52.1</v>
      </c>
      <c r="AI20" s="11">
        <v>50.6</v>
      </c>
      <c r="AJ20" s="11">
        <v>50.6</v>
      </c>
      <c r="AK20" s="18">
        <f t="shared" si="6"/>
        <v>66</v>
      </c>
      <c r="AL20" s="11">
        <f t="shared" si="7"/>
        <v>3.1000000000000014</v>
      </c>
      <c r="AM20" s="11">
        <f t="shared" si="8"/>
        <v>-4</v>
      </c>
      <c r="AN20" s="11">
        <f t="shared" si="9"/>
        <v>1.1999999999999957</v>
      </c>
      <c r="AO20" s="11">
        <f t="shared" si="10"/>
        <v>-1</v>
      </c>
      <c r="AP20" s="11">
        <f t="shared" si="11"/>
        <v>0.30000000000000426</v>
      </c>
      <c r="AQ20" s="11">
        <f t="shared" si="12"/>
        <v>2</v>
      </c>
      <c r="AR20" s="11">
        <f t="shared" si="2"/>
        <v>-1</v>
      </c>
      <c r="AS20" s="11">
        <f>W20-T20</f>
        <v>-2</v>
      </c>
      <c r="AT20" s="11">
        <f t="shared" si="3"/>
        <v>-1.5</v>
      </c>
      <c r="AU20" s="11" t="str">
        <f t="shared" si="4"/>
        <v/>
      </c>
      <c r="AV20" s="11">
        <f t="shared" si="13"/>
        <v>-2.1999999999999957</v>
      </c>
      <c r="AW20" s="11">
        <f t="shared" si="14"/>
        <v>-2.5</v>
      </c>
      <c r="AX20" s="11">
        <f t="shared" si="5"/>
        <v>-1.5</v>
      </c>
    </row>
    <row r="21" spans="1:50">
      <c r="A21" s="6">
        <v>2019</v>
      </c>
      <c r="B21" s="18"/>
      <c r="C21" s="18"/>
      <c r="D21" s="18"/>
      <c r="E21" s="18"/>
      <c r="F21" s="18">
        <v>54</v>
      </c>
      <c r="G21" s="18">
        <v>54</v>
      </c>
      <c r="H21" s="18">
        <v>53</v>
      </c>
      <c r="I21" s="18">
        <v>54</v>
      </c>
      <c r="J21" s="18">
        <v>54</v>
      </c>
      <c r="K21" s="18">
        <v>54</v>
      </c>
      <c r="L21" s="18">
        <v>54</v>
      </c>
      <c r="M21" s="18">
        <v>54</v>
      </c>
      <c r="N21" s="18">
        <v>53</v>
      </c>
      <c r="O21" s="18">
        <v>55</v>
      </c>
      <c r="P21" s="18">
        <v>55</v>
      </c>
      <c r="Q21" s="18">
        <v>55</v>
      </c>
      <c r="R21" s="18">
        <v>54</v>
      </c>
      <c r="S21" s="18">
        <v>54</v>
      </c>
      <c r="T21" s="18">
        <v>55</v>
      </c>
      <c r="U21" s="18">
        <v>53</v>
      </c>
      <c r="V21" s="18">
        <v>54</v>
      </c>
      <c r="W21" s="18">
        <v>54</v>
      </c>
      <c r="X21" s="18"/>
      <c r="AA21" s="6">
        <f>G21</f>
        <v>54</v>
      </c>
      <c r="AD21" s="11">
        <v>48.5</v>
      </c>
      <c r="AE21" s="11">
        <v>48.5</v>
      </c>
      <c r="AF21" s="11">
        <v>47.9</v>
      </c>
      <c r="AG21" s="11">
        <v>46.9</v>
      </c>
      <c r="AH21" s="11">
        <v>46.9</v>
      </c>
      <c r="AI21" s="11">
        <v>47.4</v>
      </c>
      <c r="AJ21" s="11">
        <v>47.4</v>
      </c>
      <c r="AK21" s="18">
        <f t="shared" si="6"/>
        <v>54</v>
      </c>
      <c r="AL21" s="11">
        <f t="shared" si="7"/>
        <v>0</v>
      </c>
      <c r="AM21" s="11">
        <f t="shared" si="8"/>
        <v>0</v>
      </c>
      <c r="AN21" s="11">
        <f t="shared" si="9"/>
        <v>-0.60000000000000142</v>
      </c>
      <c r="AO21" s="11">
        <f t="shared" si="10"/>
        <v>1</v>
      </c>
      <c r="AP21" s="11">
        <f t="shared" si="11"/>
        <v>-1</v>
      </c>
      <c r="AQ21" s="11">
        <f t="shared" si="12"/>
        <v>0</v>
      </c>
      <c r="AR21" s="11">
        <f t="shared" si="2"/>
        <v>0</v>
      </c>
      <c r="AS21" s="11">
        <f>W21-T21</f>
        <v>-1</v>
      </c>
      <c r="AT21" s="11">
        <f t="shared" si="3"/>
        <v>0.5</v>
      </c>
      <c r="AU21" s="11" t="str">
        <f t="shared" si="4"/>
        <v/>
      </c>
      <c r="AV21" s="11">
        <f t="shared" si="13"/>
        <v>-0.5</v>
      </c>
      <c r="AW21" s="11">
        <f t="shared" si="14"/>
        <v>0.5</v>
      </c>
      <c r="AX21" s="11">
        <f t="shared" si="5"/>
        <v>0.5</v>
      </c>
    </row>
    <row r="22" spans="1:50">
      <c r="A22" s="6">
        <v>2020</v>
      </c>
      <c r="B22" s="18"/>
      <c r="C22" s="18">
        <v>70</v>
      </c>
      <c r="D22" s="18">
        <v>72</v>
      </c>
      <c r="E22" s="18">
        <v>72</v>
      </c>
      <c r="F22" s="18">
        <v>70</v>
      </c>
      <c r="G22" s="18">
        <v>71</v>
      </c>
      <c r="H22" s="18">
        <v>71</v>
      </c>
      <c r="I22" s="18">
        <v>68</v>
      </c>
      <c r="J22" s="18">
        <v>69</v>
      </c>
      <c r="K22" s="18">
        <v>72</v>
      </c>
      <c r="L22" s="18">
        <v>73</v>
      </c>
      <c r="M22" s="18">
        <v>74</v>
      </c>
      <c r="N22" s="18">
        <v>72</v>
      </c>
      <c r="O22" s="18">
        <v>69</v>
      </c>
      <c r="P22" s="18">
        <v>66</v>
      </c>
      <c r="Q22" s="18">
        <v>65</v>
      </c>
      <c r="R22" s="18">
        <v>63</v>
      </c>
      <c r="S22" s="18">
        <v>63</v>
      </c>
      <c r="T22" s="18">
        <v>64</v>
      </c>
      <c r="U22" s="18">
        <v>64</v>
      </c>
      <c r="V22" s="18">
        <v>63</v>
      </c>
      <c r="W22" s="18"/>
      <c r="X22" s="18"/>
      <c r="AA22" s="6">
        <f t="shared" si="1"/>
        <v>72</v>
      </c>
      <c r="AD22" s="11">
        <v>49.8</v>
      </c>
      <c r="AE22" s="11">
        <v>53.3</v>
      </c>
      <c r="AF22" s="11">
        <v>51.9</v>
      </c>
      <c r="AG22" s="11">
        <v>51.9</v>
      </c>
      <c r="AH22" s="11">
        <v>50.7</v>
      </c>
      <c r="AI22" s="11">
        <v>50.2</v>
      </c>
      <c r="AJ22" s="11">
        <v>51</v>
      </c>
      <c r="AK22" s="18">
        <f t="shared" si="6"/>
        <v>74</v>
      </c>
      <c r="AL22" s="11">
        <f t="shared" ref="AL22:AL27" si="15">AE22-AD22</f>
        <v>3.5</v>
      </c>
      <c r="AM22" s="11">
        <f t="shared" si="8"/>
        <v>2</v>
      </c>
      <c r="AN22" s="11">
        <f t="shared" si="9"/>
        <v>-1.3999999999999986</v>
      </c>
      <c r="AO22" s="11">
        <f>P22-L22</f>
        <v>-7</v>
      </c>
      <c r="AP22" s="11">
        <f t="shared" si="11"/>
        <v>0</v>
      </c>
      <c r="AQ22" s="11">
        <f t="shared" si="12"/>
        <v>-2</v>
      </c>
      <c r="AR22" s="11">
        <f t="shared" si="2"/>
        <v>-1.1999999999999957</v>
      </c>
      <c r="AS22" s="11">
        <f>V22-T22</f>
        <v>-1</v>
      </c>
      <c r="AT22" s="11">
        <f t="shared" si="3"/>
        <v>-0.5</v>
      </c>
      <c r="AU22" s="11" t="str">
        <f t="shared" si="4"/>
        <v/>
      </c>
      <c r="AV22" s="11">
        <f t="shared" si="13"/>
        <v>-1.6999999999999957</v>
      </c>
      <c r="AW22" s="11">
        <f t="shared" si="14"/>
        <v>-1.6999999999999957</v>
      </c>
      <c r="AX22" s="11">
        <f t="shared" si="5"/>
        <v>-0.5</v>
      </c>
    </row>
    <row r="23" spans="1:50">
      <c r="A23" s="6">
        <v>2021</v>
      </c>
      <c r="B23" s="18"/>
      <c r="C23" s="18">
        <v>67</v>
      </c>
      <c r="D23" s="18">
        <v>62</v>
      </c>
      <c r="E23" s="18">
        <v>60</v>
      </c>
      <c r="F23" s="18">
        <v>60</v>
      </c>
      <c r="G23" s="18">
        <v>59</v>
      </c>
      <c r="H23" s="18">
        <v>59</v>
      </c>
      <c r="I23" s="18">
        <v>60</v>
      </c>
      <c r="J23" s="18">
        <v>58</v>
      </c>
      <c r="K23" s="18">
        <v>60</v>
      </c>
      <c r="L23" s="18">
        <v>60</v>
      </c>
      <c r="M23" s="18">
        <v>57</v>
      </c>
      <c r="N23" s="18">
        <v>56</v>
      </c>
      <c r="O23" s="18">
        <v>56</v>
      </c>
      <c r="P23" s="18">
        <v>57</v>
      </c>
      <c r="Q23" s="18">
        <v>57</v>
      </c>
      <c r="R23" s="18">
        <v>58</v>
      </c>
      <c r="S23" s="18">
        <v>58</v>
      </c>
      <c r="T23" s="18">
        <v>58</v>
      </c>
      <c r="U23" s="18">
        <v>59</v>
      </c>
      <c r="V23" s="18"/>
      <c r="W23" s="18"/>
      <c r="X23" s="18"/>
      <c r="AA23" s="6">
        <f t="shared" si="1"/>
        <v>62</v>
      </c>
      <c r="AD23" s="11">
        <v>50.8</v>
      </c>
      <c r="AE23" s="11">
        <v>50</v>
      </c>
      <c r="AF23" s="11">
        <v>50.6</v>
      </c>
      <c r="AG23" s="11">
        <v>51.5</v>
      </c>
      <c r="AH23" s="11">
        <v>51.2</v>
      </c>
      <c r="AI23" s="11">
        <v>51.4</v>
      </c>
      <c r="AJ23" s="11">
        <v>51.7</v>
      </c>
      <c r="AK23" s="18">
        <f t="shared" si="6"/>
        <v>57</v>
      </c>
      <c r="AL23" s="11">
        <f t="shared" si="15"/>
        <v>-0.79999999999999716</v>
      </c>
      <c r="AM23" s="11">
        <f t="shared" si="8"/>
        <v>1</v>
      </c>
      <c r="AN23" s="11">
        <f t="shared" si="9"/>
        <v>0.60000000000000142</v>
      </c>
      <c r="AO23" s="11">
        <f>P23-L23</f>
        <v>-3</v>
      </c>
      <c r="AP23" s="11">
        <f t="shared" si="11"/>
        <v>0.89999999999999858</v>
      </c>
      <c r="AQ23" s="11">
        <f t="shared" si="12"/>
        <v>1</v>
      </c>
      <c r="AR23" s="11">
        <f t="shared" si="2"/>
        <v>-0.29999999999999716</v>
      </c>
      <c r="AS23" s="11">
        <f>U23-T23</f>
        <v>1</v>
      </c>
      <c r="AT23" s="11">
        <f t="shared" si="3"/>
        <v>0.19999999999999574</v>
      </c>
      <c r="AU23" s="11" t="str">
        <f t="shared" si="4"/>
        <v/>
      </c>
      <c r="AV23" s="11">
        <f t="shared" si="13"/>
        <v>0.79999999999999716</v>
      </c>
      <c r="AW23" s="11">
        <f>AI23-AG23</f>
        <v>-0.10000000000000142</v>
      </c>
      <c r="AX23" s="11">
        <f>AI23-AH23</f>
        <v>0.19999999999999574</v>
      </c>
    </row>
    <row r="24" spans="1:50">
      <c r="A24" s="6">
        <v>2022</v>
      </c>
      <c r="B24" s="18"/>
      <c r="C24" s="18"/>
      <c r="D24" s="18">
        <v>70</v>
      </c>
      <c r="E24" s="18">
        <v>68</v>
      </c>
      <c r="F24" s="18">
        <v>65</v>
      </c>
      <c r="G24" s="18">
        <v>63</v>
      </c>
      <c r="H24" s="18">
        <v>62</v>
      </c>
      <c r="I24" s="18">
        <v>61</v>
      </c>
      <c r="J24" s="18">
        <v>59</v>
      </c>
      <c r="K24" s="18">
        <v>60</v>
      </c>
      <c r="L24" s="18">
        <v>59</v>
      </c>
      <c r="M24" s="18">
        <v>58</v>
      </c>
      <c r="N24" s="18">
        <v>57</v>
      </c>
      <c r="O24" s="18">
        <v>57</v>
      </c>
      <c r="P24" s="18">
        <v>57</v>
      </c>
      <c r="Q24" s="18">
        <v>56</v>
      </c>
      <c r="R24" s="18">
        <v>55</v>
      </c>
      <c r="S24" s="18">
        <v>55</v>
      </c>
      <c r="T24" s="18">
        <v>55</v>
      </c>
      <c r="U24" s="18">
        <v>57</v>
      </c>
      <c r="V24" s="18">
        <v>57</v>
      </c>
      <c r="W24" s="18"/>
      <c r="X24" s="18"/>
      <c r="AA24" s="6">
        <f>E24</f>
        <v>68</v>
      </c>
      <c r="AD24" s="11">
        <v>51.5</v>
      </c>
      <c r="AE24" s="11">
        <v>51.9</v>
      </c>
      <c r="AF24" s="11">
        <v>50.5</v>
      </c>
      <c r="AG24" s="11">
        <v>49.8</v>
      </c>
      <c r="AH24" s="11">
        <v>50.2</v>
      </c>
      <c r="AI24" s="11">
        <v>49.5</v>
      </c>
      <c r="AJ24" s="11">
        <v>49.6</v>
      </c>
      <c r="AK24" s="18">
        <f t="shared" si="6"/>
        <v>58</v>
      </c>
      <c r="AL24" s="11">
        <f t="shared" si="15"/>
        <v>0.39999999999999858</v>
      </c>
      <c r="AM24" s="11">
        <f t="shared" si="8"/>
        <v>-4</v>
      </c>
      <c r="AN24" s="11">
        <f t="shared" si="9"/>
        <v>-1.3999999999999986</v>
      </c>
      <c r="AO24" s="11">
        <f>Q24-M24</f>
        <v>-2</v>
      </c>
      <c r="AP24" s="11">
        <f t="shared" si="11"/>
        <v>-0.70000000000000284</v>
      </c>
      <c r="AQ24" s="11">
        <f t="shared" si="12"/>
        <v>-2</v>
      </c>
      <c r="AR24" s="11">
        <f t="shared" si="2"/>
        <v>0.40000000000000568</v>
      </c>
      <c r="AS24" s="11">
        <f>V24-T24</f>
        <v>2</v>
      </c>
      <c r="AT24" s="11">
        <f t="shared" si="3"/>
        <v>-0.70000000000000284</v>
      </c>
      <c r="AU24" s="11">
        <f>IF(AR24&gt;0,AT24,"")</f>
        <v>-0.70000000000000284</v>
      </c>
      <c r="AV24" s="11">
        <f t="shared" si="13"/>
        <v>-1</v>
      </c>
      <c r="AW24" s="11">
        <f>AI24-AG24</f>
        <v>-0.29999999999999716</v>
      </c>
      <c r="AX24" s="11">
        <f>AI24-AH24</f>
        <v>-0.70000000000000284</v>
      </c>
    </row>
    <row r="25" spans="1:50">
      <c r="A25" s="6">
        <v>2023</v>
      </c>
      <c r="B25" s="18"/>
      <c r="C25" s="18">
        <v>62</v>
      </c>
      <c r="D25" s="18">
        <v>59</v>
      </c>
      <c r="E25" s="18">
        <v>54</v>
      </c>
      <c r="F25" s="18">
        <v>51</v>
      </c>
      <c r="G25" s="18">
        <v>50</v>
      </c>
      <c r="H25" s="18">
        <v>51</v>
      </c>
      <c r="I25" s="18">
        <v>55</v>
      </c>
      <c r="J25" s="18">
        <v>54</v>
      </c>
      <c r="K25" s="18">
        <v>52</v>
      </c>
      <c r="L25" s="18">
        <v>54</v>
      </c>
      <c r="M25" s="18">
        <v>59</v>
      </c>
      <c r="N25" s="18">
        <v>59</v>
      </c>
      <c r="O25" s="18">
        <v>58</v>
      </c>
      <c r="P25" s="18">
        <v>53</v>
      </c>
      <c r="Q25" s="18">
        <v>52</v>
      </c>
      <c r="R25" s="18">
        <v>52</v>
      </c>
      <c r="S25" s="18">
        <v>50</v>
      </c>
      <c r="T25" s="18">
        <v>52</v>
      </c>
      <c r="U25" s="18">
        <v>51</v>
      </c>
      <c r="V25" s="18">
        <v>52</v>
      </c>
      <c r="W25" s="18"/>
      <c r="X25" s="18"/>
      <c r="AA25" s="6">
        <f t="shared" si="1"/>
        <v>59</v>
      </c>
      <c r="AD25" s="11">
        <v>52</v>
      </c>
      <c r="AE25" s="11">
        <v>50.9</v>
      </c>
      <c r="AF25" s="11">
        <v>50.1</v>
      </c>
      <c r="AG25" s="11">
        <v>49.6</v>
      </c>
      <c r="AH25" s="11">
        <v>49.9</v>
      </c>
      <c r="AI25" s="11">
        <v>50.6</v>
      </c>
      <c r="AJ25" s="11">
        <v>50.6</v>
      </c>
      <c r="AK25" s="18">
        <f t="shared" si="6"/>
        <v>59</v>
      </c>
      <c r="AL25" s="11">
        <f t="shared" si="15"/>
        <v>-1.1000000000000014</v>
      </c>
      <c r="AM25" s="11">
        <f t="shared" si="8"/>
        <v>4</v>
      </c>
      <c r="AN25" s="11">
        <f>AF25-AE25</f>
        <v>-0.79999999999999716</v>
      </c>
      <c r="AO25" s="11">
        <f>Q25-M25</f>
        <v>-7</v>
      </c>
      <c r="AP25" s="11">
        <f>AG25-AF25</f>
        <v>-0.5</v>
      </c>
      <c r="AQ25" s="11">
        <f>T25-P25</f>
        <v>-1</v>
      </c>
      <c r="AR25" s="11">
        <f>AH25-AG25</f>
        <v>0.29999999999999716</v>
      </c>
      <c r="AS25" s="11">
        <f>V25-T25</f>
        <v>0</v>
      </c>
      <c r="AT25" s="11">
        <f>AI25-AH25</f>
        <v>0.70000000000000284</v>
      </c>
      <c r="AU25" s="11">
        <f>IF(AR25&gt;0,AT25,"")</f>
        <v>0.70000000000000284</v>
      </c>
      <c r="AV25" s="11">
        <f t="shared" si="13"/>
        <v>0.5</v>
      </c>
      <c r="AW25" s="11">
        <f>AI25-AG25</f>
        <v>1</v>
      </c>
      <c r="AX25" s="11">
        <f>AI25-AH25</f>
        <v>0.70000000000000284</v>
      </c>
    </row>
    <row r="26" spans="1:50">
      <c r="A26" s="6">
        <v>2024</v>
      </c>
      <c r="B26" s="18"/>
      <c r="C26" s="18"/>
      <c r="D26" s="18">
        <v>72</v>
      </c>
      <c r="E26" s="18">
        <v>70</v>
      </c>
      <c r="F26" s="18">
        <v>67</v>
      </c>
      <c r="G26" s="18">
        <v>67</v>
      </c>
      <c r="H26" s="18">
        <v>68</v>
      </c>
      <c r="I26" s="18">
        <v>68</v>
      </c>
      <c r="J26" s="18">
        <v>68</v>
      </c>
      <c r="K26" s="18">
        <v>67</v>
      </c>
      <c r="L26" s="18">
        <v>68</v>
      </c>
      <c r="M26" s="18">
        <v>68</v>
      </c>
      <c r="N26" s="18">
        <v>68</v>
      </c>
      <c r="O26" s="18">
        <v>67</v>
      </c>
      <c r="P26" s="18">
        <v>65</v>
      </c>
      <c r="Q26" s="18">
        <v>65</v>
      </c>
      <c r="R26" s="18">
        <v>64</v>
      </c>
      <c r="S26" s="18">
        <v>64</v>
      </c>
      <c r="T26" s="18">
        <v>64</v>
      </c>
      <c r="U26" s="18">
        <v>63</v>
      </c>
      <c r="V26" s="18"/>
      <c r="W26" s="18"/>
      <c r="X26" s="18"/>
      <c r="AA26" s="6">
        <f>D26</f>
        <v>72</v>
      </c>
      <c r="AD26" s="11">
        <v>52</v>
      </c>
      <c r="AE26" s="11">
        <v>53.2</v>
      </c>
      <c r="AF26" s="11">
        <v>53.2</v>
      </c>
      <c r="AG26" s="11">
        <v>53.1</v>
      </c>
      <c r="AH26" s="11">
        <v>51.7</v>
      </c>
      <c r="AI26" s="11">
        <v>50.7</v>
      </c>
      <c r="AJ26" s="11">
        <v>50.7</v>
      </c>
      <c r="AK26" s="18">
        <f t="shared" si="6"/>
        <v>68</v>
      </c>
      <c r="AL26" s="11">
        <f t="shared" si="15"/>
        <v>1.2000000000000028</v>
      </c>
      <c r="AM26" s="11">
        <f t="shared" si="8"/>
        <v>1</v>
      </c>
      <c r="AN26" s="11">
        <f>AF26-AE26</f>
        <v>0</v>
      </c>
      <c r="AO26" s="11">
        <f>Q26-M26</f>
        <v>-3</v>
      </c>
      <c r="AP26" s="11">
        <f>AG26-AF26</f>
        <v>-0.10000000000000142</v>
      </c>
      <c r="AQ26" s="11">
        <f>T26-P26</f>
        <v>-1</v>
      </c>
      <c r="AR26" s="11">
        <f>AH26-AG26</f>
        <v>-1.3999999999999986</v>
      </c>
      <c r="AS26" s="11">
        <f>V26-T26</f>
        <v>-64</v>
      </c>
      <c r="AT26" s="11">
        <f>AI26-AH26</f>
        <v>-1</v>
      </c>
      <c r="AU26" s="11" t="str">
        <f>IF(AR26&gt;0,AT26,"")</f>
        <v/>
      </c>
      <c r="AV26" s="11">
        <f t="shared" si="13"/>
        <v>-2.5</v>
      </c>
      <c r="AW26" s="11">
        <f>AI26-AG26</f>
        <v>-2.3999999999999986</v>
      </c>
      <c r="AX26" s="11">
        <f>AI26-AH26</f>
        <v>-1</v>
      </c>
    </row>
    <row r="27" spans="1:50">
      <c r="A27" s="6">
        <v>2025</v>
      </c>
      <c r="B27" s="18"/>
      <c r="C27" s="18">
        <v>67</v>
      </c>
      <c r="D27" s="18">
        <v>68</v>
      </c>
      <c r="E27" s="18">
        <v>66</v>
      </c>
      <c r="F27" s="18">
        <v>66</v>
      </c>
      <c r="G27" s="18">
        <v>66</v>
      </c>
      <c r="H27" s="18">
        <v>66</v>
      </c>
      <c r="I27" s="18">
        <v>70</v>
      </c>
      <c r="J27" s="18">
        <v>68</v>
      </c>
      <c r="K27" s="18">
        <v>70</v>
      </c>
      <c r="L27" s="18">
        <v>69</v>
      </c>
      <c r="M27" s="18">
        <v>68</v>
      </c>
      <c r="N27" s="18">
        <v>68</v>
      </c>
      <c r="O27" s="18">
        <v>69</v>
      </c>
      <c r="P27" s="18">
        <v>65</v>
      </c>
      <c r="Q27" s="18">
        <v>64</v>
      </c>
      <c r="R27" s="18">
        <v>63</v>
      </c>
      <c r="S27" s="18"/>
      <c r="T27" s="18"/>
      <c r="U27" s="18"/>
      <c r="V27" s="18"/>
      <c r="W27" s="18"/>
      <c r="X27" s="18"/>
      <c r="Y27" s="18"/>
      <c r="AD27" s="11">
        <v>52.5</v>
      </c>
      <c r="AE27" s="11">
        <v>53.6</v>
      </c>
      <c r="AF27" s="11">
        <v>53.5</v>
      </c>
      <c r="AG27" s="21">
        <f>AF27+AP27</f>
        <v>53.480803571428574</v>
      </c>
      <c r="AH27" s="11"/>
      <c r="AI27" s="11"/>
      <c r="AJ27" s="11"/>
      <c r="AK27" s="18">
        <f t="shared" si="6"/>
        <v>68</v>
      </c>
      <c r="AL27" s="11">
        <f t="shared" si="15"/>
        <v>1.1000000000000014</v>
      </c>
      <c r="AM27" s="11">
        <f>(L27-G27)</f>
        <v>3</v>
      </c>
      <c r="AN27" s="21">
        <f>FORECAST(AO27,AN2:AN26,AO2:AO26)</f>
        <v>-0.52801888029369337</v>
      </c>
      <c r="AO27" s="21">
        <f>Q27-L27</f>
        <v>-5</v>
      </c>
      <c r="AP27" s="21">
        <f>FORECAST(AQ27,AP2:AP26,AQ2:AQ26)</f>
        <v>-1.9196428571428448E-2</v>
      </c>
      <c r="AQ27" s="11">
        <f>R27-P27</f>
        <v>-2</v>
      </c>
      <c r="AR27" s="11"/>
      <c r="AS27" s="11"/>
      <c r="AT27" s="11"/>
      <c r="AU27" s="11"/>
      <c r="AV27" s="11"/>
      <c r="AW27" s="11"/>
      <c r="AX27" s="11"/>
    </row>
    <row r="28" spans="1:50">
      <c r="A28" s="6" t="s">
        <v>38</v>
      </c>
      <c r="B28" s="18"/>
      <c r="C28" s="18"/>
      <c r="D28" s="18" t="str">
        <f>IF(D27&gt;D30,"YES","NO")</f>
        <v>NO</v>
      </c>
      <c r="E28" s="18" t="str">
        <f>IF(E27&gt;E30,"YES","NO")</f>
        <v>NO</v>
      </c>
      <c r="F28" s="18" t="str">
        <f t="shared" ref="F28:K28" si="16">IF(F27&gt;F30,"YES","NO")</f>
        <v>NO</v>
      </c>
      <c r="G28" s="18" t="str">
        <f t="shared" si="16"/>
        <v>NO</v>
      </c>
      <c r="H28" s="18" t="str">
        <f t="shared" si="16"/>
        <v>NO</v>
      </c>
      <c r="I28" s="18" t="str">
        <f t="shared" si="16"/>
        <v>YES</v>
      </c>
      <c r="J28" s="18" t="str">
        <f t="shared" si="16"/>
        <v>NO</v>
      </c>
      <c r="K28" s="18" t="str">
        <f t="shared" si="16"/>
        <v>NO</v>
      </c>
      <c r="L28" s="18" t="str">
        <f t="shared" ref="L28" si="17">IF(L27&gt;L30,"YES","NO")</f>
        <v>NO</v>
      </c>
      <c r="M28" s="18" t="str">
        <f t="shared" ref="M28" si="18">IF(M27&gt;M30,"YES","NO")</f>
        <v>NO</v>
      </c>
      <c r="N28" s="18" t="str">
        <f t="shared" ref="N28" si="19">IF(N27&gt;N30,"YES","NO")</f>
        <v>NO</v>
      </c>
      <c r="O28" s="18" t="str">
        <f t="shared" ref="O28" si="20">IF(O27&gt;O30,"YES","NO")</f>
        <v>NO</v>
      </c>
      <c r="P28" s="18" t="str">
        <f t="shared" ref="P28" si="21">IF(P27&gt;P30,"YES","NO")</f>
        <v>NO</v>
      </c>
      <c r="Q28" s="18" t="str">
        <f t="shared" ref="Q28" si="22">IF(Q27&gt;Q30,"YES","NO")</f>
        <v>NO</v>
      </c>
      <c r="R28" s="18" t="str">
        <f t="shared" ref="R28" si="23">IF(R27&gt;R30,"YES","NO")</f>
        <v>NO</v>
      </c>
      <c r="S28" s="18"/>
      <c r="T28" s="18"/>
      <c r="U28" s="18"/>
      <c r="V28" s="18"/>
      <c r="W28" s="18"/>
      <c r="X28" s="18">
        <f>COUNTIF(D28:W28,"NO")</f>
        <v>14</v>
      </c>
      <c r="Y28" s="18"/>
      <c r="AC28" s="20" t="s">
        <v>34</v>
      </c>
      <c r="AD28" s="9"/>
      <c r="AL28" s="11"/>
      <c r="AM28" s="11"/>
      <c r="AN28" s="11"/>
      <c r="AO28" s="11"/>
      <c r="AP28" s="11"/>
      <c r="AQ28" s="11"/>
      <c r="AR28" s="11"/>
      <c r="AS28" s="11"/>
      <c r="AT28" s="11"/>
    </row>
    <row r="29" spans="1:50">
      <c r="A29" s="6" t="s">
        <v>19</v>
      </c>
      <c r="D29" s="13">
        <f>AVERAGE(D22:D26)</f>
        <v>67</v>
      </c>
      <c r="E29" s="13">
        <f t="shared" ref="E29:V29" si="24">AVERAGE(E22:E26)</f>
        <v>64.8</v>
      </c>
      <c r="F29" s="13">
        <f t="shared" si="24"/>
        <v>62.6</v>
      </c>
      <c r="G29" s="13">
        <f t="shared" si="24"/>
        <v>62</v>
      </c>
      <c r="H29" s="13">
        <f t="shared" si="24"/>
        <v>62.2</v>
      </c>
      <c r="I29" s="13">
        <f t="shared" si="24"/>
        <v>62.4</v>
      </c>
      <c r="J29" s="13">
        <f t="shared" si="24"/>
        <v>61.6</v>
      </c>
      <c r="K29" s="13">
        <f t="shared" si="24"/>
        <v>62.2</v>
      </c>
      <c r="L29" s="13">
        <f t="shared" si="24"/>
        <v>62.8</v>
      </c>
      <c r="M29" s="13">
        <f t="shared" si="24"/>
        <v>63.2</v>
      </c>
      <c r="N29" s="13">
        <f t="shared" si="24"/>
        <v>62.4</v>
      </c>
      <c r="O29" s="13">
        <f t="shared" si="24"/>
        <v>61.4</v>
      </c>
      <c r="P29" s="13">
        <f t="shared" si="24"/>
        <v>59.6</v>
      </c>
      <c r="Q29" s="13">
        <f t="shared" si="24"/>
        <v>59</v>
      </c>
      <c r="R29" s="13">
        <f t="shared" si="24"/>
        <v>58.4</v>
      </c>
      <c r="S29" s="13">
        <f t="shared" si="24"/>
        <v>58</v>
      </c>
      <c r="T29" s="13">
        <f t="shared" si="24"/>
        <v>58.6</v>
      </c>
      <c r="U29" s="13">
        <f t="shared" si="24"/>
        <v>58.8</v>
      </c>
      <c r="V29" s="13">
        <f t="shared" si="24"/>
        <v>57.333333333333336</v>
      </c>
      <c r="AC29" s="14" t="s">
        <v>19</v>
      </c>
      <c r="AD29" s="9">
        <f t="shared" ref="AD29:AI29" si="25">AVERAGE(AD22:AD26)</f>
        <v>51.220000000000006</v>
      </c>
      <c r="AE29" s="9">
        <f t="shared" si="25"/>
        <v>51.86</v>
      </c>
      <c r="AF29" s="9">
        <f t="shared" si="25"/>
        <v>51.260000000000005</v>
      </c>
      <c r="AG29" s="9">
        <f t="shared" si="25"/>
        <v>51.179999999999993</v>
      </c>
      <c r="AH29" s="9">
        <f t="shared" si="25"/>
        <v>50.740000000000009</v>
      </c>
      <c r="AI29" s="9">
        <f t="shared" si="25"/>
        <v>50.48</v>
      </c>
      <c r="AJ29" s="9"/>
      <c r="AK29" s="9"/>
      <c r="AL29" s="19">
        <f>AVERAGE(AL22:AL26)</f>
        <v>0.64000000000000057</v>
      </c>
      <c r="AM29" s="11">
        <f t="shared" ref="AM29:AT29" si="26">AVERAGE(AM22:AM26)</f>
        <v>0.8</v>
      </c>
      <c r="AN29" s="19">
        <f>AVERAGE(AN22:AN26)</f>
        <v>-0.59999999999999853</v>
      </c>
      <c r="AO29" s="11">
        <f t="shared" si="26"/>
        <v>-4.4000000000000004</v>
      </c>
      <c r="AP29" s="19">
        <f t="shared" si="26"/>
        <v>-8.000000000000114E-2</v>
      </c>
      <c r="AQ29" s="11">
        <f t="shared" si="26"/>
        <v>-1</v>
      </c>
      <c r="AR29" s="19">
        <f t="shared" si="26"/>
        <v>-0.43999999999999773</v>
      </c>
      <c r="AS29" s="11">
        <f t="shared" si="26"/>
        <v>-12.4</v>
      </c>
      <c r="AT29" s="19">
        <f t="shared" si="26"/>
        <v>-0.26000000000000084</v>
      </c>
      <c r="AV29" s="9">
        <f>AVERAGE(AV21:AV25)</f>
        <v>-0.37999999999999973</v>
      </c>
      <c r="AW29" s="9">
        <f>AVERAGE(AW21:AW25)</f>
        <v>-0.11999999999999886</v>
      </c>
      <c r="AX29" s="9">
        <f>AVERAGE(AX21:AX25)</f>
        <v>3.9999999999999147E-2</v>
      </c>
    </row>
    <row r="30" spans="1:50">
      <c r="A30" s="6" t="s">
        <v>20</v>
      </c>
      <c r="D30" s="13">
        <f>MAX(D22:D26)</f>
        <v>72</v>
      </c>
      <c r="E30" s="13">
        <f t="shared" ref="E30:V30" si="27">MAX(E22:E26)</f>
        <v>72</v>
      </c>
      <c r="F30" s="13">
        <f t="shared" si="27"/>
        <v>70</v>
      </c>
      <c r="G30" s="13">
        <f t="shared" si="27"/>
        <v>71</v>
      </c>
      <c r="H30" s="13">
        <f t="shared" si="27"/>
        <v>71</v>
      </c>
      <c r="I30" s="13">
        <f t="shared" si="27"/>
        <v>68</v>
      </c>
      <c r="J30" s="13">
        <f t="shared" si="27"/>
        <v>69</v>
      </c>
      <c r="K30" s="13">
        <f t="shared" si="27"/>
        <v>72</v>
      </c>
      <c r="L30" s="13">
        <f t="shared" si="27"/>
        <v>73</v>
      </c>
      <c r="M30" s="13">
        <f t="shared" si="27"/>
        <v>74</v>
      </c>
      <c r="N30" s="13">
        <f t="shared" si="27"/>
        <v>72</v>
      </c>
      <c r="O30" s="13">
        <f t="shared" si="27"/>
        <v>69</v>
      </c>
      <c r="P30" s="13">
        <f t="shared" si="27"/>
        <v>66</v>
      </c>
      <c r="Q30" s="13">
        <f t="shared" si="27"/>
        <v>65</v>
      </c>
      <c r="R30" s="13">
        <f t="shared" si="27"/>
        <v>64</v>
      </c>
      <c r="S30" s="13">
        <f t="shared" si="27"/>
        <v>64</v>
      </c>
      <c r="T30" s="13">
        <f t="shared" si="27"/>
        <v>64</v>
      </c>
      <c r="U30" s="13">
        <f t="shared" si="27"/>
        <v>64</v>
      </c>
      <c r="V30" s="13">
        <f t="shared" si="27"/>
        <v>63</v>
      </c>
      <c r="AC30" s="14" t="s">
        <v>21</v>
      </c>
      <c r="AD30" s="9">
        <f t="shared" ref="AD30:AI30" si="28">MAX(AD22:AD26)</f>
        <v>52</v>
      </c>
      <c r="AE30" s="9">
        <f t="shared" si="28"/>
        <v>53.3</v>
      </c>
      <c r="AF30" s="9">
        <f t="shared" si="28"/>
        <v>53.2</v>
      </c>
      <c r="AG30" s="9">
        <f t="shared" si="28"/>
        <v>53.1</v>
      </c>
      <c r="AH30" s="9">
        <f t="shared" si="28"/>
        <v>51.7</v>
      </c>
      <c r="AI30" s="9">
        <f t="shared" si="28"/>
        <v>51.4</v>
      </c>
      <c r="AJ30" s="9"/>
      <c r="AK30" s="9"/>
      <c r="AL30" s="19">
        <f>MAX(AL22:AL26)</f>
        <v>3.5</v>
      </c>
      <c r="AM30" s="11">
        <f t="shared" ref="AM30:AT30" si="29">MAX(AM22:AM26)</f>
        <v>4</v>
      </c>
      <c r="AN30" s="19">
        <f>MAX(AN22:AN26)</f>
        <v>0.60000000000000142</v>
      </c>
      <c r="AO30" s="11">
        <f t="shared" si="29"/>
        <v>-2</v>
      </c>
      <c r="AP30" s="19">
        <f t="shared" si="29"/>
        <v>0.89999999999999858</v>
      </c>
      <c r="AQ30" s="11">
        <f t="shared" si="29"/>
        <v>1</v>
      </c>
      <c r="AR30" s="19">
        <f t="shared" si="29"/>
        <v>0.40000000000000568</v>
      </c>
      <c r="AS30" s="11">
        <f t="shared" si="29"/>
        <v>2</v>
      </c>
      <c r="AT30" s="19">
        <f t="shared" si="29"/>
        <v>0.70000000000000284</v>
      </c>
      <c r="AV30" s="9">
        <f>MAX(AV21:AV25)</f>
        <v>0.79999999999999716</v>
      </c>
      <c r="AW30" s="9">
        <f>MAX(AW21:AW25)</f>
        <v>1</v>
      </c>
      <c r="AX30" s="9">
        <f>MAX(AX21:AX25)</f>
        <v>0.70000000000000284</v>
      </c>
    </row>
    <row r="31" spans="1:50">
      <c r="A31" s="6" t="s">
        <v>22</v>
      </c>
      <c r="D31" s="13">
        <f>MIN(D22:D26)</f>
        <v>59</v>
      </c>
      <c r="E31" s="13">
        <f t="shared" ref="E31:V31" si="30">MIN(E22:E26)</f>
        <v>54</v>
      </c>
      <c r="F31" s="13">
        <f t="shared" si="30"/>
        <v>51</v>
      </c>
      <c r="G31" s="13">
        <f t="shared" si="30"/>
        <v>50</v>
      </c>
      <c r="H31" s="13">
        <f t="shared" si="30"/>
        <v>51</v>
      </c>
      <c r="I31" s="13">
        <f t="shared" si="30"/>
        <v>55</v>
      </c>
      <c r="J31" s="13">
        <f t="shared" si="30"/>
        <v>54</v>
      </c>
      <c r="K31" s="13">
        <f t="shared" si="30"/>
        <v>52</v>
      </c>
      <c r="L31" s="13">
        <f t="shared" si="30"/>
        <v>54</v>
      </c>
      <c r="M31" s="13">
        <f t="shared" si="30"/>
        <v>57</v>
      </c>
      <c r="N31" s="13">
        <f t="shared" si="30"/>
        <v>56</v>
      </c>
      <c r="O31" s="13">
        <f t="shared" si="30"/>
        <v>56</v>
      </c>
      <c r="P31" s="13">
        <f t="shared" si="30"/>
        <v>53</v>
      </c>
      <c r="Q31" s="13">
        <f t="shared" si="30"/>
        <v>52</v>
      </c>
      <c r="R31" s="13">
        <f t="shared" si="30"/>
        <v>52</v>
      </c>
      <c r="S31" s="13">
        <f t="shared" si="30"/>
        <v>50</v>
      </c>
      <c r="T31" s="13">
        <f t="shared" si="30"/>
        <v>52</v>
      </c>
      <c r="U31" s="13">
        <f t="shared" si="30"/>
        <v>51</v>
      </c>
      <c r="V31" s="13">
        <f t="shared" si="30"/>
        <v>52</v>
      </c>
      <c r="AC31" s="14" t="s">
        <v>22</v>
      </c>
      <c r="AD31" s="9">
        <f t="shared" ref="AD31:AI31" si="31">MIN(AD22:AD26)</f>
        <v>49.8</v>
      </c>
      <c r="AE31" s="9">
        <f t="shared" si="31"/>
        <v>50</v>
      </c>
      <c r="AF31" s="9">
        <f t="shared" si="31"/>
        <v>50.1</v>
      </c>
      <c r="AG31" s="9">
        <f t="shared" si="31"/>
        <v>49.6</v>
      </c>
      <c r="AH31" s="9">
        <f t="shared" si="31"/>
        <v>49.9</v>
      </c>
      <c r="AI31" s="9">
        <f t="shared" si="31"/>
        <v>49.5</v>
      </c>
      <c r="AJ31" s="9"/>
      <c r="AK31" s="9"/>
      <c r="AL31" s="19">
        <f>MIN(AL22:AL26)</f>
        <v>-1.1000000000000014</v>
      </c>
      <c r="AM31" s="11">
        <f t="shared" ref="AM31:AT31" si="32">MIN(AM22:AM26)</f>
        <v>-4</v>
      </c>
      <c r="AN31" s="19">
        <f>MIN(AN22:AN26)</f>
        <v>-1.3999999999999986</v>
      </c>
      <c r="AO31" s="11">
        <f t="shared" si="32"/>
        <v>-7</v>
      </c>
      <c r="AP31" s="19">
        <f t="shared" si="32"/>
        <v>-0.70000000000000284</v>
      </c>
      <c r="AQ31" s="11">
        <f t="shared" si="32"/>
        <v>-2</v>
      </c>
      <c r="AR31" s="19">
        <f t="shared" si="32"/>
        <v>-1.3999999999999986</v>
      </c>
      <c r="AS31" s="11">
        <f t="shared" si="32"/>
        <v>-64</v>
      </c>
      <c r="AT31" s="19">
        <f t="shared" si="32"/>
        <v>-1</v>
      </c>
      <c r="AV31" s="9">
        <f>MIN(AV21:AV25)</f>
        <v>-1.6999999999999957</v>
      </c>
      <c r="AW31" s="9">
        <f>MIN(AW21:AW25)</f>
        <v>-1.6999999999999957</v>
      </c>
      <c r="AX31" s="9">
        <f>MIN(AX21:AX25)</f>
        <v>-0.70000000000000284</v>
      </c>
    </row>
    <row r="32" spans="1:50">
      <c r="AK32" s="14" t="s">
        <v>23</v>
      </c>
      <c r="AL32" s="19">
        <f>COUNTIF(AL2:AL26,"&gt;0")</f>
        <v>10</v>
      </c>
      <c r="AM32" s="11">
        <f t="shared" ref="AM32:AT32" si="33">COUNTIF(AM2:AM26,"&gt;0")</f>
        <v>7</v>
      </c>
      <c r="AN32" s="19">
        <f>COUNTIF(AN2:AN26,"&gt;0")</f>
        <v>12</v>
      </c>
      <c r="AO32" s="11">
        <f t="shared" si="33"/>
        <v>9</v>
      </c>
      <c r="AP32" s="19">
        <f t="shared" si="33"/>
        <v>12</v>
      </c>
      <c r="AQ32" s="11">
        <f t="shared" si="33"/>
        <v>9</v>
      </c>
      <c r="AR32" s="19">
        <f t="shared" si="33"/>
        <v>12</v>
      </c>
      <c r="AS32" s="11">
        <f t="shared" si="33"/>
        <v>11</v>
      </c>
      <c r="AT32" s="19">
        <f t="shared" si="33"/>
        <v>14</v>
      </c>
      <c r="AV32" s="9">
        <f>COUNTIF(AV2:AV26,"&gt;0")</f>
        <v>15</v>
      </c>
      <c r="AW32" s="9">
        <f>COUNTIF(AW2:AW26,"&gt;0")</f>
        <v>16</v>
      </c>
      <c r="AX32" s="9">
        <f>COUNTIF(AX2:AX26,"&gt;0")</f>
        <v>14</v>
      </c>
    </row>
    <row r="33" spans="1:61">
      <c r="A33" s="6" t="s">
        <v>39</v>
      </c>
      <c r="D33" s="18">
        <f>AVERAGE(D2:D26)</f>
        <v>66.409090909090907</v>
      </c>
      <c r="E33" s="18">
        <f t="shared" ref="E33:W33" si="34">AVERAGE(E2:E26)</f>
        <v>65.695652173913047</v>
      </c>
      <c r="F33" s="18">
        <f t="shared" si="34"/>
        <v>64.2</v>
      </c>
      <c r="G33" s="18">
        <f t="shared" si="34"/>
        <v>63.2</v>
      </c>
      <c r="H33" s="18">
        <f t="shared" si="34"/>
        <v>62.36</v>
      </c>
      <c r="I33" s="18">
        <f t="shared" si="34"/>
        <v>61.64</v>
      </c>
      <c r="J33" s="18">
        <f t="shared" si="34"/>
        <v>60.76</v>
      </c>
      <c r="K33" s="18">
        <f t="shared" si="34"/>
        <v>60.72</v>
      </c>
      <c r="L33" s="18">
        <f t="shared" si="34"/>
        <v>60.32</v>
      </c>
      <c r="M33" s="18">
        <f t="shared" si="34"/>
        <v>60.36</v>
      </c>
      <c r="N33" s="18">
        <f t="shared" si="34"/>
        <v>59.56</v>
      </c>
      <c r="O33" s="18">
        <f t="shared" si="34"/>
        <v>59.04</v>
      </c>
      <c r="P33" s="18">
        <f t="shared" si="34"/>
        <v>58.12</v>
      </c>
      <c r="Q33" s="18">
        <f t="shared" si="34"/>
        <v>57.64</v>
      </c>
      <c r="R33" s="18">
        <f t="shared" si="34"/>
        <v>57.2</v>
      </c>
      <c r="S33" s="18">
        <f t="shared" si="34"/>
        <v>57.28</v>
      </c>
      <c r="T33" s="18">
        <f t="shared" si="34"/>
        <v>57.68</v>
      </c>
      <c r="U33" s="18"/>
      <c r="V33" s="18"/>
      <c r="W33" s="18"/>
      <c r="AK33" s="14" t="s">
        <v>24</v>
      </c>
      <c r="AL33" s="19">
        <f>COUNTIF(AL2:AL26,"&lt;0")</f>
        <v>13</v>
      </c>
      <c r="AM33" s="11">
        <f t="shared" ref="AM33:AT33" si="35">COUNTIF(AM2:AM26,"&lt;0")</f>
        <v>15</v>
      </c>
      <c r="AN33" s="19">
        <f>COUNTIF(AN2:AN26,"&lt;0")</f>
        <v>12</v>
      </c>
      <c r="AO33" s="11">
        <f t="shared" si="35"/>
        <v>14</v>
      </c>
      <c r="AP33" s="19">
        <f t="shared" si="35"/>
        <v>10</v>
      </c>
      <c r="AQ33" s="11">
        <f t="shared" si="35"/>
        <v>12</v>
      </c>
      <c r="AR33" s="19">
        <f t="shared" si="35"/>
        <v>10</v>
      </c>
      <c r="AS33" s="11">
        <f t="shared" si="35"/>
        <v>7</v>
      </c>
      <c r="AT33" s="19">
        <f t="shared" si="35"/>
        <v>10</v>
      </c>
      <c r="AV33" s="9">
        <f>COUNTIF(AV2:AV26,"&lt;0")</f>
        <v>10</v>
      </c>
      <c r="AW33" s="9">
        <f>COUNTIF(AW2:AW26,"&lt;0")</f>
        <v>9</v>
      </c>
      <c r="AX33" s="9">
        <f>COUNTIF(AX2:AX26,"&lt;0")</f>
        <v>10</v>
      </c>
    </row>
    <row r="34" spans="1:61">
      <c r="A34" s="6" t="s">
        <v>40</v>
      </c>
      <c r="E34" s="11">
        <f>SUM(E2:E26)/COUNT(E2:E26)-SUM(D2:D26)/COUNT(D2:D26)</f>
        <v>-0.71343873517785994</v>
      </c>
      <c r="F34" s="11">
        <f t="shared" ref="F34:N34" si="36">SUM(F2:F26)/COUNT(F2:F26)-SUM(E2:E26)/COUNT(E2:E26)</f>
        <v>-1.4956521739130437</v>
      </c>
      <c r="G34" s="11">
        <f t="shared" si="36"/>
        <v>-1</v>
      </c>
      <c r="H34" s="11">
        <f t="shared" si="36"/>
        <v>-0.84000000000000341</v>
      </c>
      <c r="I34" s="11">
        <f t="shared" si="36"/>
        <v>-0.71999999999999886</v>
      </c>
      <c r="J34" s="11">
        <f t="shared" si="36"/>
        <v>-0.88000000000000256</v>
      </c>
      <c r="K34" s="11">
        <f t="shared" si="36"/>
        <v>-3.9999999999999147E-2</v>
      </c>
      <c r="L34" s="11">
        <f t="shared" si="36"/>
        <v>-0.39999999999999858</v>
      </c>
      <c r="M34" s="11">
        <f t="shared" si="36"/>
        <v>3.9999999999999147E-2</v>
      </c>
      <c r="N34" s="11">
        <f t="shared" si="36"/>
        <v>-0.79999999999999716</v>
      </c>
      <c r="O34" s="11">
        <f t="shared" ref="G34:O34" si="37">SUM(O2:O26)/COUNT(O2:O26)-SUM(N2:N26)/COUNT(N2:N26)</f>
        <v>-0.52000000000000313</v>
      </c>
      <c r="P34" s="11">
        <f t="shared" ref="P34:U34" si="38">SUM(P2:P26)/25-SUM(O2:O26)/25</f>
        <v>-0.92000000000000171</v>
      </c>
      <c r="Q34" s="11">
        <f>SUM(Q2:Q26)/25-SUM(P2:P26)/25</f>
        <v>-0.47999999999999687</v>
      </c>
      <c r="R34" s="11">
        <f>SUM(R2:R26)/25-SUM(Q2:Q26)/25</f>
        <v>-0.43999999999999773</v>
      </c>
      <c r="S34" s="11">
        <f>SUM(S2:S26)/25-SUM(R2:R26)/25</f>
        <v>7.9999999999998295E-2</v>
      </c>
      <c r="T34" s="11">
        <f t="shared" ref="T34:U34" si="39">SUM(T2:T26)/25-SUM(S2:S26)/25</f>
        <v>0.39999999999999858</v>
      </c>
      <c r="U34" s="11"/>
      <c r="V34" s="11"/>
      <c r="AK34" s="14" t="s">
        <v>25</v>
      </c>
      <c r="AL34" s="19">
        <f>AVERAGEIF(AL2:AL26,"&gt;0")</f>
        <v>1.4699999999999995</v>
      </c>
      <c r="AM34" s="11">
        <f t="shared" ref="AM34:AT34" si="40">AVERAGEIF(AM2:AM26,"&gt;0")</f>
        <v>2.7142857142857144</v>
      </c>
      <c r="AN34" s="19">
        <f>AVERAGEIF(AN2:AN26,"&gt;0")</f>
        <v>0.89166666666666627</v>
      </c>
      <c r="AO34" s="11">
        <f t="shared" si="40"/>
        <v>2.1111111111111112</v>
      </c>
      <c r="AP34" s="19">
        <f t="shared" si="40"/>
        <v>1.2083333333333333</v>
      </c>
      <c r="AQ34" s="11">
        <f t="shared" si="40"/>
        <v>2.2222222222222223</v>
      </c>
      <c r="AR34" s="19">
        <f t="shared" si="40"/>
        <v>0.69166666666666643</v>
      </c>
      <c r="AS34" s="11">
        <f t="shared" si="40"/>
        <v>2</v>
      </c>
      <c r="AT34" s="19">
        <f t="shared" si="40"/>
        <v>0.47142857142857303</v>
      </c>
      <c r="AV34" s="9">
        <f>AVERAGEIF(AV2:AV26,"&gt;0")</f>
        <v>1.6533333333333335</v>
      </c>
      <c r="AW34" s="9">
        <f>AVERAGEIF(AW2:AW26,"&gt;0")</f>
        <v>0.76250000000000062</v>
      </c>
      <c r="AX34" s="9">
        <f>AVERAGEIF(AX2:AX26,"&gt;0")</f>
        <v>0.47142857142857303</v>
      </c>
    </row>
    <row r="35" spans="1:61">
      <c r="E35" s="13">
        <f>D33+E34</f>
        <v>65.695652173913047</v>
      </c>
      <c r="F35" s="13">
        <f>E35+F34</f>
        <v>64.2</v>
      </c>
      <c r="G35" s="13">
        <f t="shared" ref="G35:L35" si="41">F35+G34</f>
        <v>63.2</v>
      </c>
      <c r="H35" s="13">
        <f t="shared" si="41"/>
        <v>62.36</v>
      </c>
      <c r="I35" s="13">
        <f t="shared" si="41"/>
        <v>61.64</v>
      </c>
      <c r="J35" s="13">
        <f t="shared" si="41"/>
        <v>60.76</v>
      </c>
      <c r="K35" s="13">
        <f t="shared" si="41"/>
        <v>60.72</v>
      </c>
      <c r="L35" s="13">
        <f t="shared" si="41"/>
        <v>60.32</v>
      </c>
      <c r="M35" s="13">
        <f>L35+M34</f>
        <v>60.36</v>
      </c>
      <c r="N35" s="13">
        <f>M35+N34</f>
        <v>59.56</v>
      </c>
      <c r="O35" s="13">
        <f>N35+O34</f>
        <v>59.04</v>
      </c>
      <c r="P35" s="13">
        <f>O35+P34</f>
        <v>58.12</v>
      </c>
      <c r="Q35" s="13">
        <f>P35+Q34</f>
        <v>57.64</v>
      </c>
      <c r="R35" s="13">
        <f>Q35+R34</f>
        <v>57.2</v>
      </c>
      <c r="S35" s="13">
        <f>R35+S34</f>
        <v>57.28</v>
      </c>
      <c r="T35" s="13">
        <f>S35+T34</f>
        <v>57.68</v>
      </c>
      <c r="U35" s="13"/>
      <c r="AK35" s="14" t="s">
        <v>26</v>
      </c>
      <c r="AL35" s="19">
        <f>AVERAGEIF(AL2:AL26,"&lt;0")</f>
        <v>-1.5076923076923072</v>
      </c>
      <c r="AM35" s="11">
        <f t="shared" ref="AM35:AT35" si="42">AVERAGEIF(AM2:AM26,"&lt;0")</f>
        <v>-6.0666666666666664</v>
      </c>
      <c r="AN35" s="19">
        <f>AVERAGEIF(AN2:AN26,"&lt;0")</f>
        <v>-1.0250000000000004</v>
      </c>
      <c r="AO35" s="11">
        <f t="shared" si="42"/>
        <v>-5.7142857142857144</v>
      </c>
      <c r="AP35" s="19">
        <f t="shared" si="42"/>
        <v>-0.7</v>
      </c>
      <c r="AQ35" s="11">
        <f t="shared" si="42"/>
        <v>-2.5833333333333335</v>
      </c>
      <c r="AR35" s="19">
        <f t="shared" si="42"/>
        <v>-0.5800000000000004</v>
      </c>
      <c r="AS35" s="11">
        <f t="shared" si="42"/>
        <v>-10.428571428571429</v>
      </c>
      <c r="AT35" s="19">
        <f t="shared" si="42"/>
        <v>-0.57000000000000028</v>
      </c>
      <c r="AV35" s="9">
        <f>AVERAGEIF(AV2:AV26,"&lt;0")</f>
        <v>-1.3899999999999992</v>
      </c>
      <c r="AW35" s="9">
        <f>AVERAGEIF(AW2:AW26,"&lt;0")</f>
        <v>-0.97777777777777741</v>
      </c>
      <c r="AX35" s="9">
        <f>AVERAGEIF(AX2:AX26,"&lt;0")</f>
        <v>-0.57000000000000028</v>
      </c>
    </row>
    <row r="36" spans="1:61">
      <c r="A36" s="6">
        <f t="shared" ref="A36:A48" si="43">A15</f>
        <v>2013</v>
      </c>
      <c r="X36" s="9">
        <f>$AI15</f>
        <v>44</v>
      </c>
      <c r="Y36" s="9"/>
      <c r="AK36" s="14" t="s">
        <v>27</v>
      </c>
      <c r="AL36" s="19">
        <f>AVERAGE(AL2:AL26)</f>
        <v>-0.19599999999999995</v>
      </c>
      <c r="AM36" s="11">
        <f t="shared" ref="AM36:AT36" si="44">AVERAGE(AM2:AM26)</f>
        <v>-2.88</v>
      </c>
      <c r="AN36" s="19">
        <f>AVERAGE(AN2:AN26)</f>
        <v>-6.4000000000000334E-2</v>
      </c>
      <c r="AO36" s="11">
        <f t="shared" si="44"/>
        <v>-2.44</v>
      </c>
      <c r="AP36" s="19">
        <f t="shared" si="44"/>
        <v>0.3</v>
      </c>
      <c r="AQ36" s="11">
        <f t="shared" si="44"/>
        <v>-0.44</v>
      </c>
      <c r="AR36" s="19">
        <f t="shared" si="44"/>
        <v>9.9999999999999714E-2</v>
      </c>
      <c r="AS36" s="11">
        <f t="shared" si="44"/>
        <v>-2.04</v>
      </c>
      <c r="AT36" s="19">
        <f t="shared" si="44"/>
        <v>3.6000000000000795E-2</v>
      </c>
      <c r="AV36" s="9">
        <f>AVERAGE(AV2:AV26)</f>
        <v>0.4360000000000005</v>
      </c>
      <c r="AW36" s="9">
        <f>AVERAGE(AW2:AW26)</f>
        <v>0.13600000000000051</v>
      </c>
      <c r="AX36" s="9">
        <f>AVERAGE(AX2:AX26)</f>
        <v>3.6000000000000795E-2</v>
      </c>
    </row>
    <row r="37" spans="1:61">
      <c r="A37" s="6">
        <f t="shared" si="43"/>
        <v>2014</v>
      </c>
      <c r="W37" s="9">
        <f>$AI16</f>
        <v>47.5</v>
      </c>
      <c r="X37" s="9"/>
      <c r="Y37" s="9"/>
      <c r="AU37" s="10" t="str">
        <f>IF(AR37&gt;0,AT37,"")</f>
        <v/>
      </c>
    </row>
    <row r="38" spans="1:61">
      <c r="A38" s="6">
        <f t="shared" si="43"/>
        <v>2015</v>
      </c>
      <c r="V38" s="9">
        <f>$AI17</f>
        <v>48</v>
      </c>
      <c r="W38" s="9"/>
      <c r="Y38" s="9"/>
      <c r="AU38" s="10" t="str">
        <f>IF(AR38&gt;0,AT38,"")</f>
        <v/>
      </c>
    </row>
    <row r="39" spans="1:61">
      <c r="A39" s="6">
        <f t="shared" si="43"/>
        <v>2016</v>
      </c>
      <c r="V39" s="9">
        <f>$AI18</f>
        <v>51.9</v>
      </c>
      <c r="W39" s="9"/>
      <c r="Y39" s="9"/>
    </row>
    <row r="40" spans="1:61">
      <c r="A40" s="6">
        <f t="shared" si="43"/>
        <v>2017</v>
      </c>
      <c r="V40" s="9">
        <f>$AI19</f>
        <v>49.3</v>
      </c>
      <c r="W40" s="9"/>
      <c r="Y40" s="9"/>
    </row>
    <row r="41" spans="1:61">
      <c r="A41" s="6">
        <f t="shared" si="43"/>
        <v>2018</v>
      </c>
      <c r="W41" s="9">
        <f>$AI20</f>
        <v>50.6</v>
      </c>
      <c r="Y41" s="9"/>
    </row>
    <row r="42" spans="1:61">
      <c r="A42" s="6">
        <f t="shared" si="43"/>
        <v>2019</v>
      </c>
      <c r="W42" s="9">
        <f>$AI21</f>
        <v>47.4</v>
      </c>
      <c r="Y42" s="9"/>
      <c r="AK42" s="6">
        <v>2000</v>
      </c>
      <c r="AL42" s="6">
        <v>2001</v>
      </c>
      <c r="AM42" s="6">
        <v>2002</v>
      </c>
      <c r="AN42" s="6">
        <v>2003</v>
      </c>
      <c r="AO42" s="6">
        <v>2004</v>
      </c>
      <c r="AP42" s="6">
        <v>2005</v>
      </c>
      <c r="AQ42" s="6">
        <v>2006</v>
      </c>
      <c r="AR42" s="6">
        <v>2007</v>
      </c>
      <c r="AS42" s="6">
        <v>2008</v>
      </c>
      <c r="AT42" s="6">
        <v>2009</v>
      </c>
      <c r="AU42" s="6">
        <v>2010</v>
      </c>
      <c r="AV42" s="6">
        <v>2011</v>
      </c>
      <c r="AW42" s="6">
        <v>2012</v>
      </c>
      <c r="AX42" s="6">
        <v>2013</v>
      </c>
      <c r="AY42" s="6">
        <v>2014</v>
      </c>
      <c r="AZ42" s="6">
        <v>2015</v>
      </c>
      <c r="BA42" s="6">
        <v>2016</v>
      </c>
      <c r="BB42" s="6">
        <v>2017</v>
      </c>
      <c r="BC42" s="6">
        <v>2018</v>
      </c>
      <c r="BD42" s="6">
        <v>2019</v>
      </c>
      <c r="BE42" s="6">
        <v>2020</v>
      </c>
      <c r="BF42" s="6">
        <v>2021</v>
      </c>
      <c r="BG42" s="6">
        <v>2022</v>
      </c>
      <c r="BH42" s="6">
        <v>2023</v>
      </c>
      <c r="BI42" s="6">
        <v>2024</v>
      </c>
    </row>
    <row r="43" spans="1:61">
      <c r="A43" s="6">
        <f t="shared" si="43"/>
        <v>2020</v>
      </c>
      <c r="V43" s="9">
        <f>$AI22</f>
        <v>50.2</v>
      </c>
      <c r="W43" s="9"/>
      <c r="Y43" s="9"/>
      <c r="AJ43" s="6" t="s">
        <v>1</v>
      </c>
      <c r="AK43" s="9">
        <f>$AL2</f>
        <v>0.70000000000000284</v>
      </c>
      <c r="AL43" s="9">
        <f>$AL3</f>
        <v>-0.79999999999999716</v>
      </c>
      <c r="AM43" s="9">
        <f>$AL4</f>
        <v>-3.2000000000000028</v>
      </c>
      <c r="AN43" s="9">
        <f>$AL5</f>
        <v>-0.30000000000000426</v>
      </c>
      <c r="AO43" s="9">
        <f>$AL6</f>
        <v>-0.79999999999999716</v>
      </c>
      <c r="AP43" s="9">
        <f>$AL7</f>
        <v>-1.1999999999999957</v>
      </c>
      <c r="AQ43" s="9">
        <f>$AL8</f>
        <v>-1.1000000000000014</v>
      </c>
      <c r="AR43" s="9">
        <f>$AL9</f>
        <v>0</v>
      </c>
      <c r="AS43" s="9">
        <f>$AL10</f>
        <v>-1.1000000000000014</v>
      </c>
      <c r="AT43" s="9">
        <f>$AL10</f>
        <v>-1.1000000000000014</v>
      </c>
      <c r="AU43" s="9">
        <f>$AL11</f>
        <v>-0.89999999999999858</v>
      </c>
      <c r="AV43" s="9">
        <f>$AL12</f>
        <v>1.1000000000000014</v>
      </c>
      <c r="AW43" s="9">
        <f>$AL13</f>
        <v>-2</v>
      </c>
      <c r="AX43" s="9">
        <f>$AL14</f>
        <v>-4.3999999999999986</v>
      </c>
      <c r="AY43" s="9">
        <f>$AL15</f>
        <v>-1.8999999999999986</v>
      </c>
      <c r="AZ43" s="9">
        <f>$AL16</f>
        <v>0.19999999999999574</v>
      </c>
      <c r="BA43" s="9">
        <f>$AL17</f>
        <v>0.89999999999999858</v>
      </c>
      <c r="BB43" s="9">
        <f>$AL18</f>
        <v>2.1999999999999957</v>
      </c>
      <c r="BC43" s="9">
        <f>$AL19</f>
        <v>1.3999999999999986</v>
      </c>
      <c r="BD43" s="9">
        <f>$AL20</f>
        <v>3.1000000000000014</v>
      </c>
      <c r="BE43" s="9">
        <f>$AL21</f>
        <v>0</v>
      </c>
      <c r="BF43" s="9">
        <f>$AL22</f>
        <v>3.5</v>
      </c>
      <c r="BG43" s="9">
        <f>$AL23</f>
        <v>-0.79999999999999716</v>
      </c>
      <c r="BH43" s="9">
        <f>$AL24</f>
        <v>0.39999999999999858</v>
      </c>
    </row>
    <row r="44" spans="1:61">
      <c r="A44" s="6">
        <f t="shared" si="43"/>
        <v>2021</v>
      </c>
      <c r="U44" s="9">
        <f>$AI23</f>
        <v>51.4</v>
      </c>
      <c r="V44" s="9"/>
      <c r="Y44" s="9"/>
      <c r="AJ44" s="6" t="s">
        <v>2</v>
      </c>
      <c r="AK44" s="9">
        <f>$AN2</f>
        <v>-1.2000000000000028</v>
      </c>
      <c r="AL44" s="9">
        <f>$AN3</f>
        <v>-0.5</v>
      </c>
      <c r="AM44" s="9">
        <f>$AN4</f>
        <v>0.5</v>
      </c>
      <c r="AN44" s="9">
        <f>$AN5</f>
        <v>-3</v>
      </c>
      <c r="AO44" s="9">
        <f>$AN6</f>
        <v>-0.60000000000000142</v>
      </c>
      <c r="AP44" s="9">
        <f>$AN7</f>
        <v>0.89999999999999858</v>
      </c>
      <c r="AQ44" s="9">
        <f>$AN8</f>
        <v>2.1999999999999957</v>
      </c>
      <c r="AR44" s="9">
        <f>$AN9</f>
        <v>-0.10000000000000142</v>
      </c>
      <c r="AS44" s="9">
        <f>$AN10</f>
        <v>-0.5</v>
      </c>
      <c r="AT44" s="9">
        <f>$AN10</f>
        <v>-0.5</v>
      </c>
      <c r="AU44" s="9">
        <f>$AN11</f>
        <v>0.59999999999999432</v>
      </c>
      <c r="AV44" s="9">
        <f>$AN12</f>
        <v>0.70000000000000284</v>
      </c>
      <c r="AW44" s="9">
        <f>$AN13</f>
        <v>0.39999999999999858</v>
      </c>
      <c r="AX44" s="9">
        <f>$AN14</f>
        <v>-0.80000000000000426</v>
      </c>
      <c r="AY44" s="9">
        <f>$AN15</f>
        <v>-1.3999999999999986</v>
      </c>
      <c r="AZ44" s="9">
        <f>$AN16</f>
        <v>1.2000000000000028</v>
      </c>
      <c r="BA44" s="9">
        <f>$AN17</f>
        <v>0.20000000000000284</v>
      </c>
      <c r="BB44" s="9">
        <f>$AN18</f>
        <v>1.7000000000000028</v>
      </c>
      <c r="BC44" s="9">
        <f>$AN19</f>
        <v>0.5</v>
      </c>
      <c r="BD44" s="9">
        <f>$AN20</f>
        <v>1.1999999999999957</v>
      </c>
      <c r="BE44" s="9">
        <f>$AN21</f>
        <v>-0.60000000000000142</v>
      </c>
      <c r="BF44" s="9">
        <f>$AN22</f>
        <v>-1.3999999999999986</v>
      </c>
      <c r="BG44" s="9">
        <f>$AN23</f>
        <v>0.60000000000000142</v>
      </c>
      <c r="BH44" s="9">
        <f>$AN24</f>
        <v>-1.3999999999999986</v>
      </c>
    </row>
    <row r="45" spans="1:61">
      <c r="A45" s="6">
        <f t="shared" si="43"/>
        <v>2022</v>
      </c>
      <c r="V45" s="9">
        <f>$AI24</f>
        <v>49.5</v>
      </c>
      <c r="Y45" s="9"/>
      <c r="AJ45" s="6" t="s">
        <v>3</v>
      </c>
      <c r="AK45" s="9">
        <f>$AP2</f>
        <v>-0.79999999999999716</v>
      </c>
      <c r="AL45" s="9">
        <f>$AP3</f>
        <v>1</v>
      </c>
      <c r="AM45" s="9">
        <f>$AP4</f>
        <v>0</v>
      </c>
      <c r="AN45" s="9">
        <f>$AP5</f>
        <v>-2.3999999999999986</v>
      </c>
      <c r="AO45" s="9">
        <f>$AP6</f>
        <v>3.5</v>
      </c>
      <c r="AP45" s="9">
        <f>$AP7</f>
        <v>2</v>
      </c>
      <c r="AQ45" s="9">
        <f>$AP8</f>
        <v>1</v>
      </c>
      <c r="AR45" s="9">
        <f>$AP9</f>
        <v>0</v>
      </c>
      <c r="AS45" s="9">
        <f>$AP10</f>
        <v>-0.5</v>
      </c>
      <c r="AT45" s="9">
        <f>$AP10</f>
        <v>-0.5</v>
      </c>
      <c r="AU45" s="9">
        <f>$AP11</f>
        <v>0.10000000000000142</v>
      </c>
      <c r="AV45" s="9">
        <f>$AP12</f>
        <v>-0.30000000000000426</v>
      </c>
      <c r="AW45" s="9">
        <f>$AP13</f>
        <v>-0.29999999999999716</v>
      </c>
      <c r="AX45" s="9">
        <f>$AP14</f>
        <v>2.5</v>
      </c>
      <c r="AY45" s="9">
        <f>$AP15</f>
        <v>1.7999999999999972</v>
      </c>
      <c r="AZ45" s="9">
        <f>$AP16</f>
        <v>0.5</v>
      </c>
      <c r="BA45" s="9">
        <f>$AP17</f>
        <v>0.10000000000000142</v>
      </c>
      <c r="BB45" s="9">
        <f>$AP18</f>
        <v>0.79999999999999716</v>
      </c>
      <c r="BC45" s="9">
        <f>$AP19</f>
        <v>-0.39999999999999858</v>
      </c>
      <c r="BD45" s="9">
        <f>$AP20</f>
        <v>0.30000000000000426</v>
      </c>
      <c r="BE45" s="9">
        <f>$AP21</f>
        <v>-1</v>
      </c>
      <c r="BF45" s="9">
        <f>$AP22</f>
        <v>0</v>
      </c>
      <c r="BG45" s="9">
        <f>$AP23</f>
        <v>0.89999999999999858</v>
      </c>
      <c r="BH45" s="9">
        <f>$AP24</f>
        <v>-0.70000000000000284</v>
      </c>
    </row>
    <row r="46" spans="1:61">
      <c r="A46" s="6">
        <f t="shared" si="43"/>
        <v>2023</v>
      </c>
      <c r="V46" s="9">
        <f>$AI25</f>
        <v>50.6</v>
      </c>
      <c r="Y46" s="9"/>
      <c r="AJ46" s="6" t="s">
        <v>4</v>
      </c>
      <c r="AK46" s="9">
        <f>$AR2</f>
        <v>-0.70000000000000284</v>
      </c>
      <c r="AL46" s="9">
        <f>$AR3</f>
        <v>0.19999999999999574</v>
      </c>
      <c r="AM46" s="9">
        <f>$AR4</f>
        <v>0.5</v>
      </c>
      <c r="AN46" s="9">
        <f>$AR5</f>
        <v>-0.20000000000000284</v>
      </c>
      <c r="AO46" s="9">
        <f>$AR6</f>
        <v>0.60000000000000142</v>
      </c>
      <c r="AP46" s="9">
        <f>$AR7</f>
        <v>1.1000000000000014</v>
      </c>
      <c r="AQ46" s="9">
        <f>$AR8</f>
        <v>0.20000000000000284</v>
      </c>
      <c r="AR46" s="9">
        <f>$AR9</f>
        <v>-0.10000000000000142</v>
      </c>
      <c r="AS46" s="9">
        <f>$AR10</f>
        <v>-0.20000000000000284</v>
      </c>
      <c r="AT46" s="9">
        <f>$AR10</f>
        <v>-0.20000000000000284</v>
      </c>
      <c r="AU46" s="9">
        <f>$AR11</f>
        <v>0.89999999999999858</v>
      </c>
      <c r="AV46" s="9">
        <f>$AR12</f>
        <v>-0.5</v>
      </c>
      <c r="AW46" s="9">
        <f>$AR13</f>
        <v>-0.20000000000000284</v>
      </c>
      <c r="AX46" s="9">
        <f>$AR14</f>
        <v>1.5</v>
      </c>
      <c r="AY46" s="9">
        <f>$AR15</f>
        <v>0</v>
      </c>
      <c r="AZ46" s="9">
        <f>$AR16</f>
        <v>0.39999999999999858</v>
      </c>
      <c r="BA46" s="9">
        <f>$AR17</f>
        <v>1.0999999999999943</v>
      </c>
      <c r="BB46" s="9">
        <f>$AR18</f>
        <v>1.1000000000000014</v>
      </c>
      <c r="BC46" s="9">
        <f>$AR19</f>
        <v>0</v>
      </c>
      <c r="BD46" s="9">
        <f>$AR20</f>
        <v>-1</v>
      </c>
      <c r="BE46" s="9">
        <f>$AR21</f>
        <v>0</v>
      </c>
      <c r="BF46" s="9">
        <f>$AR22</f>
        <v>-1.1999999999999957</v>
      </c>
      <c r="BG46" s="9">
        <f>$AR23</f>
        <v>-0.29999999999999716</v>
      </c>
      <c r="BH46" s="9">
        <f>$AR24</f>
        <v>0.40000000000000568</v>
      </c>
    </row>
    <row r="47" spans="1:61">
      <c r="A47" s="6">
        <f t="shared" si="43"/>
        <v>2024</v>
      </c>
      <c r="U47" s="9">
        <f>$AI26</f>
        <v>50.7</v>
      </c>
      <c r="Y47" s="9"/>
      <c r="AJ47" s="6" t="s">
        <v>5</v>
      </c>
      <c r="AK47" s="9">
        <f>$AT2</f>
        <v>0.10000000000000142</v>
      </c>
      <c r="AL47" s="9">
        <f>$AT3</f>
        <v>0.20000000000000284</v>
      </c>
      <c r="AM47" s="9">
        <f>$AT4</f>
        <v>0.5</v>
      </c>
      <c r="AN47" s="9">
        <f>$AT5</f>
        <v>0.10000000000000142</v>
      </c>
      <c r="AO47" s="9">
        <f>$AT6</f>
        <v>-0.39999999999999858</v>
      </c>
      <c r="AP47" s="9">
        <f>$AT7</f>
        <v>0.39999999999999858</v>
      </c>
      <c r="AQ47" s="9">
        <f>$AT8</f>
        <v>-0.10000000000000142</v>
      </c>
      <c r="AR47" s="9">
        <f>$AT9</f>
        <v>0.40000000000000568</v>
      </c>
      <c r="AS47" s="9">
        <f>$AT10</f>
        <v>0.40000000000000568</v>
      </c>
      <c r="AT47" s="9">
        <f>$AT10</f>
        <v>0.40000000000000568</v>
      </c>
      <c r="AU47" s="9">
        <f>$AT11</f>
        <v>0.70000000000000284</v>
      </c>
      <c r="AV47" s="9">
        <f>$AT12</f>
        <v>-0.39999999999999858</v>
      </c>
      <c r="AW47" s="9">
        <f>$AT13</f>
        <v>0.70000000000000284</v>
      </c>
      <c r="AX47" s="9">
        <f>$AT14</f>
        <v>0.70000000000000284</v>
      </c>
      <c r="AY47" s="9">
        <f>$AT15</f>
        <v>1</v>
      </c>
      <c r="AZ47" s="9">
        <f>$AT16</f>
        <v>0</v>
      </c>
      <c r="BA47" s="9">
        <f>$AT17</f>
        <v>-0.29999999999999716</v>
      </c>
      <c r="BB47" s="9">
        <f>$AT18</f>
        <v>-0.60000000000000142</v>
      </c>
      <c r="BC47" s="9">
        <f>$AT19</f>
        <v>-0.20000000000000284</v>
      </c>
      <c r="BD47" s="9">
        <f>$AT20</f>
        <v>-1.5</v>
      </c>
      <c r="BE47" s="9">
        <f>$AT21</f>
        <v>0.5</v>
      </c>
      <c r="BF47" s="9">
        <f>$AT22</f>
        <v>-0.5</v>
      </c>
      <c r="BG47" s="9">
        <f>$AT23</f>
        <v>0.19999999999999574</v>
      </c>
      <c r="BH47" s="9">
        <f>$AT24</f>
        <v>-0.70000000000000284</v>
      </c>
    </row>
    <row r="48" spans="1:61">
      <c r="A48" s="6">
        <f t="shared" si="43"/>
        <v>2025</v>
      </c>
      <c r="F48" s="9"/>
      <c r="G48" s="9">
        <f>AD27</f>
        <v>52.5</v>
      </c>
      <c r="H48" s="9"/>
      <c r="I48" s="9"/>
      <c r="J48" s="9"/>
      <c r="K48" s="9"/>
      <c r="L48" s="9">
        <f>AE27</f>
        <v>53.6</v>
      </c>
      <c r="M48" s="9"/>
      <c r="N48" s="9"/>
      <c r="O48" s="9"/>
      <c r="P48" s="9"/>
      <c r="Q48" s="9">
        <f>AF27</f>
        <v>53.5</v>
      </c>
      <c r="R48" s="9">
        <f>AG27</f>
        <v>53.480803571428574</v>
      </c>
    </row>
    <row r="54" spans="1:26">
      <c r="W54" s="25" t="s">
        <v>41</v>
      </c>
      <c r="X54" s="25" t="s">
        <v>5</v>
      </c>
      <c r="Y54" s="25" t="s">
        <v>42</v>
      </c>
      <c r="Z54" s="6" t="s">
        <v>43</v>
      </c>
    </row>
    <row r="55" spans="1:26">
      <c r="A55" s="6">
        <f>A12</f>
        <v>2010</v>
      </c>
      <c r="B55" s="18" t="str">
        <f>IF(B12="","",B12-AVERAGE(B2:B11))</f>
        <v/>
      </c>
      <c r="C55" s="18">
        <f t="shared" ref="C55:T55" si="45">IF(C12="","",C12-AVERAGE(C2:C11))</f>
        <v>10</v>
      </c>
      <c r="D55" s="18">
        <f t="shared" si="45"/>
        <v>9.7777777777777786</v>
      </c>
      <c r="E55" s="18">
        <f t="shared" si="45"/>
        <v>4.9000000000000057</v>
      </c>
      <c r="F55" s="18">
        <f t="shared" si="45"/>
        <v>2.9000000000000057</v>
      </c>
      <c r="G55" s="18">
        <f t="shared" si="45"/>
        <v>2.6000000000000014</v>
      </c>
      <c r="H55" s="18">
        <f t="shared" si="45"/>
        <v>3.2000000000000028</v>
      </c>
      <c r="I55" s="18">
        <f t="shared" si="45"/>
        <v>6.2000000000000028</v>
      </c>
      <c r="J55" s="18">
        <f t="shared" si="45"/>
        <v>7.1000000000000014</v>
      </c>
      <c r="K55" s="18">
        <f t="shared" si="45"/>
        <v>6</v>
      </c>
      <c r="L55" s="18">
        <f t="shared" si="45"/>
        <v>7.2000000000000028</v>
      </c>
      <c r="M55" s="18">
        <f t="shared" si="45"/>
        <v>7.2000000000000028</v>
      </c>
      <c r="N55" s="18">
        <f t="shared" si="45"/>
        <v>6.5</v>
      </c>
      <c r="O55" s="18">
        <f t="shared" si="45"/>
        <v>7.2000000000000028</v>
      </c>
      <c r="P55" s="18">
        <f t="shared" si="45"/>
        <v>8.2999999999999972</v>
      </c>
      <c r="Q55" s="18">
        <f t="shared" si="45"/>
        <v>8</v>
      </c>
      <c r="R55" s="18">
        <f t="shared" si="45"/>
        <v>7.8999999999999986</v>
      </c>
      <c r="S55" s="18">
        <f t="shared" si="45"/>
        <v>7.7999999999999972</v>
      </c>
      <c r="T55" s="18">
        <f t="shared" si="45"/>
        <v>8.5</v>
      </c>
      <c r="W55" s="11">
        <f>AD12</f>
        <v>42.9</v>
      </c>
      <c r="X55" s="11">
        <f>AJ12</f>
        <v>43.5</v>
      </c>
      <c r="Y55" s="11">
        <f>X55-W55</f>
        <v>0.60000000000000142</v>
      </c>
      <c r="Z55" s="18">
        <f>AVERAGE(B55:T55)</f>
        <v>6.737654320987656</v>
      </c>
    </row>
    <row r="56" spans="1:26">
      <c r="A56" s="6">
        <f t="shared" ref="A56:A73" si="46">A13</f>
        <v>2011</v>
      </c>
      <c r="B56" s="18" t="str">
        <f t="shared" ref="B56:T56" si="47">IF(B13="","",B13-AVERAGE(B3:B12))</f>
        <v/>
      </c>
      <c r="C56" s="18" t="str">
        <f t="shared" si="47"/>
        <v/>
      </c>
      <c r="D56" s="18">
        <f t="shared" si="47"/>
        <v>2.8888888888888857</v>
      </c>
      <c r="E56" s="18">
        <f t="shared" si="47"/>
        <v>3.7999999999999972</v>
      </c>
      <c r="F56" s="18">
        <f t="shared" si="47"/>
        <v>0.79999999999999716</v>
      </c>
      <c r="G56" s="18">
        <f t="shared" si="47"/>
        <v>2.6000000000000014</v>
      </c>
      <c r="H56" s="18">
        <f t="shared" si="47"/>
        <v>4.2999999999999972</v>
      </c>
      <c r="I56" s="18">
        <f t="shared" si="47"/>
        <v>3.1000000000000014</v>
      </c>
      <c r="J56" s="18">
        <f t="shared" si="47"/>
        <v>2.2000000000000028</v>
      </c>
      <c r="K56" s="18">
        <f t="shared" si="47"/>
        <v>0</v>
      </c>
      <c r="L56" s="18">
        <f t="shared" si="47"/>
        <v>2.1000000000000014</v>
      </c>
      <c r="M56" s="18">
        <f t="shared" si="47"/>
        <v>2.1000000000000014</v>
      </c>
      <c r="N56" s="18">
        <f t="shared" si="47"/>
        <v>1.2999999999999972</v>
      </c>
      <c r="O56" s="18">
        <f t="shared" si="47"/>
        <v>-0.39999999999999858</v>
      </c>
      <c r="P56" s="18">
        <f t="shared" si="47"/>
        <v>-0.60000000000000142</v>
      </c>
      <c r="Q56" s="18">
        <f t="shared" si="47"/>
        <v>-0.10000000000000142</v>
      </c>
      <c r="R56" s="18">
        <f t="shared" si="47"/>
        <v>-3.1000000000000014</v>
      </c>
      <c r="S56" s="18">
        <f t="shared" si="47"/>
        <v>-3.2999999999999972</v>
      </c>
      <c r="T56" s="18">
        <f t="shared" si="47"/>
        <v>-2.5</v>
      </c>
      <c r="W56" s="11">
        <f>AD13</f>
        <v>43.4</v>
      </c>
      <c r="X56" s="11">
        <f>AJ13</f>
        <v>42</v>
      </c>
      <c r="Y56" s="11">
        <f t="shared" ref="Y56:Y69" si="48">X56-W56</f>
        <v>-1.3999999999999986</v>
      </c>
      <c r="Z56" s="18">
        <f>AVERAGE(B56:T56)</f>
        <v>0.8934640522875813</v>
      </c>
    </row>
    <row r="57" spans="1:26">
      <c r="A57" s="6">
        <f t="shared" si="46"/>
        <v>2012</v>
      </c>
      <c r="B57" s="18" t="str">
        <f t="shared" ref="B57:T57" si="49">IF(B14="","",B14-AVERAGE(B4:B13))</f>
        <v/>
      </c>
      <c r="C57" s="18">
        <f t="shared" si="49"/>
        <v>-4.5</v>
      </c>
      <c r="D57" s="18">
        <f t="shared" si="49"/>
        <v>-5.4444444444444429</v>
      </c>
      <c r="E57" s="18">
        <f t="shared" si="49"/>
        <v>-9.2000000000000028</v>
      </c>
      <c r="F57" s="18">
        <f t="shared" si="49"/>
        <v>-11.700000000000003</v>
      </c>
      <c r="G57" s="18">
        <f t="shared" si="49"/>
        <v>-19</v>
      </c>
      <c r="H57" s="18">
        <f t="shared" si="49"/>
        <v>-22.200000000000003</v>
      </c>
      <c r="I57" s="18">
        <f t="shared" si="49"/>
        <v>-27.6</v>
      </c>
      <c r="J57" s="18">
        <f t="shared" si="49"/>
        <v>-29.5</v>
      </c>
      <c r="K57" s="18">
        <f t="shared" si="49"/>
        <v>-31</v>
      </c>
      <c r="L57" s="18">
        <f t="shared" si="49"/>
        <v>-30.299999999999997</v>
      </c>
      <c r="M57" s="18">
        <f t="shared" si="49"/>
        <v>-29.6</v>
      </c>
      <c r="N57" s="18">
        <f t="shared" si="49"/>
        <v>-27.4</v>
      </c>
      <c r="O57" s="18">
        <f t="shared" si="49"/>
        <v>-27.9</v>
      </c>
      <c r="P57" s="18">
        <f t="shared" si="49"/>
        <v>-27</v>
      </c>
      <c r="Q57" s="18">
        <f t="shared" si="49"/>
        <v>-24.4</v>
      </c>
      <c r="R57" s="18">
        <f t="shared" si="49"/>
        <v>-22.9</v>
      </c>
      <c r="S57" s="18">
        <f t="shared" si="49"/>
        <v>-21.299999999999997</v>
      </c>
      <c r="T57" s="18">
        <f t="shared" si="49"/>
        <v>-21.4</v>
      </c>
      <c r="W57" s="11">
        <f>AD14</f>
        <v>40.5</v>
      </c>
      <c r="X57" s="11">
        <f>AJ14</f>
        <v>40</v>
      </c>
      <c r="Y57" s="11">
        <f t="shared" si="48"/>
        <v>-0.5</v>
      </c>
      <c r="Z57" s="18">
        <f>AVERAGE(B57:T57)</f>
        <v>-21.796913580246908</v>
      </c>
    </row>
    <row r="58" spans="1:26">
      <c r="A58" s="6">
        <f t="shared" si="46"/>
        <v>2013</v>
      </c>
      <c r="B58" s="18" t="str">
        <f t="shared" ref="B58:T58" si="50">IF(B15="","",B15-AVERAGE(B5:B14))</f>
        <v/>
      </c>
      <c r="C58" s="18" t="str">
        <f t="shared" si="50"/>
        <v/>
      </c>
      <c r="D58" s="18" t="str">
        <f t="shared" si="50"/>
        <v/>
      </c>
      <c r="E58" s="18" t="str">
        <f t="shared" si="50"/>
        <v/>
      </c>
      <c r="F58" s="18">
        <f t="shared" si="50"/>
        <v>0.20000000000000284</v>
      </c>
      <c r="G58" s="18">
        <f t="shared" si="50"/>
        <v>2.1000000000000014</v>
      </c>
      <c r="H58" s="18">
        <f t="shared" si="50"/>
        <v>6</v>
      </c>
      <c r="I58" s="18">
        <f t="shared" si="50"/>
        <v>7</v>
      </c>
      <c r="J58" s="18">
        <f t="shared" si="50"/>
        <v>5.7000000000000028</v>
      </c>
      <c r="K58" s="18">
        <f t="shared" si="50"/>
        <v>5.6000000000000014</v>
      </c>
      <c r="L58" s="18">
        <f t="shared" si="50"/>
        <v>5.1000000000000014</v>
      </c>
      <c r="M58" s="18">
        <f t="shared" si="50"/>
        <v>5.6000000000000014</v>
      </c>
      <c r="N58" s="18">
        <f t="shared" si="50"/>
        <v>6.8999999999999986</v>
      </c>
      <c r="O58" s="18">
        <f t="shared" si="50"/>
        <v>5.7000000000000028</v>
      </c>
      <c r="P58" s="18">
        <f t="shared" si="50"/>
        <v>2.6000000000000014</v>
      </c>
      <c r="Q58" s="18">
        <f t="shared" si="50"/>
        <v>-1.1000000000000014</v>
      </c>
      <c r="R58" s="18">
        <f t="shared" si="50"/>
        <v>-2.7999999999999972</v>
      </c>
      <c r="S58" s="18">
        <f t="shared" si="50"/>
        <v>-5.3999999999999986</v>
      </c>
      <c r="T58" s="18">
        <f t="shared" si="50"/>
        <v>-5.6000000000000014</v>
      </c>
      <c r="W58" s="11">
        <f>AD15</f>
        <v>44.5</v>
      </c>
      <c r="X58" s="11">
        <f>AJ15</f>
        <v>44</v>
      </c>
      <c r="Y58" s="11">
        <f t="shared" si="48"/>
        <v>-0.5</v>
      </c>
      <c r="Z58" s="18">
        <f>AVERAGE(B58:T58)</f>
        <v>2.5066666666666677</v>
      </c>
    </row>
    <row r="59" spans="1:26">
      <c r="A59" s="6">
        <f t="shared" si="46"/>
        <v>2014</v>
      </c>
      <c r="B59" s="18" t="str">
        <f t="shared" ref="B59:T59" si="51">IF(B16="","",B16-AVERAGE(B6:B15))</f>
        <v/>
      </c>
      <c r="C59" s="18" t="str">
        <f t="shared" si="51"/>
        <v/>
      </c>
      <c r="D59" s="18">
        <f t="shared" si="51"/>
        <v>8.625</v>
      </c>
      <c r="E59" s="18">
        <f t="shared" si="51"/>
        <v>8.7777777777777715</v>
      </c>
      <c r="F59" s="18">
        <f t="shared" si="51"/>
        <v>8.7999999999999972</v>
      </c>
      <c r="G59" s="18">
        <f t="shared" si="51"/>
        <v>9.6000000000000014</v>
      </c>
      <c r="H59" s="18">
        <f t="shared" si="51"/>
        <v>11.299999999999997</v>
      </c>
      <c r="I59" s="18">
        <f t="shared" si="51"/>
        <v>12.299999999999997</v>
      </c>
      <c r="J59" s="18">
        <f t="shared" si="51"/>
        <v>14</v>
      </c>
      <c r="K59" s="18">
        <f t="shared" si="51"/>
        <v>12.799999999999997</v>
      </c>
      <c r="L59" s="18">
        <f t="shared" si="51"/>
        <v>13.100000000000001</v>
      </c>
      <c r="M59" s="18">
        <f t="shared" si="51"/>
        <v>11.399999999999999</v>
      </c>
      <c r="N59" s="18">
        <f t="shared" si="51"/>
        <v>13.100000000000001</v>
      </c>
      <c r="O59" s="18">
        <f t="shared" si="51"/>
        <v>12.299999999999997</v>
      </c>
      <c r="P59" s="18">
        <f t="shared" si="51"/>
        <v>15.299999999999997</v>
      </c>
      <c r="Q59" s="18">
        <f t="shared" si="51"/>
        <v>15.799999999999997</v>
      </c>
      <c r="R59" s="18">
        <f t="shared" si="51"/>
        <v>16.100000000000001</v>
      </c>
      <c r="S59" s="18">
        <f t="shared" si="51"/>
        <v>14.600000000000001</v>
      </c>
      <c r="T59" s="18">
        <f t="shared" si="51"/>
        <v>15.299999999999997</v>
      </c>
      <c r="W59" s="11">
        <f>AD16</f>
        <v>45.2</v>
      </c>
      <c r="X59" s="11">
        <f>AJ16</f>
        <v>47.5</v>
      </c>
      <c r="Y59" s="11">
        <f t="shared" si="48"/>
        <v>2.2999999999999972</v>
      </c>
      <c r="Z59" s="18">
        <f>AVERAGE(B59:T59)</f>
        <v>12.541339869281046</v>
      </c>
    </row>
    <row r="60" spans="1:26">
      <c r="A60" s="6">
        <f t="shared" si="46"/>
        <v>2015</v>
      </c>
      <c r="B60" s="18" t="str">
        <f t="shared" ref="B60:T60" si="52">IF(B17="","",B17-AVERAGE(B7:B16))</f>
        <v/>
      </c>
      <c r="C60" s="18" t="str">
        <f t="shared" si="52"/>
        <v/>
      </c>
      <c r="D60" s="18">
        <f t="shared" si="52"/>
        <v>2.5</v>
      </c>
      <c r="E60" s="18">
        <f t="shared" si="52"/>
        <v>2.2222222222222285</v>
      </c>
      <c r="F60" s="18">
        <f t="shared" si="52"/>
        <v>1.2999999999999972</v>
      </c>
      <c r="G60" s="18">
        <f t="shared" si="52"/>
        <v>0</v>
      </c>
      <c r="H60" s="18">
        <f t="shared" si="52"/>
        <v>1.7999999999999972</v>
      </c>
      <c r="I60" s="18">
        <f t="shared" si="52"/>
        <v>1.8999999999999986</v>
      </c>
      <c r="J60" s="18">
        <f t="shared" si="52"/>
        <v>2.5</v>
      </c>
      <c r="K60" s="18">
        <f t="shared" si="52"/>
        <v>3.6000000000000014</v>
      </c>
      <c r="L60" s="18">
        <f t="shared" si="52"/>
        <v>5</v>
      </c>
      <c r="M60" s="18">
        <f t="shared" si="52"/>
        <v>4.7000000000000028</v>
      </c>
      <c r="N60" s="18">
        <f t="shared" si="52"/>
        <v>4.8999999999999986</v>
      </c>
      <c r="O60" s="18">
        <f t="shared" si="52"/>
        <v>5</v>
      </c>
      <c r="P60" s="18">
        <f t="shared" si="52"/>
        <v>5.5</v>
      </c>
      <c r="Q60" s="18">
        <f t="shared" si="52"/>
        <v>5.7999999999999972</v>
      </c>
      <c r="R60" s="18">
        <f t="shared" si="52"/>
        <v>4.2000000000000028</v>
      </c>
      <c r="S60" s="18">
        <f t="shared" si="52"/>
        <v>5.8999999999999986</v>
      </c>
      <c r="T60" s="18">
        <f t="shared" si="52"/>
        <v>4.7000000000000028</v>
      </c>
      <c r="W60" s="11">
        <f>AD17</f>
        <v>46</v>
      </c>
      <c r="X60" s="11">
        <f>AJ17</f>
        <v>48</v>
      </c>
      <c r="Y60" s="11">
        <f t="shared" si="48"/>
        <v>2</v>
      </c>
      <c r="Z60" s="18">
        <f>AVERAGE(B60:T60)</f>
        <v>3.6189542483660131</v>
      </c>
    </row>
    <row r="61" spans="1:26">
      <c r="A61" s="6">
        <f t="shared" si="46"/>
        <v>2016</v>
      </c>
      <c r="B61" s="18" t="str">
        <f t="shared" ref="B61:T61" si="53">IF(B18="","",B18-AVERAGE(B8:B17))</f>
        <v/>
      </c>
      <c r="C61" s="18">
        <f t="shared" si="53"/>
        <v>1.75</v>
      </c>
      <c r="D61" s="18">
        <f t="shared" si="53"/>
        <v>6.875</v>
      </c>
      <c r="E61" s="18">
        <f t="shared" si="53"/>
        <v>7.7777777777777715</v>
      </c>
      <c r="F61" s="18">
        <f t="shared" si="53"/>
        <v>7.7000000000000028</v>
      </c>
      <c r="G61" s="18">
        <f t="shared" si="53"/>
        <v>6.5</v>
      </c>
      <c r="H61" s="18">
        <f t="shared" si="53"/>
        <v>8.8999999999999986</v>
      </c>
      <c r="I61" s="18">
        <f t="shared" si="53"/>
        <v>10</v>
      </c>
      <c r="J61" s="18">
        <f t="shared" si="53"/>
        <v>10.700000000000003</v>
      </c>
      <c r="K61" s="18">
        <f t="shared" si="53"/>
        <v>12.799999999999997</v>
      </c>
      <c r="L61" s="18">
        <f t="shared" si="53"/>
        <v>12.799999999999997</v>
      </c>
      <c r="M61" s="18">
        <f t="shared" si="53"/>
        <v>12.5</v>
      </c>
      <c r="N61" s="18">
        <f t="shared" si="53"/>
        <v>12.799999999999997</v>
      </c>
      <c r="O61" s="18">
        <f t="shared" si="53"/>
        <v>14</v>
      </c>
      <c r="P61" s="18">
        <f t="shared" si="53"/>
        <v>14.600000000000001</v>
      </c>
      <c r="Q61" s="18">
        <f t="shared" si="53"/>
        <v>14.899999999999999</v>
      </c>
      <c r="R61" s="18">
        <f t="shared" si="53"/>
        <v>15.399999999999999</v>
      </c>
      <c r="S61" s="18">
        <f t="shared" si="53"/>
        <v>15.100000000000001</v>
      </c>
      <c r="T61" s="18">
        <f t="shared" si="53"/>
        <v>16.100000000000001</v>
      </c>
      <c r="W61" s="11">
        <f>AD18</f>
        <v>46.7</v>
      </c>
      <c r="X61" s="11">
        <f>AJ18</f>
        <v>51.9</v>
      </c>
      <c r="Y61" s="11">
        <f t="shared" si="48"/>
        <v>5.1999999999999957</v>
      </c>
      <c r="Z61" s="18">
        <f>AVERAGE(B61:T61)</f>
        <v>11.177932098765432</v>
      </c>
    </row>
    <row r="62" spans="1:26">
      <c r="A62" s="6">
        <f t="shared" si="46"/>
        <v>2017</v>
      </c>
      <c r="B62" s="18" t="str">
        <f t="shared" ref="B62:T62" si="54">IF(B19="","",B19-AVERAGE(B9:B18))</f>
        <v/>
      </c>
      <c r="C62" s="18" t="str">
        <f t="shared" si="54"/>
        <v/>
      </c>
      <c r="D62" s="18">
        <f t="shared" si="54"/>
        <v>-2</v>
      </c>
      <c r="E62" s="18">
        <f t="shared" si="54"/>
        <v>1.1111111111111143</v>
      </c>
      <c r="F62" s="18">
        <f t="shared" si="54"/>
        <v>1.2000000000000028</v>
      </c>
      <c r="G62" s="18">
        <f t="shared" si="54"/>
        <v>-9.9999999999994316E-2</v>
      </c>
      <c r="H62" s="18">
        <f t="shared" si="54"/>
        <v>-1.3999999999999986</v>
      </c>
      <c r="I62" s="18">
        <f t="shared" si="54"/>
        <v>-1.3999999999999986</v>
      </c>
      <c r="J62" s="18">
        <f t="shared" si="54"/>
        <v>-5</v>
      </c>
      <c r="K62" s="18">
        <f t="shared" si="54"/>
        <v>-2.1000000000000014</v>
      </c>
      <c r="L62" s="18">
        <f t="shared" si="54"/>
        <v>-1.1000000000000014</v>
      </c>
      <c r="M62" s="18">
        <f t="shared" si="54"/>
        <v>-2.1000000000000014</v>
      </c>
      <c r="N62" s="18">
        <f t="shared" si="54"/>
        <v>-0.60000000000000142</v>
      </c>
      <c r="O62" s="18">
        <f t="shared" si="54"/>
        <v>0.60000000000000142</v>
      </c>
      <c r="P62" s="18">
        <f t="shared" si="54"/>
        <v>1.2000000000000028</v>
      </c>
      <c r="Q62" s="18">
        <f t="shared" si="54"/>
        <v>0.60000000000000142</v>
      </c>
      <c r="R62" s="18">
        <f t="shared" si="54"/>
        <v>0.20000000000000284</v>
      </c>
      <c r="S62" s="18">
        <f t="shared" si="54"/>
        <v>1</v>
      </c>
      <c r="T62" s="18">
        <f t="shared" si="54"/>
        <v>0.89999999999999858</v>
      </c>
      <c r="W62" s="11">
        <f>AD19</f>
        <v>48</v>
      </c>
      <c r="X62" s="11">
        <f>AJ19</f>
        <v>49.3</v>
      </c>
      <c r="Y62" s="11">
        <f t="shared" si="48"/>
        <v>1.2999999999999972</v>
      </c>
      <c r="Z62" s="18">
        <f>AVERAGE(B62:T62)</f>
        <v>-0.52875816993463953</v>
      </c>
    </row>
    <row r="63" spans="1:26">
      <c r="A63" s="6">
        <f t="shared" si="46"/>
        <v>2018</v>
      </c>
      <c r="B63" s="18" t="str">
        <f t="shared" ref="B63:T63" si="55">IF(B20="","",B20-AVERAGE(B10:B19))</f>
        <v/>
      </c>
      <c r="C63" s="18">
        <f t="shared" si="55"/>
        <v>4.3333333333333286</v>
      </c>
      <c r="D63" s="18">
        <f t="shared" si="55"/>
        <v>6.5</v>
      </c>
      <c r="E63" s="18">
        <f t="shared" si="55"/>
        <v>6.8888888888888857</v>
      </c>
      <c r="F63" s="18">
        <f t="shared" si="55"/>
        <v>8.2000000000000028</v>
      </c>
      <c r="G63" s="18">
        <f t="shared" si="55"/>
        <v>7.2999999999999972</v>
      </c>
      <c r="H63" s="18">
        <f t="shared" si="55"/>
        <v>7.8999999999999986</v>
      </c>
      <c r="I63" s="18">
        <f t="shared" si="55"/>
        <v>6.7000000000000028</v>
      </c>
      <c r="J63" s="18">
        <f t="shared" si="55"/>
        <v>8.3999999999999986</v>
      </c>
      <c r="K63" s="18">
        <f t="shared" si="55"/>
        <v>8.7999999999999972</v>
      </c>
      <c r="L63" s="18">
        <f t="shared" si="55"/>
        <v>5.5</v>
      </c>
      <c r="M63" s="18">
        <f t="shared" si="55"/>
        <v>4.6000000000000014</v>
      </c>
      <c r="N63" s="18">
        <f t="shared" si="55"/>
        <v>3.7999999999999972</v>
      </c>
      <c r="O63" s="18">
        <f t="shared" si="55"/>
        <v>5</v>
      </c>
      <c r="P63" s="18">
        <f t="shared" si="55"/>
        <v>5.7000000000000028</v>
      </c>
      <c r="Q63" s="18">
        <f t="shared" si="55"/>
        <v>8.2000000000000028</v>
      </c>
      <c r="R63" s="18">
        <f t="shared" si="55"/>
        <v>7.8999999999999986</v>
      </c>
      <c r="S63" s="18">
        <f t="shared" si="55"/>
        <v>8.7999999999999972</v>
      </c>
      <c r="T63" s="18">
        <f t="shared" si="55"/>
        <v>8.6000000000000014</v>
      </c>
      <c r="W63" s="11">
        <f>AD20</f>
        <v>48.5</v>
      </c>
      <c r="X63" s="11">
        <f>AJ20</f>
        <v>50.6</v>
      </c>
      <c r="Y63" s="11">
        <f t="shared" si="48"/>
        <v>2.1000000000000014</v>
      </c>
      <c r="Z63" s="18">
        <f>AVERAGE(B63:T63)</f>
        <v>6.8401234567901223</v>
      </c>
    </row>
    <row r="64" spans="1:26">
      <c r="A64" s="6">
        <f t="shared" si="46"/>
        <v>2019</v>
      </c>
      <c r="B64" s="18" t="str">
        <f t="shared" ref="B64:T64" si="56">IF(B21="","",B21-AVERAGE(B11:B20))</f>
        <v/>
      </c>
      <c r="C64" s="18" t="str">
        <f t="shared" si="56"/>
        <v/>
      </c>
      <c r="D64" s="18" t="str">
        <f t="shared" si="56"/>
        <v/>
      </c>
      <c r="E64" s="18" t="str">
        <f t="shared" si="56"/>
        <v/>
      </c>
      <c r="F64" s="18">
        <f t="shared" si="56"/>
        <v>-12.400000000000006</v>
      </c>
      <c r="G64" s="18">
        <f t="shared" si="56"/>
        <v>-11</v>
      </c>
      <c r="H64" s="18">
        <f t="shared" si="56"/>
        <v>-11.299999999999997</v>
      </c>
      <c r="I64" s="18">
        <f t="shared" si="56"/>
        <v>-9.2999999999999972</v>
      </c>
      <c r="J64" s="18">
        <f t="shared" si="56"/>
        <v>-8.5</v>
      </c>
      <c r="K64" s="18">
        <f t="shared" si="56"/>
        <v>-8</v>
      </c>
      <c r="L64" s="18">
        <f t="shared" si="56"/>
        <v>-7.8999999999999986</v>
      </c>
      <c r="M64" s="18">
        <f t="shared" si="56"/>
        <v>-7.7000000000000028</v>
      </c>
      <c r="N64" s="18">
        <f t="shared" si="56"/>
        <v>-8.5</v>
      </c>
      <c r="O64" s="18">
        <f t="shared" si="56"/>
        <v>-6.5</v>
      </c>
      <c r="P64" s="18">
        <f t="shared" si="56"/>
        <v>-6.2000000000000028</v>
      </c>
      <c r="Q64" s="18">
        <f t="shared" si="56"/>
        <v>-5.8999999999999986</v>
      </c>
      <c r="R64" s="18">
        <f t="shared" si="56"/>
        <v>-6.1000000000000014</v>
      </c>
      <c r="S64" s="18">
        <f t="shared" si="56"/>
        <v>-6.2999999999999972</v>
      </c>
      <c r="T64" s="18">
        <f t="shared" si="56"/>
        <v>-5.5</v>
      </c>
      <c r="W64" s="11">
        <f>AD21</f>
        <v>48.5</v>
      </c>
      <c r="X64" s="11">
        <f>AJ21</f>
        <v>47.4</v>
      </c>
      <c r="Y64" s="11">
        <f t="shared" si="48"/>
        <v>-1.1000000000000014</v>
      </c>
      <c r="Z64" s="18">
        <f>AVERAGE(B64:T64)</f>
        <v>-8.0733333333333341</v>
      </c>
    </row>
    <row r="65" spans="1:26">
      <c r="A65" s="6">
        <f t="shared" si="46"/>
        <v>2020</v>
      </c>
      <c r="B65" s="18" t="str">
        <f t="shared" ref="B65:T65" si="57">IF(B22="","",B22-AVERAGE(B12:B21))</f>
        <v/>
      </c>
      <c r="C65" s="18">
        <f t="shared" si="57"/>
        <v>-1.75</v>
      </c>
      <c r="D65" s="18">
        <f t="shared" si="57"/>
        <v>2.375</v>
      </c>
      <c r="E65" s="18">
        <f t="shared" si="57"/>
        <v>3.75</v>
      </c>
      <c r="F65" s="18">
        <f t="shared" si="57"/>
        <v>4.9000000000000057</v>
      </c>
      <c r="G65" s="18">
        <f t="shared" si="57"/>
        <v>7.3999999999999986</v>
      </c>
      <c r="H65" s="18">
        <f t="shared" si="57"/>
        <v>8</v>
      </c>
      <c r="I65" s="18">
        <f t="shared" si="57"/>
        <v>5.8999999999999986</v>
      </c>
      <c r="J65" s="18">
        <f t="shared" si="57"/>
        <v>7.7999999999999972</v>
      </c>
      <c r="K65" s="18">
        <f t="shared" si="57"/>
        <v>11.299999999999997</v>
      </c>
      <c r="L65" s="18">
        <f t="shared" si="57"/>
        <v>12.399999999999999</v>
      </c>
      <c r="M65" s="18">
        <f t="shared" si="57"/>
        <v>13.5</v>
      </c>
      <c r="N65" s="18">
        <f t="shared" si="57"/>
        <v>11.799999999999997</v>
      </c>
      <c r="O65" s="18">
        <f t="shared" si="57"/>
        <v>8.8999999999999986</v>
      </c>
      <c r="P65" s="18">
        <f t="shared" si="57"/>
        <v>6.2000000000000028</v>
      </c>
      <c r="Q65" s="18">
        <f t="shared" si="57"/>
        <v>5.3999999999999986</v>
      </c>
      <c r="R65" s="18">
        <f t="shared" si="57"/>
        <v>4.2999999999999972</v>
      </c>
      <c r="S65" s="18">
        <f t="shared" si="57"/>
        <v>4</v>
      </c>
      <c r="T65" s="18">
        <f t="shared" si="57"/>
        <v>4.6000000000000014</v>
      </c>
      <c r="W65" s="11">
        <f>AD22</f>
        <v>49.8</v>
      </c>
      <c r="X65" s="11">
        <f>AJ22</f>
        <v>51</v>
      </c>
      <c r="Y65" s="11">
        <f t="shared" si="48"/>
        <v>1.2000000000000028</v>
      </c>
      <c r="Z65" s="18">
        <f>AVERAGE(B65:T65)</f>
        <v>6.7097222222222213</v>
      </c>
    </row>
    <row r="66" spans="1:26">
      <c r="A66" s="6">
        <f t="shared" si="46"/>
        <v>2021</v>
      </c>
      <c r="B66" s="18" t="str">
        <f t="shared" ref="B66:T66" si="58">IF(B23="","",B23-AVERAGE(B13:B22))</f>
        <v/>
      </c>
      <c r="C66" s="18">
        <f t="shared" si="58"/>
        <v>-3.5</v>
      </c>
      <c r="D66" s="18">
        <f t="shared" si="58"/>
        <v>-7.5</v>
      </c>
      <c r="E66" s="18">
        <f t="shared" si="58"/>
        <v>-8.625</v>
      </c>
      <c r="F66" s="18">
        <f t="shared" si="58"/>
        <v>-5.4000000000000057</v>
      </c>
      <c r="G66" s="18">
        <f t="shared" si="58"/>
        <v>-5.0999999999999943</v>
      </c>
      <c r="H66" s="18">
        <f t="shared" si="58"/>
        <v>-4.6000000000000014</v>
      </c>
      <c r="I66" s="18">
        <f t="shared" si="58"/>
        <v>-2.2000000000000028</v>
      </c>
      <c r="J66" s="18">
        <f t="shared" si="58"/>
        <v>-3.3999999999999986</v>
      </c>
      <c r="K66" s="18">
        <f t="shared" si="58"/>
        <v>-1.2999999999999972</v>
      </c>
      <c r="L66" s="18">
        <f t="shared" si="58"/>
        <v>-1.2999999999999972</v>
      </c>
      <c r="M66" s="18">
        <f t="shared" si="58"/>
        <v>-4.2999999999999972</v>
      </c>
      <c r="N66" s="18">
        <f t="shared" si="58"/>
        <v>-5</v>
      </c>
      <c r="O66" s="18">
        <f t="shared" si="58"/>
        <v>-4.6000000000000014</v>
      </c>
      <c r="P66" s="18">
        <f t="shared" si="58"/>
        <v>-3</v>
      </c>
      <c r="Q66" s="18">
        <f t="shared" si="58"/>
        <v>-2.7999999999999972</v>
      </c>
      <c r="R66" s="18">
        <f t="shared" si="58"/>
        <v>-0.70000000000000284</v>
      </c>
      <c r="S66" s="18">
        <f t="shared" si="58"/>
        <v>-1</v>
      </c>
      <c r="T66" s="18">
        <f t="shared" si="58"/>
        <v>-1.3999999999999986</v>
      </c>
      <c r="W66" s="11">
        <f>AD23</f>
        <v>50.8</v>
      </c>
      <c r="X66" s="11">
        <f>AJ23</f>
        <v>51.7</v>
      </c>
      <c r="Y66" s="11">
        <f t="shared" si="48"/>
        <v>0.90000000000000568</v>
      </c>
      <c r="Z66" s="18">
        <f>AVERAGE(B66:T66)</f>
        <v>-3.6513888888888886</v>
      </c>
    </row>
    <row r="67" spans="1:26">
      <c r="A67" s="6">
        <f t="shared" si="46"/>
        <v>2022</v>
      </c>
      <c r="B67" s="18" t="str">
        <f t="shared" ref="B67:T67" si="59">IF(B24="","",B24-AVERAGE(B14:B23))</f>
        <v/>
      </c>
      <c r="C67" s="18" t="str">
        <f t="shared" si="59"/>
        <v/>
      </c>
      <c r="D67" s="18">
        <f t="shared" si="59"/>
        <v>1.125</v>
      </c>
      <c r="E67" s="18">
        <f t="shared" si="59"/>
        <v>0.375</v>
      </c>
      <c r="F67" s="18">
        <f t="shared" si="59"/>
        <v>9.9999999999994316E-2</v>
      </c>
      <c r="G67" s="18">
        <f t="shared" si="59"/>
        <v>-0.39999999999999858</v>
      </c>
      <c r="H67" s="18">
        <f t="shared" si="59"/>
        <v>-0.89999999999999858</v>
      </c>
      <c r="I67" s="18">
        <f t="shared" si="59"/>
        <v>-0.79999999999999716</v>
      </c>
      <c r="J67" s="18">
        <f t="shared" si="59"/>
        <v>-2</v>
      </c>
      <c r="K67" s="18">
        <f t="shared" si="59"/>
        <v>-1.2999999999999972</v>
      </c>
      <c r="L67" s="18">
        <f t="shared" si="59"/>
        <v>-2.2000000000000028</v>
      </c>
      <c r="M67" s="18">
        <f t="shared" si="59"/>
        <v>-2.8999999999999986</v>
      </c>
      <c r="N67" s="18">
        <f t="shared" si="59"/>
        <v>-3.7000000000000028</v>
      </c>
      <c r="O67" s="18">
        <f t="shared" si="59"/>
        <v>-3.5</v>
      </c>
      <c r="P67" s="18">
        <f t="shared" si="59"/>
        <v>-3.1000000000000014</v>
      </c>
      <c r="Q67" s="18">
        <f t="shared" si="59"/>
        <v>-3.8999999999999986</v>
      </c>
      <c r="R67" s="18">
        <f t="shared" si="59"/>
        <v>-4.2000000000000028</v>
      </c>
      <c r="S67" s="18">
        <f t="shared" si="59"/>
        <v>-4.5</v>
      </c>
      <c r="T67" s="18">
        <f t="shared" si="59"/>
        <v>-4.7999999999999972</v>
      </c>
      <c r="W67" s="11">
        <f>AD24</f>
        <v>51.5</v>
      </c>
      <c r="X67" s="11">
        <f>AJ24</f>
        <v>49.6</v>
      </c>
      <c r="Y67" s="11">
        <f t="shared" si="48"/>
        <v>-1.8999999999999986</v>
      </c>
      <c r="Z67" s="18">
        <f>AVERAGE(B67:T67)</f>
        <v>-2.1529411764705881</v>
      </c>
    </row>
    <row r="68" spans="1:26">
      <c r="A68" s="6">
        <f t="shared" si="46"/>
        <v>2023</v>
      </c>
      <c r="B68" s="18" t="str">
        <f t="shared" ref="B68:T68" si="60">IF(B25="","",B25-AVERAGE(B15:B24))</f>
        <v/>
      </c>
      <c r="C68" s="18">
        <f t="shared" si="60"/>
        <v>-9</v>
      </c>
      <c r="D68" s="18">
        <f t="shared" si="60"/>
        <v>-11.125</v>
      </c>
      <c r="E68" s="18">
        <f t="shared" si="60"/>
        <v>-15.125</v>
      </c>
      <c r="F68" s="18">
        <f t="shared" si="60"/>
        <v>-15.099999999999994</v>
      </c>
      <c r="G68" s="18">
        <f t="shared" si="60"/>
        <v>-15.200000000000003</v>
      </c>
      <c r="H68" s="18">
        <f t="shared" si="60"/>
        <v>-14.099999999999994</v>
      </c>
      <c r="I68" s="18">
        <f t="shared" si="60"/>
        <v>-9.5</v>
      </c>
      <c r="J68" s="18">
        <f t="shared" si="60"/>
        <v>-9.7999999999999972</v>
      </c>
      <c r="K68" s="18">
        <f t="shared" si="60"/>
        <v>-12.400000000000006</v>
      </c>
      <c r="L68" s="18">
        <f t="shared" si="60"/>
        <v>-10.200000000000003</v>
      </c>
      <c r="M68" s="18">
        <f t="shared" si="60"/>
        <v>-4.7000000000000028</v>
      </c>
      <c r="N68" s="18">
        <f t="shared" si="60"/>
        <v>-4.2999999999999972</v>
      </c>
      <c r="O68" s="18">
        <f t="shared" si="60"/>
        <v>-5.2000000000000028</v>
      </c>
      <c r="P68" s="18">
        <f t="shared" si="60"/>
        <v>-9.7999999999999972</v>
      </c>
      <c r="Q68" s="18">
        <f t="shared" si="60"/>
        <v>-10.299999999999997</v>
      </c>
      <c r="R68" s="18">
        <f t="shared" si="60"/>
        <v>-9.3999999999999986</v>
      </c>
      <c r="S68" s="18">
        <f t="shared" si="60"/>
        <v>-11.5</v>
      </c>
      <c r="T68" s="18">
        <f t="shared" si="60"/>
        <v>-9.7999999999999972</v>
      </c>
      <c r="W68" s="11">
        <f>AD25</f>
        <v>52</v>
      </c>
      <c r="X68" s="11">
        <f>AJ25</f>
        <v>50.6</v>
      </c>
      <c r="Y68" s="11">
        <f t="shared" si="48"/>
        <v>-1.3999999999999986</v>
      </c>
      <c r="Z68" s="18">
        <f>AVERAGE(B68:T68)</f>
        <v>-10.363888888888889</v>
      </c>
    </row>
    <row r="69" spans="1:26">
      <c r="A69" s="6">
        <f t="shared" si="46"/>
        <v>2024</v>
      </c>
      <c r="B69" s="18" t="str">
        <f t="shared" ref="B69:T70" si="61">IF(B26="","",B26-AVERAGE(B16:B25))</f>
        <v/>
      </c>
      <c r="C69" s="18" t="str">
        <f t="shared" si="61"/>
        <v/>
      </c>
      <c r="D69" s="18">
        <f t="shared" si="61"/>
        <v>3.1111111111111143</v>
      </c>
      <c r="E69" s="18">
        <f t="shared" si="61"/>
        <v>2.5555555555555571</v>
      </c>
      <c r="F69" s="18">
        <f t="shared" si="61"/>
        <v>2.2000000000000028</v>
      </c>
      <c r="G69" s="18">
        <f t="shared" si="61"/>
        <v>3.2999999999999972</v>
      </c>
      <c r="H69" s="18">
        <f t="shared" si="61"/>
        <v>4.5</v>
      </c>
      <c r="I69" s="18">
        <f t="shared" si="61"/>
        <v>4.7000000000000028</v>
      </c>
      <c r="J69" s="18">
        <f t="shared" si="61"/>
        <v>5.2999999999999972</v>
      </c>
      <c r="K69" s="18">
        <f t="shared" si="61"/>
        <v>3.7999999999999972</v>
      </c>
      <c r="L69" s="18">
        <f t="shared" si="61"/>
        <v>4.7000000000000028</v>
      </c>
      <c r="M69" s="18">
        <f t="shared" si="61"/>
        <v>4.7999999999999972</v>
      </c>
      <c r="N69" s="18">
        <f t="shared" si="61"/>
        <v>5.2000000000000028</v>
      </c>
      <c r="O69" s="18">
        <f t="shared" si="61"/>
        <v>4.2000000000000028</v>
      </c>
      <c r="P69" s="18">
        <f t="shared" si="61"/>
        <v>2.7000000000000028</v>
      </c>
      <c r="Q69" s="18">
        <f t="shared" si="61"/>
        <v>2.8999999999999986</v>
      </c>
      <c r="R69" s="18">
        <f t="shared" si="61"/>
        <v>2.6000000000000014</v>
      </c>
      <c r="S69" s="18">
        <f t="shared" si="61"/>
        <v>2.5</v>
      </c>
      <c r="T69" s="18">
        <f t="shared" si="61"/>
        <v>2</v>
      </c>
      <c r="W69" s="11">
        <f>AD26</f>
        <v>52</v>
      </c>
      <c r="X69" s="11">
        <f>AJ26</f>
        <v>50.7</v>
      </c>
      <c r="Y69" s="11">
        <f t="shared" si="48"/>
        <v>-1.2999999999999972</v>
      </c>
      <c r="Z69" s="18">
        <f>AVERAGE(B69:T69)</f>
        <v>3.5921568627450986</v>
      </c>
    </row>
    <row r="70" spans="1:26">
      <c r="A70" s="6">
        <f t="shared" si="46"/>
        <v>2025</v>
      </c>
      <c r="B70" s="18" t="str">
        <f t="shared" si="61"/>
        <v/>
      </c>
      <c r="C70" s="18">
        <f t="shared" si="61"/>
        <v>-2.2000000000000028</v>
      </c>
      <c r="D70" s="18">
        <f t="shared" si="61"/>
        <v>-0.6666666666666714</v>
      </c>
      <c r="E70" s="18">
        <f t="shared" si="61"/>
        <v>-1.1111111111111143</v>
      </c>
      <c r="F70" s="18">
        <f t="shared" si="61"/>
        <v>1.7000000000000028</v>
      </c>
      <c r="G70" s="18">
        <f t="shared" si="61"/>
        <v>2.7999999999999972</v>
      </c>
      <c r="H70" s="18">
        <f t="shared" si="61"/>
        <v>2.8999999999999986</v>
      </c>
      <c r="I70" s="18">
        <f t="shared" si="61"/>
        <v>7.1000000000000014</v>
      </c>
      <c r="J70" s="18">
        <f t="shared" si="61"/>
        <v>5.7999999999999972</v>
      </c>
      <c r="K70" s="18">
        <f t="shared" si="61"/>
        <v>7.2000000000000028</v>
      </c>
      <c r="L70" s="18">
        <f t="shared" si="61"/>
        <v>6</v>
      </c>
      <c r="M70" s="18">
        <f t="shared" si="61"/>
        <v>5</v>
      </c>
      <c r="N70" s="18">
        <f t="shared" si="61"/>
        <v>5.5</v>
      </c>
      <c r="O70" s="18">
        <f t="shared" si="61"/>
        <v>6.5</v>
      </c>
      <c r="P70" s="18">
        <f t="shared" si="61"/>
        <v>3.3999999999999986</v>
      </c>
      <c r="Q70" s="18">
        <f t="shared" si="61"/>
        <v>2.6000000000000014</v>
      </c>
      <c r="R70" s="18">
        <f t="shared" si="61"/>
        <v>2.3999999999999986</v>
      </c>
      <c r="S70" s="18" t="str">
        <f t="shared" si="61"/>
        <v/>
      </c>
      <c r="T70" s="18" t="str">
        <f t="shared" si="61"/>
        <v/>
      </c>
      <c r="W70" s="11">
        <f>AD27</f>
        <v>52.5</v>
      </c>
      <c r="X70" s="21">
        <f>W70+Y70</f>
        <v>53.09970777777778</v>
      </c>
      <c r="Y70" s="21">
        <v>0.59970777777777773</v>
      </c>
      <c r="Z70" s="18">
        <f>AVERAGE(B70:T70)</f>
        <v>3.4326388888888881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7409-361F-4143-8F0A-9296BEC975D1}">
  <dimension ref="A1:O103"/>
  <sheetViews>
    <sheetView zoomScale="115" zoomScaleNormal="115" workbookViewId="0">
      <pane xSplit="1" ySplit="1" topLeftCell="B25" activePane="bottomRight" state="frozen"/>
      <selection pane="topRight" activeCell="B1" sqref="B1"/>
      <selection pane="bottomLeft" activeCell="A2" sqref="A2"/>
      <selection pane="bottomRight" activeCell="N99" sqref="N97:N99"/>
    </sheetView>
  </sheetViews>
  <sheetFormatPr defaultColWidth="9.140625" defaultRowHeight="11.25"/>
  <cols>
    <col min="1" max="1" width="9.28515625" style="6" bestFit="1" customWidth="1"/>
    <col min="2" max="4" width="10.42578125" style="6" bestFit="1" customWidth="1"/>
    <col min="5" max="5" width="9.28515625" style="6" bestFit="1" customWidth="1"/>
    <col min="6" max="8" width="10.42578125" style="6" bestFit="1" customWidth="1"/>
    <col min="9" max="10" width="9.28515625" style="6" bestFit="1" customWidth="1"/>
    <col min="11" max="13" width="10.42578125" style="6" bestFit="1" customWidth="1"/>
    <col min="14" max="14" width="9.28515625" style="6" bestFit="1" customWidth="1"/>
    <col min="15" max="16384" width="9.140625" style="6"/>
  </cols>
  <sheetData>
    <row r="1" spans="1:14">
      <c r="B1" s="15">
        <v>45396</v>
      </c>
      <c r="C1" s="15">
        <f>B1+7</f>
        <v>45403</v>
      </c>
      <c r="D1" s="15">
        <f t="shared" ref="D1:N1" si="0">C1+7</f>
        <v>45410</v>
      </c>
      <c r="E1" s="15">
        <f t="shared" si="0"/>
        <v>45417</v>
      </c>
      <c r="F1" s="15">
        <f t="shared" si="0"/>
        <v>45424</v>
      </c>
      <c r="G1" s="15">
        <f t="shared" si="0"/>
        <v>45431</v>
      </c>
      <c r="H1" s="15">
        <f t="shared" si="0"/>
        <v>45438</v>
      </c>
      <c r="I1" s="15">
        <f t="shared" si="0"/>
        <v>45445</v>
      </c>
      <c r="J1" s="15">
        <f t="shared" si="0"/>
        <v>45452</v>
      </c>
      <c r="K1" s="15">
        <f t="shared" si="0"/>
        <v>45459</v>
      </c>
      <c r="L1" s="15">
        <f t="shared" si="0"/>
        <v>45466</v>
      </c>
      <c r="M1" s="15">
        <f t="shared" si="0"/>
        <v>45473</v>
      </c>
      <c r="N1" s="15">
        <f t="shared" si="0"/>
        <v>45480</v>
      </c>
    </row>
    <row r="2" spans="1:14">
      <c r="A2" s="6">
        <v>1980</v>
      </c>
      <c r="E2" s="6">
        <v>15</v>
      </c>
      <c r="F2" s="6">
        <v>31</v>
      </c>
      <c r="G2" s="6">
        <v>49</v>
      </c>
      <c r="H2" s="6">
        <v>65</v>
      </c>
      <c r="I2" s="6">
        <v>81</v>
      </c>
      <c r="J2" s="6">
        <v>89</v>
      </c>
      <c r="K2" s="6">
        <v>93</v>
      </c>
      <c r="L2" s="6">
        <v>96</v>
      </c>
      <c r="M2" s="6">
        <v>100</v>
      </c>
      <c r="N2" s="6">
        <v>100</v>
      </c>
    </row>
    <row r="3" spans="1:14">
      <c r="A3" s="6">
        <v>1981</v>
      </c>
      <c r="E3" s="6">
        <v>9</v>
      </c>
      <c r="F3" s="6">
        <v>18</v>
      </c>
      <c r="G3" s="6">
        <v>31</v>
      </c>
      <c r="H3" s="6">
        <v>46</v>
      </c>
      <c r="I3" s="6">
        <v>59</v>
      </c>
      <c r="J3" s="6">
        <v>69</v>
      </c>
      <c r="K3" s="6">
        <v>79</v>
      </c>
      <c r="L3" s="6">
        <v>89</v>
      </c>
      <c r="M3" s="6">
        <v>95</v>
      </c>
      <c r="N3" s="6">
        <v>100</v>
      </c>
    </row>
    <row r="4" spans="1:14">
      <c r="A4" s="6">
        <v>1982</v>
      </c>
      <c r="D4" s="6">
        <v>8</v>
      </c>
      <c r="E4" s="6">
        <v>24</v>
      </c>
      <c r="F4" s="6">
        <v>39</v>
      </c>
      <c r="G4" s="6">
        <v>50</v>
      </c>
      <c r="H4" s="6">
        <v>60</v>
      </c>
      <c r="I4" s="6">
        <v>75</v>
      </c>
      <c r="J4" s="6">
        <v>83</v>
      </c>
      <c r="K4" s="6">
        <v>91</v>
      </c>
      <c r="L4" s="6">
        <v>95</v>
      </c>
      <c r="M4" s="6">
        <v>98</v>
      </c>
      <c r="N4" s="6">
        <v>100</v>
      </c>
    </row>
    <row r="5" spans="1:14">
      <c r="A5" s="6">
        <v>1983</v>
      </c>
      <c r="D5" s="6">
        <v>2</v>
      </c>
      <c r="E5" s="6">
        <v>7</v>
      </c>
      <c r="F5" s="6">
        <v>15</v>
      </c>
      <c r="G5" s="6">
        <v>33</v>
      </c>
      <c r="H5" s="6">
        <v>54</v>
      </c>
      <c r="I5" s="6">
        <v>71</v>
      </c>
      <c r="J5" s="6">
        <v>85</v>
      </c>
      <c r="K5" s="6">
        <v>90</v>
      </c>
      <c r="L5" s="6">
        <v>94</v>
      </c>
      <c r="M5" s="6">
        <v>97</v>
      </c>
      <c r="N5" s="6">
        <v>100</v>
      </c>
    </row>
    <row r="6" spans="1:14">
      <c r="A6" s="6">
        <v>1984</v>
      </c>
      <c r="D6" s="6">
        <v>1</v>
      </c>
      <c r="E6" s="6">
        <v>4</v>
      </c>
      <c r="F6" s="6">
        <v>17</v>
      </c>
      <c r="G6" s="6">
        <v>34</v>
      </c>
      <c r="H6" s="6">
        <v>51</v>
      </c>
      <c r="I6" s="6">
        <v>74</v>
      </c>
      <c r="J6" s="6">
        <v>83</v>
      </c>
      <c r="K6" s="6">
        <v>89</v>
      </c>
      <c r="L6" s="6">
        <v>95</v>
      </c>
      <c r="M6" s="6">
        <v>98</v>
      </c>
      <c r="N6" s="6">
        <v>100</v>
      </c>
    </row>
    <row r="7" spans="1:14">
      <c r="A7" s="6">
        <v>1985</v>
      </c>
      <c r="D7" s="6">
        <v>4</v>
      </c>
      <c r="E7" s="6">
        <v>20</v>
      </c>
      <c r="F7" s="6">
        <v>34</v>
      </c>
      <c r="G7" s="6">
        <v>59</v>
      </c>
      <c r="H7" s="6">
        <v>76</v>
      </c>
      <c r="I7" s="6">
        <v>84</v>
      </c>
      <c r="J7" s="6">
        <v>89</v>
      </c>
      <c r="K7" s="6">
        <v>93</v>
      </c>
      <c r="L7" s="6">
        <v>97</v>
      </c>
      <c r="M7" s="6">
        <v>100</v>
      </c>
      <c r="N7" s="6">
        <v>100</v>
      </c>
    </row>
    <row r="8" spans="1:14">
      <c r="A8" s="6">
        <v>1986</v>
      </c>
      <c r="D8" s="6">
        <v>4</v>
      </c>
      <c r="E8" s="6">
        <v>14</v>
      </c>
      <c r="F8" s="6">
        <v>26</v>
      </c>
      <c r="G8" s="6">
        <v>42</v>
      </c>
      <c r="H8" s="6">
        <v>56</v>
      </c>
      <c r="I8" s="6">
        <v>73</v>
      </c>
      <c r="J8" s="6">
        <v>81</v>
      </c>
      <c r="K8" s="6">
        <v>91</v>
      </c>
      <c r="L8" s="6">
        <v>96</v>
      </c>
      <c r="M8" s="6">
        <v>98</v>
      </c>
      <c r="N8" s="6">
        <v>100</v>
      </c>
    </row>
    <row r="9" spans="1:14">
      <c r="A9" s="6">
        <v>1987</v>
      </c>
      <c r="D9" s="6">
        <v>4</v>
      </c>
      <c r="E9" s="6">
        <v>21</v>
      </c>
      <c r="F9" s="6">
        <v>44</v>
      </c>
      <c r="G9" s="6">
        <v>63</v>
      </c>
      <c r="H9" s="6">
        <v>75</v>
      </c>
      <c r="I9" s="6">
        <v>85</v>
      </c>
      <c r="J9" s="6">
        <v>91</v>
      </c>
      <c r="K9" s="6">
        <v>95</v>
      </c>
      <c r="L9" s="6">
        <v>97</v>
      </c>
      <c r="M9" s="6">
        <v>98</v>
      </c>
      <c r="N9" s="6">
        <v>100</v>
      </c>
    </row>
    <row r="10" spans="1:14">
      <c r="A10" s="6">
        <v>1988</v>
      </c>
      <c r="C10" s="6">
        <v>2</v>
      </c>
      <c r="D10" s="6">
        <v>14</v>
      </c>
      <c r="E10" s="6">
        <v>39</v>
      </c>
      <c r="F10" s="6">
        <v>62</v>
      </c>
      <c r="G10" s="6">
        <v>74</v>
      </c>
      <c r="H10" s="6">
        <v>85</v>
      </c>
      <c r="I10" s="6">
        <v>90</v>
      </c>
      <c r="J10" s="6">
        <v>93</v>
      </c>
      <c r="K10" s="6">
        <v>95</v>
      </c>
      <c r="L10" s="6">
        <v>96</v>
      </c>
      <c r="M10" s="6">
        <v>98</v>
      </c>
      <c r="N10" s="6">
        <v>100</v>
      </c>
    </row>
    <row r="11" spans="1:14">
      <c r="A11" s="6">
        <v>1989</v>
      </c>
      <c r="D11" s="6">
        <v>5</v>
      </c>
      <c r="E11" s="6">
        <v>14</v>
      </c>
      <c r="F11" s="6">
        <v>39</v>
      </c>
      <c r="G11" s="6">
        <v>55</v>
      </c>
      <c r="H11" s="6">
        <v>68</v>
      </c>
      <c r="I11" s="6">
        <v>75</v>
      </c>
      <c r="J11" s="6">
        <v>81</v>
      </c>
      <c r="K11" s="6">
        <v>88</v>
      </c>
      <c r="L11" s="6">
        <v>93</v>
      </c>
      <c r="M11" s="6">
        <v>96</v>
      </c>
      <c r="N11" s="6">
        <v>100</v>
      </c>
    </row>
    <row r="12" spans="1:14">
      <c r="A12" s="6">
        <v>1990</v>
      </c>
      <c r="D12" s="6">
        <v>5</v>
      </c>
      <c r="E12" s="6">
        <v>12</v>
      </c>
      <c r="F12" s="6">
        <v>17</v>
      </c>
      <c r="G12" s="6">
        <v>26</v>
      </c>
      <c r="H12" s="6">
        <v>48</v>
      </c>
      <c r="I12" s="6">
        <v>66</v>
      </c>
      <c r="J12" s="6">
        <v>79</v>
      </c>
      <c r="K12" s="6">
        <v>89</v>
      </c>
      <c r="L12" s="6">
        <v>95</v>
      </c>
      <c r="M12" s="6">
        <v>100</v>
      </c>
      <c r="N12" s="6">
        <v>100</v>
      </c>
    </row>
    <row r="13" spans="1:14">
      <c r="A13" s="6">
        <v>1991</v>
      </c>
      <c r="E13" s="6">
        <v>11</v>
      </c>
      <c r="F13" s="6">
        <v>27</v>
      </c>
      <c r="G13" s="6">
        <v>42</v>
      </c>
      <c r="H13" s="6">
        <v>56</v>
      </c>
      <c r="I13" s="6">
        <v>70</v>
      </c>
      <c r="J13" s="6">
        <v>83</v>
      </c>
      <c r="K13" s="6">
        <v>91</v>
      </c>
      <c r="L13" s="6">
        <v>95</v>
      </c>
      <c r="M13" s="6">
        <v>98</v>
      </c>
      <c r="N13" s="6">
        <v>100</v>
      </c>
    </row>
    <row r="14" spans="1:14">
      <c r="A14" s="6">
        <v>1992</v>
      </c>
      <c r="E14" s="6">
        <v>19</v>
      </c>
      <c r="F14" s="6">
        <v>45</v>
      </c>
      <c r="G14" s="6">
        <v>68</v>
      </c>
      <c r="H14" s="6">
        <v>80</v>
      </c>
      <c r="I14" s="6">
        <v>85</v>
      </c>
      <c r="J14" s="6">
        <v>89</v>
      </c>
      <c r="K14" s="6">
        <v>92</v>
      </c>
      <c r="L14" s="6">
        <v>95</v>
      </c>
      <c r="M14" s="6">
        <v>100</v>
      </c>
      <c r="N14" s="6">
        <v>100</v>
      </c>
    </row>
    <row r="15" spans="1:14">
      <c r="A15" s="16">
        <v>1993</v>
      </c>
      <c r="D15" s="6">
        <v>2</v>
      </c>
      <c r="E15" s="6">
        <v>9</v>
      </c>
      <c r="F15" s="6">
        <v>25</v>
      </c>
      <c r="G15" s="6">
        <v>45</v>
      </c>
      <c r="H15" s="6">
        <v>59</v>
      </c>
      <c r="I15" s="6">
        <v>72</v>
      </c>
      <c r="J15" s="6">
        <v>83</v>
      </c>
      <c r="K15" s="6">
        <v>89</v>
      </c>
      <c r="L15" s="6">
        <v>93</v>
      </c>
      <c r="M15" s="6">
        <v>95</v>
      </c>
      <c r="N15" s="6">
        <v>100</v>
      </c>
    </row>
    <row r="16" spans="1:14">
      <c r="A16" s="6">
        <v>1994</v>
      </c>
      <c r="C16" s="6">
        <v>4</v>
      </c>
      <c r="D16" s="6">
        <v>11</v>
      </c>
      <c r="E16" s="6">
        <v>28</v>
      </c>
      <c r="F16" s="6">
        <v>58</v>
      </c>
      <c r="G16" s="6">
        <v>78</v>
      </c>
      <c r="H16" s="6">
        <v>88</v>
      </c>
      <c r="I16" s="6">
        <v>91</v>
      </c>
      <c r="J16" s="6">
        <v>94</v>
      </c>
      <c r="K16" s="6">
        <v>100</v>
      </c>
      <c r="L16" s="6">
        <v>100</v>
      </c>
      <c r="M16" s="6">
        <v>100</v>
      </c>
      <c r="N16" s="6">
        <v>100</v>
      </c>
    </row>
    <row r="17" spans="1:14">
      <c r="A17" s="6">
        <v>1995</v>
      </c>
      <c r="E17" s="6">
        <v>7</v>
      </c>
      <c r="F17" s="6">
        <v>16</v>
      </c>
      <c r="G17" s="6">
        <v>31</v>
      </c>
      <c r="H17" s="6">
        <v>43</v>
      </c>
      <c r="I17" s="6">
        <v>59</v>
      </c>
      <c r="J17" s="6">
        <v>79</v>
      </c>
      <c r="K17" s="6">
        <v>92</v>
      </c>
      <c r="L17" s="6">
        <v>100</v>
      </c>
      <c r="M17" s="6">
        <v>100</v>
      </c>
      <c r="N17" s="6">
        <v>100</v>
      </c>
    </row>
    <row r="18" spans="1:14">
      <c r="A18" s="6">
        <v>1996</v>
      </c>
      <c r="D18" s="6">
        <v>4</v>
      </c>
      <c r="E18" s="6">
        <v>9</v>
      </c>
      <c r="F18" s="6">
        <v>15</v>
      </c>
      <c r="G18" s="6">
        <v>35</v>
      </c>
      <c r="H18" s="6">
        <v>45</v>
      </c>
      <c r="I18" s="6">
        <v>59</v>
      </c>
      <c r="J18" s="6">
        <v>72</v>
      </c>
      <c r="K18" s="6">
        <v>84</v>
      </c>
      <c r="L18" s="6">
        <v>95</v>
      </c>
      <c r="M18" s="6">
        <v>100</v>
      </c>
      <c r="N18" s="6">
        <v>100</v>
      </c>
    </row>
    <row r="19" spans="1:14">
      <c r="A19" s="6">
        <v>1997</v>
      </c>
      <c r="D19" s="6">
        <v>9</v>
      </c>
      <c r="E19" s="6">
        <v>20</v>
      </c>
      <c r="F19" s="6">
        <v>46</v>
      </c>
      <c r="G19" s="6">
        <v>70</v>
      </c>
      <c r="H19" s="6">
        <v>77</v>
      </c>
      <c r="I19" s="6">
        <v>84</v>
      </c>
      <c r="J19" s="6">
        <v>89</v>
      </c>
      <c r="K19" s="6">
        <v>92</v>
      </c>
      <c r="L19" s="6">
        <v>95</v>
      </c>
      <c r="M19" s="6">
        <v>100</v>
      </c>
      <c r="N19" s="6">
        <v>100</v>
      </c>
    </row>
    <row r="20" spans="1:14">
      <c r="A20" s="6">
        <v>1998</v>
      </c>
      <c r="E20" s="6">
        <v>15</v>
      </c>
      <c r="F20" s="6">
        <v>38</v>
      </c>
      <c r="G20" s="6">
        <v>63</v>
      </c>
      <c r="H20" s="6">
        <v>75</v>
      </c>
      <c r="I20" s="6">
        <v>86</v>
      </c>
      <c r="J20" s="6">
        <v>90</v>
      </c>
      <c r="K20" s="6">
        <v>93</v>
      </c>
      <c r="L20" s="6">
        <v>96</v>
      </c>
      <c r="M20" s="6">
        <v>100</v>
      </c>
      <c r="N20" s="6">
        <v>100</v>
      </c>
    </row>
    <row r="21" spans="1:14">
      <c r="A21" s="6">
        <v>1999</v>
      </c>
      <c r="C21" s="6">
        <v>3</v>
      </c>
      <c r="D21" s="6">
        <v>12</v>
      </c>
      <c r="E21" s="6">
        <v>28</v>
      </c>
      <c r="F21" s="6">
        <v>44</v>
      </c>
      <c r="G21" s="6">
        <v>71</v>
      </c>
      <c r="H21" s="6">
        <v>84</v>
      </c>
      <c r="I21" s="6">
        <v>91</v>
      </c>
      <c r="J21" s="6">
        <v>94</v>
      </c>
      <c r="K21" s="6">
        <v>97</v>
      </c>
      <c r="L21" s="6">
        <v>100</v>
      </c>
      <c r="M21" s="6">
        <v>100</v>
      </c>
      <c r="N21" s="6">
        <v>100</v>
      </c>
    </row>
    <row r="22" spans="1:14">
      <c r="A22" s="6">
        <v>2000</v>
      </c>
      <c r="C22" s="6">
        <v>8</v>
      </c>
      <c r="D22" s="6">
        <v>34</v>
      </c>
      <c r="E22" s="6">
        <v>57</v>
      </c>
      <c r="F22" s="6">
        <v>74</v>
      </c>
      <c r="G22" s="6">
        <v>85</v>
      </c>
      <c r="H22" s="6">
        <v>90</v>
      </c>
      <c r="I22" s="6">
        <v>93</v>
      </c>
      <c r="J22" s="6">
        <v>100</v>
      </c>
      <c r="K22" s="6">
        <v>100</v>
      </c>
      <c r="L22" s="6">
        <v>100</v>
      </c>
      <c r="M22" s="6">
        <v>100</v>
      </c>
      <c r="N22" s="6">
        <v>100</v>
      </c>
    </row>
    <row r="23" spans="1:14">
      <c r="A23" s="6">
        <v>2001</v>
      </c>
      <c r="D23" s="6">
        <v>20</v>
      </c>
      <c r="E23" s="6">
        <v>37</v>
      </c>
      <c r="F23" s="6">
        <v>58</v>
      </c>
      <c r="G23" s="6">
        <v>70</v>
      </c>
      <c r="H23" s="6">
        <v>80</v>
      </c>
      <c r="I23" s="6">
        <v>86</v>
      </c>
      <c r="J23" s="6">
        <v>92</v>
      </c>
      <c r="K23" s="6">
        <v>96</v>
      </c>
      <c r="L23" s="6">
        <v>100</v>
      </c>
      <c r="M23" s="6">
        <v>100</v>
      </c>
      <c r="N23" s="6">
        <v>100</v>
      </c>
    </row>
    <row r="24" spans="1:14">
      <c r="A24" s="6">
        <v>2002</v>
      </c>
      <c r="C24" s="6">
        <v>3</v>
      </c>
      <c r="D24" s="6">
        <v>7</v>
      </c>
      <c r="E24" s="6">
        <v>17</v>
      </c>
      <c r="F24" s="6">
        <v>30</v>
      </c>
      <c r="G24" s="6">
        <v>51</v>
      </c>
      <c r="H24" s="6">
        <v>70</v>
      </c>
      <c r="I24" s="6">
        <v>85</v>
      </c>
      <c r="J24" s="6">
        <v>92</v>
      </c>
      <c r="K24" s="6">
        <v>97</v>
      </c>
      <c r="L24" s="6">
        <v>100</v>
      </c>
      <c r="M24" s="6">
        <v>100</v>
      </c>
      <c r="N24" s="6">
        <v>100</v>
      </c>
    </row>
    <row r="25" spans="1:14">
      <c r="A25" s="6">
        <v>2003</v>
      </c>
      <c r="C25" s="6">
        <v>3</v>
      </c>
      <c r="D25" s="6">
        <v>11</v>
      </c>
      <c r="E25" s="6">
        <v>16</v>
      </c>
      <c r="F25" s="6">
        <v>25</v>
      </c>
      <c r="G25" s="6">
        <v>50</v>
      </c>
      <c r="H25" s="6">
        <v>74</v>
      </c>
      <c r="I25" s="6">
        <v>84</v>
      </c>
      <c r="J25" s="6">
        <v>89</v>
      </c>
      <c r="K25" s="6">
        <v>94</v>
      </c>
      <c r="L25" s="6">
        <v>96</v>
      </c>
      <c r="M25" s="6">
        <v>100</v>
      </c>
      <c r="N25" s="6">
        <v>100</v>
      </c>
    </row>
    <row r="26" spans="1:14">
      <c r="A26" s="6">
        <v>2004</v>
      </c>
      <c r="C26" s="6">
        <v>5</v>
      </c>
      <c r="D26" s="6">
        <v>12</v>
      </c>
      <c r="E26" s="6">
        <v>35</v>
      </c>
      <c r="F26" s="6">
        <v>54</v>
      </c>
      <c r="G26" s="6">
        <v>67</v>
      </c>
      <c r="H26" s="6">
        <v>77</v>
      </c>
      <c r="I26" s="6">
        <v>85</v>
      </c>
      <c r="J26" s="6">
        <v>93</v>
      </c>
      <c r="K26" s="6">
        <v>95</v>
      </c>
      <c r="L26" s="6">
        <v>100</v>
      </c>
      <c r="M26" s="6">
        <v>100</v>
      </c>
      <c r="N26" s="6">
        <v>100</v>
      </c>
    </row>
    <row r="27" spans="1:14">
      <c r="A27" s="6">
        <v>2005</v>
      </c>
      <c r="C27" s="6">
        <v>8</v>
      </c>
      <c r="D27" s="6">
        <v>26</v>
      </c>
      <c r="E27" s="6">
        <v>46</v>
      </c>
      <c r="F27" s="6">
        <v>65</v>
      </c>
      <c r="G27" s="6">
        <v>81</v>
      </c>
      <c r="H27" s="6">
        <v>90</v>
      </c>
      <c r="I27" s="6">
        <v>94</v>
      </c>
      <c r="J27" s="6">
        <v>96</v>
      </c>
      <c r="K27" s="6">
        <v>100</v>
      </c>
      <c r="L27" s="6">
        <v>100</v>
      </c>
      <c r="M27" s="6">
        <v>100</v>
      </c>
      <c r="N27" s="6">
        <v>100</v>
      </c>
    </row>
    <row r="28" spans="1:14">
      <c r="A28" s="6">
        <v>2006</v>
      </c>
      <c r="C28" s="6">
        <v>10</v>
      </c>
      <c r="D28" s="6">
        <v>18</v>
      </c>
      <c r="E28" s="6">
        <v>33</v>
      </c>
      <c r="F28" s="6">
        <v>55</v>
      </c>
      <c r="G28" s="6">
        <v>79</v>
      </c>
      <c r="H28" s="6">
        <v>89</v>
      </c>
      <c r="I28" s="6">
        <v>94</v>
      </c>
      <c r="J28" s="6">
        <v>97</v>
      </c>
      <c r="K28" s="6">
        <v>100</v>
      </c>
      <c r="L28" s="6">
        <v>100</v>
      </c>
      <c r="M28" s="6">
        <v>100</v>
      </c>
      <c r="N28" s="6">
        <v>100</v>
      </c>
    </row>
    <row r="29" spans="1:14">
      <c r="A29" s="6">
        <v>2007</v>
      </c>
      <c r="B29" s="6">
        <v>2</v>
      </c>
      <c r="C29" s="6">
        <v>3</v>
      </c>
      <c r="D29" s="6">
        <v>10</v>
      </c>
      <c r="E29" s="6">
        <v>32</v>
      </c>
      <c r="F29" s="6">
        <v>59</v>
      </c>
      <c r="G29" s="6">
        <v>80</v>
      </c>
      <c r="H29" s="6">
        <v>88</v>
      </c>
      <c r="I29" s="6">
        <v>94</v>
      </c>
      <c r="J29" s="6">
        <v>96</v>
      </c>
      <c r="K29" s="6">
        <v>100</v>
      </c>
      <c r="L29" s="6">
        <v>100</v>
      </c>
      <c r="M29" s="6">
        <v>100</v>
      </c>
      <c r="N29" s="6">
        <v>100</v>
      </c>
    </row>
    <row r="30" spans="1:14">
      <c r="A30" s="16">
        <v>2008</v>
      </c>
      <c r="C30" s="6">
        <v>2</v>
      </c>
      <c r="D30" s="6">
        <v>5</v>
      </c>
      <c r="E30" s="6">
        <v>11</v>
      </c>
      <c r="F30" s="6">
        <v>27</v>
      </c>
      <c r="G30" s="6">
        <v>52</v>
      </c>
      <c r="H30" s="6">
        <v>69</v>
      </c>
      <c r="I30" s="6">
        <v>77</v>
      </c>
      <c r="J30" s="6">
        <v>84</v>
      </c>
      <c r="K30" s="6">
        <v>91</v>
      </c>
      <c r="L30" s="6">
        <v>95</v>
      </c>
      <c r="M30" s="6">
        <v>100</v>
      </c>
      <c r="N30" s="6">
        <v>100</v>
      </c>
    </row>
    <row r="31" spans="1:14">
      <c r="A31" s="16">
        <v>2009</v>
      </c>
      <c r="C31" s="6">
        <v>3</v>
      </c>
      <c r="D31" s="6">
        <v>6</v>
      </c>
      <c r="E31" s="6">
        <v>14</v>
      </c>
      <c r="F31" s="6">
        <v>25</v>
      </c>
      <c r="G31" s="6">
        <v>48</v>
      </c>
      <c r="H31" s="6">
        <v>66</v>
      </c>
      <c r="I31" s="6">
        <v>78</v>
      </c>
      <c r="J31" s="6">
        <v>87</v>
      </c>
      <c r="K31" s="6">
        <v>91</v>
      </c>
      <c r="L31" s="6">
        <v>96</v>
      </c>
      <c r="M31" s="6">
        <v>100</v>
      </c>
      <c r="N31" s="6">
        <v>100</v>
      </c>
    </row>
    <row r="32" spans="1:14">
      <c r="A32" s="6">
        <v>2010</v>
      </c>
      <c r="C32" s="6">
        <v>15</v>
      </c>
      <c r="D32" s="6">
        <v>30</v>
      </c>
      <c r="E32" s="6">
        <v>38</v>
      </c>
      <c r="F32" s="6">
        <v>53</v>
      </c>
      <c r="G32" s="6">
        <v>74</v>
      </c>
      <c r="H32" s="6">
        <v>84</v>
      </c>
      <c r="I32" s="6">
        <v>91</v>
      </c>
      <c r="J32" s="6">
        <v>93</v>
      </c>
      <c r="K32" s="6">
        <v>97</v>
      </c>
      <c r="L32" s="6">
        <v>100</v>
      </c>
      <c r="M32" s="6">
        <v>100</v>
      </c>
      <c r="N32" s="6">
        <v>100</v>
      </c>
    </row>
    <row r="33" spans="1:14">
      <c r="A33" s="6">
        <v>2011</v>
      </c>
      <c r="D33" s="6">
        <v>7</v>
      </c>
      <c r="E33" s="6">
        <v>22</v>
      </c>
      <c r="F33" s="6">
        <v>41</v>
      </c>
      <c r="G33" s="6">
        <v>51</v>
      </c>
      <c r="H33" s="6">
        <v>68</v>
      </c>
      <c r="I33" s="6">
        <v>87</v>
      </c>
      <c r="J33" s="6">
        <v>94</v>
      </c>
      <c r="K33" s="6">
        <v>97</v>
      </c>
      <c r="L33" s="6">
        <v>100</v>
      </c>
      <c r="M33" s="6">
        <v>100</v>
      </c>
      <c r="N33" s="6">
        <v>100</v>
      </c>
    </row>
    <row r="34" spans="1:14">
      <c r="A34" s="6">
        <v>2012</v>
      </c>
      <c r="B34" s="6">
        <v>6</v>
      </c>
      <c r="C34" s="6">
        <v>12</v>
      </c>
      <c r="D34" s="6">
        <v>24</v>
      </c>
      <c r="E34" s="6">
        <v>46</v>
      </c>
      <c r="F34" s="6">
        <v>76</v>
      </c>
      <c r="G34" s="6">
        <v>89</v>
      </c>
      <c r="H34" s="6">
        <v>94</v>
      </c>
      <c r="I34" s="6">
        <v>97</v>
      </c>
      <c r="J34" s="6">
        <v>100</v>
      </c>
      <c r="K34" s="6">
        <v>100</v>
      </c>
      <c r="L34" s="6">
        <v>100</v>
      </c>
      <c r="M34" s="6">
        <v>100</v>
      </c>
      <c r="N34" s="6">
        <v>100</v>
      </c>
    </row>
    <row r="35" spans="1:14">
      <c r="A35" s="16">
        <v>2013</v>
      </c>
      <c r="D35" s="6">
        <v>2</v>
      </c>
      <c r="E35" s="6">
        <v>6</v>
      </c>
      <c r="F35" s="6">
        <v>24</v>
      </c>
      <c r="G35" s="6">
        <v>44</v>
      </c>
      <c r="H35" s="6">
        <v>57</v>
      </c>
      <c r="I35" s="6">
        <v>71</v>
      </c>
      <c r="J35" s="6">
        <v>85</v>
      </c>
      <c r="K35" s="6">
        <v>92</v>
      </c>
      <c r="L35" s="6">
        <v>96</v>
      </c>
      <c r="M35" s="6">
        <v>100</v>
      </c>
      <c r="N35" s="6">
        <v>100</v>
      </c>
    </row>
    <row r="36" spans="1:14">
      <c r="A36" s="16">
        <v>2014</v>
      </c>
      <c r="C36" s="6">
        <v>3</v>
      </c>
      <c r="D36" s="6">
        <v>5</v>
      </c>
      <c r="E36" s="6">
        <v>20</v>
      </c>
      <c r="F36" s="6">
        <v>33</v>
      </c>
      <c r="G36" s="6">
        <v>59</v>
      </c>
      <c r="H36" s="6">
        <v>78</v>
      </c>
      <c r="I36" s="6">
        <v>87</v>
      </c>
      <c r="J36" s="6">
        <v>92</v>
      </c>
      <c r="K36" s="6">
        <v>95</v>
      </c>
      <c r="L36" s="6">
        <v>100</v>
      </c>
      <c r="M36" s="6">
        <v>100</v>
      </c>
      <c r="N36" s="6">
        <v>100</v>
      </c>
    </row>
    <row r="37" spans="1:14">
      <c r="A37" s="6">
        <v>2015</v>
      </c>
      <c r="C37" s="6">
        <v>2</v>
      </c>
      <c r="D37" s="6">
        <v>13</v>
      </c>
      <c r="E37" s="6">
        <v>31</v>
      </c>
      <c r="F37" s="6">
        <v>45</v>
      </c>
      <c r="G37" s="6">
        <v>61</v>
      </c>
      <c r="H37" s="6">
        <v>71</v>
      </c>
      <c r="I37" s="6">
        <v>79</v>
      </c>
      <c r="J37" s="6">
        <v>87</v>
      </c>
      <c r="K37" s="6">
        <v>90</v>
      </c>
      <c r="L37" s="6">
        <v>94</v>
      </c>
      <c r="M37" s="6">
        <v>96</v>
      </c>
      <c r="N37" s="6">
        <v>100</v>
      </c>
    </row>
    <row r="38" spans="1:14">
      <c r="A38" s="6">
        <v>2016</v>
      </c>
      <c r="B38" s="6">
        <v>3</v>
      </c>
      <c r="C38" s="6">
        <v>8</v>
      </c>
      <c r="D38" s="6">
        <v>23</v>
      </c>
      <c r="E38" s="6">
        <v>36</v>
      </c>
      <c r="F38" s="6">
        <v>56</v>
      </c>
      <c r="G38" s="6">
        <v>73</v>
      </c>
      <c r="H38" s="6">
        <v>83</v>
      </c>
      <c r="I38" s="6">
        <v>92</v>
      </c>
      <c r="J38" s="6">
        <v>96</v>
      </c>
      <c r="K38" s="6">
        <v>100</v>
      </c>
      <c r="L38" s="6">
        <v>100</v>
      </c>
      <c r="M38" s="6">
        <v>100</v>
      </c>
      <c r="N38" s="6">
        <v>100</v>
      </c>
    </row>
    <row r="39" spans="1:14">
      <c r="A39" s="6">
        <v>2017</v>
      </c>
      <c r="B39" s="6">
        <v>6</v>
      </c>
      <c r="C39" s="6">
        <v>10</v>
      </c>
      <c r="D39" s="6">
        <v>14</v>
      </c>
      <c r="E39" s="6">
        <v>32</v>
      </c>
      <c r="F39" s="6">
        <v>53</v>
      </c>
      <c r="G39" s="6">
        <v>67</v>
      </c>
      <c r="H39" s="6">
        <v>83</v>
      </c>
      <c r="I39" s="6">
        <v>92</v>
      </c>
      <c r="J39" s="6">
        <v>96</v>
      </c>
      <c r="K39" s="6">
        <v>100</v>
      </c>
      <c r="L39" s="6">
        <v>100</v>
      </c>
      <c r="M39" s="6">
        <v>100</v>
      </c>
      <c r="N39" s="6">
        <v>100</v>
      </c>
    </row>
    <row r="40" spans="1:14">
      <c r="A40" s="6">
        <v>2018</v>
      </c>
      <c r="B40" s="6">
        <v>2</v>
      </c>
      <c r="C40" s="6">
        <v>5</v>
      </c>
      <c r="D40" s="6">
        <v>15</v>
      </c>
      <c r="E40" s="6">
        <v>35</v>
      </c>
      <c r="F40" s="6">
        <v>56</v>
      </c>
      <c r="G40" s="6">
        <v>77</v>
      </c>
      <c r="H40" s="6">
        <v>87</v>
      </c>
      <c r="I40" s="6">
        <v>93</v>
      </c>
      <c r="J40" s="6">
        <v>97</v>
      </c>
      <c r="K40" s="6">
        <v>100</v>
      </c>
      <c r="L40" s="6">
        <v>100</v>
      </c>
      <c r="M40" s="6">
        <v>100</v>
      </c>
      <c r="N40" s="6">
        <v>100</v>
      </c>
    </row>
    <row r="41" spans="1:14">
      <c r="A41" s="6">
        <v>2019</v>
      </c>
      <c r="B41" s="6">
        <v>1</v>
      </c>
      <c r="C41" s="6">
        <v>3</v>
      </c>
      <c r="D41" s="6">
        <v>6</v>
      </c>
      <c r="E41" s="6">
        <v>9</v>
      </c>
      <c r="F41" s="6">
        <v>19</v>
      </c>
      <c r="G41" s="6">
        <v>29</v>
      </c>
      <c r="H41" s="6">
        <v>39</v>
      </c>
      <c r="I41" s="6">
        <v>60</v>
      </c>
      <c r="J41" s="6">
        <v>77</v>
      </c>
      <c r="K41" s="6">
        <v>85</v>
      </c>
      <c r="L41" s="6">
        <v>92</v>
      </c>
      <c r="M41" s="6">
        <v>96</v>
      </c>
      <c r="N41" s="6">
        <v>100</v>
      </c>
    </row>
    <row r="42" spans="1:14">
      <c r="A42" s="6">
        <v>2020</v>
      </c>
      <c r="B42" s="6">
        <v>2</v>
      </c>
      <c r="C42" s="6">
        <v>8</v>
      </c>
      <c r="D42" s="6">
        <v>23</v>
      </c>
      <c r="E42" s="6">
        <v>38</v>
      </c>
      <c r="F42" s="6">
        <v>53</v>
      </c>
      <c r="G42" s="6">
        <v>65</v>
      </c>
      <c r="H42" s="6">
        <v>75</v>
      </c>
      <c r="I42" s="6">
        <v>86</v>
      </c>
      <c r="J42" s="6">
        <v>93</v>
      </c>
      <c r="K42" s="6">
        <v>96</v>
      </c>
      <c r="L42" s="6">
        <v>100</v>
      </c>
      <c r="M42" s="6">
        <v>100</v>
      </c>
      <c r="N42" s="6">
        <v>100</v>
      </c>
    </row>
    <row r="43" spans="1:14">
      <c r="A43" s="6">
        <v>2021</v>
      </c>
      <c r="B43" s="6">
        <v>3</v>
      </c>
      <c r="C43" s="6">
        <v>8</v>
      </c>
      <c r="D43" s="6">
        <v>24</v>
      </c>
      <c r="E43" s="6">
        <v>42</v>
      </c>
      <c r="F43" s="6">
        <v>61</v>
      </c>
      <c r="G43" s="6">
        <v>75</v>
      </c>
      <c r="H43" s="6">
        <v>84</v>
      </c>
      <c r="I43" s="6">
        <v>90</v>
      </c>
      <c r="J43" s="6">
        <v>94</v>
      </c>
      <c r="K43" s="6">
        <v>97</v>
      </c>
      <c r="L43" s="6">
        <v>100</v>
      </c>
      <c r="M43" s="6">
        <v>100</v>
      </c>
      <c r="N43" s="6">
        <v>100</v>
      </c>
    </row>
    <row r="44" spans="1:14">
      <c r="A44" s="6">
        <v>2022</v>
      </c>
      <c r="B44" s="6">
        <v>1</v>
      </c>
      <c r="C44" s="6">
        <v>3</v>
      </c>
      <c r="D44" s="6">
        <v>8</v>
      </c>
      <c r="E44" s="6">
        <v>12</v>
      </c>
      <c r="F44" s="6">
        <v>30</v>
      </c>
      <c r="G44" s="6">
        <v>50</v>
      </c>
      <c r="H44" s="6">
        <v>66</v>
      </c>
      <c r="I44" s="6">
        <v>78</v>
      </c>
      <c r="J44" s="6">
        <v>88</v>
      </c>
      <c r="K44" s="6">
        <v>94</v>
      </c>
      <c r="L44" s="6">
        <v>97</v>
      </c>
      <c r="M44" s="6">
        <v>100</v>
      </c>
      <c r="N44" s="6">
        <v>100</v>
      </c>
    </row>
    <row r="45" spans="1:14">
      <c r="A45" s="6">
        <v>2023</v>
      </c>
      <c r="B45" s="6">
        <v>4</v>
      </c>
      <c r="C45" s="6">
        <v>9</v>
      </c>
      <c r="D45" s="6">
        <v>19</v>
      </c>
      <c r="E45" s="6">
        <v>35</v>
      </c>
      <c r="F45" s="6">
        <v>49</v>
      </c>
      <c r="G45" s="6">
        <v>66</v>
      </c>
      <c r="H45" s="6">
        <v>83</v>
      </c>
      <c r="I45" s="6">
        <v>91</v>
      </c>
      <c r="J45" s="6">
        <v>96</v>
      </c>
      <c r="K45" s="6">
        <v>100</v>
      </c>
      <c r="L45" s="6">
        <v>100</v>
      </c>
      <c r="M45" s="6">
        <v>100</v>
      </c>
      <c r="N45" s="6">
        <v>100</v>
      </c>
    </row>
    <row r="46" spans="1:14">
      <c r="A46" s="6">
        <v>2024</v>
      </c>
      <c r="B46" s="6">
        <v>3</v>
      </c>
      <c r="C46" s="6">
        <v>8</v>
      </c>
      <c r="D46" s="6">
        <v>18</v>
      </c>
      <c r="E46" s="6">
        <v>25</v>
      </c>
      <c r="F46" s="6">
        <v>35</v>
      </c>
      <c r="G46" s="6">
        <v>52</v>
      </c>
      <c r="H46" s="6">
        <v>68</v>
      </c>
      <c r="I46" s="6">
        <v>78</v>
      </c>
      <c r="J46" s="6">
        <v>87</v>
      </c>
      <c r="K46" s="6">
        <v>93</v>
      </c>
      <c r="L46" s="6">
        <v>97</v>
      </c>
      <c r="M46" s="6">
        <v>100</v>
      </c>
      <c r="N46" s="6">
        <v>100</v>
      </c>
    </row>
    <row r="47" spans="1:14">
      <c r="A47" s="6">
        <v>2025</v>
      </c>
      <c r="B47" s="6">
        <v>2</v>
      </c>
      <c r="C47" s="6">
        <v>8</v>
      </c>
      <c r="D47" s="6">
        <v>18</v>
      </c>
      <c r="E47" s="6">
        <v>30</v>
      </c>
      <c r="F47" s="6">
        <v>48</v>
      </c>
      <c r="G47" s="6">
        <v>66</v>
      </c>
      <c r="H47" s="6">
        <v>76</v>
      </c>
      <c r="I47" s="6">
        <v>84</v>
      </c>
      <c r="J47" s="6">
        <v>90</v>
      </c>
      <c r="K47" s="6">
        <v>93</v>
      </c>
      <c r="L47" s="6">
        <v>96</v>
      </c>
      <c r="M47" s="6">
        <v>100</v>
      </c>
      <c r="N47" s="6">
        <v>100</v>
      </c>
    </row>
    <row r="48" spans="1:14">
      <c r="E48" s="17">
        <f>D46+E101</f>
        <v>30</v>
      </c>
      <c r="F48" s="17">
        <f>E48+F101</f>
        <v>45.2</v>
      </c>
      <c r="G48" s="17">
        <f>F48+G101</f>
        <v>61.2</v>
      </c>
      <c r="I48" s="13"/>
      <c r="J48" s="13"/>
      <c r="K48" s="13"/>
      <c r="L48" s="12"/>
      <c r="M48" s="17">
        <f>IF(L46+L101&gt;100,100,L46+L101)</f>
        <v>99.8</v>
      </c>
      <c r="N48" s="17">
        <f>IF(M48+M101&gt;100,100,M48+M101)</f>
        <v>100</v>
      </c>
    </row>
    <row r="49" spans="1:14">
      <c r="A49" s="6" t="s">
        <v>28</v>
      </c>
      <c r="B49" s="13">
        <f>AVERAGE(B42:B46)</f>
        <v>2.6</v>
      </c>
      <c r="C49" s="13">
        <f t="shared" ref="C49:N49" si="1">AVERAGE(C42:C46)</f>
        <v>7.2</v>
      </c>
      <c r="D49" s="13">
        <f t="shared" si="1"/>
        <v>18.399999999999999</v>
      </c>
      <c r="E49" s="13">
        <f t="shared" si="1"/>
        <v>30.4</v>
      </c>
      <c r="F49" s="13">
        <f t="shared" si="1"/>
        <v>45.6</v>
      </c>
      <c r="G49" s="13">
        <f t="shared" si="1"/>
        <v>61.6</v>
      </c>
      <c r="H49" s="13">
        <f t="shared" si="1"/>
        <v>75.2</v>
      </c>
      <c r="I49" s="13">
        <f t="shared" si="1"/>
        <v>84.6</v>
      </c>
      <c r="J49" s="13">
        <f t="shared" si="1"/>
        <v>91.6</v>
      </c>
      <c r="K49" s="13">
        <f t="shared" si="1"/>
        <v>96</v>
      </c>
      <c r="L49" s="13">
        <f t="shared" si="1"/>
        <v>98.8</v>
      </c>
      <c r="M49" s="13">
        <f t="shared" si="1"/>
        <v>100</v>
      </c>
      <c r="N49" s="13">
        <f t="shared" si="1"/>
        <v>100</v>
      </c>
    </row>
    <row r="50" spans="1:14">
      <c r="A50" s="6" t="s">
        <v>29</v>
      </c>
      <c r="B50" s="13">
        <f>MIN(B42:B46)</f>
        <v>1</v>
      </c>
      <c r="C50" s="13">
        <f t="shared" ref="C50:N50" si="2">MIN(C42:C46)</f>
        <v>3</v>
      </c>
      <c r="D50" s="13">
        <f t="shared" si="2"/>
        <v>8</v>
      </c>
      <c r="E50" s="13">
        <f t="shared" si="2"/>
        <v>12</v>
      </c>
      <c r="F50" s="13">
        <f t="shared" si="2"/>
        <v>30</v>
      </c>
      <c r="G50" s="13">
        <f t="shared" si="2"/>
        <v>50</v>
      </c>
      <c r="H50" s="13">
        <f t="shared" si="2"/>
        <v>66</v>
      </c>
      <c r="I50" s="13">
        <f t="shared" si="2"/>
        <v>78</v>
      </c>
      <c r="J50" s="13">
        <f t="shared" si="2"/>
        <v>87</v>
      </c>
      <c r="K50" s="13">
        <f t="shared" si="2"/>
        <v>93</v>
      </c>
      <c r="L50" s="13">
        <f t="shared" si="2"/>
        <v>97</v>
      </c>
      <c r="M50" s="13">
        <f t="shared" si="2"/>
        <v>100</v>
      </c>
      <c r="N50" s="13">
        <f t="shared" si="2"/>
        <v>100</v>
      </c>
    </row>
    <row r="51" spans="1:14">
      <c r="A51" s="6" t="s">
        <v>30</v>
      </c>
      <c r="B51" s="13">
        <f>MAX(B42:B46)</f>
        <v>4</v>
      </c>
      <c r="C51" s="13">
        <f t="shared" ref="C51:N51" si="3">MAX(C42:C46)</f>
        <v>9</v>
      </c>
      <c r="D51" s="13">
        <f t="shared" si="3"/>
        <v>24</v>
      </c>
      <c r="E51" s="13">
        <f t="shared" si="3"/>
        <v>42</v>
      </c>
      <c r="F51" s="13">
        <f t="shared" si="3"/>
        <v>61</v>
      </c>
      <c r="G51" s="13">
        <f t="shared" si="3"/>
        <v>75</v>
      </c>
      <c r="H51" s="13">
        <f t="shared" si="3"/>
        <v>84</v>
      </c>
      <c r="I51" s="13">
        <f t="shared" si="3"/>
        <v>91</v>
      </c>
      <c r="J51" s="13">
        <f t="shared" si="3"/>
        <v>96</v>
      </c>
      <c r="K51" s="13">
        <f t="shared" si="3"/>
        <v>100</v>
      </c>
      <c r="L51" s="13">
        <f t="shared" si="3"/>
        <v>100</v>
      </c>
      <c r="M51" s="13">
        <f t="shared" si="3"/>
        <v>100</v>
      </c>
      <c r="N51" s="13">
        <f t="shared" si="3"/>
        <v>100</v>
      </c>
    </row>
    <row r="52" spans="1:14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1:14">
      <c r="A53" s="6" t="s">
        <v>31</v>
      </c>
    </row>
    <row r="54" spans="1:14">
      <c r="A54" s="6">
        <f t="shared" ref="A54:A99" si="4">A2</f>
        <v>1980</v>
      </c>
      <c r="B54" s="6">
        <f t="shared" ref="B54:B99" si="5">B2-0</f>
        <v>0</v>
      </c>
      <c r="C54" s="6">
        <f t="shared" ref="C54:N69" si="6">C2-B2</f>
        <v>0</v>
      </c>
      <c r="D54" s="6">
        <f t="shared" si="6"/>
        <v>0</v>
      </c>
      <c r="E54" s="6">
        <f t="shared" si="6"/>
        <v>15</v>
      </c>
      <c r="F54" s="6">
        <f t="shared" si="6"/>
        <v>16</v>
      </c>
      <c r="G54" s="6">
        <f t="shared" si="6"/>
        <v>18</v>
      </c>
      <c r="H54" s="6">
        <f t="shared" si="6"/>
        <v>16</v>
      </c>
      <c r="I54" s="6">
        <f t="shared" si="6"/>
        <v>16</v>
      </c>
      <c r="J54" s="6">
        <f t="shared" si="6"/>
        <v>8</v>
      </c>
      <c r="K54" s="6">
        <f t="shared" si="6"/>
        <v>4</v>
      </c>
      <c r="L54" s="6">
        <f t="shared" si="6"/>
        <v>3</v>
      </c>
      <c r="M54" s="6">
        <f t="shared" si="6"/>
        <v>4</v>
      </c>
      <c r="N54" s="6">
        <f t="shared" si="6"/>
        <v>0</v>
      </c>
    </row>
    <row r="55" spans="1:14">
      <c r="A55" s="6">
        <f t="shared" si="4"/>
        <v>1981</v>
      </c>
      <c r="B55" s="6">
        <f t="shared" si="5"/>
        <v>0</v>
      </c>
      <c r="C55" s="6">
        <f t="shared" si="6"/>
        <v>0</v>
      </c>
      <c r="D55" s="6">
        <f t="shared" si="6"/>
        <v>0</v>
      </c>
      <c r="E55" s="6">
        <f t="shared" si="6"/>
        <v>9</v>
      </c>
      <c r="F55" s="6">
        <f t="shared" si="6"/>
        <v>9</v>
      </c>
      <c r="G55" s="6">
        <f t="shared" si="6"/>
        <v>13</v>
      </c>
      <c r="H55" s="6">
        <f t="shared" si="6"/>
        <v>15</v>
      </c>
      <c r="I55" s="6">
        <f t="shared" si="6"/>
        <v>13</v>
      </c>
      <c r="J55" s="6">
        <f t="shared" si="6"/>
        <v>10</v>
      </c>
      <c r="K55" s="6">
        <f t="shared" si="6"/>
        <v>10</v>
      </c>
      <c r="L55" s="6">
        <f t="shared" si="6"/>
        <v>10</v>
      </c>
      <c r="M55" s="6">
        <f t="shared" si="6"/>
        <v>6</v>
      </c>
      <c r="N55" s="6">
        <f t="shared" si="6"/>
        <v>5</v>
      </c>
    </row>
    <row r="56" spans="1:14">
      <c r="A56" s="6">
        <f t="shared" si="4"/>
        <v>1982</v>
      </c>
      <c r="B56" s="6">
        <f t="shared" si="5"/>
        <v>0</v>
      </c>
      <c r="C56" s="6">
        <f t="shared" si="6"/>
        <v>0</v>
      </c>
      <c r="D56" s="6">
        <f t="shared" si="6"/>
        <v>8</v>
      </c>
      <c r="E56" s="6">
        <f t="shared" si="6"/>
        <v>16</v>
      </c>
      <c r="F56" s="6">
        <f t="shared" si="6"/>
        <v>15</v>
      </c>
      <c r="G56" s="6">
        <f t="shared" si="6"/>
        <v>11</v>
      </c>
      <c r="H56" s="6">
        <f t="shared" si="6"/>
        <v>10</v>
      </c>
      <c r="I56" s="6">
        <f t="shared" si="6"/>
        <v>15</v>
      </c>
      <c r="J56" s="6">
        <f t="shared" si="6"/>
        <v>8</v>
      </c>
      <c r="K56" s="6">
        <f t="shared" si="6"/>
        <v>8</v>
      </c>
      <c r="L56" s="6">
        <f t="shared" si="6"/>
        <v>4</v>
      </c>
      <c r="M56" s="6">
        <f t="shared" si="6"/>
        <v>3</v>
      </c>
      <c r="N56" s="6">
        <f t="shared" si="6"/>
        <v>2</v>
      </c>
    </row>
    <row r="57" spans="1:14">
      <c r="A57" s="6">
        <f t="shared" si="4"/>
        <v>1983</v>
      </c>
      <c r="B57" s="6">
        <f t="shared" si="5"/>
        <v>0</v>
      </c>
      <c r="C57" s="6">
        <f t="shared" si="6"/>
        <v>0</v>
      </c>
      <c r="D57" s="6">
        <f t="shared" si="6"/>
        <v>2</v>
      </c>
      <c r="E57" s="6">
        <f t="shared" si="6"/>
        <v>5</v>
      </c>
      <c r="F57" s="6">
        <f t="shared" si="6"/>
        <v>8</v>
      </c>
      <c r="G57" s="6">
        <f t="shared" si="6"/>
        <v>18</v>
      </c>
      <c r="H57" s="6">
        <f t="shared" si="6"/>
        <v>21</v>
      </c>
      <c r="I57" s="6">
        <f t="shared" si="6"/>
        <v>17</v>
      </c>
      <c r="J57" s="6">
        <f t="shared" si="6"/>
        <v>14</v>
      </c>
      <c r="K57" s="6">
        <f t="shared" si="6"/>
        <v>5</v>
      </c>
      <c r="L57" s="6">
        <f t="shared" si="6"/>
        <v>4</v>
      </c>
      <c r="M57" s="6">
        <f t="shared" si="6"/>
        <v>3</v>
      </c>
      <c r="N57" s="6">
        <f t="shared" si="6"/>
        <v>3</v>
      </c>
    </row>
    <row r="58" spans="1:14">
      <c r="A58" s="6">
        <f t="shared" si="4"/>
        <v>1984</v>
      </c>
      <c r="B58" s="6">
        <f t="shared" si="5"/>
        <v>0</v>
      </c>
      <c r="C58" s="6">
        <f t="shared" si="6"/>
        <v>0</v>
      </c>
      <c r="D58" s="6">
        <f t="shared" si="6"/>
        <v>1</v>
      </c>
      <c r="E58" s="6">
        <f t="shared" si="6"/>
        <v>3</v>
      </c>
      <c r="F58" s="6">
        <f t="shared" si="6"/>
        <v>13</v>
      </c>
      <c r="G58" s="6">
        <f t="shared" si="6"/>
        <v>17</v>
      </c>
      <c r="H58" s="6">
        <f t="shared" si="6"/>
        <v>17</v>
      </c>
      <c r="I58" s="6">
        <f t="shared" si="6"/>
        <v>23</v>
      </c>
      <c r="J58" s="6">
        <f t="shared" si="6"/>
        <v>9</v>
      </c>
      <c r="K58" s="6">
        <f t="shared" si="6"/>
        <v>6</v>
      </c>
      <c r="L58" s="6">
        <f t="shared" si="6"/>
        <v>6</v>
      </c>
      <c r="M58" s="6">
        <f t="shared" si="6"/>
        <v>3</v>
      </c>
      <c r="N58" s="6">
        <f t="shared" si="6"/>
        <v>2</v>
      </c>
    </row>
    <row r="59" spans="1:14">
      <c r="A59" s="6">
        <f t="shared" si="4"/>
        <v>1985</v>
      </c>
      <c r="B59" s="6">
        <f t="shared" si="5"/>
        <v>0</v>
      </c>
      <c r="C59" s="6">
        <f t="shared" si="6"/>
        <v>0</v>
      </c>
      <c r="D59" s="6">
        <f t="shared" si="6"/>
        <v>4</v>
      </c>
      <c r="E59" s="6">
        <f t="shared" si="6"/>
        <v>16</v>
      </c>
      <c r="F59" s="6">
        <f t="shared" si="6"/>
        <v>14</v>
      </c>
      <c r="G59" s="6">
        <f t="shared" si="6"/>
        <v>25</v>
      </c>
      <c r="H59" s="6">
        <f t="shared" si="6"/>
        <v>17</v>
      </c>
      <c r="I59" s="6">
        <f t="shared" si="6"/>
        <v>8</v>
      </c>
      <c r="J59" s="6">
        <f t="shared" si="6"/>
        <v>5</v>
      </c>
      <c r="K59" s="6">
        <f t="shared" si="6"/>
        <v>4</v>
      </c>
      <c r="L59" s="6">
        <f t="shared" si="6"/>
        <v>4</v>
      </c>
      <c r="M59" s="6">
        <f t="shared" si="6"/>
        <v>3</v>
      </c>
      <c r="N59" s="6">
        <f t="shared" si="6"/>
        <v>0</v>
      </c>
    </row>
    <row r="60" spans="1:14">
      <c r="A60" s="6">
        <f t="shared" si="4"/>
        <v>1986</v>
      </c>
      <c r="B60" s="6">
        <f t="shared" si="5"/>
        <v>0</v>
      </c>
      <c r="C60" s="6">
        <f t="shared" si="6"/>
        <v>0</v>
      </c>
      <c r="D60" s="6">
        <f t="shared" si="6"/>
        <v>4</v>
      </c>
      <c r="E60" s="6">
        <f t="shared" si="6"/>
        <v>10</v>
      </c>
      <c r="F60" s="6">
        <f t="shared" si="6"/>
        <v>12</v>
      </c>
      <c r="G60" s="6">
        <f t="shared" si="6"/>
        <v>16</v>
      </c>
      <c r="H60" s="6">
        <f t="shared" si="6"/>
        <v>14</v>
      </c>
      <c r="I60" s="6">
        <f t="shared" si="6"/>
        <v>17</v>
      </c>
      <c r="J60" s="6">
        <f t="shared" si="6"/>
        <v>8</v>
      </c>
      <c r="K60" s="6">
        <f t="shared" si="6"/>
        <v>10</v>
      </c>
      <c r="L60" s="6">
        <f t="shared" si="6"/>
        <v>5</v>
      </c>
      <c r="M60" s="6">
        <f t="shared" si="6"/>
        <v>2</v>
      </c>
      <c r="N60" s="6">
        <f t="shared" si="6"/>
        <v>2</v>
      </c>
    </row>
    <row r="61" spans="1:14">
      <c r="A61" s="6">
        <f t="shared" si="4"/>
        <v>1987</v>
      </c>
      <c r="B61" s="6">
        <f t="shared" si="5"/>
        <v>0</v>
      </c>
      <c r="C61" s="6">
        <f t="shared" si="6"/>
        <v>0</v>
      </c>
      <c r="D61" s="6">
        <f t="shared" si="6"/>
        <v>4</v>
      </c>
      <c r="E61" s="6">
        <f t="shared" si="6"/>
        <v>17</v>
      </c>
      <c r="F61" s="6">
        <f t="shared" si="6"/>
        <v>23</v>
      </c>
      <c r="G61" s="6">
        <f t="shared" si="6"/>
        <v>19</v>
      </c>
      <c r="H61" s="6">
        <f t="shared" si="6"/>
        <v>12</v>
      </c>
      <c r="I61" s="6">
        <f t="shared" si="6"/>
        <v>10</v>
      </c>
      <c r="J61" s="6">
        <f t="shared" si="6"/>
        <v>6</v>
      </c>
      <c r="K61" s="6">
        <f t="shared" si="6"/>
        <v>4</v>
      </c>
      <c r="L61" s="6">
        <f t="shared" si="6"/>
        <v>2</v>
      </c>
      <c r="M61" s="6">
        <f t="shared" si="6"/>
        <v>1</v>
      </c>
      <c r="N61" s="6">
        <f t="shared" si="6"/>
        <v>2</v>
      </c>
    </row>
    <row r="62" spans="1:14">
      <c r="A62" s="6">
        <f t="shared" si="4"/>
        <v>1988</v>
      </c>
      <c r="B62" s="6">
        <f t="shared" si="5"/>
        <v>0</v>
      </c>
      <c r="C62" s="6">
        <f t="shared" si="6"/>
        <v>2</v>
      </c>
      <c r="D62" s="6">
        <f t="shared" si="6"/>
        <v>12</v>
      </c>
      <c r="E62" s="6">
        <f t="shared" si="6"/>
        <v>25</v>
      </c>
      <c r="F62" s="6">
        <f t="shared" si="6"/>
        <v>23</v>
      </c>
      <c r="G62" s="6">
        <f t="shared" si="6"/>
        <v>12</v>
      </c>
      <c r="H62" s="6">
        <f t="shared" si="6"/>
        <v>11</v>
      </c>
      <c r="I62" s="6">
        <f t="shared" si="6"/>
        <v>5</v>
      </c>
      <c r="J62" s="6">
        <f t="shared" si="6"/>
        <v>3</v>
      </c>
      <c r="K62" s="6">
        <f t="shared" si="6"/>
        <v>2</v>
      </c>
      <c r="L62" s="6">
        <f t="shared" si="6"/>
        <v>1</v>
      </c>
      <c r="M62" s="6">
        <f t="shared" si="6"/>
        <v>2</v>
      </c>
      <c r="N62" s="6">
        <f t="shared" si="6"/>
        <v>2</v>
      </c>
    </row>
    <row r="63" spans="1:14">
      <c r="A63" s="6">
        <f t="shared" si="4"/>
        <v>1989</v>
      </c>
      <c r="B63" s="6">
        <f t="shared" si="5"/>
        <v>0</v>
      </c>
      <c r="C63" s="6">
        <f t="shared" si="6"/>
        <v>0</v>
      </c>
      <c r="D63" s="6">
        <f t="shared" si="6"/>
        <v>5</v>
      </c>
      <c r="E63" s="6">
        <f t="shared" si="6"/>
        <v>9</v>
      </c>
      <c r="F63" s="6">
        <f t="shared" si="6"/>
        <v>25</v>
      </c>
      <c r="G63" s="6">
        <f t="shared" si="6"/>
        <v>16</v>
      </c>
      <c r="H63" s="6">
        <f t="shared" si="6"/>
        <v>13</v>
      </c>
      <c r="I63" s="6">
        <f t="shared" si="6"/>
        <v>7</v>
      </c>
      <c r="J63" s="6">
        <f t="shared" si="6"/>
        <v>6</v>
      </c>
      <c r="K63" s="6">
        <f t="shared" si="6"/>
        <v>7</v>
      </c>
      <c r="L63" s="6">
        <f t="shared" si="6"/>
        <v>5</v>
      </c>
      <c r="M63" s="6">
        <f t="shared" si="6"/>
        <v>3</v>
      </c>
      <c r="N63" s="6">
        <f t="shared" si="6"/>
        <v>4</v>
      </c>
    </row>
    <row r="64" spans="1:14">
      <c r="A64" s="6">
        <f t="shared" si="4"/>
        <v>1990</v>
      </c>
      <c r="B64" s="6">
        <f t="shared" si="5"/>
        <v>0</v>
      </c>
      <c r="C64" s="6">
        <f t="shared" si="6"/>
        <v>0</v>
      </c>
      <c r="D64" s="6">
        <f t="shared" si="6"/>
        <v>5</v>
      </c>
      <c r="E64" s="6">
        <f t="shared" si="6"/>
        <v>7</v>
      </c>
      <c r="F64" s="6">
        <f t="shared" si="6"/>
        <v>5</v>
      </c>
      <c r="G64" s="6">
        <f t="shared" si="6"/>
        <v>9</v>
      </c>
      <c r="H64" s="6">
        <f t="shared" si="6"/>
        <v>22</v>
      </c>
      <c r="I64" s="6">
        <f t="shared" si="6"/>
        <v>18</v>
      </c>
      <c r="J64" s="6">
        <f t="shared" si="6"/>
        <v>13</v>
      </c>
      <c r="K64" s="6">
        <f t="shared" si="6"/>
        <v>10</v>
      </c>
      <c r="L64" s="6">
        <f t="shared" si="6"/>
        <v>6</v>
      </c>
      <c r="M64" s="6">
        <f t="shared" si="6"/>
        <v>5</v>
      </c>
      <c r="N64" s="6">
        <f t="shared" si="6"/>
        <v>0</v>
      </c>
    </row>
    <row r="65" spans="1:14">
      <c r="A65" s="6">
        <f t="shared" si="4"/>
        <v>1991</v>
      </c>
      <c r="B65" s="6">
        <f t="shared" si="5"/>
        <v>0</v>
      </c>
      <c r="C65" s="6">
        <f t="shared" si="6"/>
        <v>0</v>
      </c>
      <c r="D65" s="6">
        <f t="shared" si="6"/>
        <v>0</v>
      </c>
      <c r="E65" s="6">
        <f t="shared" si="6"/>
        <v>11</v>
      </c>
      <c r="F65" s="6">
        <f t="shared" si="6"/>
        <v>16</v>
      </c>
      <c r="G65" s="6">
        <f t="shared" si="6"/>
        <v>15</v>
      </c>
      <c r="H65" s="6">
        <f t="shared" si="6"/>
        <v>14</v>
      </c>
      <c r="I65" s="6">
        <f t="shared" si="6"/>
        <v>14</v>
      </c>
      <c r="J65" s="6">
        <f t="shared" si="6"/>
        <v>13</v>
      </c>
      <c r="K65" s="6">
        <f t="shared" si="6"/>
        <v>8</v>
      </c>
      <c r="L65" s="6">
        <f t="shared" si="6"/>
        <v>4</v>
      </c>
      <c r="M65" s="6">
        <f t="shared" si="6"/>
        <v>3</v>
      </c>
      <c r="N65" s="6">
        <f t="shared" si="6"/>
        <v>2</v>
      </c>
    </row>
    <row r="66" spans="1:14">
      <c r="A66" s="6">
        <f t="shared" si="4"/>
        <v>1992</v>
      </c>
      <c r="B66" s="6">
        <f t="shared" si="5"/>
        <v>0</v>
      </c>
      <c r="C66" s="6">
        <f t="shared" si="6"/>
        <v>0</v>
      </c>
      <c r="D66" s="6">
        <f t="shared" si="6"/>
        <v>0</v>
      </c>
      <c r="E66" s="6">
        <f t="shared" si="6"/>
        <v>19</v>
      </c>
      <c r="F66" s="6">
        <f t="shared" si="6"/>
        <v>26</v>
      </c>
      <c r="G66" s="6">
        <f t="shared" si="6"/>
        <v>23</v>
      </c>
      <c r="H66" s="6">
        <f t="shared" si="6"/>
        <v>12</v>
      </c>
      <c r="I66" s="6">
        <f t="shared" si="6"/>
        <v>5</v>
      </c>
      <c r="J66" s="6">
        <f t="shared" si="6"/>
        <v>4</v>
      </c>
      <c r="K66" s="6">
        <f t="shared" si="6"/>
        <v>3</v>
      </c>
      <c r="L66" s="6">
        <f t="shared" si="6"/>
        <v>3</v>
      </c>
      <c r="M66" s="6">
        <f t="shared" si="6"/>
        <v>5</v>
      </c>
      <c r="N66" s="6">
        <f t="shared" si="6"/>
        <v>0</v>
      </c>
    </row>
    <row r="67" spans="1:14">
      <c r="A67" s="6">
        <f t="shared" si="4"/>
        <v>1993</v>
      </c>
      <c r="B67" s="6">
        <f t="shared" si="5"/>
        <v>0</v>
      </c>
      <c r="C67" s="6">
        <f t="shared" si="6"/>
        <v>0</v>
      </c>
      <c r="D67" s="6">
        <f t="shared" si="6"/>
        <v>2</v>
      </c>
      <c r="E67" s="6">
        <f t="shared" si="6"/>
        <v>7</v>
      </c>
      <c r="F67" s="6">
        <f t="shared" si="6"/>
        <v>16</v>
      </c>
      <c r="G67" s="6">
        <f t="shared" si="6"/>
        <v>20</v>
      </c>
      <c r="H67" s="6">
        <f t="shared" si="6"/>
        <v>14</v>
      </c>
      <c r="I67" s="6">
        <f t="shared" si="6"/>
        <v>13</v>
      </c>
      <c r="J67" s="6">
        <f t="shared" si="6"/>
        <v>11</v>
      </c>
      <c r="K67" s="6">
        <f t="shared" si="6"/>
        <v>6</v>
      </c>
      <c r="L67" s="6">
        <f t="shared" si="6"/>
        <v>4</v>
      </c>
      <c r="M67" s="6">
        <f t="shared" si="6"/>
        <v>2</v>
      </c>
      <c r="N67" s="6">
        <f t="shared" si="6"/>
        <v>5</v>
      </c>
    </row>
    <row r="68" spans="1:14">
      <c r="A68" s="6">
        <f t="shared" si="4"/>
        <v>1994</v>
      </c>
      <c r="B68" s="6">
        <f t="shared" si="5"/>
        <v>0</v>
      </c>
      <c r="C68" s="6">
        <f t="shared" si="6"/>
        <v>4</v>
      </c>
      <c r="D68" s="6">
        <f t="shared" si="6"/>
        <v>7</v>
      </c>
      <c r="E68" s="6">
        <f t="shared" si="6"/>
        <v>17</v>
      </c>
      <c r="F68" s="6">
        <f t="shared" si="6"/>
        <v>30</v>
      </c>
      <c r="G68" s="6">
        <f t="shared" si="6"/>
        <v>20</v>
      </c>
      <c r="H68" s="6">
        <f t="shared" si="6"/>
        <v>10</v>
      </c>
      <c r="I68" s="6">
        <f t="shared" si="6"/>
        <v>3</v>
      </c>
      <c r="J68" s="6">
        <f t="shared" si="6"/>
        <v>3</v>
      </c>
      <c r="K68" s="6">
        <f t="shared" si="6"/>
        <v>6</v>
      </c>
      <c r="L68" s="6">
        <f t="shared" si="6"/>
        <v>0</v>
      </c>
      <c r="M68" s="6">
        <f t="shared" si="6"/>
        <v>0</v>
      </c>
      <c r="N68" s="6">
        <f t="shared" si="6"/>
        <v>0</v>
      </c>
    </row>
    <row r="69" spans="1:14">
      <c r="A69" s="6">
        <f t="shared" si="4"/>
        <v>1995</v>
      </c>
      <c r="B69" s="6">
        <f t="shared" si="5"/>
        <v>0</v>
      </c>
      <c r="C69" s="6">
        <f t="shared" si="6"/>
        <v>0</v>
      </c>
      <c r="D69" s="6">
        <f t="shared" si="6"/>
        <v>0</v>
      </c>
      <c r="E69" s="6">
        <f t="shared" si="6"/>
        <v>7</v>
      </c>
      <c r="F69" s="6">
        <f t="shared" si="6"/>
        <v>9</v>
      </c>
      <c r="G69" s="6">
        <f t="shared" si="6"/>
        <v>15</v>
      </c>
      <c r="H69" s="6">
        <f t="shared" si="6"/>
        <v>12</v>
      </c>
      <c r="I69" s="6">
        <f t="shared" si="6"/>
        <v>16</v>
      </c>
      <c r="J69" s="6">
        <f t="shared" si="6"/>
        <v>20</v>
      </c>
      <c r="K69" s="6">
        <f t="shared" si="6"/>
        <v>13</v>
      </c>
      <c r="L69" s="6">
        <f t="shared" si="6"/>
        <v>8</v>
      </c>
      <c r="M69" s="6">
        <f t="shared" si="6"/>
        <v>0</v>
      </c>
      <c r="N69" s="6">
        <f t="shared" si="6"/>
        <v>0</v>
      </c>
    </row>
    <row r="70" spans="1:14">
      <c r="A70" s="6">
        <f t="shared" si="4"/>
        <v>1996</v>
      </c>
      <c r="B70" s="6">
        <f t="shared" si="5"/>
        <v>0</v>
      </c>
      <c r="C70" s="6">
        <f t="shared" ref="C70:N85" si="7">C18-B18</f>
        <v>0</v>
      </c>
      <c r="D70" s="6">
        <f t="shared" si="7"/>
        <v>4</v>
      </c>
      <c r="E70" s="6">
        <f t="shared" si="7"/>
        <v>5</v>
      </c>
      <c r="F70" s="6">
        <f t="shared" si="7"/>
        <v>6</v>
      </c>
      <c r="G70" s="6">
        <f t="shared" si="7"/>
        <v>20</v>
      </c>
      <c r="H70" s="6">
        <f t="shared" si="7"/>
        <v>10</v>
      </c>
      <c r="I70" s="6">
        <f t="shared" si="7"/>
        <v>14</v>
      </c>
      <c r="J70" s="6">
        <f t="shared" si="7"/>
        <v>13</v>
      </c>
      <c r="K70" s="6">
        <f t="shared" si="7"/>
        <v>12</v>
      </c>
      <c r="L70" s="6">
        <f t="shared" si="7"/>
        <v>11</v>
      </c>
      <c r="M70" s="6">
        <f t="shared" si="7"/>
        <v>5</v>
      </c>
      <c r="N70" s="6">
        <f t="shared" si="7"/>
        <v>0</v>
      </c>
    </row>
    <row r="71" spans="1:14">
      <c r="A71" s="6">
        <f t="shared" si="4"/>
        <v>1997</v>
      </c>
      <c r="B71" s="6">
        <f t="shared" si="5"/>
        <v>0</v>
      </c>
      <c r="C71" s="6">
        <f t="shared" si="7"/>
        <v>0</v>
      </c>
      <c r="D71" s="6">
        <f t="shared" si="7"/>
        <v>9</v>
      </c>
      <c r="E71" s="6">
        <f t="shared" si="7"/>
        <v>11</v>
      </c>
      <c r="F71" s="6">
        <f t="shared" si="7"/>
        <v>26</v>
      </c>
      <c r="G71" s="6">
        <f t="shared" si="7"/>
        <v>24</v>
      </c>
      <c r="H71" s="6">
        <f t="shared" si="7"/>
        <v>7</v>
      </c>
      <c r="I71" s="6">
        <f t="shared" si="7"/>
        <v>7</v>
      </c>
      <c r="J71" s="6">
        <f t="shared" si="7"/>
        <v>5</v>
      </c>
      <c r="K71" s="6">
        <f t="shared" si="7"/>
        <v>3</v>
      </c>
      <c r="L71" s="6">
        <f t="shared" si="7"/>
        <v>3</v>
      </c>
      <c r="M71" s="6">
        <f t="shared" si="7"/>
        <v>5</v>
      </c>
      <c r="N71" s="6">
        <f t="shared" si="7"/>
        <v>0</v>
      </c>
    </row>
    <row r="72" spans="1:14">
      <c r="A72" s="6">
        <f t="shared" si="4"/>
        <v>1998</v>
      </c>
      <c r="B72" s="6">
        <f t="shared" si="5"/>
        <v>0</v>
      </c>
      <c r="C72" s="6">
        <f t="shared" si="7"/>
        <v>0</v>
      </c>
      <c r="D72" s="6">
        <f t="shared" si="7"/>
        <v>0</v>
      </c>
      <c r="E72" s="6">
        <f t="shared" si="7"/>
        <v>15</v>
      </c>
      <c r="F72" s="6">
        <f t="shared" si="7"/>
        <v>23</v>
      </c>
      <c r="G72" s="6">
        <f t="shared" si="7"/>
        <v>25</v>
      </c>
      <c r="H72" s="6">
        <f t="shared" si="7"/>
        <v>12</v>
      </c>
      <c r="I72" s="6">
        <f t="shared" si="7"/>
        <v>11</v>
      </c>
      <c r="J72" s="6">
        <f t="shared" si="7"/>
        <v>4</v>
      </c>
      <c r="K72" s="6">
        <f t="shared" si="7"/>
        <v>3</v>
      </c>
      <c r="L72" s="6">
        <f t="shared" si="7"/>
        <v>3</v>
      </c>
      <c r="M72" s="6">
        <f t="shared" si="7"/>
        <v>4</v>
      </c>
      <c r="N72" s="6">
        <f t="shared" si="7"/>
        <v>0</v>
      </c>
    </row>
    <row r="73" spans="1:14">
      <c r="A73" s="6">
        <f t="shared" si="4"/>
        <v>1999</v>
      </c>
      <c r="B73" s="6">
        <f t="shared" si="5"/>
        <v>0</v>
      </c>
      <c r="C73" s="6">
        <f t="shared" si="7"/>
        <v>3</v>
      </c>
      <c r="D73" s="6">
        <f t="shared" si="7"/>
        <v>9</v>
      </c>
      <c r="E73" s="6">
        <f t="shared" si="7"/>
        <v>16</v>
      </c>
      <c r="F73" s="6">
        <f t="shared" si="7"/>
        <v>16</v>
      </c>
      <c r="G73" s="6">
        <f t="shared" si="7"/>
        <v>27</v>
      </c>
      <c r="H73" s="6">
        <f t="shared" si="7"/>
        <v>13</v>
      </c>
      <c r="I73" s="6">
        <f t="shared" si="7"/>
        <v>7</v>
      </c>
      <c r="J73" s="6">
        <f t="shared" si="7"/>
        <v>3</v>
      </c>
      <c r="K73" s="6">
        <f t="shared" si="7"/>
        <v>3</v>
      </c>
      <c r="L73" s="6">
        <f t="shared" si="7"/>
        <v>3</v>
      </c>
      <c r="M73" s="6">
        <f t="shared" si="7"/>
        <v>0</v>
      </c>
      <c r="N73" s="6">
        <f t="shared" si="7"/>
        <v>0</v>
      </c>
    </row>
    <row r="74" spans="1:14">
      <c r="A74" s="6">
        <f t="shared" si="4"/>
        <v>2000</v>
      </c>
      <c r="B74" s="6">
        <f t="shared" si="5"/>
        <v>0</v>
      </c>
      <c r="C74" s="6">
        <f t="shared" si="7"/>
        <v>8</v>
      </c>
      <c r="D74" s="6">
        <f t="shared" si="7"/>
        <v>26</v>
      </c>
      <c r="E74" s="6">
        <f t="shared" si="7"/>
        <v>23</v>
      </c>
      <c r="F74" s="6">
        <f t="shared" si="7"/>
        <v>17</v>
      </c>
      <c r="G74" s="6">
        <f t="shared" si="7"/>
        <v>11</v>
      </c>
      <c r="H74" s="6">
        <f t="shared" si="7"/>
        <v>5</v>
      </c>
      <c r="I74" s="6">
        <f t="shared" si="7"/>
        <v>3</v>
      </c>
      <c r="J74" s="6">
        <f t="shared" si="7"/>
        <v>7</v>
      </c>
      <c r="K74" s="6">
        <f t="shared" si="7"/>
        <v>0</v>
      </c>
      <c r="L74" s="6">
        <f t="shared" si="7"/>
        <v>0</v>
      </c>
      <c r="M74" s="6">
        <f t="shared" si="7"/>
        <v>0</v>
      </c>
      <c r="N74" s="6">
        <f t="shared" si="7"/>
        <v>0</v>
      </c>
    </row>
    <row r="75" spans="1:14">
      <c r="A75" s="6">
        <f t="shared" si="4"/>
        <v>2001</v>
      </c>
      <c r="B75" s="6">
        <f t="shared" si="5"/>
        <v>0</v>
      </c>
      <c r="C75" s="6">
        <f t="shared" si="7"/>
        <v>0</v>
      </c>
      <c r="D75" s="6">
        <f t="shared" si="7"/>
        <v>20</v>
      </c>
      <c r="E75" s="6">
        <f t="shared" si="7"/>
        <v>17</v>
      </c>
      <c r="F75" s="6">
        <f t="shared" si="7"/>
        <v>21</v>
      </c>
      <c r="G75" s="6">
        <f t="shared" si="7"/>
        <v>12</v>
      </c>
      <c r="H75" s="6">
        <f t="shared" si="7"/>
        <v>10</v>
      </c>
      <c r="I75" s="6">
        <f t="shared" si="7"/>
        <v>6</v>
      </c>
      <c r="J75" s="6">
        <f t="shared" si="7"/>
        <v>6</v>
      </c>
      <c r="K75" s="6">
        <f t="shared" si="7"/>
        <v>4</v>
      </c>
      <c r="L75" s="6">
        <f t="shared" si="7"/>
        <v>4</v>
      </c>
      <c r="M75" s="6">
        <f t="shared" si="7"/>
        <v>0</v>
      </c>
      <c r="N75" s="6">
        <f t="shared" si="7"/>
        <v>0</v>
      </c>
    </row>
    <row r="76" spans="1:14">
      <c r="A76" s="6">
        <f t="shared" si="4"/>
        <v>2002</v>
      </c>
      <c r="B76" s="6">
        <f t="shared" si="5"/>
        <v>0</v>
      </c>
      <c r="C76" s="6">
        <f t="shared" si="7"/>
        <v>3</v>
      </c>
      <c r="D76" s="6">
        <f t="shared" si="7"/>
        <v>4</v>
      </c>
      <c r="E76" s="6">
        <f t="shared" si="7"/>
        <v>10</v>
      </c>
      <c r="F76" s="6">
        <f t="shared" si="7"/>
        <v>13</v>
      </c>
      <c r="G76" s="6">
        <f t="shared" si="7"/>
        <v>21</v>
      </c>
      <c r="H76" s="6">
        <f t="shared" si="7"/>
        <v>19</v>
      </c>
      <c r="I76" s="6">
        <f t="shared" si="7"/>
        <v>15</v>
      </c>
      <c r="J76" s="6">
        <f t="shared" si="7"/>
        <v>7</v>
      </c>
      <c r="K76" s="6">
        <f t="shared" si="7"/>
        <v>5</v>
      </c>
      <c r="L76" s="6">
        <f t="shared" si="7"/>
        <v>3</v>
      </c>
      <c r="M76" s="6">
        <f t="shared" si="7"/>
        <v>0</v>
      </c>
      <c r="N76" s="6">
        <f t="shared" si="7"/>
        <v>0</v>
      </c>
    </row>
    <row r="77" spans="1:14">
      <c r="A77" s="6">
        <f t="shared" si="4"/>
        <v>2003</v>
      </c>
      <c r="B77" s="6">
        <f t="shared" si="5"/>
        <v>0</v>
      </c>
      <c r="C77" s="6">
        <f t="shared" si="7"/>
        <v>3</v>
      </c>
      <c r="D77" s="6">
        <f t="shared" si="7"/>
        <v>8</v>
      </c>
      <c r="E77" s="6">
        <f t="shared" si="7"/>
        <v>5</v>
      </c>
      <c r="F77" s="6">
        <f t="shared" si="7"/>
        <v>9</v>
      </c>
      <c r="G77" s="6">
        <f t="shared" si="7"/>
        <v>25</v>
      </c>
      <c r="H77" s="6">
        <f t="shared" si="7"/>
        <v>24</v>
      </c>
      <c r="I77" s="6">
        <f t="shared" si="7"/>
        <v>10</v>
      </c>
      <c r="J77" s="6">
        <f t="shared" si="7"/>
        <v>5</v>
      </c>
      <c r="K77" s="6">
        <f t="shared" si="7"/>
        <v>5</v>
      </c>
      <c r="L77" s="6">
        <f t="shared" si="7"/>
        <v>2</v>
      </c>
      <c r="M77" s="6">
        <f t="shared" si="7"/>
        <v>4</v>
      </c>
      <c r="N77" s="6">
        <f t="shared" si="7"/>
        <v>0</v>
      </c>
    </row>
    <row r="78" spans="1:14">
      <c r="A78" s="6">
        <f t="shared" si="4"/>
        <v>2004</v>
      </c>
      <c r="B78" s="6">
        <f t="shared" si="5"/>
        <v>0</v>
      </c>
      <c r="C78" s="6">
        <f t="shared" si="7"/>
        <v>5</v>
      </c>
      <c r="D78" s="6">
        <f t="shared" si="7"/>
        <v>7</v>
      </c>
      <c r="E78" s="6">
        <f t="shared" si="7"/>
        <v>23</v>
      </c>
      <c r="F78" s="6">
        <f t="shared" si="7"/>
        <v>19</v>
      </c>
      <c r="G78" s="6">
        <f t="shared" si="7"/>
        <v>13</v>
      </c>
      <c r="H78" s="6">
        <f t="shared" si="7"/>
        <v>10</v>
      </c>
      <c r="I78" s="6">
        <f t="shared" si="7"/>
        <v>8</v>
      </c>
      <c r="J78" s="6">
        <f t="shared" si="7"/>
        <v>8</v>
      </c>
      <c r="K78" s="6">
        <f t="shared" si="7"/>
        <v>2</v>
      </c>
      <c r="L78" s="6">
        <f t="shared" si="7"/>
        <v>5</v>
      </c>
      <c r="M78" s="6">
        <f t="shared" si="7"/>
        <v>0</v>
      </c>
      <c r="N78" s="6">
        <f t="shared" si="7"/>
        <v>0</v>
      </c>
    </row>
    <row r="79" spans="1:14">
      <c r="A79" s="6">
        <f t="shared" si="4"/>
        <v>2005</v>
      </c>
      <c r="B79" s="6">
        <f t="shared" si="5"/>
        <v>0</v>
      </c>
      <c r="C79" s="6">
        <f t="shared" si="7"/>
        <v>8</v>
      </c>
      <c r="D79" s="6">
        <f t="shared" si="7"/>
        <v>18</v>
      </c>
      <c r="E79" s="6">
        <f t="shared" si="7"/>
        <v>20</v>
      </c>
      <c r="F79" s="6">
        <f t="shared" si="7"/>
        <v>19</v>
      </c>
      <c r="G79" s="6">
        <f t="shared" si="7"/>
        <v>16</v>
      </c>
      <c r="H79" s="6">
        <f t="shared" si="7"/>
        <v>9</v>
      </c>
      <c r="I79" s="6">
        <f t="shared" si="7"/>
        <v>4</v>
      </c>
      <c r="J79" s="6">
        <f t="shared" si="7"/>
        <v>2</v>
      </c>
      <c r="K79" s="6">
        <f t="shared" si="7"/>
        <v>4</v>
      </c>
      <c r="L79" s="6">
        <f t="shared" si="7"/>
        <v>0</v>
      </c>
      <c r="M79" s="6">
        <f t="shared" si="7"/>
        <v>0</v>
      </c>
      <c r="N79" s="6">
        <f t="shared" si="7"/>
        <v>0</v>
      </c>
    </row>
    <row r="80" spans="1:14">
      <c r="A80" s="6">
        <f t="shared" si="4"/>
        <v>2006</v>
      </c>
      <c r="B80" s="6">
        <f t="shared" si="5"/>
        <v>0</v>
      </c>
      <c r="C80" s="6">
        <f t="shared" si="7"/>
        <v>10</v>
      </c>
      <c r="D80" s="6">
        <f t="shared" si="7"/>
        <v>8</v>
      </c>
      <c r="E80" s="6">
        <f t="shared" si="7"/>
        <v>15</v>
      </c>
      <c r="F80" s="6">
        <f t="shared" si="7"/>
        <v>22</v>
      </c>
      <c r="G80" s="6">
        <f t="shared" si="7"/>
        <v>24</v>
      </c>
      <c r="H80" s="6">
        <f t="shared" si="7"/>
        <v>10</v>
      </c>
      <c r="I80" s="6">
        <f t="shared" si="7"/>
        <v>5</v>
      </c>
      <c r="J80" s="6">
        <f t="shared" si="7"/>
        <v>3</v>
      </c>
      <c r="K80" s="6">
        <f t="shared" si="7"/>
        <v>3</v>
      </c>
      <c r="L80" s="6">
        <f t="shared" si="7"/>
        <v>0</v>
      </c>
      <c r="M80" s="6">
        <f t="shared" si="7"/>
        <v>0</v>
      </c>
      <c r="N80" s="6">
        <f t="shared" si="7"/>
        <v>0</v>
      </c>
    </row>
    <row r="81" spans="1:14">
      <c r="A81" s="6">
        <f t="shared" si="4"/>
        <v>2007</v>
      </c>
      <c r="B81" s="6">
        <f t="shared" si="5"/>
        <v>2</v>
      </c>
      <c r="C81" s="6">
        <f t="shared" si="7"/>
        <v>1</v>
      </c>
      <c r="D81" s="6">
        <f t="shared" si="7"/>
        <v>7</v>
      </c>
      <c r="E81" s="6">
        <f t="shared" si="7"/>
        <v>22</v>
      </c>
      <c r="F81" s="6">
        <f t="shared" si="7"/>
        <v>27</v>
      </c>
      <c r="G81" s="6">
        <f t="shared" si="7"/>
        <v>21</v>
      </c>
      <c r="H81" s="6">
        <f t="shared" si="7"/>
        <v>8</v>
      </c>
      <c r="I81" s="6">
        <f t="shared" si="7"/>
        <v>6</v>
      </c>
      <c r="J81" s="6">
        <f t="shared" si="7"/>
        <v>2</v>
      </c>
      <c r="K81" s="6">
        <f t="shared" si="7"/>
        <v>4</v>
      </c>
      <c r="L81" s="6">
        <f t="shared" si="7"/>
        <v>0</v>
      </c>
      <c r="M81" s="6">
        <f t="shared" si="7"/>
        <v>0</v>
      </c>
      <c r="N81" s="6">
        <f t="shared" si="7"/>
        <v>0</v>
      </c>
    </row>
    <row r="82" spans="1:14">
      <c r="A82" s="6">
        <f t="shared" si="4"/>
        <v>2008</v>
      </c>
      <c r="B82" s="6">
        <f t="shared" si="5"/>
        <v>0</v>
      </c>
      <c r="C82" s="6">
        <f t="shared" si="7"/>
        <v>2</v>
      </c>
      <c r="D82" s="6">
        <f t="shared" si="7"/>
        <v>3</v>
      </c>
      <c r="E82" s="6">
        <f t="shared" si="7"/>
        <v>6</v>
      </c>
      <c r="F82" s="6">
        <f t="shared" si="7"/>
        <v>16</v>
      </c>
      <c r="G82" s="6">
        <f t="shared" si="7"/>
        <v>25</v>
      </c>
      <c r="H82" s="6">
        <f t="shared" si="7"/>
        <v>17</v>
      </c>
      <c r="I82" s="6">
        <f t="shared" si="7"/>
        <v>8</v>
      </c>
      <c r="J82" s="6">
        <f t="shared" si="7"/>
        <v>7</v>
      </c>
      <c r="K82" s="6">
        <f t="shared" si="7"/>
        <v>7</v>
      </c>
      <c r="L82" s="6">
        <f t="shared" si="7"/>
        <v>4</v>
      </c>
      <c r="M82" s="6">
        <f t="shared" si="7"/>
        <v>5</v>
      </c>
      <c r="N82" s="6">
        <f t="shared" si="7"/>
        <v>0</v>
      </c>
    </row>
    <row r="83" spans="1:14">
      <c r="A83" s="6">
        <f t="shared" si="4"/>
        <v>2009</v>
      </c>
      <c r="B83" s="6">
        <f t="shared" si="5"/>
        <v>0</v>
      </c>
      <c r="C83" s="6">
        <f t="shared" si="7"/>
        <v>3</v>
      </c>
      <c r="D83" s="6">
        <f t="shared" si="7"/>
        <v>3</v>
      </c>
      <c r="E83" s="6">
        <f t="shared" si="7"/>
        <v>8</v>
      </c>
      <c r="F83" s="6">
        <f t="shared" si="7"/>
        <v>11</v>
      </c>
      <c r="G83" s="6">
        <f t="shared" si="7"/>
        <v>23</v>
      </c>
      <c r="H83" s="6">
        <f t="shared" si="7"/>
        <v>18</v>
      </c>
      <c r="I83" s="6">
        <f t="shared" si="7"/>
        <v>12</v>
      </c>
      <c r="J83" s="6">
        <f t="shared" si="7"/>
        <v>9</v>
      </c>
      <c r="K83" s="6">
        <f t="shared" si="7"/>
        <v>4</v>
      </c>
      <c r="L83" s="6">
        <f t="shared" si="7"/>
        <v>5</v>
      </c>
      <c r="M83" s="6">
        <f t="shared" si="7"/>
        <v>4</v>
      </c>
      <c r="N83" s="6">
        <f t="shared" si="7"/>
        <v>0</v>
      </c>
    </row>
    <row r="84" spans="1:14">
      <c r="A84" s="6">
        <f t="shared" si="4"/>
        <v>2010</v>
      </c>
      <c r="B84" s="6">
        <f t="shared" si="5"/>
        <v>0</v>
      </c>
      <c r="C84" s="6">
        <f t="shared" si="7"/>
        <v>15</v>
      </c>
      <c r="D84" s="6">
        <f t="shared" si="7"/>
        <v>15</v>
      </c>
      <c r="E84" s="6">
        <f t="shared" si="7"/>
        <v>8</v>
      </c>
      <c r="F84" s="6">
        <f t="shared" si="7"/>
        <v>15</v>
      </c>
      <c r="G84" s="6">
        <f t="shared" si="7"/>
        <v>21</v>
      </c>
      <c r="H84" s="6">
        <f t="shared" si="7"/>
        <v>10</v>
      </c>
      <c r="I84" s="6">
        <f t="shared" si="7"/>
        <v>7</v>
      </c>
      <c r="J84" s="6">
        <f t="shared" si="7"/>
        <v>2</v>
      </c>
      <c r="K84" s="6">
        <f t="shared" si="7"/>
        <v>4</v>
      </c>
      <c r="L84" s="6">
        <f t="shared" si="7"/>
        <v>3</v>
      </c>
      <c r="M84" s="6">
        <f t="shared" si="7"/>
        <v>0</v>
      </c>
      <c r="N84" s="6">
        <f t="shared" si="7"/>
        <v>0</v>
      </c>
    </row>
    <row r="85" spans="1:14">
      <c r="A85" s="6">
        <f t="shared" si="4"/>
        <v>2011</v>
      </c>
      <c r="B85" s="6">
        <f t="shared" si="5"/>
        <v>0</v>
      </c>
      <c r="C85" s="6">
        <f t="shared" si="7"/>
        <v>0</v>
      </c>
      <c r="D85" s="6">
        <f t="shared" si="7"/>
        <v>7</v>
      </c>
      <c r="E85" s="6">
        <f t="shared" si="7"/>
        <v>15</v>
      </c>
      <c r="F85" s="6">
        <f t="shared" si="7"/>
        <v>19</v>
      </c>
      <c r="G85" s="6">
        <f t="shared" si="7"/>
        <v>10</v>
      </c>
      <c r="H85" s="6">
        <f t="shared" si="7"/>
        <v>17</v>
      </c>
      <c r="I85" s="6">
        <f t="shared" si="7"/>
        <v>19</v>
      </c>
      <c r="J85" s="6">
        <f t="shared" si="7"/>
        <v>7</v>
      </c>
      <c r="K85" s="6">
        <f t="shared" si="7"/>
        <v>3</v>
      </c>
      <c r="L85" s="6">
        <f t="shared" si="7"/>
        <v>3</v>
      </c>
      <c r="M85" s="6">
        <f t="shared" si="7"/>
        <v>0</v>
      </c>
      <c r="N85" s="6">
        <f t="shared" si="7"/>
        <v>0</v>
      </c>
    </row>
    <row r="86" spans="1:14">
      <c r="A86" s="6">
        <f t="shared" si="4"/>
        <v>2012</v>
      </c>
      <c r="B86" s="6">
        <f t="shared" si="5"/>
        <v>6</v>
      </c>
      <c r="C86" s="6">
        <f t="shared" ref="C86:N98" si="8">C34-B34</f>
        <v>6</v>
      </c>
      <c r="D86" s="6">
        <f t="shared" si="8"/>
        <v>12</v>
      </c>
      <c r="E86" s="6">
        <f t="shared" si="8"/>
        <v>22</v>
      </c>
      <c r="F86" s="6">
        <f t="shared" si="8"/>
        <v>30</v>
      </c>
      <c r="G86" s="6">
        <f t="shared" si="8"/>
        <v>13</v>
      </c>
      <c r="H86" s="6">
        <f t="shared" si="8"/>
        <v>5</v>
      </c>
      <c r="I86" s="6">
        <f t="shared" si="8"/>
        <v>3</v>
      </c>
      <c r="J86" s="6">
        <f t="shared" si="8"/>
        <v>3</v>
      </c>
      <c r="K86" s="6">
        <f t="shared" si="8"/>
        <v>0</v>
      </c>
      <c r="L86" s="6">
        <f t="shared" si="8"/>
        <v>0</v>
      </c>
      <c r="M86" s="6">
        <f t="shared" si="8"/>
        <v>0</v>
      </c>
      <c r="N86" s="6">
        <f t="shared" si="8"/>
        <v>0</v>
      </c>
    </row>
    <row r="87" spans="1:14">
      <c r="A87" s="6">
        <f t="shared" si="4"/>
        <v>2013</v>
      </c>
      <c r="B87" s="6">
        <f t="shared" si="5"/>
        <v>0</v>
      </c>
      <c r="C87" s="6">
        <f t="shared" si="8"/>
        <v>0</v>
      </c>
      <c r="D87" s="6">
        <f t="shared" si="8"/>
        <v>2</v>
      </c>
      <c r="E87" s="6">
        <f t="shared" si="8"/>
        <v>4</v>
      </c>
      <c r="F87" s="6">
        <f t="shared" si="8"/>
        <v>18</v>
      </c>
      <c r="G87" s="6">
        <f t="shared" si="8"/>
        <v>20</v>
      </c>
      <c r="H87" s="6">
        <f t="shared" si="8"/>
        <v>13</v>
      </c>
      <c r="I87" s="6">
        <f t="shared" si="8"/>
        <v>14</v>
      </c>
      <c r="J87" s="6">
        <f t="shared" si="8"/>
        <v>14</v>
      </c>
      <c r="K87" s="6">
        <f t="shared" si="8"/>
        <v>7</v>
      </c>
      <c r="L87" s="6">
        <f t="shared" si="8"/>
        <v>4</v>
      </c>
      <c r="M87" s="6">
        <f t="shared" si="8"/>
        <v>4</v>
      </c>
      <c r="N87" s="6">
        <f t="shared" si="8"/>
        <v>0</v>
      </c>
    </row>
    <row r="88" spans="1:14">
      <c r="A88" s="6">
        <f t="shared" si="4"/>
        <v>2014</v>
      </c>
      <c r="B88" s="6">
        <f t="shared" si="5"/>
        <v>0</v>
      </c>
      <c r="C88" s="6">
        <f t="shared" si="8"/>
        <v>3</v>
      </c>
      <c r="D88" s="6">
        <f t="shared" si="8"/>
        <v>2</v>
      </c>
      <c r="E88" s="6">
        <f t="shared" si="8"/>
        <v>15</v>
      </c>
      <c r="F88" s="6">
        <f t="shared" si="8"/>
        <v>13</v>
      </c>
      <c r="G88" s="6">
        <f t="shared" si="8"/>
        <v>26</v>
      </c>
      <c r="H88" s="6">
        <f t="shared" si="8"/>
        <v>19</v>
      </c>
      <c r="I88" s="6">
        <f t="shared" si="8"/>
        <v>9</v>
      </c>
      <c r="J88" s="6">
        <f t="shared" si="8"/>
        <v>5</v>
      </c>
      <c r="K88" s="6">
        <f t="shared" si="8"/>
        <v>3</v>
      </c>
      <c r="L88" s="6">
        <f t="shared" si="8"/>
        <v>5</v>
      </c>
      <c r="M88" s="6">
        <f t="shared" si="8"/>
        <v>0</v>
      </c>
      <c r="N88" s="6">
        <f t="shared" si="8"/>
        <v>0</v>
      </c>
    </row>
    <row r="89" spans="1:14">
      <c r="A89" s="6">
        <f t="shared" si="4"/>
        <v>2015</v>
      </c>
      <c r="B89" s="6">
        <f t="shared" si="5"/>
        <v>0</v>
      </c>
      <c r="C89" s="6">
        <f t="shared" si="8"/>
        <v>2</v>
      </c>
      <c r="D89" s="6">
        <f t="shared" si="8"/>
        <v>11</v>
      </c>
      <c r="E89" s="6">
        <f t="shared" si="8"/>
        <v>18</v>
      </c>
      <c r="F89" s="6">
        <f t="shared" si="8"/>
        <v>14</v>
      </c>
      <c r="G89" s="6">
        <f t="shared" si="8"/>
        <v>16</v>
      </c>
      <c r="H89" s="6">
        <f t="shared" si="8"/>
        <v>10</v>
      </c>
      <c r="I89" s="6">
        <f t="shared" si="8"/>
        <v>8</v>
      </c>
      <c r="J89" s="6">
        <f t="shared" si="8"/>
        <v>8</v>
      </c>
      <c r="K89" s="6">
        <f t="shared" si="8"/>
        <v>3</v>
      </c>
      <c r="L89" s="6">
        <f t="shared" si="8"/>
        <v>4</v>
      </c>
      <c r="M89" s="6">
        <f t="shared" si="8"/>
        <v>2</v>
      </c>
      <c r="N89" s="6">
        <f t="shared" si="8"/>
        <v>4</v>
      </c>
    </row>
    <row r="90" spans="1:14">
      <c r="A90" s="6">
        <f t="shared" si="4"/>
        <v>2016</v>
      </c>
      <c r="B90" s="6">
        <f t="shared" si="5"/>
        <v>3</v>
      </c>
      <c r="C90" s="6">
        <f t="shared" si="8"/>
        <v>5</v>
      </c>
      <c r="D90" s="6">
        <f t="shared" si="8"/>
        <v>15</v>
      </c>
      <c r="E90" s="6">
        <f t="shared" si="8"/>
        <v>13</v>
      </c>
      <c r="F90" s="6">
        <f t="shared" si="8"/>
        <v>20</v>
      </c>
      <c r="G90" s="6">
        <f t="shared" si="8"/>
        <v>17</v>
      </c>
      <c r="H90" s="6">
        <f t="shared" si="8"/>
        <v>10</v>
      </c>
      <c r="I90" s="6">
        <f t="shared" si="8"/>
        <v>9</v>
      </c>
      <c r="J90" s="6">
        <f t="shared" si="8"/>
        <v>4</v>
      </c>
      <c r="K90" s="6">
        <f t="shared" si="8"/>
        <v>4</v>
      </c>
      <c r="L90" s="6">
        <f t="shared" si="8"/>
        <v>0</v>
      </c>
      <c r="M90" s="6">
        <f t="shared" si="8"/>
        <v>0</v>
      </c>
      <c r="N90" s="6">
        <f t="shared" si="8"/>
        <v>0</v>
      </c>
    </row>
    <row r="91" spans="1:14">
      <c r="A91" s="6">
        <f t="shared" si="4"/>
        <v>2017</v>
      </c>
      <c r="B91" s="6">
        <f t="shared" si="5"/>
        <v>6</v>
      </c>
      <c r="C91" s="6">
        <f t="shared" si="8"/>
        <v>4</v>
      </c>
      <c r="D91" s="6">
        <f t="shared" si="8"/>
        <v>4</v>
      </c>
      <c r="E91" s="6">
        <f t="shared" si="8"/>
        <v>18</v>
      </c>
      <c r="F91" s="6">
        <f t="shared" si="8"/>
        <v>21</v>
      </c>
      <c r="G91" s="6">
        <f t="shared" si="8"/>
        <v>14</v>
      </c>
      <c r="H91" s="6">
        <f t="shared" si="8"/>
        <v>16</v>
      </c>
      <c r="I91" s="6">
        <f t="shared" si="8"/>
        <v>9</v>
      </c>
      <c r="J91" s="6">
        <f t="shared" si="8"/>
        <v>4</v>
      </c>
      <c r="K91" s="6">
        <f t="shared" si="8"/>
        <v>4</v>
      </c>
      <c r="L91" s="6">
        <f t="shared" si="8"/>
        <v>0</v>
      </c>
      <c r="M91" s="6">
        <f t="shared" si="8"/>
        <v>0</v>
      </c>
      <c r="N91" s="6">
        <f t="shared" si="8"/>
        <v>0</v>
      </c>
    </row>
    <row r="92" spans="1:14">
      <c r="A92" s="6">
        <f t="shared" si="4"/>
        <v>2018</v>
      </c>
      <c r="B92" s="6">
        <f t="shared" si="5"/>
        <v>2</v>
      </c>
      <c r="C92" s="6">
        <f t="shared" si="8"/>
        <v>3</v>
      </c>
      <c r="D92" s="6">
        <f t="shared" si="8"/>
        <v>10</v>
      </c>
      <c r="E92" s="6">
        <f t="shared" si="8"/>
        <v>20</v>
      </c>
      <c r="F92" s="6">
        <f t="shared" si="8"/>
        <v>21</v>
      </c>
      <c r="G92" s="6">
        <f t="shared" si="8"/>
        <v>21</v>
      </c>
      <c r="H92" s="6">
        <f t="shared" si="8"/>
        <v>10</v>
      </c>
      <c r="I92" s="6">
        <f t="shared" si="8"/>
        <v>6</v>
      </c>
      <c r="J92" s="6">
        <f t="shared" si="8"/>
        <v>4</v>
      </c>
      <c r="K92" s="6">
        <f t="shared" si="8"/>
        <v>3</v>
      </c>
      <c r="L92" s="6">
        <f t="shared" si="8"/>
        <v>0</v>
      </c>
      <c r="M92" s="6">
        <f t="shared" si="8"/>
        <v>0</v>
      </c>
      <c r="N92" s="6">
        <f t="shared" si="8"/>
        <v>0</v>
      </c>
    </row>
    <row r="93" spans="1:14">
      <c r="A93" s="6">
        <f t="shared" si="4"/>
        <v>2019</v>
      </c>
      <c r="B93" s="6">
        <f t="shared" si="5"/>
        <v>1</v>
      </c>
      <c r="C93" s="6">
        <f t="shared" si="8"/>
        <v>2</v>
      </c>
      <c r="D93" s="6">
        <f t="shared" si="8"/>
        <v>3</v>
      </c>
      <c r="E93" s="6">
        <f t="shared" si="8"/>
        <v>3</v>
      </c>
      <c r="F93" s="6">
        <f t="shared" si="8"/>
        <v>10</v>
      </c>
      <c r="G93" s="6">
        <f t="shared" si="8"/>
        <v>10</v>
      </c>
      <c r="H93" s="6">
        <f t="shared" si="8"/>
        <v>10</v>
      </c>
      <c r="I93" s="6">
        <f t="shared" si="8"/>
        <v>21</v>
      </c>
      <c r="J93" s="6">
        <f t="shared" si="8"/>
        <v>17</v>
      </c>
      <c r="K93" s="6">
        <f t="shared" si="8"/>
        <v>8</v>
      </c>
      <c r="L93" s="6">
        <f t="shared" si="8"/>
        <v>7</v>
      </c>
      <c r="M93" s="6">
        <f t="shared" si="8"/>
        <v>4</v>
      </c>
      <c r="N93" s="6">
        <f t="shared" si="8"/>
        <v>4</v>
      </c>
    </row>
    <row r="94" spans="1:14">
      <c r="A94" s="6">
        <f t="shared" si="4"/>
        <v>2020</v>
      </c>
      <c r="B94" s="6">
        <f t="shared" si="5"/>
        <v>2</v>
      </c>
      <c r="C94" s="6">
        <f t="shared" si="8"/>
        <v>6</v>
      </c>
      <c r="D94" s="6">
        <f t="shared" si="8"/>
        <v>15</v>
      </c>
      <c r="E94" s="6">
        <f t="shared" si="8"/>
        <v>15</v>
      </c>
      <c r="F94" s="6">
        <f t="shared" si="8"/>
        <v>15</v>
      </c>
      <c r="G94" s="6">
        <f t="shared" si="8"/>
        <v>12</v>
      </c>
      <c r="H94" s="6">
        <f t="shared" si="8"/>
        <v>10</v>
      </c>
      <c r="I94" s="6">
        <f t="shared" si="8"/>
        <v>11</v>
      </c>
      <c r="J94" s="6">
        <f t="shared" si="8"/>
        <v>7</v>
      </c>
      <c r="K94" s="6">
        <f t="shared" si="8"/>
        <v>3</v>
      </c>
      <c r="L94" s="6">
        <f t="shared" si="8"/>
        <v>4</v>
      </c>
      <c r="M94" s="6">
        <f t="shared" si="8"/>
        <v>0</v>
      </c>
      <c r="N94" s="6">
        <f t="shared" si="8"/>
        <v>0</v>
      </c>
    </row>
    <row r="95" spans="1:14">
      <c r="A95" s="6">
        <f t="shared" si="4"/>
        <v>2021</v>
      </c>
      <c r="B95" s="6">
        <f t="shared" si="5"/>
        <v>3</v>
      </c>
      <c r="C95" s="6">
        <f t="shared" si="8"/>
        <v>5</v>
      </c>
      <c r="D95" s="6">
        <f t="shared" si="8"/>
        <v>16</v>
      </c>
      <c r="E95" s="6">
        <f t="shared" si="8"/>
        <v>18</v>
      </c>
      <c r="F95" s="6">
        <f t="shared" si="8"/>
        <v>19</v>
      </c>
      <c r="G95" s="6">
        <f t="shared" si="8"/>
        <v>14</v>
      </c>
      <c r="H95" s="6">
        <f t="shared" si="8"/>
        <v>9</v>
      </c>
      <c r="I95" s="6">
        <f t="shared" si="8"/>
        <v>6</v>
      </c>
      <c r="J95" s="6">
        <f t="shared" si="8"/>
        <v>4</v>
      </c>
      <c r="K95" s="6">
        <f t="shared" si="8"/>
        <v>3</v>
      </c>
      <c r="L95" s="6">
        <f t="shared" si="8"/>
        <v>3</v>
      </c>
      <c r="M95" s="6">
        <f t="shared" si="8"/>
        <v>0</v>
      </c>
      <c r="N95" s="6">
        <f t="shared" si="8"/>
        <v>0</v>
      </c>
    </row>
    <row r="96" spans="1:14">
      <c r="A96" s="6">
        <f t="shared" si="4"/>
        <v>2022</v>
      </c>
      <c r="B96" s="6">
        <f t="shared" si="5"/>
        <v>1</v>
      </c>
      <c r="C96" s="6">
        <f t="shared" si="8"/>
        <v>2</v>
      </c>
      <c r="D96" s="6">
        <f t="shared" si="8"/>
        <v>5</v>
      </c>
      <c r="E96" s="6">
        <f t="shared" si="8"/>
        <v>4</v>
      </c>
      <c r="F96" s="6">
        <f t="shared" si="8"/>
        <v>18</v>
      </c>
      <c r="G96" s="6">
        <f t="shared" si="8"/>
        <v>20</v>
      </c>
      <c r="H96" s="6">
        <f t="shared" si="8"/>
        <v>16</v>
      </c>
      <c r="I96" s="6">
        <f t="shared" si="8"/>
        <v>12</v>
      </c>
      <c r="J96" s="6">
        <f t="shared" si="8"/>
        <v>10</v>
      </c>
      <c r="K96" s="6">
        <f t="shared" si="8"/>
        <v>6</v>
      </c>
      <c r="L96" s="6">
        <f t="shared" si="8"/>
        <v>3</v>
      </c>
      <c r="M96" s="6">
        <f t="shared" si="8"/>
        <v>3</v>
      </c>
      <c r="N96" s="6">
        <f t="shared" si="8"/>
        <v>0</v>
      </c>
    </row>
    <row r="97" spans="1:15">
      <c r="A97" s="6">
        <f t="shared" si="4"/>
        <v>2023</v>
      </c>
      <c r="B97" s="6">
        <f t="shared" si="5"/>
        <v>4</v>
      </c>
      <c r="C97" s="6">
        <f t="shared" si="8"/>
        <v>5</v>
      </c>
      <c r="D97" s="6">
        <f t="shared" si="8"/>
        <v>10</v>
      </c>
      <c r="E97" s="6">
        <f t="shared" si="8"/>
        <v>16</v>
      </c>
      <c r="F97" s="6">
        <f t="shared" si="8"/>
        <v>14</v>
      </c>
      <c r="G97" s="6">
        <f t="shared" si="8"/>
        <v>17</v>
      </c>
      <c r="H97" s="6">
        <f t="shared" si="8"/>
        <v>17</v>
      </c>
      <c r="I97" s="6">
        <f t="shared" si="8"/>
        <v>8</v>
      </c>
      <c r="J97" s="6">
        <f t="shared" si="8"/>
        <v>5</v>
      </c>
      <c r="K97" s="6">
        <f t="shared" si="8"/>
        <v>4</v>
      </c>
      <c r="L97" s="6">
        <f t="shared" si="8"/>
        <v>0</v>
      </c>
      <c r="M97" s="6">
        <f t="shared" si="8"/>
        <v>0</v>
      </c>
    </row>
    <row r="98" spans="1:15">
      <c r="A98" s="6">
        <f t="shared" si="4"/>
        <v>2024</v>
      </c>
      <c r="B98" s="6">
        <f t="shared" si="5"/>
        <v>3</v>
      </c>
      <c r="C98" s="6">
        <f t="shared" si="8"/>
        <v>5</v>
      </c>
      <c r="D98" s="6">
        <f>D46-C46</f>
        <v>10</v>
      </c>
      <c r="E98" s="6">
        <f t="shared" si="8"/>
        <v>7</v>
      </c>
      <c r="F98" s="6">
        <f t="shared" si="8"/>
        <v>10</v>
      </c>
      <c r="G98" s="6">
        <f t="shared" si="8"/>
        <v>17</v>
      </c>
      <c r="H98" s="6">
        <f t="shared" ref="H98:L99" si="9">H46-G46</f>
        <v>16</v>
      </c>
      <c r="I98" s="6">
        <f t="shared" si="9"/>
        <v>10</v>
      </c>
      <c r="J98" s="6">
        <f t="shared" si="9"/>
        <v>9</v>
      </c>
      <c r="K98" s="6">
        <f t="shared" si="9"/>
        <v>6</v>
      </c>
      <c r="L98" s="6">
        <f t="shared" si="9"/>
        <v>4</v>
      </c>
      <c r="M98" s="6">
        <f>M46-L46</f>
        <v>3</v>
      </c>
    </row>
    <row r="99" spans="1:15">
      <c r="A99" s="6">
        <f t="shared" si="4"/>
        <v>2025</v>
      </c>
      <c r="B99" s="6">
        <f t="shared" si="5"/>
        <v>2</v>
      </c>
      <c r="C99" s="6">
        <f>C47-B47</f>
        <v>6</v>
      </c>
      <c r="D99" s="6">
        <f>D47-C47</f>
        <v>10</v>
      </c>
      <c r="E99" s="6">
        <f>E47-D47</f>
        <v>12</v>
      </c>
      <c r="F99" s="6">
        <f>F47-E47</f>
        <v>18</v>
      </c>
      <c r="G99" s="6">
        <f>G47-F47</f>
        <v>18</v>
      </c>
      <c r="H99" s="6">
        <f t="shared" si="9"/>
        <v>10</v>
      </c>
      <c r="I99" s="6">
        <f t="shared" si="9"/>
        <v>8</v>
      </c>
      <c r="J99" s="6">
        <f t="shared" si="9"/>
        <v>6</v>
      </c>
      <c r="K99" s="6">
        <f t="shared" si="9"/>
        <v>3</v>
      </c>
      <c r="L99" s="6">
        <f t="shared" si="9"/>
        <v>3</v>
      </c>
      <c r="M99" s="6">
        <f>M47-L47</f>
        <v>4</v>
      </c>
    </row>
    <row r="101" spans="1:15">
      <c r="A101" s="6" t="s">
        <v>28</v>
      </c>
      <c r="B101" s="13">
        <f>AVERAGE(B94:B98)</f>
        <v>2.6</v>
      </c>
      <c r="C101" s="13">
        <f t="shared" ref="C101:M101" si="10">AVERAGE(C94:C98)</f>
        <v>4.5999999999999996</v>
      </c>
      <c r="D101" s="13">
        <f t="shared" si="10"/>
        <v>11.2</v>
      </c>
      <c r="E101" s="13">
        <f t="shared" si="10"/>
        <v>12</v>
      </c>
      <c r="F101" s="13">
        <f t="shared" si="10"/>
        <v>15.2</v>
      </c>
      <c r="G101" s="13">
        <f t="shared" si="10"/>
        <v>16</v>
      </c>
      <c r="H101" s="13">
        <f t="shared" si="10"/>
        <v>13.6</v>
      </c>
      <c r="I101" s="13">
        <f t="shared" si="10"/>
        <v>9.4</v>
      </c>
      <c r="J101" s="13">
        <f t="shared" si="10"/>
        <v>7</v>
      </c>
      <c r="K101" s="13">
        <f t="shared" si="10"/>
        <v>4.4000000000000004</v>
      </c>
      <c r="L101" s="13">
        <f t="shared" si="10"/>
        <v>2.8</v>
      </c>
      <c r="M101" s="13">
        <f t="shared" si="10"/>
        <v>1.2</v>
      </c>
      <c r="N101" s="13"/>
      <c r="O101" s="13"/>
    </row>
    <row r="102" spans="1:15">
      <c r="A102" s="6" t="s">
        <v>29</v>
      </c>
      <c r="B102" s="13">
        <f>MIN(B94:B98)</f>
        <v>1</v>
      </c>
      <c r="C102" s="13">
        <f t="shared" ref="C102:M102" si="11">MIN(C94:C98)</f>
        <v>2</v>
      </c>
      <c r="D102" s="13">
        <f t="shared" si="11"/>
        <v>5</v>
      </c>
      <c r="E102" s="13">
        <f t="shared" si="11"/>
        <v>4</v>
      </c>
      <c r="F102" s="13">
        <f t="shared" si="11"/>
        <v>10</v>
      </c>
      <c r="G102" s="13">
        <f t="shared" si="11"/>
        <v>12</v>
      </c>
      <c r="H102" s="13">
        <f t="shared" si="11"/>
        <v>9</v>
      </c>
      <c r="I102" s="13">
        <f t="shared" si="11"/>
        <v>6</v>
      </c>
      <c r="J102" s="13">
        <f t="shared" si="11"/>
        <v>4</v>
      </c>
      <c r="K102" s="13">
        <f t="shared" si="11"/>
        <v>3</v>
      </c>
      <c r="L102" s="13">
        <f t="shared" si="11"/>
        <v>0</v>
      </c>
      <c r="M102" s="13">
        <f t="shared" si="11"/>
        <v>0</v>
      </c>
      <c r="N102" s="13"/>
      <c r="O102" s="13"/>
    </row>
    <row r="103" spans="1:15">
      <c r="A103" s="6" t="s">
        <v>30</v>
      </c>
      <c r="B103" s="13">
        <f>MAX(B94:B98)</f>
        <v>4</v>
      </c>
      <c r="C103" s="13">
        <f t="shared" ref="C103:M103" si="12">MAX(C94:C98)</f>
        <v>6</v>
      </c>
      <c r="D103" s="13">
        <f t="shared" si="12"/>
        <v>16</v>
      </c>
      <c r="E103" s="13">
        <f t="shared" si="12"/>
        <v>18</v>
      </c>
      <c r="F103" s="13">
        <f t="shared" si="12"/>
        <v>19</v>
      </c>
      <c r="G103" s="13">
        <f t="shared" si="12"/>
        <v>20</v>
      </c>
      <c r="H103" s="13">
        <f t="shared" si="12"/>
        <v>17</v>
      </c>
      <c r="I103" s="13">
        <f t="shared" si="12"/>
        <v>12</v>
      </c>
      <c r="J103" s="13">
        <f t="shared" si="12"/>
        <v>10</v>
      </c>
      <c r="K103" s="13">
        <f t="shared" si="12"/>
        <v>6</v>
      </c>
      <c r="L103" s="13">
        <f t="shared" si="12"/>
        <v>4</v>
      </c>
      <c r="M103" s="13">
        <f t="shared" si="12"/>
        <v>3</v>
      </c>
      <c r="N103" s="13"/>
      <c r="O103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99DB2-A5D1-40BA-A014-9EBB11363E65}">
  <dimension ref="A1:N101"/>
  <sheetViews>
    <sheetView zoomScale="130" zoomScaleNormal="130" workbookViewId="0">
      <pane xSplit="1" ySplit="1" topLeftCell="C29" activePane="bottomRight" state="frozen"/>
      <selection pane="topRight" activeCell="B1" sqref="B1"/>
      <selection pane="bottomLeft" activeCell="A2" sqref="A2"/>
      <selection pane="bottomRight" activeCell="I97" sqref="I97:K98"/>
    </sheetView>
  </sheetViews>
  <sheetFormatPr defaultColWidth="9.140625" defaultRowHeight="11.25"/>
  <cols>
    <col min="1" max="16384" width="9.140625" style="6"/>
  </cols>
  <sheetData>
    <row r="1" spans="1:14">
      <c r="B1" s="7">
        <v>45844</v>
      </c>
      <c r="C1" s="7">
        <f>B1+7</f>
        <v>45851</v>
      </c>
      <c r="D1" s="7">
        <f t="shared" ref="D1:N1" si="0">C1+7</f>
        <v>45858</v>
      </c>
      <c r="E1" s="7">
        <f t="shared" si="0"/>
        <v>45865</v>
      </c>
      <c r="F1" s="7">
        <f t="shared" si="0"/>
        <v>45872</v>
      </c>
      <c r="G1" s="7">
        <f t="shared" si="0"/>
        <v>45879</v>
      </c>
      <c r="H1" s="7">
        <f t="shared" si="0"/>
        <v>45886</v>
      </c>
      <c r="I1" s="7">
        <f t="shared" si="0"/>
        <v>45893</v>
      </c>
      <c r="J1" s="7">
        <f t="shared" si="0"/>
        <v>45900</v>
      </c>
      <c r="K1" s="7">
        <f t="shared" si="0"/>
        <v>45907</v>
      </c>
      <c r="L1" s="7">
        <f t="shared" si="0"/>
        <v>45914</v>
      </c>
      <c r="M1" s="7">
        <f t="shared" si="0"/>
        <v>45921</v>
      </c>
      <c r="N1" s="7">
        <f t="shared" si="0"/>
        <v>45928</v>
      </c>
    </row>
    <row r="2" spans="1:14">
      <c r="A2" s="6">
        <v>1981</v>
      </c>
      <c r="B2" s="18">
        <v>0</v>
      </c>
      <c r="C2" s="18">
        <v>0</v>
      </c>
      <c r="D2" s="18">
        <v>0</v>
      </c>
      <c r="E2" s="18">
        <v>7</v>
      </c>
      <c r="F2" s="18">
        <v>17</v>
      </c>
      <c r="G2" s="18">
        <v>29</v>
      </c>
      <c r="H2" s="18">
        <v>44</v>
      </c>
      <c r="I2" s="18">
        <v>58</v>
      </c>
      <c r="J2" s="18">
        <v>72</v>
      </c>
      <c r="K2" s="18">
        <v>86</v>
      </c>
      <c r="L2" s="18">
        <v>94</v>
      </c>
      <c r="M2" s="18">
        <v>100</v>
      </c>
      <c r="N2" s="18">
        <v>100</v>
      </c>
    </row>
    <row r="3" spans="1:14">
      <c r="A3" s="6">
        <v>1982</v>
      </c>
      <c r="B3" s="18">
        <v>0</v>
      </c>
      <c r="C3" s="18">
        <v>0</v>
      </c>
      <c r="D3" s="18">
        <v>0</v>
      </c>
      <c r="E3" s="18">
        <v>14</v>
      </c>
      <c r="F3" s="18">
        <v>27</v>
      </c>
      <c r="G3" s="18">
        <v>43</v>
      </c>
      <c r="H3" s="18">
        <v>60</v>
      </c>
      <c r="I3" s="18">
        <v>73</v>
      </c>
      <c r="J3" s="18">
        <v>86</v>
      </c>
      <c r="K3" s="18">
        <v>93</v>
      </c>
      <c r="L3" s="18">
        <v>97</v>
      </c>
      <c r="M3" s="18">
        <v>100</v>
      </c>
      <c r="N3" s="18">
        <v>100</v>
      </c>
    </row>
    <row r="4" spans="1:14">
      <c r="A4" s="6">
        <v>1983</v>
      </c>
      <c r="B4" s="18">
        <v>0</v>
      </c>
      <c r="C4" s="18">
        <v>0</v>
      </c>
      <c r="D4" s="18">
        <v>0</v>
      </c>
      <c r="E4" s="18">
        <v>6</v>
      </c>
      <c r="F4" s="18">
        <v>20</v>
      </c>
      <c r="G4" s="18">
        <v>36</v>
      </c>
      <c r="H4" s="18">
        <v>53</v>
      </c>
      <c r="I4" s="18">
        <v>70</v>
      </c>
      <c r="J4" s="18">
        <v>80</v>
      </c>
      <c r="K4" s="18">
        <v>90</v>
      </c>
      <c r="L4" s="18">
        <v>95</v>
      </c>
      <c r="M4" s="18">
        <v>100</v>
      </c>
      <c r="N4" s="18">
        <v>100</v>
      </c>
    </row>
    <row r="5" spans="1:14">
      <c r="A5" s="6">
        <v>1984</v>
      </c>
      <c r="B5" s="18">
        <v>0</v>
      </c>
      <c r="C5" s="18">
        <v>0</v>
      </c>
      <c r="D5" s="18">
        <v>0</v>
      </c>
      <c r="E5" s="18">
        <v>7</v>
      </c>
      <c r="F5" s="18">
        <v>20</v>
      </c>
      <c r="G5" s="18">
        <v>37</v>
      </c>
      <c r="H5" s="18">
        <v>52</v>
      </c>
      <c r="I5" s="18">
        <v>69</v>
      </c>
      <c r="J5" s="18">
        <v>81</v>
      </c>
      <c r="K5" s="18">
        <v>91</v>
      </c>
      <c r="L5" s="18">
        <v>96</v>
      </c>
      <c r="M5" s="18">
        <v>100</v>
      </c>
      <c r="N5" s="18">
        <v>100</v>
      </c>
    </row>
    <row r="6" spans="1:14">
      <c r="A6" s="6">
        <v>1985</v>
      </c>
      <c r="B6" s="18">
        <v>0</v>
      </c>
      <c r="C6" s="18">
        <v>0</v>
      </c>
      <c r="D6" s="18">
        <v>0</v>
      </c>
      <c r="E6" s="18">
        <v>13</v>
      </c>
      <c r="F6" s="18">
        <v>26</v>
      </c>
      <c r="G6" s="18">
        <v>45</v>
      </c>
      <c r="H6" s="18">
        <v>60</v>
      </c>
      <c r="I6" s="18">
        <v>76</v>
      </c>
      <c r="J6" s="18">
        <v>85</v>
      </c>
      <c r="K6" s="18">
        <v>93</v>
      </c>
      <c r="L6" s="18">
        <v>96</v>
      </c>
      <c r="M6" s="18">
        <v>100</v>
      </c>
      <c r="N6" s="18">
        <v>100</v>
      </c>
    </row>
    <row r="7" spans="1:14">
      <c r="A7" s="6">
        <v>1986</v>
      </c>
      <c r="B7" s="18">
        <v>0</v>
      </c>
      <c r="C7" s="18">
        <v>0</v>
      </c>
      <c r="D7" s="18">
        <v>0</v>
      </c>
      <c r="E7" s="18">
        <v>13</v>
      </c>
      <c r="F7" s="18">
        <v>29</v>
      </c>
      <c r="G7" s="18">
        <v>44</v>
      </c>
      <c r="H7" s="18">
        <v>62</v>
      </c>
      <c r="I7" s="18">
        <v>76</v>
      </c>
      <c r="J7" s="18">
        <v>85</v>
      </c>
      <c r="K7" s="18">
        <v>92</v>
      </c>
      <c r="L7" s="18">
        <v>96</v>
      </c>
      <c r="M7" s="18">
        <v>100</v>
      </c>
      <c r="N7" s="18">
        <v>100</v>
      </c>
    </row>
    <row r="8" spans="1:14">
      <c r="A8" s="6">
        <v>1987</v>
      </c>
      <c r="B8" s="18">
        <v>0</v>
      </c>
      <c r="C8" s="18">
        <v>0</v>
      </c>
      <c r="D8" s="18">
        <v>0</v>
      </c>
      <c r="E8" s="18">
        <v>27</v>
      </c>
      <c r="F8" s="18">
        <v>42</v>
      </c>
      <c r="G8" s="18">
        <v>58</v>
      </c>
      <c r="H8" s="18">
        <v>74</v>
      </c>
      <c r="I8" s="18">
        <v>83</v>
      </c>
      <c r="J8" s="18">
        <v>89</v>
      </c>
      <c r="K8" s="18">
        <v>93</v>
      </c>
      <c r="L8" s="18">
        <v>97</v>
      </c>
      <c r="M8" s="18">
        <v>100</v>
      </c>
      <c r="N8" s="18">
        <v>100</v>
      </c>
    </row>
    <row r="9" spans="1:14">
      <c r="A9" s="6">
        <v>1988</v>
      </c>
      <c r="B9" s="18">
        <v>0</v>
      </c>
      <c r="C9" s="18">
        <v>0</v>
      </c>
      <c r="D9" s="18">
        <v>12</v>
      </c>
      <c r="E9" s="18">
        <v>25</v>
      </c>
      <c r="F9" s="18">
        <v>41</v>
      </c>
      <c r="G9" s="18">
        <v>62</v>
      </c>
      <c r="H9" s="18">
        <v>73</v>
      </c>
      <c r="I9" s="18">
        <v>82</v>
      </c>
      <c r="J9" s="18">
        <v>89</v>
      </c>
      <c r="K9" s="18">
        <v>94</v>
      </c>
      <c r="L9" s="18">
        <v>97</v>
      </c>
      <c r="M9" s="18">
        <v>100</v>
      </c>
      <c r="N9" s="18">
        <v>100</v>
      </c>
    </row>
    <row r="10" spans="1:14">
      <c r="A10" s="6">
        <v>1989</v>
      </c>
      <c r="B10" s="18">
        <v>0</v>
      </c>
      <c r="C10" s="18">
        <v>0</v>
      </c>
      <c r="D10" s="18">
        <v>5</v>
      </c>
      <c r="E10" s="18">
        <v>14</v>
      </c>
      <c r="F10" s="18">
        <v>29</v>
      </c>
      <c r="G10" s="18">
        <v>48</v>
      </c>
      <c r="H10" s="18">
        <v>64</v>
      </c>
      <c r="I10" s="18">
        <v>76</v>
      </c>
      <c r="J10" s="18">
        <v>85</v>
      </c>
      <c r="K10" s="18">
        <v>92</v>
      </c>
      <c r="L10" s="18">
        <v>96</v>
      </c>
      <c r="M10" s="18">
        <v>100</v>
      </c>
      <c r="N10" s="18">
        <v>100</v>
      </c>
    </row>
    <row r="11" spans="1:14">
      <c r="A11" s="6">
        <v>1990</v>
      </c>
      <c r="B11" s="18">
        <v>0</v>
      </c>
      <c r="C11" s="18">
        <v>0</v>
      </c>
      <c r="D11" s="18">
        <v>0</v>
      </c>
      <c r="E11" s="18">
        <v>6</v>
      </c>
      <c r="F11" s="18">
        <v>16</v>
      </c>
      <c r="G11" s="18">
        <v>32</v>
      </c>
      <c r="H11" s="18">
        <v>50</v>
      </c>
      <c r="I11" s="18">
        <v>68</v>
      </c>
      <c r="J11" s="18">
        <v>80</v>
      </c>
      <c r="K11" s="18">
        <v>90</v>
      </c>
      <c r="L11" s="18">
        <v>96</v>
      </c>
      <c r="M11" s="18">
        <v>100</v>
      </c>
      <c r="N11" s="18">
        <v>100</v>
      </c>
    </row>
    <row r="12" spans="1:14">
      <c r="A12" s="6">
        <v>1991</v>
      </c>
      <c r="B12" s="18">
        <v>0</v>
      </c>
      <c r="C12" s="18">
        <v>0</v>
      </c>
      <c r="D12" s="18">
        <v>0</v>
      </c>
      <c r="E12" s="18">
        <v>25</v>
      </c>
      <c r="F12" s="18">
        <v>39</v>
      </c>
      <c r="G12" s="18">
        <v>53</v>
      </c>
      <c r="H12" s="18">
        <v>68</v>
      </c>
      <c r="I12" s="18">
        <v>80</v>
      </c>
      <c r="J12" s="18">
        <v>86</v>
      </c>
      <c r="K12" s="18">
        <v>92</v>
      </c>
      <c r="L12" s="18">
        <v>100</v>
      </c>
      <c r="M12" s="18">
        <v>100</v>
      </c>
      <c r="N12" s="18">
        <v>100</v>
      </c>
    </row>
    <row r="13" spans="1:14">
      <c r="A13" s="6">
        <v>1992</v>
      </c>
      <c r="B13" s="18">
        <v>0</v>
      </c>
      <c r="C13" s="18">
        <v>0</v>
      </c>
      <c r="D13" s="18">
        <v>0</v>
      </c>
      <c r="E13" s="18">
        <v>8</v>
      </c>
      <c r="F13" s="18">
        <v>16</v>
      </c>
      <c r="G13" s="18">
        <v>32</v>
      </c>
      <c r="H13" s="18">
        <v>56</v>
      </c>
      <c r="I13" s="18">
        <v>72</v>
      </c>
      <c r="J13" s="18">
        <v>85</v>
      </c>
      <c r="K13" s="18">
        <v>93</v>
      </c>
      <c r="L13" s="18">
        <v>100</v>
      </c>
      <c r="M13" s="18">
        <v>100</v>
      </c>
      <c r="N13" s="18">
        <v>100</v>
      </c>
    </row>
    <row r="14" spans="1:14">
      <c r="A14" s="6">
        <v>1993</v>
      </c>
      <c r="B14" s="18">
        <v>0</v>
      </c>
      <c r="C14" s="18">
        <v>0</v>
      </c>
      <c r="D14" s="18">
        <v>2</v>
      </c>
      <c r="E14" s="18">
        <v>7</v>
      </c>
      <c r="F14" s="18">
        <v>18</v>
      </c>
      <c r="G14" s="18">
        <v>35</v>
      </c>
      <c r="H14" s="18">
        <v>53</v>
      </c>
      <c r="I14" s="18">
        <v>68</v>
      </c>
      <c r="J14" s="18">
        <v>85</v>
      </c>
      <c r="K14" s="18">
        <v>93</v>
      </c>
      <c r="L14" s="18">
        <v>97</v>
      </c>
      <c r="M14" s="18">
        <v>100</v>
      </c>
      <c r="N14" s="18">
        <v>100</v>
      </c>
    </row>
    <row r="15" spans="1:14">
      <c r="A15" s="6">
        <v>1994</v>
      </c>
      <c r="B15" s="18">
        <v>0</v>
      </c>
      <c r="C15" s="18">
        <v>0</v>
      </c>
      <c r="D15" s="18">
        <v>0</v>
      </c>
      <c r="E15" s="18">
        <v>25</v>
      </c>
      <c r="F15" s="18">
        <v>44</v>
      </c>
      <c r="G15" s="18">
        <v>67</v>
      </c>
      <c r="H15" s="18">
        <v>79</v>
      </c>
      <c r="I15" s="18">
        <v>88</v>
      </c>
      <c r="J15" s="18">
        <v>94</v>
      </c>
      <c r="K15" s="18">
        <v>100</v>
      </c>
      <c r="L15" s="18">
        <v>100</v>
      </c>
      <c r="M15" s="18">
        <v>100</v>
      </c>
      <c r="N15" s="18">
        <v>100</v>
      </c>
    </row>
    <row r="16" spans="1:14">
      <c r="A16" s="6">
        <v>1995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35</v>
      </c>
      <c r="H16" s="18">
        <v>54</v>
      </c>
      <c r="I16" s="18">
        <v>74</v>
      </c>
      <c r="J16" s="18">
        <v>87</v>
      </c>
      <c r="K16" s="18">
        <v>95</v>
      </c>
      <c r="L16" s="18">
        <v>100</v>
      </c>
      <c r="M16" s="18">
        <v>100</v>
      </c>
      <c r="N16" s="18">
        <v>100</v>
      </c>
    </row>
    <row r="17" spans="1:14">
      <c r="A17" s="6">
        <v>1996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63</v>
      </c>
      <c r="J17" s="18">
        <v>80</v>
      </c>
      <c r="K17" s="18">
        <v>91</v>
      </c>
      <c r="L17" s="18">
        <v>100</v>
      </c>
      <c r="M17" s="18">
        <v>100</v>
      </c>
      <c r="N17" s="18">
        <v>100</v>
      </c>
    </row>
    <row r="18" spans="1:14">
      <c r="A18" s="6">
        <v>1997</v>
      </c>
      <c r="B18" s="18">
        <v>0</v>
      </c>
      <c r="C18" s="18">
        <v>0</v>
      </c>
      <c r="D18" s="18">
        <v>0</v>
      </c>
      <c r="E18" s="18">
        <v>0</v>
      </c>
      <c r="F18" s="18">
        <v>18</v>
      </c>
      <c r="G18" s="18">
        <v>38</v>
      </c>
      <c r="H18" s="18">
        <v>62</v>
      </c>
      <c r="I18" s="18">
        <v>79</v>
      </c>
      <c r="J18" s="18">
        <v>90</v>
      </c>
      <c r="K18" s="18">
        <v>96</v>
      </c>
      <c r="L18" s="18">
        <v>100</v>
      </c>
      <c r="M18" s="18">
        <v>100</v>
      </c>
      <c r="N18" s="18">
        <v>100</v>
      </c>
    </row>
    <row r="19" spans="1:14">
      <c r="A19" s="6">
        <v>1998</v>
      </c>
      <c r="B19" s="18">
        <v>0</v>
      </c>
      <c r="C19" s="18">
        <v>0</v>
      </c>
      <c r="D19" s="18">
        <v>5</v>
      </c>
      <c r="E19" s="18">
        <v>16</v>
      </c>
      <c r="F19" s="18">
        <v>30</v>
      </c>
      <c r="G19" s="18">
        <v>48</v>
      </c>
      <c r="H19" s="18">
        <v>68</v>
      </c>
      <c r="I19" s="18">
        <v>81</v>
      </c>
      <c r="J19" s="18">
        <v>89</v>
      </c>
      <c r="K19" s="18">
        <v>94</v>
      </c>
      <c r="L19" s="18">
        <v>98</v>
      </c>
      <c r="M19" s="18">
        <v>100</v>
      </c>
      <c r="N19" s="18">
        <v>100</v>
      </c>
    </row>
    <row r="20" spans="1:14">
      <c r="A20" s="6">
        <v>1999</v>
      </c>
      <c r="B20" s="18">
        <v>0</v>
      </c>
      <c r="C20" s="18">
        <v>5</v>
      </c>
      <c r="D20" s="18">
        <v>12</v>
      </c>
      <c r="E20" s="18">
        <v>27</v>
      </c>
      <c r="F20" s="18">
        <v>46</v>
      </c>
      <c r="G20" s="18">
        <v>65</v>
      </c>
      <c r="H20" s="18">
        <v>80</v>
      </c>
      <c r="I20" s="18">
        <v>90</v>
      </c>
      <c r="J20" s="18">
        <v>94</v>
      </c>
      <c r="K20" s="18">
        <v>100</v>
      </c>
      <c r="L20" s="18">
        <v>100</v>
      </c>
      <c r="M20" s="18">
        <v>100</v>
      </c>
      <c r="N20" s="18">
        <v>100</v>
      </c>
    </row>
    <row r="21" spans="1:14">
      <c r="A21" s="6">
        <v>2000</v>
      </c>
      <c r="B21" s="18">
        <v>0</v>
      </c>
      <c r="C21" s="18">
        <v>5</v>
      </c>
      <c r="D21" s="18">
        <v>15</v>
      </c>
      <c r="E21" s="18">
        <v>30</v>
      </c>
      <c r="F21" s="18">
        <v>51</v>
      </c>
      <c r="G21" s="18">
        <v>69</v>
      </c>
      <c r="H21" s="18">
        <v>82</v>
      </c>
      <c r="I21" s="18">
        <v>91</v>
      </c>
      <c r="J21" s="18">
        <v>95</v>
      </c>
      <c r="K21" s="18">
        <v>100</v>
      </c>
      <c r="L21" s="18">
        <v>100</v>
      </c>
      <c r="M21" s="18">
        <v>100</v>
      </c>
      <c r="N21" s="18">
        <v>100</v>
      </c>
    </row>
    <row r="22" spans="1:14">
      <c r="A22" s="6">
        <v>2001</v>
      </c>
      <c r="B22" s="18">
        <v>0</v>
      </c>
      <c r="C22" s="18">
        <v>0</v>
      </c>
      <c r="D22" s="18">
        <v>9</v>
      </c>
      <c r="E22" s="18">
        <v>21</v>
      </c>
      <c r="F22" s="18">
        <v>38</v>
      </c>
      <c r="G22" s="18">
        <v>57</v>
      </c>
      <c r="H22" s="18">
        <v>74</v>
      </c>
      <c r="I22" s="18">
        <v>87</v>
      </c>
      <c r="J22" s="18">
        <v>94</v>
      </c>
      <c r="K22" s="18">
        <v>98</v>
      </c>
      <c r="L22" s="18">
        <v>100</v>
      </c>
      <c r="M22" s="18">
        <v>100</v>
      </c>
      <c r="N22" s="18">
        <v>100</v>
      </c>
    </row>
    <row r="23" spans="1:14">
      <c r="A23" s="6">
        <v>2002</v>
      </c>
      <c r="B23" s="18">
        <v>0</v>
      </c>
      <c r="C23" s="18">
        <v>0</v>
      </c>
      <c r="D23" s="18">
        <v>6</v>
      </c>
      <c r="E23" s="18">
        <v>16</v>
      </c>
      <c r="F23" s="18">
        <v>34</v>
      </c>
      <c r="G23" s="18">
        <v>53</v>
      </c>
      <c r="H23" s="18">
        <v>71</v>
      </c>
      <c r="I23" s="18">
        <v>85</v>
      </c>
      <c r="J23" s="18">
        <v>93</v>
      </c>
      <c r="K23" s="18">
        <v>97</v>
      </c>
      <c r="L23" s="18">
        <v>100</v>
      </c>
      <c r="M23" s="18">
        <v>100</v>
      </c>
      <c r="N23" s="18">
        <v>100</v>
      </c>
    </row>
    <row r="24" spans="1:14">
      <c r="A24" s="6">
        <v>2003</v>
      </c>
      <c r="B24" s="18">
        <v>0</v>
      </c>
      <c r="C24" s="18">
        <v>0</v>
      </c>
      <c r="D24" s="18">
        <v>3</v>
      </c>
      <c r="E24" s="18">
        <v>10</v>
      </c>
      <c r="F24" s="18">
        <v>21</v>
      </c>
      <c r="G24" s="18">
        <v>40</v>
      </c>
      <c r="H24" s="18">
        <v>62</v>
      </c>
      <c r="I24" s="18">
        <v>79</v>
      </c>
      <c r="J24" s="18">
        <v>91</v>
      </c>
      <c r="K24" s="18">
        <v>96</v>
      </c>
      <c r="L24" s="18">
        <v>100</v>
      </c>
      <c r="M24" s="18">
        <v>100</v>
      </c>
      <c r="N24" s="18">
        <v>100</v>
      </c>
    </row>
    <row r="25" spans="1:14">
      <c r="A25" s="6">
        <v>2004</v>
      </c>
      <c r="B25" s="18">
        <v>0</v>
      </c>
      <c r="C25" s="18">
        <v>0</v>
      </c>
      <c r="D25" s="18">
        <v>6</v>
      </c>
      <c r="E25" s="18">
        <v>16</v>
      </c>
      <c r="F25" s="18">
        <v>32</v>
      </c>
      <c r="G25" s="18">
        <v>49</v>
      </c>
      <c r="H25" s="18">
        <v>69</v>
      </c>
      <c r="I25" s="18">
        <v>81</v>
      </c>
      <c r="J25" s="18">
        <v>91</v>
      </c>
      <c r="K25" s="18">
        <v>95</v>
      </c>
      <c r="L25" s="18">
        <v>100</v>
      </c>
      <c r="M25" s="18">
        <v>100</v>
      </c>
      <c r="N25" s="18">
        <v>100</v>
      </c>
    </row>
    <row r="26" spans="1:14">
      <c r="A26" s="6">
        <v>2005</v>
      </c>
      <c r="B26" s="18">
        <v>0</v>
      </c>
      <c r="C26" s="18">
        <v>6</v>
      </c>
      <c r="D26" s="18">
        <v>16</v>
      </c>
      <c r="E26" s="18">
        <v>36</v>
      </c>
      <c r="F26" s="18">
        <v>55</v>
      </c>
      <c r="G26" s="18">
        <v>76</v>
      </c>
      <c r="H26" s="18">
        <v>89</v>
      </c>
      <c r="I26" s="18">
        <v>94</v>
      </c>
      <c r="J26" s="18">
        <v>97</v>
      </c>
      <c r="K26" s="18">
        <v>100</v>
      </c>
      <c r="L26" s="18">
        <v>100</v>
      </c>
      <c r="M26" s="18">
        <v>100</v>
      </c>
      <c r="N26" s="18">
        <v>100</v>
      </c>
    </row>
    <row r="27" spans="1:14">
      <c r="A27" s="6">
        <v>2006</v>
      </c>
      <c r="B27" s="18">
        <v>0</v>
      </c>
      <c r="C27" s="18">
        <v>7</v>
      </c>
      <c r="D27" s="18">
        <v>16</v>
      </c>
      <c r="E27" s="18">
        <v>32</v>
      </c>
      <c r="F27" s="18">
        <v>53</v>
      </c>
      <c r="G27" s="18">
        <v>72</v>
      </c>
      <c r="H27" s="18">
        <v>85</v>
      </c>
      <c r="I27" s="18">
        <v>93</v>
      </c>
      <c r="J27" s="18">
        <v>96</v>
      </c>
      <c r="K27" s="18">
        <v>100</v>
      </c>
      <c r="L27" s="18">
        <v>100</v>
      </c>
      <c r="M27" s="18">
        <v>100</v>
      </c>
      <c r="N27" s="18">
        <v>100</v>
      </c>
    </row>
    <row r="28" spans="1:14">
      <c r="A28" s="6">
        <v>2007</v>
      </c>
      <c r="B28" s="18">
        <v>0</v>
      </c>
      <c r="C28" s="18">
        <v>0</v>
      </c>
      <c r="D28" s="18">
        <v>14</v>
      </c>
      <c r="E28" s="18">
        <v>30</v>
      </c>
      <c r="F28" s="18">
        <v>51</v>
      </c>
      <c r="G28" s="18">
        <v>69</v>
      </c>
      <c r="H28" s="18">
        <v>84</v>
      </c>
      <c r="I28" s="18">
        <v>92</v>
      </c>
      <c r="J28" s="18">
        <v>96</v>
      </c>
      <c r="K28" s="18">
        <v>100</v>
      </c>
      <c r="L28" s="18">
        <v>100</v>
      </c>
      <c r="M28" s="18">
        <v>100</v>
      </c>
      <c r="N28" s="18">
        <v>100</v>
      </c>
    </row>
    <row r="29" spans="1:14">
      <c r="A29" s="6">
        <v>2008</v>
      </c>
      <c r="B29" s="18">
        <v>0</v>
      </c>
      <c r="C29" s="18">
        <v>0</v>
      </c>
      <c r="D29" s="18">
        <v>0</v>
      </c>
      <c r="E29" s="18">
        <v>0</v>
      </c>
      <c r="F29" s="18">
        <v>21</v>
      </c>
      <c r="G29" s="18">
        <v>37</v>
      </c>
      <c r="H29" s="18">
        <v>60</v>
      </c>
      <c r="I29" s="18">
        <v>75</v>
      </c>
      <c r="J29" s="18">
        <v>88</v>
      </c>
      <c r="K29" s="18">
        <v>94</v>
      </c>
      <c r="L29" s="18">
        <v>97</v>
      </c>
      <c r="M29" s="18">
        <v>100</v>
      </c>
      <c r="N29" s="18">
        <v>100</v>
      </c>
    </row>
    <row r="30" spans="1:14">
      <c r="A30" s="6">
        <v>2009</v>
      </c>
      <c r="B30" s="18">
        <v>0</v>
      </c>
      <c r="C30" s="18">
        <v>0</v>
      </c>
      <c r="D30" s="18">
        <v>0</v>
      </c>
      <c r="E30" s="18">
        <v>0</v>
      </c>
      <c r="F30" s="18">
        <v>20</v>
      </c>
      <c r="G30" s="18">
        <v>36</v>
      </c>
      <c r="H30" s="18">
        <v>55</v>
      </c>
      <c r="I30" s="18">
        <v>72</v>
      </c>
      <c r="J30" s="18">
        <v>85</v>
      </c>
      <c r="K30" s="18">
        <v>93</v>
      </c>
      <c r="L30" s="18">
        <v>97</v>
      </c>
      <c r="M30" s="18">
        <v>100</v>
      </c>
      <c r="N30" s="18">
        <v>100</v>
      </c>
    </row>
    <row r="31" spans="1:14">
      <c r="A31" s="6">
        <v>2010</v>
      </c>
      <c r="B31" s="18">
        <v>0</v>
      </c>
      <c r="C31" s="18">
        <v>8</v>
      </c>
      <c r="D31" s="18">
        <v>18</v>
      </c>
      <c r="E31" s="18">
        <v>35</v>
      </c>
      <c r="F31" s="18">
        <v>53</v>
      </c>
      <c r="G31" s="18">
        <v>71</v>
      </c>
      <c r="H31" s="18">
        <v>84</v>
      </c>
      <c r="I31" s="18">
        <v>91</v>
      </c>
      <c r="J31" s="18">
        <v>96</v>
      </c>
      <c r="K31" s="18">
        <v>100</v>
      </c>
      <c r="L31" s="18">
        <v>100</v>
      </c>
      <c r="M31" s="18">
        <v>100</v>
      </c>
      <c r="N31" s="18">
        <v>100</v>
      </c>
    </row>
    <row r="32" spans="1:14">
      <c r="A32" s="6">
        <v>2011</v>
      </c>
      <c r="B32" s="18">
        <v>0</v>
      </c>
      <c r="C32" s="18">
        <v>0</v>
      </c>
      <c r="D32" s="18">
        <v>0</v>
      </c>
      <c r="E32" s="18">
        <v>16</v>
      </c>
      <c r="F32" s="18">
        <v>34</v>
      </c>
      <c r="G32" s="18">
        <v>51</v>
      </c>
      <c r="H32" s="18">
        <v>70</v>
      </c>
      <c r="I32" s="18">
        <v>83</v>
      </c>
      <c r="J32" s="18">
        <v>93</v>
      </c>
      <c r="K32" s="18">
        <v>97</v>
      </c>
      <c r="L32" s="18">
        <v>100</v>
      </c>
      <c r="M32" s="18">
        <v>100</v>
      </c>
      <c r="N32" s="18">
        <v>100</v>
      </c>
    </row>
    <row r="33" spans="1:14">
      <c r="A33" s="6">
        <v>2012</v>
      </c>
      <c r="B33" s="18">
        <v>0</v>
      </c>
      <c r="C33" s="18">
        <v>0</v>
      </c>
      <c r="D33" s="18">
        <v>16</v>
      </c>
      <c r="E33" s="18">
        <v>36</v>
      </c>
      <c r="F33" s="18">
        <v>55</v>
      </c>
      <c r="G33" s="18">
        <v>71</v>
      </c>
      <c r="H33" s="18">
        <v>83</v>
      </c>
      <c r="I33" s="18">
        <v>91</v>
      </c>
      <c r="J33" s="18">
        <v>96</v>
      </c>
      <c r="K33" s="18">
        <v>100</v>
      </c>
      <c r="L33" s="18">
        <v>100</v>
      </c>
      <c r="M33" s="18">
        <v>100</v>
      </c>
      <c r="N33" s="18">
        <v>100</v>
      </c>
    </row>
    <row r="34" spans="1:14">
      <c r="A34" s="6">
        <v>2013</v>
      </c>
      <c r="B34" s="18">
        <v>0</v>
      </c>
      <c r="C34" s="18">
        <v>0</v>
      </c>
      <c r="D34" s="18">
        <v>0</v>
      </c>
      <c r="E34" s="18">
        <v>8</v>
      </c>
      <c r="F34" s="18">
        <v>20</v>
      </c>
      <c r="G34" s="18">
        <v>39</v>
      </c>
      <c r="H34" s="18">
        <v>58</v>
      </c>
      <c r="I34" s="18">
        <v>72</v>
      </c>
      <c r="J34" s="18">
        <v>84</v>
      </c>
      <c r="K34" s="18">
        <v>92</v>
      </c>
      <c r="L34" s="18">
        <v>97</v>
      </c>
      <c r="M34" s="18">
        <v>100</v>
      </c>
      <c r="N34" s="18">
        <v>100</v>
      </c>
    </row>
    <row r="35" spans="1:14">
      <c r="A35" s="6">
        <v>2014</v>
      </c>
      <c r="B35" s="18">
        <v>0</v>
      </c>
      <c r="C35" s="18">
        <v>0</v>
      </c>
      <c r="D35" s="18">
        <v>0</v>
      </c>
      <c r="E35" s="18">
        <v>19</v>
      </c>
      <c r="F35" s="18">
        <v>38</v>
      </c>
      <c r="G35" s="18">
        <v>57</v>
      </c>
      <c r="H35" s="18">
        <v>72</v>
      </c>
      <c r="I35" s="18">
        <v>83</v>
      </c>
      <c r="J35" s="18">
        <v>90</v>
      </c>
      <c r="K35" s="18">
        <v>95</v>
      </c>
      <c r="L35" s="18">
        <v>100</v>
      </c>
      <c r="M35" s="18">
        <v>100</v>
      </c>
      <c r="N35" s="18">
        <v>100</v>
      </c>
    </row>
    <row r="36" spans="1:14">
      <c r="A36" s="6">
        <v>2015</v>
      </c>
      <c r="B36" s="18">
        <v>0</v>
      </c>
      <c r="C36" s="18">
        <v>0</v>
      </c>
      <c r="D36" s="18">
        <v>6</v>
      </c>
      <c r="E36" s="18">
        <v>17</v>
      </c>
      <c r="F36" s="18">
        <v>34</v>
      </c>
      <c r="G36" s="18">
        <v>54</v>
      </c>
      <c r="H36" s="18">
        <v>69</v>
      </c>
      <c r="I36" s="18">
        <v>79</v>
      </c>
      <c r="J36" s="18">
        <v>87</v>
      </c>
      <c r="K36" s="18">
        <v>93</v>
      </c>
      <c r="L36" s="18">
        <v>96</v>
      </c>
      <c r="M36" s="18">
        <v>100</v>
      </c>
      <c r="N36" s="18">
        <v>100</v>
      </c>
    </row>
    <row r="37" spans="1:14">
      <c r="A37" s="6">
        <v>2016</v>
      </c>
      <c r="B37" s="18">
        <v>0</v>
      </c>
      <c r="C37" s="18">
        <v>7</v>
      </c>
      <c r="D37" s="18">
        <v>18</v>
      </c>
      <c r="E37" s="18">
        <v>35</v>
      </c>
      <c r="F37" s="18">
        <v>54</v>
      </c>
      <c r="G37" s="18">
        <v>69</v>
      </c>
      <c r="H37" s="18">
        <v>80</v>
      </c>
      <c r="I37" s="18">
        <v>89</v>
      </c>
      <c r="J37" s="18">
        <v>94</v>
      </c>
      <c r="K37" s="18">
        <v>97</v>
      </c>
      <c r="L37" s="18">
        <v>100</v>
      </c>
      <c r="M37" s="18">
        <v>100</v>
      </c>
      <c r="N37" s="18">
        <v>100</v>
      </c>
    </row>
    <row r="38" spans="1:14">
      <c r="A38" s="6">
        <v>2017</v>
      </c>
      <c r="B38" s="18">
        <v>0</v>
      </c>
      <c r="C38" s="18">
        <v>7</v>
      </c>
      <c r="D38" s="18">
        <v>16</v>
      </c>
      <c r="E38" s="18">
        <v>29</v>
      </c>
      <c r="F38" s="18">
        <v>48</v>
      </c>
      <c r="G38" s="18">
        <v>65</v>
      </c>
      <c r="H38" s="18">
        <v>79</v>
      </c>
      <c r="I38" s="18">
        <v>87</v>
      </c>
      <c r="J38" s="18">
        <v>93</v>
      </c>
      <c r="K38" s="18">
        <v>97</v>
      </c>
      <c r="L38" s="18">
        <v>100</v>
      </c>
      <c r="M38" s="18">
        <v>100</v>
      </c>
      <c r="N38" s="18">
        <v>100</v>
      </c>
    </row>
    <row r="39" spans="1:14">
      <c r="A39" s="6">
        <v>2018</v>
      </c>
      <c r="B39" s="18">
        <v>0</v>
      </c>
      <c r="C39" s="18">
        <v>11</v>
      </c>
      <c r="D39" s="18">
        <v>26</v>
      </c>
      <c r="E39" s="18">
        <v>44</v>
      </c>
      <c r="F39" s="18">
        <v>60</v>
      </c>
      <c r="G39" s="18">
        <v>75</v>
      </c>
      <c r="H39" s="18">
        <v>84</v>
      </c>
      <c r="I39" s="18">
        <v>91</v>
      </c>
      <c r="J39" s="18">
        <v>95</v>
      </c>
      <c r="K39" s="18">
        <v>100</v>
      </c>
      <c r="L39" s="18">
        <v>100</v>
      </c>
      <c r="M39" s="18">
        <v>100</v>
      </c>
      <c r="N39" s="18">
        <v>100</v>
      </c>
    </row>
    <row r="40" spans="1:14">
      <c r="A40" s="6">
        <v>2019</v>
      </c>
      <c r="B40" s="18">
        <v>0</v>
      </c>
      <c r="C40" s="18">
        <v>0</v>
      </c>
      <c r="D40" s="18">
        <v>0</v>
      </c>
      <c r="E40" s="18">
        <v>7</v>
      </c>
      <c r="F40" s="18">
        <v>21</v>
      </c>
      <c r="G40" s="18">
        <v>37</v>
      </c>
      <c r="H40" s="18">
        <v>54</v>
      </c>
      <c r="I40" s="18">
        <v>68</v>
      </c>
      <c r="J40" s="18">
        <v>79</v>
      </c>
      <c r="K40" s="18">
        <v>86</v>
      </c>
      <c r="L40" s="18">
        <v>92</v>
      </c>
      <c r="M40" s="18">
        <v>95</v>
      </c>
      <c r="N40" s="18">
        <v>100</v>
      </c>
    </row>
    <row r="41" spans="1:14">
      <c r="A41" s="6">
        <v>2020</v>
      </c>
      <c r="B41" s="18">
        <v>0</v>
      </c>
      <c r="C41" s="18">
        <v>2</v>
      </c>
      <c r="D41" s="18">
        <v>11</v>
      </c>
      <c r="E41" s="18">
        <v>25</v>
      </c>
      <c r="F41" s="18">
        <v>43</v>
      </c>
      <c r="G41" s="18">
        <v>59</v>
      </c>
      <c r="H41" s="18">
        <v>75</v>
      </c>
      <c r="I41" s="18">
        <v>84</v>
      </c>
      <c r="J41" s="18">
        <v>92</v>
      </c>
      <c r="K41" s="18">
        <v>95</v>
      </c>
      <c r="L41" s="18">
        <v>100</v>
      </c>
      <c r="M41" s="18">
        <v>100</v>
      </c>
      <c r="N41" s="18">
        <v>100</v>
      </c>
    </row>
    <row r="42" spans="1:14">
      <c r="A42" s="6">
        <v>2021</v>
      </c>
      <c r="B42" s="18">
        <v>3</v>
      </c>
      <c r="C42" s="18">
        <v>10</v>
      </c>
      <c r="D42" s="18">
        <v>23</v>
      </c>
      <c r="E42" s="18">
        <v>42</v>
      </c>
      <c r="F42" s="18">
        <v>58</v>
      </c>
      <c r="G42" s="18">
        <v>72</v>
      </c>
      <c r="H42" s="18">
        <v>81</v>
      </c>
      <c r="I42" s="18">
        <v>88</v>
      </c>
      <c r="J42" s="18">
        <v>93</v>
      </c>
      <c r="K42" s="18">
        <v>96</v>
      </c>
      <c r="L42" s="18">
        <v>100</v>
      </c>
      <c r="M42" s="18">
        <v>100</v>
      </c>
      <c r="N42" s="18">
        <v>100</v>
      </c>
    </row>
    <row r="43" spans="1:14">
      <c r="A43" s="6">
        <v>2022</v>
      </c>
      <c r="B43" s="18">
        <v>3</v>
      </c>
      <c r="C43" s="18">
        <v>6</v>
      </c>
      <c r="D43" s="18">
        <v>14</v>
      </c>
      <c r="E43" s="18">
        <v>26</v>
      </c>
      <c r="F43" s="18">
        <v>44</v>
      </c>
      <c r="G43" s="18">
        <v>61</v>
      </c>
      <c r="H43" s="18">
        <v>74</v>
      </c>
      <c r="I43" s="18">
        <v>84</v>
      </c>
      <c r="J43" s="18">
        <v>91</v>
      </c>
      <c r="K43" s="18">
        <v>94</v>
      </c>
      <c r="L43" s="18">
        <v>97</v>
      </c>
      <c r="M43" s="18">
        <v>100</v>
      </c>
      <c r="N43" s="18">
        <v>100</v>
      </c>
    </row>
    <row r="44" spans="1:14">
      <c r="A44" s="6">
        <v>2023</v>
      </c>
      <c r="B44" s="18">
        <v>4</v>
      </c>
      <c r="C44" s="18">
        <v>10</v>
      </c>
      <c r="D44" s="18">
        <v>20</v>
      </c>
      <c r="E44" s="18">
        <v>35</v>
      </c>
      <c r="F44" s="18">
        <v>50</v>
      </c>
      <c r="G44" s="18">
        <v>66</v>
      </c>
      <c r="H44" s="18">
        <v>78</v>
      </c>
      <c r="I44" s="18">
        <v>86</v>
      </c>
      <c r="J44" s="18">
        <v>91</v>
      </c>
      <c r="K44" s="18">
        <v>95</v>
      </c>
      <c r="L44" s="18">
        <v>100</v>
      </c>
      <c r="M44" s="18">
        <v>100</v>
      </c>
      <c r="N44" s="18">
        <v>100</v>
      </c>
    </row>
    <row r="45" spans="1:14">
      <c r="A45" s="6">
        <v>2024</v>
      </c>
      <c r="B45" s="18">
        <v>3</v>
      </c>
      <c r="C45" s="18">
        <v>9</v>
      </c>
      <c r="D45" s="18">
        <v>18</v>
      </c>
      <c r="E45" s="18">
        <v>29</v>
      </c>
      <c r="F45" s="18">
        <v>44</v>
      </c>
      <c r="G45" s="18">
        <v>59</v>
      </c>
      <c r="H45" s="18">
        <v>72</v>
      </c>
      <c r="I45" s="18">
        <v>81</v>
      </c>
      <c r="J45" s="18">
        <v>89</v>
      </c>
      <c r="K45" s="18">
        <v>94</v>
      </c>
      <c r="L45" s="18">
        <v>97</v>
      </c>
      <c r="M45" s="18">
        <v>100</v>
      </c>
      <c r="N45" s="18">
        <v>100</v>
      </c>
    </row>
    <row r="46" spans="1:14">
      <c r="A46" s="6">
        <v>2025</v>
      </c>
      <c r="B46" s="18">
        <v>3</v>
      </c>
      <c r="C46" s="18">
        <v>8</v>
      </c>
      <c r="D46" s="18">
        <v>15</v>
      </c>
      <c r="E46" s="18">
        <v>26</v>
      </c>
      <c r="F46" s="18">
        <v>58</v>
      </c>
      <c r="G46" s="18">
        <v>71</v>
      </c>
      <c r="H46" s="18">
        <v>82</v>
      </c>
      <c r="I46" s="18">
        <v>89</v>
      </c>
      <c r="J46" s="18">
        <v>94</v>
      </c>
      <c r="K46" s="18">
        <v>97</v>
      </c>
      <c r="L46" s="18"/>
      <c r="M46" s="18"/>
      <c r="N46" s="18"/>
    </row>
    <row r="47" spans="1:14"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9" spans="1:14">
      <c r="A49" s="6" t="s">
        <v>32</v>
      </c>
      <c r="B49" s="18">
        <f>AVERAGE(B41:B45)</f>
        <v>2.6</v>
      </c>
      <c r="C49" s="18">
        <f>AVERAGE(C41:C45)</f>
        <v>7.4</v>
      </c>
      <c r="D49" s="18">
        <f t="shared" ref="D49:N49" si="1">AVERAGE(D41:D45)</f>
        <v>17.2</v>
      </c>
      <c r="E49" s="18">
        <f t="shared" si="1"/>
        <v>31.4</v>
      </c>
      <c r="F49" s="18">
        <f t="shared" si="1"/>
        <v>47.8</v>
      </c>
      <c r="G49" s="18">
        <f t="shared" si="1"/>
        <v>63.4</v>
      </c>
      <c r="H49" s="18">
        <f t="shared" si="1"/>
        <v>76</v>
      </c>
      <c r="I49" s="18">
        <f t="shared" si="1"/>
        <v>84.6</v>
      </c>
      <c r="J49" s="18">
        <f t="shared" si="1"/>
        <v>91.2</v>
      </c>
      <c r="K49" s="18">
        <f t="shared" si="1"/>
        <v>94.8</v>
      </c>
      <c r="L49" s="18">
        <f t="shared" si="1"/>
        <v>98.8</v>
      </c>
      <c r="M49" s="18">
        <f t="shared" si="1"/>
        <v>100</v>
      </c>
      <c r="N49" s="18">
        <f t="shared" si="1"/>
        <v>100</v>
      </c>
    </row>
    <row r="50" spans="1:14">
      <c r="A50" s="6" t="s">
        <v>20</v>
      </c>
      <c r="B50" s="18">
        <f>MAX(B41:B45)</f>
        <v>4</v>
      </c>
      <c r="C50" s="18">
        <f>MAX(C41:C45)</f>
        <v>10</v>
      </c>
      <c r="D50" s="18">
        <f t="shared" ref="D50:N50" si="2">MAX(D41:D45)</f>
        <v>23</v>
      </c>
      <c r="E50" s="18">
        <f t="shared" si="2"/>
        <v>42</v>
      </c>
      <c r="F50" s="18">
        <f t="shared" si="2"/>
        <v>58</v>
      </c>
      <c r="G50" s="18">
        <f t="shared" si="2"/>
        <v>72</v>
      </c>
      <c r="H50" s="18">
        <f t="shared" si="2"/>
        <v>81</v>
      </c>
      <c r="I50" s="18">
        <f t="shared" si="2"/>
        <v>88</v>
      </c>
      <c r="J50" s="18">
        <f t="shared" si="2"/>
        <v>93</v>
      </c>
      <c r="K50" s="18">
        <f t="shared" si="2"/>
        <v>96</v>
      </c>
      <c r="L50" s="18">
        <f t="shared" si="2"/>
        <v>100</v>
      </c>
      <c r="M50" s="18">
        <f t="shared" si="2"/>
        <v>100</v>
      </c>
      <c r="N50" s="18">
        <f t="shared" si="2"/>
        <v>100</v>
      </c>
    </row>
    <row r="51" spans="1:14">
      <c r="A51" s="6" t="s">
        <v>22</v>
      </c>
      <c r="B51" s="18">
        <f>MIN(B41:B45)</f>
        <v>0</v>
      </c>
      <c r="C51" s="18">
        <f>MIN(C41:C45)</f>
        <v>2</v>
      </c>
      <c r="D51" s="18">
        <f t="shared" ref="D51:N51" si="3">MIN(D41:D45)</f>
        <v>11</v>
      </c>
      <c r="E51" s="18">
        <f t="shared" si="3"/>
        <v>25</v>
      </c>
      <c r="F51" s="18">
        <f t="shared" si="3"/>
        <v>43</v>
      </c>
      <c r="G51" s="18">
        <f t="shared" si="3"/>
        <v>59</v>
      </c>
      <c r="H51" s="18">
        <f t="shared" si="3"/>
        <v>72</v>
      </c>
      <c r="I51" s="18">
        <f t="shared" si="3"/>
        <v>81</v>
      </c>
      <c r="J51" s="18">
        <f t="shared" si="3"/>
        <v>89</v>
      </c>
      <c r="K51" s="18">
        <f t="shared" si="3"/>
        <v>94</v>
      </c>
      <c r="L51" s="18">
        <f t="shared" si="3"/>
        <v>97</v>
      </c>
      <c r="M51" s="18">
        <f t="shared" si="3"/>
        <v>100</v>
      </c>
      <c r="N51" s="18">
        <f t="shared" si="3"/>
        <v>100</v>
      </c>
    </row>
    <row r="52" spans="1:14">
      <c r="A52" s="6" t="s">
        <v>35</v>
      </c>
      <c r="B52" s="6">
        <f>'Planting Chart Data'!B47</f>
        <v>2</v>
      </c>
      <c r="C52" s="6">
        <f>'Planting Chart Data'!C47</f>
        <v>8</v>
      </c>
      <c r="D52" s="6">
        <f>'Planting Chart Data'!D47</f>
        <v>18</v>
      </c>
      <c r="E52" s="6">
        <f>'Planting Chart Data'!E47</f>
        <v>30</v>
      </c>
      <c r="F52" s="6">
        <f>'Planting Chart Data'!F47</f>
        <v>48</v>
      </c>
      <c r="G52" s="6">
        <f>'Planting Chart Data'!G47</f>
        <v>66</v>
      </c>
      <c r="H52" s="6">
        <f>'Planting Chart Data'!H47</f>
        <v>76</v>
      </c>
      <c r="I52" s="6">
        <f>'Planting Chart Data'!I47</f>
        <v>84</v>
      </c>
      <c r="J52" s="6">
        <f>'Planting Chart Data'!J47</f>
        <v>90</v>
      </c>
      <c r="K52" s="6">
        <f>'Planting Chart Data'!K47</f>
        <v>93</v>
      </c>
      <c r="L52" s="6">
        <f>'Planting Chart Data'!L47</f>
        <v>96</v>
      </c>
      <c r="M52" s="6">
        <f>'Planting Chart Data'!M47</f>
        <v>100</v>
      </c>
      <c r="N52" s="6">
        <f>'Planting Chart Data'!N47</f>
        <v>100</v>
      </c>
    </row>
    <row r="53" spans="1:14">
      <c r="B53" s="7">
        <f>B1</f>
        <v>45844</v>
      </c>
      <c r="C53" s="7">
        <f t="shared" ref="C53:N53" si="4">C1</f>
        <v>45851</v>
      </c>
      <c r="D53" s="7">
        <f t="shared" si="4"/>
        <v>45858</v>
      </c>
      <c r="E53" s="7">
        <f t="shared" si="4"/>
        <v>45865</v>
      </c>
      <c r="F53" s="7">
        <f t="shared" si="4"/>
        <v>45872</v>
      </c>
      <c r="G53" s="7">
        <f t="shared" si="4"/>
        <v>45879</v>
      </c>
      <c r="H53" s="7">
        <f t="shared" si="4"/>
        <v>45886</v>
      </c>
      <c r="I53" s="7">
        <f t="shared" si="4"/>
        <v>45893</v>
      </c>
      <c r="J53" s="7">
        <f t="shared" si="4"/>
        <v>45900</v>
      </c>
      <c r="K53" s="7">
        <f t="shared" si="4"/>
        <v>45907</v>
      </c>
      <c r="L53" s="7">
        <f t="shared" si="4"/>
        <v>45914</v>
      </c>
      <c r="M53" s="7">
        <f t="shared" si="4"/>
        <v>45921</v>
      </c>
      <c r="N53" s="7">
        <f t="shared" si="4"/>
        <v>45928</v>
      </c>
    </row>
    <row r="54" spans="1:14">
      <c r="A54" s="6">
        <f>A2</f>
        <v>1981</v>
      </c>
      <c r="B54" s="18">
        <f t="shared" ref="B54:B76" si="5">B2-0</f>
        <v>0</v>
      </c>
      <c r="C54" s="6">
        <f>C2-B2</f>
        <v>0</v>
      </c>
      <c r="D54" s="6">
        <f t="shared" ref="D54:N54" si="6">D2-C2</f>
        <v>0</v>
      </c>
      <c r="E54" s="6">
        <f t="shared" si="6"/>
        <v>7</v>
      </c>
      <c r="F54" s="6">
        <f t="shared" si="6"/>
        <v>10</v>
      </c>
      <c r="G54" s="6">
        <f t="shared" si="6"/>
        <v>12</v>
      </c>
      <c r="H54" s="6">
        <f t="shared" si="6"/>
        <v>15</v>
      </c>
      <c r="I54" s="6">
        <f t="shared" si="6"/>
        <v>14</v>
      </c>
      <c r="J54" s="6">
        <f t="shared" si="6"/>
        <v>14</v>
      </c>
      <c r="K54" s="6">
        <f t="shared" si="6"/>
        <v>14</v>
      </c>
      <c r="L54" s="6">
        <f t="shared" si="6"/>
        <v>8</v>
      </c>
      <c r="M54" s="6">
        <f t="shared" si="6"/>
        <v>6</v>
      </c>
      <c r="N54" s="6">
        <f t="shared" si="6"/>
        <v>0</v>
      </c>
    </row>
    <row r="55" spans="1:14">
      <c r="A55" s="6">
        <f t="shared" ref="A55:A98" si="7">A3</f>
        <v>1982</v>
      </c>
      <c r="B55" s="18">
        <f t="shared" si="5"/>
        <v>0</v>
      </c>
      <c r="C55" s="6">
        <f t="shared" ref="C55:N70" si="8">C3-B3</f>
        <v>0</v>
      </c>
      <c r="D55" s="6">
        <f t="shared" si="8"/>
        <v>0</v>
      </c>
      <c r="E55" s="6">
        <f t="shared" si="8"/>
        <v>14</v>
      </c>
      <c r="F55" s="6">
        <f t="shared" si="8"/>
        <v>13</v>
      </c>
      <c r="G55" s="6">
        <f t="shared" si="8"/>
        <v>16</v>
      </c>
      <c r="H55" s="6">
        <f t="shared" si="8"/>
        <v>17</v>
      </c>
      <c r="I55" s="6">
        <f t="shared" si="8"/>
        <v>13</v>
      </c>
      <c r="J55" s="6">
        <f t="shared" si="8"/>
        <v>13</v>
      </c>
      <c r="K55" s="6">
        <f t="shared" si="8"/>
        <v>7</v>
      </c>
      <c r="L55" s="6">
        <f t="shared" si="8"/>
        <v>4</v>
      </c>
      <c r="M55" s="6">
        <f t="shared" si="8"/>
        <v>3</v>
      </c>
      <c r="N55" s="6">
        <f t="shared" si="8"/>
        <v>0</v>
      </c>
    </row>
    <row r="56" spans="1:14">
      <c r="A56" s="6">
        <f t="shared" si="7"/>
        <v>1983</v>
      </c>
      <c r="B56" s="18">
        <f t="shared" si="5"/>
        <v>0</v>
      </c>
      <c r="C56" s="6">
        <f t="shared" si="8"/>
        <v>0</v>
      </c>
      <c r="D56" s="6">
        <f t="shared" si="8"/>
        <v>0</v>
      </c>
      <c r="E56" s="6">
        <f t="shared" si="8"/>
        <v>6</v>
      </c>
      <c r="F56" s="6">
        <f t="shared" si="8"/>
        <v>14</v>
      </c>
      <c r="G56" s="6">
        <f t="shared" si="8"/>
        <v>16</v>
      </c>
      <c r="H56" s="6">
        <f t="shared" si="8"/>
        <v>17</v>
      </c>
      <c r="I56" s="6">
        <f t="shared" si="8"/>
        <v>17</v>
      </c>
      <c r="J56" s="6">
        <f t="shared" si="8"/>
        <v>10</v>
      </c>
      <c r="K56" s="6">
        <f t="shared" si="8"/>
        <v>10</v>
      </c>
      <c r="L56" s="6">
        <f t="shared" si="8"/>
        <v>5</v>
      </c>
      <c r="M56" s="6">
        <f t="shared" si="8"/>
        <v>5</v>
      </c>
      <c r="N56" s="6">
        <f t="shared" si="8"/>
        <v>0</v>
      </c>
    </row>
    <row r="57" spans="1:14">
      <c r="A57" s="6">
        <f t="shared" si="7"/>
        <v>1984</v>
      </c>
      <c r="B57" s="18">
        <f t="shared" si="5"/>
        <v>0</v>
      </c>
      <c r="C57" s="6">
        <f t="shared" si="8"/>
        <v>0</v>
      </c>
      <c r="D57" s="6">
        <f t="shared" si="8"/>
        <v>0</v>
      </c>
      <c r="E57" s="6">
        <f t="shared" si="8"/>
        <v>7</v>
      </c>
      <c r="F57" s="6">
        <f t="shared" si="8"/>
        <v>13</v>
      </c>
      <c r="G57" s="6">
        <f t="shared" si="8"/>
        <v>17</v>
      </c>
      <c r="H57" s="6">
        <f t="shared" si="8"/>
        <v>15</v>
      </c>
      <c r="I57" s="6">
        <f t="shared" si="8"/>
        <v>17</v>
      </c>
      <c r="J57" s="6">
        <f t="shared" si="8"/>
        <v>12</v>
      </c>
      <c r="K57" s="6">
        <f t="shared" si="8"/>
        <v>10</v>
      </c>
      <c r="L57" s="6">
        <f t="shared" si="8"/>
        <v>5</v>
      </c>
      <c r="M57" s="6">
        <f t="shared" si="8"/>
        <v>4</v>
      </c>
      <c r="N57" s="6">
        <f t="shared" si="8"/>
        <v>0</v>
      </c>
    </row>
    <row r="58" spans="1:14">
      <c r="A58" s="6">
        <f t="shared" si="7"/>
        <v>1985</v>
      </c>
      <c r="B58" s="18">
        <f t="shared" si="5"/>
        <v>0</v>
      </c>
      <c r="C58" s="6">
        <f t="shared" si="8"/>
        <v>0</v>
      </c>
      <c r="D58" s="6">
        <f t="shared" si="8"/>
        <v>0</v>
      </c>
      <c r="E58" s="6">
        <f t="shared" si="8"/>
        <v>13</v>
      </c>
      <c r="F58" s="6">
        <f t="shared" si="8"/>
        <v>13</v>
      </c>
      <c r="G58" s="6">
        <f t="shared" si="8"/>
        <v>19</v>
      </c>
      <c r="H58" s="6">
        <f t="shared" si="8"/>
        <v>15</v>
      </c>
      <c r="I58" s="6">
        <f t="shared" si="8"/>
        <v>16</v>
      </c>
      <c r="J58" s="6">
        <f t="shared" si="8"/>
        <v>9</v>
      </c>
      <c r="K58" s="6">
        <f t="shared" si="8"/>
        <v>8</v>
      </c>
      <c r="L58" s="6">
        <f t="shared" si="8"/>
        <v>3</v>
      </c>
      <c r="M58" s="6">
        <f t="shared" si="8"/>
        <v>4</v>
      </c>
      <c r="N58" s="6">
        <f t="shared" si="8"/>
        <v>0</v>
      </c>
    </row>
    <row r="59" spans="1:14">
      <c r="A59" s="6">
        <f t="shared" si="7"/>
        <v>1986</v>
      </c>
      <c r="B59" s="18">
        <f t="shared" si="5"/>
        <v>0</v>
      </c>
      <c r="C59" s="6">
        <f t="shared" si="8"/>
        <v>0</v>
      </c>
      <c r="D59" s="6">
        <f t="shared" si="8"/>
        <v>0</v>
      </c>
      <c r="E59" s="6">
        <f t="shared" si="8"/>
        <v>13</v>
      </c>
      <c r="F59" s="6">
        <f t="shared" si="8"/>
        <v>16</v>
      </c>
      <c r="G59" s="6">
        <f t="shared" si="8"/>
        <v>15</v>
      </c>
      <c r="H59" s="6">
        <f t="shared" si="8"/>
        <v>18</v>
      </c>
      <c r="I59" s="6">
        <f t="shared" si="8"/>
        <v>14</v>
      </c>
      <c r="J59" s="6">
        <f t="shared" si="8"/>
        <v>9</v>
      </c>
      <c r="K59" s="6">
        <f t="shared" si="8"/>
        <v>7</v>
      </c>
      <c r="L59" s="6">
        <f t="shared" si="8"/>
        <v>4</v>
      </c>
      <c r="M59" s="6">
        <f t="shared" si="8"/>
        <v>4</v>
      </c>
      <c r="N59" s="6">
        <f t="shared" si="8"/>
        <v>0</v>
      </c>
    </row>
    <row r="60" spans="1:14">
      <c r="A60" s="6">
        <f t="shared" si="7"/>
        <v>1987</v>
      </c>
      <c r="B60" s="18">
        <f t="shared" si="5"/>
        <v>0</v>
      </c>
      <c r="C60" s="6">
        <f t="shared" si="8"/>
        <v>0</v>
      </c>
      <c r="D60" s="6">
        <f t="shared" si="8"/>
        <v>0</v>
      </c>
      <c r="E60" s="6">
        <f t="shared" si="8"/>
        <v>27</v>
      </c>
      <c r="F60" s="6">
        <f t="shared" si="8"/>
        <v>15</v>
      </c>
      <c r="G60" s="6">
        <f t="shared" si="8"/>
        <v>16</v>
      </c>
      <c r="H60" s="6">
        <f t="shared" si="8"/>
        <v>16</v>
      </c>
      <c r="I60" s="6">
        <f t="shared" si="8"/>
        <v>9</v>
      </c>
      <c r="J60" s="6">
        <f t="shared" si="8"/>
        <v>6</v>
      </c>
      <c r="K60" s="6">
        <f t="shared" si="8"/>
        <v>4</v>
      </c>
      <c r="L60" s="6">
        <f t="shared" si="8"/>
        <v>4</v>
      </c>
      <c r="M60" s="6">
        <f t="shared" si="8"/>
        <v>3</v>
      </c>
      <c r="N60" s="6">
        <f t="shared" si="8"/>
        <v>0</v>
      </c>
    </row>
    <row r="61" spans="1:14">
      <c r="A61" s="6">
        <f t="shared" si="7"/>
        <v>1988</v>
      </c>
      <c r="B61" s="18">
        <f t="shared" si="5"/>
        <v>0</v>
      </c>
      <c r="C61" s="6">
        <f t="shared" si="8"/>
        <v>0</v>
      </c>
      <c r="D61" s="6">
        <f t="shared" si="8"/>
        <v>12</v>
      </c>
      <c r="E61" s="6">
        <f t="shared" si="8"/>
        <v>13</v>
      </c>
      <c r="F61" s="6">
        <f t="shared" si="8"/>
        <v>16</v>
      </c>
      <c r="G61" s="6">
        <f t="shared" si="8"/>
        <v>21</v>
      </c>
      <c r="H61" s="6">
        <f t="shared" si="8"/>
        <v>11</v>
      </c>
      <c r="I61" s="6">
        <f t="shared" si="8"/>
        <v>9</v>
      </c>
      <c r="J61" s="6">
        <f t="shared" si="8"/>
        <v>7</v>
      </c>
      <c r="K61" s="6">
        <f t="shared" si="8"/>
        <v>5</v>
      </c>
      <c r="L61" s="6">
        <f t="shared" si="8"/>
        <v>3</v>
      </c>
      <c r="M61" s="6">
        <f t="shared" si="8"/>
        <v>3</v>
      </c>
      <c r="N61" s="6">
        <f t="shared" si="8"/>
        <v>0</v>
      </c>
    </row>
    <row r="62" spans="1:14">
      <c r="A62" s="6">
        <f t="shared" si="7"/>
        <v>1989</v>
      </c>
      <c r="B62" s="18">
        <f t="shared" si="5"/>
        <v>0</v>
      </c>
      <c r="C62" s="6">
        <f t="shared" si="8"/>
        <v>0</v>
      </c>
      <c r="D62" s="6">
        <f t="shared" si="8"/>
        <v>5</v>
      </c>
      <c r="E62" s="6">
        <f t="shared" si="8"/>
        <v>9</v>
      </c>
      <c r="F62" s="6">
        <f t="shared" si="8"/>
        <v>15</v>
      </c>
      <c r="G62" s="6">
        <f t="shared" si="8"/>
        <v>19</v>
      </c>
      <c r="H62" s="6">
        <f t="shared" si="8"/>
        <v>16</v>
      </c>
      <c r="I62" s="6">
        <f t="shared" si="8"/>
        <v>12</v>
      </c>
      <c r="J62" s="6">
        <f t="shared" si="8"/>
        <v>9</v>
      </c>
      <c r="K62" s="6">
        <f t="shared" si="8"/>
        <v>7</v>
      </c>
      <c r="L62" s="6">
        <f t="shared" si="8"/>
        <v>4</v>
      </c>
      <c r="M62" s="6">
        <f t="shared" si="8"/>
        <v>4</v>
      </c>
      <c r="N62" s="6">
        <f t="shared" si="8"/>
        <v>0</v>
      </c>
    </row>
    <row r="63" spans="1:14">
      <c r="A63" s="6">
        <f t="shared" si="7"/>
        <v>1990</v>
      </c>
      <c r="B63" s="18">
        <f t="shared" si="5"/>
        <v>0</v>
      </c>
      <c r="C63" s="6">
        <f t="shared" si="8"/>
        <v>0</v>
      </c>
      <c r="D63" s="6">
        <f t="shared" si="8"/>
        <v>0</v>
      </c>
      <c r="E63" s="6">
        <f t="shared" si="8"/>
        <v>6</v>
      </c>
      <c r="F63" s="6">
        <f t="shared" si="8"/>
        <v>10</v>
      </c>
      <c r="G63" s="6">
        <f t="shared" si="8"/>
        <v>16</v>
      </c>
      <c r="H63" s="6">
        <f t="shared" si="8"/>
        <v>18</v>
      </c>
      <c r="I63" s="6">
        <f t="shared" si="8"/>
        <v>18</v>
      </c>
      <c r="J63" s="6">
        <f t="shared" si="8"/>
        <v>12</v>
      </c>
      <c r="K63" s="6">
        <f t="shared" si="8"/>
        <v>10</v>
      </c>
      <c r="L63" s="6">
        <f t="shared" si="8"/>
        <v>6</v>
      </c>
      <c r="M63" s="6">
        <f t="shared" si="8"/>
        <v>4</v>
      </c>
      <c r="N63" s="6">
        <f t="shared" si="8"/>
        <v>0</v>
      </c>
    </row>
    <row r="64" spans="1:14">
      <c r="A64" s="6">
        <f t="shared" si="7"/>
        <v>1991</v>
      </c>
      <c r="B64" s="18">
        <f t="shared" si="5"/>
        <v>0</v>
      </c>
      <c r="C64" s="6">
        <f t="shared" si="8"/>
        <v>0</v>
      </c>
      <c r="D64" s="6">
        <f t="shared" si="8"/>
        <v>0</v>
      </c>
      <c r="E64" s="6">
        <f t="shared" si="8"/>
        <v>25</v>
      </c>
      <c r="F64" s="6">
        <f t="shared" si="8"/>
        <v>14</v>
      </c>
      <c r="G64" s="6">
        <f t="shared" si="8"/>
        <v>14</v>
      </c>
      <c r="H64" s="6">
        <f t="shared" si="8"/>
        <v>15</v>
      </c>
      <c r="I64" s="6">
        <f t="shared" si="8"/>
        <v>12</v>
      </c>
      <c r="J64" s="6">
        <f t="shared" si="8"/>
        <v>6</v>
      </c>
      <c r="K64" s="6">
        <f t="shared" si="8"/>
        <v>6</v>
      </c>
      <c r="L64" s="6">
        <f t="shared" si="8"/>
        <v>8</v>
      </c>
      <c r="M64" s="6">
        <f t="shared" si="8"/>
        <v>0</v>
      </c>
      <c r="N64" s="6">
        <f t="shared" si="8"/>
        <v>0</v>
      </c>
    </row>
    <row r="65" spans="1:14">
      <c r="A65" s="6">
        <f t="shared" si="7"/>
        <v>1992</v>
      </c>
      <c r="B65" s="18">
        <f t="shared" si="5"/>
        <v>0</v>
      </c>
      <c r="C65" s="6">
        <f t="shared" si="8"/>
        <v>0</v>
      </c>
      <c r="D65" s="6">
        <f t="shared" si="8"/>
        <v>0</v>
      </c>
      <c r="E65" s="6">
        <f t="shared" si="8"/>
        <v>8</v>
      </c>
      <c r="F65" s="6">
        <f t="shared" si="8"/>
        <v>8</v>
      </c>
      <c r="G65" s="6">
        <f t="shared" si="8"/>
        <v>16</v>
      </c>
      <c r="H65" s="6">
        <f t="shared" si="8"/>
        <v>24</v>
      </c>
      <c r="I65" s="6">
        <f t="shared" si="8"/>
        <v>16</v>
      </c>
      <c r="J65" s="6">
        <f t="shared" si="8"/>
        <v>13</v>
      </c>
      <c r="K65" s="6">
        <f t="shared" si="8"/>
        <v>8</v>
      </c>
      <c r="L65" s="6">
        <f t="shared" si="8"/>
        <v>7</v>
      </c>
      <c r="M65" s="6">
        <f t="shared" si="8"/>
        <v>0</v>
      </c>
      <c r="N65" s="6">
        <f t="shared" si="8"/>
        <v>0</v>
      </c>
    </row>
    <row r="66" spans="1:14">
      <c r="A66" s="6">
        <f t="shared" si="7"/>
        <v>1993</v>
      </c>
      <c r="B66" s="18">
        <f t="shared" si="5"/>
        <v>0</v>
      </c>
      <c r="C66" s="6">
        <f t="shared" si="8"/>
        <v>0</v>
      </c>
      <c r="D66" s="6">
        <f t="shared" si="8"/>
        <v>2</v>
      </c>
      <c r="E66" s="6">
        <f t="shared" si="8"/>
        <v>5</v>
      </c>
      <c r="F66" s="6">
        <f t="shared" si="8"/>
        <v>11</v>
      </c>
      <c r="G66" s="6">
        <f t="shared" si="8"/>
        <v>17</v>
      </c>
      <c r="H66" s="6">
        <f t="shared" si="8"/>
        <v>18</v>
      </c>
      <c r="I66" s="6">
        <f t="shared" si="8"/>
        <v>15</v>
      </c>
      <c r="J66" s="6">
        <f t="shared" si="8"/>
        <v>17</v>
      </c>
      <c r="K66" s="6">
        <f t="shared" si="8"/>
        <v>8</v>
      </c>
      <c r="L66" s="6">
        <f t="shared" si="8"/>
        <v>4</v>
      </c>
      <c r="M66" s="6">
        <f t="shared" si="8"/>
        <v>3</v>
      </c>
      <c r="N66" s="6">
        <f t="shared" si="8"/>
        <v>0</v>
      </c>
    </row>
    <row r="67" spans="1:14">
      <c r="A67" s="6">
        <f t="shared" si="7"/>
        <v>1994</v>
      </c>
      <c r="B67" s="18">
        <f t="shared" si="5"/>
        <v>0</v>
      </c>
      <c r="C67" s="6">
        <f t="shared" si="8"/>
        <v>0</v>
      </c>
      <c r="D67" s="6">
        <f t="shared" si="8"/>
        <v>0</v>
      </c>
      <c r="E67" s="6">
        <f t="shared" si="8"/>
        <v>25</v>
      </c>
      <c r="F67" s="6">
        <f t="shared" si="8"/>
        <v>19</v>
      </c>
      <c r="G67" s="6">
        <f t="shared" si="8"/>
        <v>23</v>
      </c>
      <c r="H67" s="6">
        <f t="shared" si="8"/>
        <v>12</v>
      </c>
      <c r="I67" s="6">
        <f t="shared" si="8"/>
        <v>9</v>
      </c>
      <c r="J67" s="6">
        <f t="shared" si="8"/>
        <v>6</v>
      </c>
      <c r="K67" s="6">
        <f t="shared" si="8"/>
        <v>6</v>
      </c>
      <c r="L67" s="6">
        <f t="shared" si="8"/>
        <v>0</v>
      </c>
      <c r="M67" s="6">
        <f t="shared" si="8"/>
        <v>0</v>
      </c>
      <c r="N67" s="6">
        <f t="shared" si="8"/>
        <v>0</v>
      </c>
    </row>
    <row r="68" spans="1:14">
      <c r="A68" s="6">
        <f t="shared" si="7"/>
        <v>1995</v>
      </c>
      <c r="B68" s="18">
        <f t="shared" si="5"/>
        <v>0</v>
      </c>
      <c r="C68" s="6">
        <f t="shared" si="8"/>
        <v>0</v>
      </c>
      <c r="D68" s="6">
        <f t="shared" si="8"/>
        <v>0</v>
      </c>
      <c r="E68" s="6">
        <f t="shared" si="8"/>
        <v>0</v>
      </c>
      <c r="F68" s="6">
        <f t="shared" si="8"/>
        <v>0</v>
      </c>
      <c r="G68" s="6">
        <f t="shared" si="8"/>
        <v>35</v>
      </c>
      <c r="H68" s="6">
        <f t="shared" si="8"/>
        <v>19</v>
      </c>
      <c r="I68" s="6">
        <f t="shared" si="8"/>
        <v>20</v>
      </c>
      <c r="J68" s="6">
        <f t="shared" si="8"/>
        <v>13</v>
      </c>
      <c r="K68" s="6">
        <f t="shared" si="8"/>
        <v>8</v>
      </c>
      <c r="L68" s="6">
        <f t="shared" si="8"/>
        <v>5</v>
      </c>
      <c r="M68" s="6">
        <f t="shared" si="8"/>
        <v>0</v>
      </c>
      <c r="N68" s="6">
        <f t="shared" si="8"/>
        <v>0</v>
      </c>
    </row>
    <row r="69" spans="1:14">
      <c r="A69" s="6">
        <f t="shared" si="7"/>
        <v>1996</v>
      </c>
      <c r="B69" s="18">
        <f t="shared" si="5"/>
        <v>0</v>
      </c>
      <c r="C69" s="6">
        <f t="shared" si="8"/>
        <v>0</v>
      </c>
      <c r="D69" s="6">
        <f t="shared" si="8"/>
        <v>0</v>
      </c>
      <c r="E69" s="6">
        <f t="shared" si="8"/>
        <v>0</v>
      </c>
      <c r="F69" s="6">
        <f t="shared" si="8"/>
        <v>0</v>
      </c>
      <c r="G69" s="6">
        <f t="shared" si="8"/>
        <v>0</v>
      </c>
      <c r="H69" s="6">
        <f t="shared" si="8"/>
        <v>0</v>
      </c>
      <c r="I69" s="6">
        <f t="shared" si="8"/>
        <v>63</v>
      </c>
      <c r="J69" s="6">
        <f t="shared" si="8"/>
        <v>17</v>
      </c>
      <c r="K69" s="6">
        <f t="shared" si="8"/>
        <v>11</v>
      </c>
      <c r="L69" s="6">
        <f t="shared" si="8"/>
        <v>9</v>
      </c>
      <c r="M69" s="6">
        <f t="shared" si="8"/>
        <v>0</v>
      </c>
      <c r="N69" s="6">
        <f t="shared" si="8"/>
        <v>0</v>
      </c>
    </row>
    <row r="70" spans="1:14">
      <c r="A70" s="6">
        <f t="shared" si="7"/>
        <v>1997</v>
      </c>
      <c r="B70" s="18">
        <f t="shared" si="5"/>
        <v>0</v>
      </c>
      <c r="C70" s="6">
        <f t="shared" si="8"/>
        <v>0</v>
      </c>
      <c r="D70" s="6">
        <f t="shared" si="8"/>
        <v>0</v>
      </c>
      <c r="E70" s="6">
        <f t="shared" si="8"/>
        <v>0</v>
      </c>
      <c r="F70" s="6">
        <f t="shared" si="8"/>
        <v>18</v>
      </c>
      <c r="G70" s="6">
        <f t="shared" si="8"/>
        <v>20</v>
      </c>
      <c r="H70" s="6">
        <f t="shared" si="8"/>
        <v>24</v>
      </c>
      <c r="I70" s="6">
        <f t="shared" si="8"/>
        <v>17</v>
      </c>
      <c r="J70" s="6">
        <f t="shared" si="8"/>
        <v>11</v>
      </c>
      <c r="K70" s="6">
        <f t="shared" si="8"/>
        <v>6</v>
      </c>
      <c r="L70" s="6">
        <f t="shared" si="8"/>
        <v>4</v>
      </c>
      <c r="M70" s="6">
        <f t="shared" si="8"/>
        <v>0</v>
      </c>
      <c r="N70" s="6">
        <f t="shared" si="8"/>
        <v>0</v>
      </c>
    </row>
    <row r="71" spans="1:14">
      <c r="A71" s="6">
        <f t="shared" si="7"/>
        <v>1998</v>
      </c>
      <c r="B71" s="18">
        <f t="shared" si="5"/>
        <v>0</v>
      </c>
      <c r="C71" s="6">
        <f t="shared" ref="C71:N86" si="9">C19-B19</f>
        <v>0</v>
      </c>
      <c r="D71" s="6">
        <f t="shared" si="9"/>
        <v>5</v>
      </c>
      <c r="E71" s="6">
        <f t="shared" si="9"/>
        <v>11</v>
      </c>
      <c r="F71" s="6">
        <f t="shared" si="9"/>
        <v>14</v>
      </c>
      <c r="G71" s="6">
        <f t="shared" si="9"/>
        <v>18</v>
      </c>
      <c r="H71" s="6">
        <f t="shared" si="9"/>
        <v>20</v>
      </c>
      <c r="I71" s="6">
        <f t="shared" si="9"/>
        <v>13</v>
      </c>
      <c r="J71" s="6">
        <f t="shared" si="9"/>
        <v>8</v>
      </c>
      <c r="K71" s="6">
        <f t="shared" si="9"/>
        <v>5</v>
      </c>
      <c r="L71" s="6">
        <f t="shared" si="9"/>
        <v>4</v>
      </c>
      <c r="M71" s="6">
        <f t="shared" si="9"/>
        <v>2</v>
      </c>
      <c r="N71" s="6">
        <f t="shared" si="9"/>
        <v>0</v>
      </c>
    </row>
    <row r="72" spans="1:14">
      <c r="A72" s="6">
        <f t="shared" si="7"/>
        <v>1999</v>
      </c>
      <c r="B72" s="18">
        <f t="shared" si="5"/>
        <v>0</v>
      </c>
      <c r="C72" s="6">
        <f t="shared" si="9"/>
        <v>5</v>
      </c>
      <c r="D72" s="6">
        <f t="shared" si="9"/>
        <v>7</v>
      </c>
      <c r="E72" s="6">
        <f t="shared" si="9"/>
        <v>15</v>
      </c>
      <c r="F72" s="6">
        <f t="shared" si="9"/>
        <v>19</v>
      </c>
      <c r="G72" s="6">
        <f t="shared" si="9"/>
        <v>19</v>
      </c>
      <c r="H72" s="6">
        <f t="shared" si="9"/>
        <v>15</v>
      </c>
      <c r="I72" s="6">
        <f t="shared" si="9"/>
        <v>10</v>
      </c>
      <c r="J72" s="6">
        <f t="shared" si="9"/>
        <v>4</v>
      </c>
      <c r="K72" s="6">
        <f t="shared" si="9"/>
        <v>6</v>
      </c>
      <c r="L72" s="6">
        <f t="shared" si="9"/>
        <v>0</v>
      </c>
      <c r="M72" s="6">
        <f t="shared" si="9"/>
        <v>0</v>
      </c>
      <c r="N72" s="6">
        <f t="shared" si="9"/>
        <v>0</v>
      </c>
    </row>
    <row r="73" spans="1:14">
      <c r="A73" s="6">
        <f t="shared" si="7"/>
        <v>2000</v>
      </c>
      <c r="B73" s="18">
        <f t="shared" si="5"/>
        <v>0</v>
      </c>
      <c r="C73" s="6">
        <f t="shared" si="9"/>
        <v>5</v>
      </c>
      <c r="D73" s="6">
        <f t="shared" si="9"/>
        <v>10</v>
      </c>
      <c r="E73" s="6">
        <f t="shared" si="9"/>
        <v>15</v>
      </c>
      <c r="F73" s="6">
        <f t="shared" si="9"/>
        <v>21</v>
      </c>
      <c r="G73" s="6">
        <f t="shared" si="9"/>
        <v>18</v>
      </c>
      <c r="H73" s="6">
        <f t="shared" si="9"/>
        <v>13</v>
      </c>
      <c r="I73" s="6">
        <f t="shared" si="9"/>
        <v>9</v>
      </c>
      <c r="J73" s="6">
        <f t="shared" si="9"/>
        <v>4</v>
      </c>
      <c r="K73" s="6">
        <f t="shared" si="9"/>
        <v>5</v>
      </c>
      <c r="L73" s="6">
        <f t="shared" si="9"/>
        <v>0</v>
      </c>
      <c r="M73" s="6">
        <f t="shared" si="9"/>
        <v>0</v>
      </c>
      <c r="N73" s="6">
        <f t="shared" si="9"/>
        <v>0</v>
      </c>
    </row>
    <row r="74" spans="1:14">
      <c r="A74" s="6">
        <f t="shared" si="7"/>
        <v>2001</v>
      </c>
      <c r="B74" s="18">
        <f t="shared" si="5"/>
        <v>0</v>
      </c>
      <c r="C74" s="6">
        <f t="shared" si="9"/>
        <v>0</v>
      </c>
      <c r="D74" s="6">
        <f t="shared" si="9"/>
        <v>9</v>
      </c>
      <c r="E74" s="6">
        <f t="shared" si="9"/>
        <v>12</v>
      </c>
      <c r="F74" s="6">
        <f t="shared" si="9"/>
        <v>17</v>
      </c>
      <c r="G74" s="6">
        <f t="shared" si="9"/>
        <v>19</v>
      </c>
      <c r="H74" s="6">
        <f t="shared" si="9"/>
        <v>17</v>
      </c>
      <c r="I74" s="6">
        <f t="shared" si="9"/>
        <v>13</v>
      </c>
      <c r="J74" s="6">
        <f t="shared" si="9"/>
        <v>7</v>
      </c>
      <c r="K74" s="6">
        <f t="shared" si="9"/>
        <v>4</v>
      </c>
      <c r="L74" s="6">
        <f t="shared" si="9"/>
        <v>2</v>
      </c>
      <c r="M74" s="6">
        <f t="shared" si="9"/>
        <v>0</v>
      </c>
      <c r="N74" s="6">
        <f t="shared" si="9"/>
        <v>0</v>
      </c>
    </row>
    <row r="75" spans="1:14">
      <c r="A75" s="6">
        <f t="shared" si="7"/>
        <v>2002</v>
      </c>
      <c r="B75" s="18">
        <f t="shared" si="5"/>
        <v>0</v>
      </c>
      <c r="C75" s="6">
        <f t="shared" si="9"/>
        <v>0</v>
      </c>
      <c r="D75" s="6">
        <f t="shared" si="9"/>
        <v>6</v>
      </c>
      <c r="E75" s="6">
        <f t="shared" si="9"/>
        <v>10</v>
      </c>
      <c r="F75" s="6">
        <f t="shared" si="9"/>
        <v>18</v>
      </c>
      <c r="G75" s="6">
        <f t="shared" si="9"/>
        <v>19</v>
      </c>
      <c r="H75" s="6">
        <f t="shared" si="9"/>
        <v>18</v>
      </c>
      <c r="I75" s="6">
        <f t="shared" si="9"/>
        <v>14</v>
      </c>
      <c r="J75" s="6">
        <f t="shared" si="9"/>
        <v>8</v>
      </c>
      <c r="K75" s="6">
        <f t="shared" si="9"/>
        <v>4</v>
      </c>
      <c r="L75" s="6">
        <f t="shared" si="9"/>
        <v>3</v>
      </c>
      <c r="M75" s="6">
        <f t="shared" si="9"/>
        <v>0</v>
      </c>
      <c r="N75" s="6">
        <f t="shared" si="9"/>
        <v>0</v>
      </c>
    </row>
    <row r="76" spans="1:14">
      <c r="A76" s="6">
        <f t="shared" si="7"/>
        <v>2003</v>
      </c>
      <c r="B76" s="18">
        <f t="shared" si="5"/>
        <v>0</v>
      </c>
      <c r="C76" s="6">
        <f t="shared" si="9"/>
        <v>0</v>
      </c>
      <c r="D76" s="6">
        <f t="shared" si="9"/>
        <v>3</v>
      </c>
      <c r="E76" s="6">
        <f t="shared" si="9"/>
        <v>7</v>
      </c>
      <c r="F76" s="6">
        <f t="shared" si="9"/>
        <v>11</v>
      </c>
      <c r="G76" s="6">
        <f t="shared" si="9"/>
        <v>19</v>
      </c>
      <c r="H76" s="6">
        <f t="shared" si="9"/>
        <v>22</v>
      </c>
      <c r="I76" s="6">
        <f t="shared" si="9"/>
        <v>17</v>
      </c>
      <c r="J76" s="6">
        <f t="shared" si="9"/>
        <v>12</v>
      </c>
      <c r="K76" s="6">
        <f t="shared" si="9"/>
        <v>5</v>
      </c>
      <c r="L76" s="6">
        <f t="shared" si="9"/>
        <v>4</v>
      </c>
      <c r="M76" s="6">
        <f t="shared" si="9"/>
        <v>0</v>
      </c>
      <c r="N76" s="6">
        <f t="shared" si="9"/>
        <v>0</v>
      </c>
    </row>
    <row r="77" spans="1:14">
      <c r="A77" s="6">
        <f t="shared" si="7"/>
        <v>2004</v>
      </c>
      <c r="B77" s="18">
        <f t="shared" ref="B77:B97" si="10">B25-0</f>
        <v>0</v>
      </c>
      <c r="C77" s="6">
        <f t="shared" si="9"/>
        <v>0</v>
      </c>
      <c r="D77" s="6">
        <f t="shared" si="9"/>
        <v>6</v>
      </c>
      <c r="E77" s="6">
        <f t="shared" si="9"/>
        <v>10</v>
      </c>
      <c r="F77" s="6">
        <f t="shared" si="9"/>
        <v>16</v>
      </c>
      <c r="G77" s="6">
        <f t="shared" si="9"/>
        <v>17</v>
      </c>
      <c r="H77" s="6">
        <f t="shared" si="9"/>
        <v>20</v>
      </c>
      <c r="I77" s="6">
        <f t="shared" si="9"/>
        <v>12</v>
      </c>
      <c r="J77" s="6">
        <f t="shared" si="9"/>
        <v>10</v>
      </c>
      <c r="K77" s="6">
        <f t="shared" si="9"/>
        <v>4</v>
      </c>
      <c r="L77" s="6">
        <f t="shared" si="9"/>
        <v>5</v>
      </c>
      <c r="M77" s="6">
        <f t="shared" si="9"/>
        <v>0</v>
      </c>
      <c r="N77" s="6">
        <f t="shared" si="9"/>
        <v>0</v>
      </c>
    </row>
    <row r="78" spans="1:14">
      <c r="A78" s="6">
        <f t="shared" si="7"/>
        <v>2005</v>
      </c>
      <c r="B78" s="18">
        <f t="shared" si="10"/>
        <v>0</v>
      </c>
      <c r="C78" s="6">
        <f t="shared" si="9"/>
        <v>6</v>
      </c>
      <c r="D78" s="6">
        <f t="shared" si="9"/>
        <v>10</v>
      </c>
      <c r="E78" s="6">
        <f t="shared" si="9"/>
        <v>20</v>
      </c>
      <c r="F78" s="6">
        <f t="shared" si="9"/>
        <v>19</v>
      </c>
      <c r="G78" s="6">
        <f t="shared" si="9"/>
        <v>21</v>
      </c>
      <c r="H78" s="6">
        <f t="shared" si="9"/>
        <v>13</v>
      </c>
      <c r="I78" s="6">
        <f t="shared" si="9"/>
        <v>5</v>
      </c>
      <c r="J78" s="6">
        <f t="shared" si="9"/>
        <v>3</v>
      </c>
      <c r="K78" s="6">
        <f t="shared" si="9"/>
        <v>3</v>
      </c>
      <c r="L78" s="6">
        <f t="shared" si="9"/>
        <v>0</v>
      </c>
      <c r="M78" s="6">
        <f t="shared" si="9"/>
        <v>0</v>
      </c>
      <c r="N78" s="6">
        <f t="shared" si="9"/>
        <v>0</v>
      </c>
    </row>
    <row r="79" spans="1:14">
      <c r="A79" s="6">
        <f t="shared" si="7"/>
        <v>2006</v>
      </c>
      <c r="B79" s="18">
        <f t="shared" si="10"/>
        <v>0</v>
      </c>
      <c r="C79" s="6">
        <f t="shared" si="9"/>
        <v>7</v>
      </c>
      <c r="D79" s="6">
        <f t="shared" si="9"/>
        <v>9</v>
      </c>
      <c r="E79" s="6">
        <f t="shared" si="9"/>
        <v>16</v>
      </c>
      <c r="F79" s="6">
        <f t="shared" si="9"/>
        <v>21</v>
      </c>
      <c r="G79" s="6">
        <f t="shared" si="9"/>
        <v>19</v>
      </c>
      <c r="H79" s="6">
        <f t="shared" si="9"/>
        <v>13</v>
      </c>
      <c r="I79" s="6">
        <f t="shared" si="9"/>
        <v>8</v>
      </c>
      <c r="J79" s="6">
        <f t="shared" si="9"/>
        <v>3</v>
      </c>
      <c r="K79" s="6">
        <f t="shared" si="9"/>
        <v>4</v>
      </c>
      <c r="L79" s="6">
        <f t="shared" si="9"/>
        <v>0</v>
      </c>
      <c r="M79" s="6">
        <f t="shared" si="9"/>
        <v>0</v>
      </c>
      <c r="N79" s="6">
        <f t="shared" si="9"/>
        <v>0</v>
      </c>
    </row>
    <row r="80" spans="1:14">
      <c r="A80" s="6">
        <f t="shared" si="7"/>
        <v>2007</v>
      </c>
      <c r="B80" s="18">
        <f t="shared" si="10"/>
        <v>0</v>
      </c>
      <c r="C80" s="6">
        <f t="shared" si="9"/>
        <v>0</v>
      </c>
      <c r="D80" s="6">
        <f t="shared" si="9"/>
        <v>14</v>
      </c>
      <c r="E80" s="6">
        <f t="shared" si="9"/>
        <v>16</v>
      </c>
      <c r="F80" s="6">
        <f t="shared" si="9"/>
        <v>21</v>
      </c>
      <c r="G80" s="6">
        <f t="shared" si="9"/>
        <v>18</v>
      </c>
      <c r="H80" s="6">
        <f t="shared" si="9"/>
        <v>15</v>
      </c>
      <c r="I80" s="6">
        <f t="shared" si="9"/>
        <v>8</v>
      </c>
      <c r="J80" s="6">
        <f t="shared" si="9"/>
        <v>4</v>
      </c>
      <c r="K80" s="6">
        <f t="shared" si="9"/>
        <v>4</v>
      </c>
      <c r="L80" s="6">
        <f t="shared" si="9"/>
        <v>0</v>
      </c>
      <c r="M80" s="6">
        <f t="shared" si="9"/>
        <v>0</v>
      </c>
      <c r="N80" s="6">
        <f t="shared" si="9"/>
        <v>0</v>
      </c>
    </row>
    <row r="81" spans="1:14">
      <c r="A81" s="6">
        <f t="shared" si="7"/>
        <v>2008</v>
      </c>
      <c r="B81" s="18">
        <f t="shared" si="10"/>
        <v>0</v>
      </c>
      <c r="C81" s="6">
        <f t="shared" si="9"/>
        <v>0</v>
      </c>
      <c r="D81" s="6">
        <f t="shared" si="9"/>
        <v>0</v>
      </c>
      <c r="E81" s="6">
        <f t="shared" si="9"/>
        <v>0</v>
      </c>
      <c r="F81" s="6">
        <f t="shared" si="9"/>
        <v>21</v>
      </c>
      <c r="G81" s="6">
        <f t="shared" si="9"/>
        <v>16</v>
      </c>
      <c r="H81" s="6">
        <f t="shared" si="9"/>
        <v>23</v>
      </c>
      <c r="I81" s="6">
        <f t="shared" si="9"/>
        <v>15</v>
      </c>
      <c r="J81" s="6">
        <f t="shared" si="9"/>
        <v>13</v>
      </c>
      <c r="K81" s="6">
        <f t="shared" si="9"/>
        <v>6</v>
      </c>
      <c r="L81" s="6">
        <f t="shared" si="9"/>
        <v>3</v>
      </c>
      <c r="M81" s="6">
        <f t="shared" si="9"/>
        <v>3</v>
      </c>
      <c r="N81" s="6">
        <f t="shared" si="9"/>
        <v>0</v>
      </c>
    </row>
    <row r="82" spans="1:14">
      <c r="A82" s="6">
        <f t="shared" si="7"/>
        <v>2009</v>
      </c>
      <c r="B82" s="18">
        <f t="shared" si="10"/>
        <v>0</v>
      </c>
      <c r="C82" s="6">
        <f t="shared" si="9"/>
        <v>0</v>
      </c>
      <c r="D82" s="6">
        <f t="shared" si="9"/>
        <v>0</v>
      </c>
      <c r="E82" s="6">
        <f t="shared" si="9"/>
        <v>0</v>
      </c>
      <c r="F82" s="6">
        <f t="shared" si="9"/>
        <v>20</v>
      </c>
      <c r="G82" s="6">
        <f t="shared" si="9"/>
        <v>16</v>
      </c>
      <c r="H82" s="6">
        <f t="shared" si="9"/>
        <v>19</v>
      </c>
      <c r="I82" s="6">
        <f t="shared" si="9"/>
        <v>17</v>
      </c>
      <c r="J82" s="6">
        <f t="shared" si="9"/>
        <v>13</v>
      </c>
      <c r="K82" s="6">
        <f t="shared" si="9"/>
        <v>8</v>
      </c>
      <c r="L82" s="6">
        <f t="shared" si="9"/>
        <v>4</v>
      </c>
      <c r="M82" s="6">
        <f t="shared" si="9"/>
        <v>3</v>
      </c>
      <c r="N82" s="6">
        <f t="shared" si="9"/>
        <v>0</v>
      </c>
    </row>
    <row r="83" spans="1:14">
      <c r="A83" s="6">
        <f t="shared" si="7"/>
        <v>2010</v>
      </c>
      <c r="B83" s="18">
        <f t="shared" si="10"/>
        <v>0</v>
      </c>
      <c r="C83" s="6">
        <f t="shared" si="9"/>
        <v>8</v>
      </c>
      <c r="D83" s="6">
        <f t="shared" si="9"/>
        <v>10</v>
      </c>
      <c r="E83" s="6">
        <f t="shared" si="9"/>
        <v>17</v>
      </c>
      <c r="F83" s="6">
        <f t="shared" si="9"/>
        <v>18</v>
      </c>
      <c r="G83" s="6">
        <f t="shared" si="9"/>
        <v>18</v>
      </c>
      <c r="H83" s="6">
        <f t="shared" si="9"/>
        <v>13</v>
      </c>
      <c r="I83" s="6">
        <f t="shared" si="9"/>
        <v>7</v>
      </c>
      <c r="J83" s="6">
        <f t="shared" si="9"/>
        <v>5</v>
      </c>
      <c r="K83" s="6">
        <f t="shared" si="9"/>
        <v>4</v>
      </c>
      <c r="L83" s="6">
        <f t="shared" si="9"/>
        <v>0</v>
      </c>
      <c r="M83" s="6">
        <f t="shared" si="9"/>
        <v>0</v>
      </c>
      <c r="N83" s="6">
        <f t="shared" si="9"/>
        <v>0</v>
      </c>
    </row>
    <row r="84" spans="1:14">
      <c r="A84" s="6">
        <f t="shared" si="7"/>
        <v>2011</v>
      </c>
      <c r="B84" s="18">
        <f t="shared" si="10"/>
        <v>0</v>
      </c>
      <c r="C84" s="6">
        <f t="shared" si="9"/>
        <v>0</v>
      </c>
      <c r="D84" s="6">
        <f t="shared" si="9"/>
        <v>0</v>
      </c>
      <c r="E84" s="6">
        <f t="shared" si="9"/>
        <v>16</v>
      </c>
      <c r="F84" s="6">
        <f t="shared" si="9"/>
        <v>18</v>
      </c>
      <c r="G84" s="6">
        <f t="shared" si="9"/>
        <v>17</v>
      </c>
      <c r="H84" s="6">
        <f t="shared" si="9"/>
        <v>19</v>
      </c>
      <c r="I84" s="6">
        <f t="shared" si="9"/>
        <v>13</v>
      </c>
      <c r="J84" s="6">
        <f t="shared" si="9"/>
        <v>10</v>
      </c>
      <c r="K84" s="6">
        <f t="shared" si="9"/>
        <v>4</v>
      </c>
      <c r="L84" s="6">
        <f t="shared" si="9"/>
        <v>3</v>
      </c>
      <c r="M84" s="6">
        <f t="shared" si="9"/>
        <v>0</v>
      </c>
      <c r="N84" s="6">
        <f t="shared" si="9"/>
        <v>0</v>
      </c>
    </row>
    <row r="85" spans="1:14">
      <c r="A85" s="6">
        <f t="shared" si="7"/>
        <v>2012</v>
      </c>
      <c r="B85" s="18">
        <f t="shared" si="10"/>
        <v>0</v>
      </c>
      <c r="C85" s="6">
        <f t="shared" si="9"/>
        <v>0</v>
      </c>
      <c r="D85" s="6">
        <f t="shared" si="9"/>
        <v>16</v>
      </c>
      <c r="E85" s="6">
        <f t="shared" si="9"/>
        <v>20</v>
      </c>
      <c r="F85" s="6">
        <f t="shared" si="9"/>
        <v>19</v>
      </c>
      <c r="G85" s="6">
        <f t="shared" si="9"/>
        <v>16</v>
      </c>
      <c r="H85" s="6">
        <f t="shared" si="9"/>
        <v>12</v>
      </c>
      <c r="I85" s="6">
        <f t="shared" si="9"/>
        <v>8</v>
      </c>
      <c r="J85" s="6">
        <f t="shared" si="9"/>
        <v>5</v>
      </c>
      <c r="K85" s="6">
        <f t="shared" si="9"/>
        <v>4</v>
      </c>
      <c r="L85" s="6">
        <f t="shared" si="9"/>
        <v>0</v>
      </c>
      <c r="M85" s="6">
        <f t="shared" si="9"/>
        <v>0</v>
      </c>
      <c r="N85" s="6">
        <f t="shared" si="9"/>
        <v>0</v>
      </c>
    </row>
    <row r="86" spans="1:14">
      <c r="A86" s="6">
        <f t="shared" si="7"/>
        <v>2013</v>
      </c>
      <c r="B86" s="18">
        <f t="shared" si="10"/>
        <v>0</v>
      </c>
      <c r="C86" s="6">
        <f t="shared" si="9"/>
        <v>0</v>
      </c>
      <c r="D86" s="6">
        <f t="shared" si="9"/>
        <v>0</v>
      </c>
      <c r="E86" s="6">
        <f t="shared" si="9"/>
        <v>8</v>
      </c>
      <c r="F86" s="6">
        <f t="shared" si="9"/>
        <v>12</v>
      </c>
      <c r="G86" s="6">
        <f t="shared" si="9"/>
        <v>19</v>
      </c>
      <c r="H86" s="6">
        <f t="shared" si="9"/>
        <v>19</v>
      </c>
      <c r="I86" s="6">
        <f t="shared" si="9"/>
        <v>14</v>
      </c>
      <c r="J86" s="6">
        <f t="shared" si="9"/>
        <v>12</v>
      </c>
      <c r="K86" s="6">
        <f t="shared" si="9"/>
        <v>8</v>
      </c>
      <c r="L86" s="6">
        <f t="shared" si="9"/>
        <v>5</v>
      </c>
      <c r="M86" s="6">
        <f t="shared" si="9"/>
        <v>3</v>
      </c>
      <c r="N86" s="6">
        <f t="shared" si="9"/>
        <v>0</v>
      </c>
    </row>
    <row r="87" spans="1:14">
      <c r="A87" s="6">
        <f t="shared" si="7"/>
        <v>2014</v>
      </c>
      <c r="B87" s="18">
        <f t="shared" si="10"/>
        <v>0</v>
      </c>
      <c r="C87" s="6">
        <f t="shared" ref="C87:N96" si="11">C35-B35</f>
        <v>0</v>
      </c>
      <c r="D87" s="6">
        <f t="shared" si="11"/>
        <v>0</v>
      </c>
      <c r="E87" s="6">
        <f t="shared" si="11"/>
        <v>19</v>
      </c>
      <c r="F87" s="6">
        <f t="shared" si="11"/>
        <v>19</v>
      </c>
      <c r="G87" s="6">
        <f t="shared" si="11"/>
        <v>19</v>
      </c>
      <c r="H87" s="6">
        <f t="shared" si="11"/>
        <v>15</v>
      </c>
      <c r="I87" s="6">
        <f t="shared" si="11"/>
        <v>11</v>
      </c>
      <c r="J87" s="6">
        <f t="shared" si="11"/>
        <v>7</v>
      </c>
      <c r="K87" s="6">
        <f t="shared" si="11"/>
        <v>5</v>
      </c>
      <c r="L87" s="6">
        <f t="shared" si="11"/>
        <v>5</v>
      </c>
      <c r="M87" s="6">
        <f t="shared" si="11"/>
        <v>0</v>
      </c>
      <c r="N87" s="6">
        <f t="shared" si="11"/>
        <v>0</v>
      </c>
    </row>
    <row r="88" spans="1:14">
      <c r="A88" s="6">
        <f t="shared" si="7"/>
        <v>2015</v>
      </c>
      <c r="B88" s="18">
        <f t="shared" si="10"/>
        <v>0</v>
      </c>
      <c r="C88" s="6">
        <f t="shared" si="11"/>
        <v>0</v>
      </c>
      <c r="D88" s="6">
        <f t="shared" si="11"/>
        <v>6</v>
      </c>
      <c r="E88" s="6">
        <f t="shared" si="11"/>
        <v>11</v>
      </c>
      <c r="F88" s="6">
        <f t="shared" si="11"/>
        <v>17</v>
      </c>
      <c r="G88" s="6">
        <f t="shared" si="11"/>
        <v>20</v>
      </c>
      <c r="H88" s="6">
        <f t="shared" si="11"/>
        <v>15</v>
      </c>
      <c r="I88" s="6">
        <f t="shared" si="11"/>
        <v>10</v>
      </c>
      <c r="J88" s="6">
        <f t="shared" si="11"/>
        <v>8</v>
      </c>
      <c r="K88" s="6">
        <f t="shared" si="11"/>
        <v>6</v>
      </c>
      <c r="L88" s="6">
        <f t="shared" si="11"/>
        <v>3</v>
      </c>
      <c r="M88" s="6">
        <f t="shared" si="11"/>
        <v>4</v>
      </c>
      <c r="N88" s="6">
        <f t="shared" si="11"/>
        <v>0</v>
      </c>
    </row>
    <row r="89" spans="1:14">
      <c r="A89" s="6">
        <f t="shared" si="7"/>
        <v>2016</v>
      </c>
      <c r="B89" s="18">
        <f t="shared" si="10"/>
        <v>0</v>
      </c>
      <c r="C89" s="6">
        <f t="shared" si="11"/>
        <v>7</v>
      </c>
      <c r="D89" s="6">
        <f t="shared" si="11"/>
        <v>11</v>
      </c>
      <c r="E89" s="6">
        <f t="shared" si="11"/>
        <v>17</v>
      </c>
      <c r="F89" s="6">
        <f t="shared" si="11"/>
        <v>19</v>
      </c>
      <c r="G89" s="6">
        <f t="shared" si="11"/>
        <v>15</v>
      </c>
      <c r="H89" s="6">
        <f t="shared" si="11"/>
        <v>11</v>
      </c>
      <c r="I89" s="6">
        <f t="shared" si="11"/>
        <v>9</v>
      </c>
      <c r="J89" s="6">
        <f t="shared" si="11"/>
        <v>5</v>
      </c>
      <c r="K89" s="6">
        <f t="shared" si="11"/>
        <v>3</v>
      </c>
      <c r="L89" s="6">
        <f t="shared" si="11"/>
        <v>3</v>
      </c>
      <c r="M89" s="6">
        <f t="shared" si="11"/>
        <v>0</v>
      </c>
      <c r="N89" s="6">
        <f t="shared" si="11"/>
        <v>0</v>
      </c>
    </row>
    <row r="90" spans="1:14">
      <c r="A90" s="6">
        <f t="shared" si="7"/>
        <v>2017</v>
      </c>
      <c r="B90" s="18">
        <f t="shared" si="10"/>
        <v>0</v>
      </c>
      <c r="C90" s="6">
        <f t="shared" si="11"/>
        <v>7</v>
      </c>
      <c r="D90" s="6">
        <f t="shared" si="11"/>
        <v>9</v>
      </c>
      <c r="E90" s="6">
        <f t="shared" si="11"/>
        <v>13</v>
      </c>
      <c r="F90" s="6">
        <f t="shared" si="11"/>
        <v>19</v>
      </c>
      <c r="G90" s="6">
        <f t="shared" si="11"/>
        <v>17</v>
      </c>
      <c r="H90" s="6">
        <f t="shared" si="11"/>
        <v>14</v>
      </c>
      <c r="I90" s="6">
        <f t="shared" si="11"/>
        <v>8</v>
      </c>
      <c r="J90" s="6">
        <f t="shared" si="11"/>
        <v>6</v>
      </c>
      <c r="K90" s="6">
        <f t="shared" si="11"/>
        <v>4</v>
      </c>
      <c r="L90" s="6">
        <f t="shared" si="11"/>
        <v>3</v>
      </c>
      <c r="M90" s="6">
        <f t="shared" si="11"/>
        <v>0</v>
      </c>
      <c r="N90" s="6">
        <f t="shared" si="11"/>
        <v>0</v>
      </c>
    </row>
    <row r="91" spans="1:14">
      <c r="A91" s="6">
        <f t="shared" si="7"/>
        <v>2018</v>
      </c>
      <c r="B91" s="18">
        <f t="shared" si="10"/>
        <v>0</v>
      </c>
      <c r="C91" s="6">
        <f t="shared" si="11"/>
        <v>11</v>
      </c>
      <c r="D91" s="6">
        <f t="shared" si="11"/>
        <v>15</v>
      </c>
      <c r="E91" s="6">
        <f t="shared" si="11"/>
        <v>18</v>
      </c>
      <c r="F91" s="6">
        <f t="shared" si="11"/>
        <v>16</v>
      </c>
      <c r="G91" s="6">
        <f t="shared" si="11"/>
        <v>15</v>
      </c>
      <c r="H91" s="6">
        <f t="shared" si="11"/>
        <v>9</v>
      </c>
      <c r="I91" s="6">
        <f t="shared" si="11"/>
        <v>7</v>
      </c>
      <c r="J91" s="6">
        <f t="shared" si="11"/>
        <v>4</v>
      </c>
      <c r="K91" s="6">
        <f t="shared" si="11"/>
        <v>5</v>
      </c>
      <c r="L91" s="6">
        <f t="shared" si="11"/>
        <v>0</v>
      </c>
      <c r="M91" s="6">
        <f t="shared" si="11"/>
        <v>0</v>
      </c>
      <c r="N91" s="6">
        <f t="shared" si="11"/>
        <v>0</v>
      </c>
    </row>
    <row r="92" spans="1:14">
      <c r="A92" s="6">
        <f t="shared" si="7"/>
        <v>2019</v>
      </c>
      <c r="B92" s="18">
        <f t="shared" si="10"/>
        <v>0</v>
      </c>
      <c r="C92" s="6">
        <f t="shared" si="11"/>
        <v>0</v>
      </c>
      <c r="D92" s="6">
        <f t="shared" si="11"/>
        <v>0</v>
      </c>
      <c r="E92" s="6">
        <f t="shared" si="11"/>
        <v>7</v>
      </c>
      <c r="F92" s="6">
        <f t="shared" si="11"/>
        <v>14</v>
      </c>
      <c r="G92" s="6">
        <f t="shared" si="11"/>
        <v>16</v>
      </c>
      <c r="H92" s="6">
        <f t="shared" si="11"/>
        <v>17</v>
      </c>
      <c r="I92" s="6">
        <f t="shared" si="11"/>
        <v>14</v>
      </c>
      <c r="J92" s="6">
        <f t="shared" si="11"/>
        <v>11</v>
      </c>
      <c r="K92" s="6">
        <f t="shared" si="11"/>
        <v>7</v>
      </c>
      <c r="L92" s="6">
        <f t="shared" si="11"/>
        <v>6</v>
      </c>
      <c r="M92" s="6">
        <f t="shared" si="11"/>
        <v>3</v>
      </c>
      <c r="N92" s="6">
        <f t="shared" si="11"/>
        <v>5</v>
      </c>
    </row>
    <row r="93" spans="1:14">
      <c r="A93" s="6">
        <f t="shared" si="7"/>
        <v>2020</v>
      </c>
      <c r="B93" s="18">
        <f t="shared" si="10"/>
        <v>0</v>
      </c>
      <c r="C93" s="6">
        <f t="shared" si="11"/>
        <v>2</v>
      </c>
      <c r="D93" s="6">
        <f t="shared" si="11"/>
        <v>9</v>
      </c>
      <c r="E93" s="6">
        <f t="shared" si="11"/>
        <v>14</v>
      </c>
      <c r="F93" s="6">
        <f t="shared" si="11"/>
        <v>18</v>
      </c>
      <c r="G93" s="6">
        <f t="shared" si="11"/>
        <v>16</v>
      </c>
      <c r="H93" s="6">
        <f t="shared" si="11"/>
        <v>16</v>
      </c>
      <c r="I93" s="6">
        <f t="shared" si="11"/>
        <v>9</v>
      </c>
      <c r="J93" s="6">
        <f t="shared" si="11"/>
        <v>8</v>
      </c>
      <c r="K93" s="6">
        <f t="shared" si="11"/>
        <v>3</v>
      </c>
      <c r="L93" s="6">
        <f t="shared" si="11"/>
        <v>5</v>
      </c>
      <c r="M93" s="6">
        <f t="shared" si="11"/>
        <v>0</v>
      </c>
      <c r="N93" s="6">
        <f t="shared" si="11"/>
        <v>0</v>
      </c>
    </row>
    <row r="94" spans="1:14">
      <c r="A94" s="6">
        <f>A42</f>
        <v>2021</v>
      </c>
      <c r="B94" s="18">
        <f t="shared" si="10"/>
        <v>3</v>
      </c>
      <c r="C94" s="6">
        <f>C42-B42</f>
        <v>7</v>
      </c>
      <c r="D94" s="6">
        <f t="shared" si="11"/>
        <v>13</v>
      </c>
      <c r="E94" s="6">
        <f t="shared" si="11"/>
        <v>19</v>
      </c>
      <c r="F94" s="6">
        <f t="shared" si="11"/>
        <v>16</v>
      </c>
      <c r="G94" s="6">
        <f t="shared" si="11"/>
        <v>14</v>
      </c>
      <c r="H94" s="6">
        <f t="shared" si="11"/>
        <v>9</v>
      </c>
      <c r="I94" s="6">
        <f t="shared" si="11"/>
        <v>7</v>
      </c>
      <c r="J94" s="6">
        <f t="shared" si="11"/>
        <v>5</v>
      </c>
      <c r="K94" s="6">
        <f t="shared" si="11"/>
        <v>3</v>
      </c>
      <c r="L94" s="6">
        <f t="shared" si="11"/>
        <v>4</v>
      </c>
      <c r="M94" s="6">
        <f t="shared" si="11"/>
        <v>0</v>
      </c>
      <c r="N94" s="6">
        <f t="shared" si="11"/>
        <v>0</v>
      </c>
    </row>
    <row r="95" spans="1:14">
      <c r="A95" s="6">
        <f t="shared" si="7"/>
        <v>2022</v>
      </c>
      <c r="B95" s="18">
        <f t="shared" si="10"/>
        <v>3</v>
      </c>
      <c r="C95" s="6">
        <f t="shared" si="11"/>
        <v>3</v>
      </c>
      <c r="D95" s="6">
        <f t="shared" si="11"/>
        <v>8</v>
      </c>
      <c r="E95" s="6">
        <f t="shared" si="11"/>
        <v>12</v>
      </c>
      <c r="F95" s="6">
        <f t="shared" si="11"/>
        <v>18</v>
      </c>
      <c r="G95" s="6">
        <f t="shared" si="11"/>
        <v>17</v>
      </c>
      <c r="H95" s="6">
        <f t="shared" si="11"/>
        <v>13</v>
      </c>
      <c r="I95" s="6">
        <f t="shared" si="11"/>
        <v>10</v>
      </c>
      <c r="J95" s="6">
        <f t="shared" si="11"/>
        <v>7</v>
      </c>
      <c r="K95" s="6">
        <f t="shared" si="11"/>
        <v>3</v>
      </c>
      <c r="L95" s="6">
        <f t="shared" si="11"/>
        <v>3</v>
      </c>
      <c r="M95" s="6">
        <f t="shared" si="11"/>
        <v>3</v>
      </c>
      <c r="N95" s="6">
        <f t="shared" si="11"/>
        <v>0</v>
      </c>
    </row>
    <row r="96" spans="1:14">
      <c r="A96" s="6">
        <f t="shared" si="7"/>
        <v>2023</v>
      </c>
      <c r="B96" s="18">
        <f t="shared" si="10"/>
        <v>4</v>
      </c>
      <c r="C96" s="6">
        <f t="shared" si="11"/>
        <v>6</v>
      </c>
      <c r="D96" s="6">
        <f t="shared" si="11"/>
        <v>10</v>
      </c>
      <c r="E96" s="6">
        <f t="shared" si="11"/>
        <v>15</v>
      </c>
      <c r="F96" s="6">
        <f t="shared" si="11"/>
        <v>15</v>
      </c>
      <c r="G96" s="6">
        <f t="shared" si="11"/>
        <v>16</v>
      </c>
      <c r="H96" s="6">
        <f t="shared" si="11"/>
        <v>12</v>
      </c>
      <c r="I96" s="6">
        <f t="shared" si="11"/>
        <v>8</v>
      </c>
      <c r="J96" s="6">
        <f t="shared" si="11"/>
        <v>5</v>
      </c>
      <c r="K96" s="6">
        <f t="shared" si="11"/>
        <v>4</v>
      </c>
      <c r="L96" s="6">
        <f t="shared" si="11"/>
        <v>5</v>
      </c>
      <c r="M96" s="6">
        <f t="shared" si="11"/>
        <v>0</v>
      </c>
      <c r="N96" s="6">
        <f t="shared" si="11"/>
        <v>0</v>
      </c>
    </row>
    <row r="97" spans="1:14">
      <c r="A97" s="6">
        <f t="shared" si="7"/>
        <v>2024</v>
      </c>
      <c r="B97" s="18">
        <f t="shared" si="10"/>
        <v>3</v>
      </c>
      <c r="C97" s="6">
        <f t="shared" ref="C97:N97" si="12">C45-B45</f>
        <v>6</v>
      </c>
      <c r="D97" s="6">
        <f t="shared" si="12"/>
        <v>9</v>
      </c>
      <c r="E97" s="6">
        <f t="shared" si="12"/>
        <v>11</v>
      </c>
      <c r="F97" s="6">
        <f t="shared" si="12"/>
        <v>15</v>
      </c>
      <c r="G97" s="6">
        <f t="shared" si="12"/>
        <v>15</v>
      </c>
      <c r="H97" s="6">
        <f t="shared" si="12"/>
        <v>13</v>
      </c>
      <c r="I97" s="6">
        <f t="shared" si="12"/>
        <v>9</v>
      </c>
      <c r="J97" s="6">
        <f t="shared" si="12"/>
        <v>8</v>
      </c>
      <c r="K97" s="6">
        <f t="shared" si="12"/>
        <v>5</v>
      </c>
      <c r="L97" s="6">
        <f t="shared" si="12"/>
        <v>3</v>
      </c>
      <c r="M97" s="6">
        <f t="shared" si="12"/>
        <v>3</v>
      </c>
      <c r="N97" s="6">
        <f t="shared" si="12"/>
        <v>0</v>
      </c>
    </row>
    <row r="98" spans="1:14">
      <c r="A98" s="6">
        <f t="shared" si="7"/>
        <v>2025</v>
      </c>
      <c r="B98" s="18">
        <f>B46-0</f>
        <v>3</v>
      </c>
      <c r="C98" s="6">
        <f t="shared" ref="C98:H98" si="13">C46-B46</f>
        <v>5</v>
      </c>
      <c r="D98" s="6">
        <f t="shared" si="13"/>
        <v>7</v>
      </c>
      <c r="E98" s="6">
        <f t="shared" si="13"/>
        <v>11</v>
      </c>
      <c r="F98" s="6">
        <f t="shared" si="13"/>
        <v>32</v>
      </c>
      <c r="G98" s="6">
        <f t="shared" si="13"/>
        <v>13</v>
      </c>
      <c r="H98" s="6">
        <f t="shared" si="13"/>
        <v>11</v>
      </c>
      <c r="I98" s="6">
        <f>I46-H46</f>
        <v>7</v>
      </c>
      <c r="J98" s="6">
        <f>J46-I46</f>
        <v>5</v>
      </c>
      <c r="K98" s="6">
        <f>K46-J46</f>
        <v>3</v>
      </c>
    </row>
    <row r="101" spans="1:14">
      <c r="A101" s="6" t="s">
        <v>36</v>
      </c>
      <c r="B101" s="6">
        <f>B52-0</f>
        <v>2</v>
      </c>
      <c r="C101" s="6">
        <f>C52-B52</f>
        <v>6</v>
      </c>
      <c r="D101" s="6">
        <f t="shared" ref="D101:N101" si="14">D52-C52</f>
        <v>10</v>
      </c>
      <c r="E101" s="6">
        <f t="shared" si="14"/>
        <v>12</v>
      </c>
      <c r="F101" s="6">
        <f t="shared" si="14"/>
        <v>18</v>
      </c>
      <c r="G101" s="6">
        <f t="shared" si="14"/>
        <v>18</v>
      </c>
      <c r="H101" s="6">
        <f t="shared" si="14"/>
        <v>10</v>
      </c>
      <c r="I101" s="6">
        <f t="shared" si="14"/>
        <v>8</v>
      </c>
      <c r="J101" s="6">
        <f t="shared" si="14"/>
        <v>6</v>
      </c>
      <c r="K101" s="6">
        <f t="shared" si="14"/>
        <v>3</v>
      </c>
      <c r="L101" s="6">
        <f t="shared" si="14"/>
        <v>3</v>
      </c>
      <c r="M101" s="6">
        <f t="shared" si="14"/>
        <v>4</v>
      </c>
      <c r="N101" s="6">
        <f t="shared" si="1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0FA9-34C2-4311-9B78-C63C5DE1B6E2}">
  <dimension ref="A1:R61"/>
  <sheetViews>
    <sheetView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D29" sqref="D29"/>
    </sheetView>
  </sheetViews>
  <sheetFormatPr defaultColWidth="9.140625" defaultRowHeight="12.75"/>
  <cols>
    <col min="1" max="4" width="9.28515625" style="1" bestFit="1" customWidth="1"/>
    <col min="5" max="6" width="9.85546875" style="1" bestFit="1" customWidth="1"/>
    <col min="7" max="7" width="10.85546875" style="1" bestFit="1" customWidth="1"/>
    <col min="8" max="9" width="9.85546875" style="1" bestFit="1" customWidth="1"/>
    <col min="10" max="10" width="9.28515625" style="1" bestFit="1" customWidth="1"/>
    <col min="11" max="13" width="9.85546875" style="1" bestFit="1" customWidth="1"/>
    <col min="14" max="14" width="9.28515625" style="1" bestFit="1" customWidth="1"/>
    <col min="15" max="16384" width="9.140625" style="1"/>
  </cols>
  <sheetData>
    <row r="1" spans="1:18">
      <c r="B1" s="2">
        <v>45179</v>
      </c>
      <c r="C1" s="2">
        <f>B1+7</f>
        <v>45186</v>
      </c>
      <c r="D1" s="2">
        <f t="shared" ref="D1:O1" si="0">C1+7</f>
        <v>45193</v>
      </c>
      <c r="E1" s="2">
        <f t="shared" si="0"/>
        <v>45200</v>
      </c>
      <c r="F1" s="2">
        <f t="shared" si="0"/>
        <v>45207</v>
      </c>
      <c r="G1" s="2">
        <f t="shared" si="0"/>
        <v>45214</v>
      </c>
      <c r="H1" s="2">
        <f t="shared" si="0"/>
        <v>45221</v>
      </c>
      <c r="I1" s="2">
        <f t="shared" si="0"/>
        <v>45228</v>
      </c>
      <c r="J1" s="2">
        <f t="shared" si="0"/>
        <v>45235</v>
      </c>
      <c r="K1" s="2">
        <f t="shared" si="0"/>
        <v>45242</v>
      </c>
      <c r="L1" s="2">
        <f t="shared" si="0"/>
        <v>45249</v>
      </c>
      <c r="M1" s="2">
        <f t="shared" si="0"/>
        <v>45256</v>
      </c>
      <c r="N1" s="2">
        <f t="shared" si="0"/>
        <v>45263</v>
      </c>
      <c r="O1" s="2">
        <f t="shared" si="0"/>
        <v>45270</v>
      </c>
      <c r="P1" s="2"/>
      <c r="Q1" s="2"/>
      <c r="R1" s="2"/>
    </row>
    <row r="2" spans="1:18">
      <c r="A2" s="1">
        <v>2000</v>
      </c>
      <c r="B2" s="3">
        <v>2</v>
      </c>
      <c r="C2" s="3">
        <v>7</v>
      </c>
      <c r="D2" s="3">
        <v>20</v>
      </c>
      <c r="E2" s="3">
        <v>37</v>
      </c>
      <c r="F2" s="3">
        <v>58</v>
      </c>
      <c r="G2" s="3">
        <v>74</v>
      </c>
      <c r="H2" s="3">
        <v>84</v>
      </c>
      <c r="I2" s="3">
        <v>91</v>
      </c>
      <c r="J2" s="3">
        <v>95</v>
      </c>
      <c r="K2" s="3">
        <v>100</v>
      </c>
      <c r="L2" s="3">
        <v>100</v>
      </c>
      <c r="M2" s="3">
        <v>100</v>
      </c>
      <c r="N2" s="3">
        <v>100</v>
      </c>
      <c r="O2" s="3">
        <v>100</v>
      </c>
    </row>
    <row r="3" spans="1:18">
      <c r="A3" s="1">
        <v>2001</v>
      </c>
      <c r="B3" s="3">
        <v>0</v>
      </c>
      <c r="C3" s="3">
        <v>3</v>
      </c>
      <c r="D3" s="3">
        <v>6</v>
      </c>
      <c r="E3" s="3">
        <v>16</v>
      </c>
      <c r="F3" s="3">
        <v>40</v>
      </c>
      <c r="G3" s="3">
        <v>57</v>
      </c>
      <c r="H3" s="3">
        <v>70</v>
      </c>
      <c r="I3" s="3">
        <v>81</v>
      </c>
      <c r="J3" s="3">
        <v>90</v>
      </c>
      <c r="K3" s="3">
        <v>96</v>
      </c>
      <c r="L3" s="3">
        <v>100</v>
      </c>
      <c r="M3" s="3">
        <v>100</v>
      </c>
      <c r="N3" s="3">
        <v>100</v>
      </c>
      <c r="O3" s="3">
        <v>100</v>
      </c>
    </row>
    <row r="4" spans="1:18">
      <c r="A4" s="1">
        <v>2002</v>
      </c>
      <c r="B4" s="3">
        <v>0</v>
      </c>
      <c r="C4" s="3">
        <v>0</v>
      </c>
      <c r="D4" s="3">
        <v>6</v>
      </c>
      <c r="E4" s="3">
        <v>17</v>
      </c>
      <c r="F4" s="3">
        <v>31</v>
      </c>
      <c r="G4" s="3">
        <v>53</v>
      </c>
      <c r="H4" s="3">
        <v>74</v>
      </c>
      <c r="I4" s="3">
        <v>84</v>
      </c>
      <c r="J4" s="3">
        <v>87</v>
      </c>
      <c r="K4" s="3">
        <v>91</v>
      </c>
      <c r="L4" s="3">
        <v>94</v>
      </c>
      <c r="M4" s="3">
        <v>97</v>
      </c>
      <c r="N4" s="3">
        <v>100</v>
      </c>
      <c r="O4" s="3">
        <v>100</v>
      </c>
    </row>
    <row r="5" spans="1:18">
      <c r="A5" s="1">
        <v>2003</v>
      </c>
      <c r="B5" s="3">
        <v>0</v>
      </c>
      <c r="C5" s="3">
        <v>0</v>
      </c>
      <c r="D5" s="3">
        <v>6</v>
      </c>
      <c r="E5" s="3">
        <v>17</v>
      </c>
      <c r="F5" s="3">
        <v>37</v>
      </c>
      <c r="G5" s="3">
        <v>60</v>
      </c>
      <c r="H5" s="3">
        <v>74</v>
      </c>
      <c r="I5" s="3">
        <v>85</v>
      </c>
      <c r="J5" s="3">
        <v>91</v>
      </c>
      <c r="K5" s="3">
        <v>95</v>
      </c>
      <c r="L5" s="3">
        <v>100</v>
      </c>
      <c r="M5" s="3">
        <v>100</v>
      </c>
      <c r="N5" s="3">
        <v>100</v>
      </c>
      <c r="O5" s="3">
        <v>100</v>
      </c>
    </row>
    <row r="6" spans="1:18">
      <c r="A6" s="1">
        <v>2004</v>
      </c>
      <c r="B6" s="3">
        <v>0</v>
      </c>
      <c r="C6" s="3">
        <v>0</v>
      </c>
      <c r="D6" s="3">
        <v>8</v>
      </c>
      <c r="E6" s="3">
        <v>18</v>
      </c>
      <c r="F6" s="3">
        <v>36</v>
      </c>
      <c r="G6" s="3">
        <v>58</v>
      </c>
      <c r="H6" s="3">
        <v>71</v>
      </c>
      <c r="I6" s="3">
        <v>80</v>
      </c>
      <c r="J6" s="3">
        <v>84</v>
      </c>
      <c r="K6" s="3">
        <v>87</v>
      </c>
      <c r="L6" s="3">
        <v>93</v>
      </c>
      <c r="M6" s="3">
        <v>95</v>
      </c>
      <c r="N6" s="3">
        <v>100</v>
      </c>
      <c r="O6" s="3">
        <v>100</v>
      </c>
    </row>
    <row r="7" spans="1:18">
      <c r="A7" s="1">
        <v>2005</v>
      </c>
      <c r="B7" s="3">
        <v>0</v>
      </c>
      <c r="C7" s="3">
        <v>8</v>
      </c>
      <c r="D7" s="3">
        <v>19</v>
      </c>
      <c r="E7" s="3">
        <v>36</v>
      </c>
      <c r="F7" s="3">
        <v>60</v>
      </c>
      <c r="G7" s="3">
        <v>76</v>
      </c>
      <c r="H7" s="3">
        <v>87</v>
      </c>
      <c r="I7" s="3">
        <v>92</v>
      </c>
      <c r="J7" s="3">
        <v>96</v>
      </c>
      <c r="K7" s="3">
        <v>100</v>
      </c>
      <c r="L7" s="3">
        <v>100</v>
      </c>
      <c r="M7" s="3">
        <v>100</v>
      </c>
      <c r="N7" s="3">
        <v>100</v>
      </c>
      <c r="O7" s="3">
        <v>100</v>
      </c>
    </row>
    <row r="8" spans="1:18">
      <c r="A8" s="1">
        <v>2006</v>
      </c>
      <c r="B8" s="3">
        <v>0</v>
      </c>
      <c r="C8" s="3">
        <v>6</v>
      </c>
      <c r="D8" s="3">
        <v>9</v>
      </c>
      <c r="E8" s="3">
        <v>19</v>
      </c>
      <c r="F8" s="3">
        <v>47</v>
      </c>
      <c r="G8" s="3">
        <v>69</v>
      </c>
      <c r="H8" s="3">
        <v>76</v>
      </c>
      <c r="I8" s="3">
        <v>83</v>
      </c>
      <c r="J8" s="3">
        <v>90</v>
      </c>
      <c r="K8" s="3">
        <v>94</v>
      </c>
      <c r="L8" s="3">
        <v>96</v>
      </c>
      <c r="M8" s="3">
        <v>100</v>
      </c>
      <c r="N8" s="3">
        <v>100</v>
      </c>
      <c r="O8" s="3">
        <v>100</v>
      </c>
    </row>
    <row r="9" spans="1:18">
      <c r="A9" s="1">
        <v>2007</v>
      </c>
      <c r="B9" s="3">
        <v>0</v>
      </c>
      <c r="C9" s="3">
        <v>4</v>
      </c>
      <c r="D9" s="3">
        <v>12</v>
      </c>
      <c r="E9" s="3">
        <v>29</v>
      </c>
      <c r="F9" s="3">
        <v>50</v>
      </c>
      <c r="G9" s="3">
        <v>66</v>
      </c>
      <c r="H9" s="3">
        <v>75</v>
      </c>
      <c r="I9" s="3">
        <v>84</v>
      </c>
      <c r="J9" s="3">
        <v>92</v>
      </c>
      <c r="K9" s="3">
        <v>97</v>
      </c>
      <c r="L9" s="3">
        <v>100</v>
      </c>
      <c r="M9" s="3">
        <v>100</v>
      </c>
      <c r="N9" s="3">
        <v>100</v>
      </c>
      <c r="O9" s="3">
        <v>100</v>
      </c>
    </row>
    <row r="10" spans="1:18">
      <c r="A10" s="1">
        <v>2008</v>
      </c>
      <c r="B10" s="3">
        <v>0</v>
      </c>
      <c r="C10" s="3">
        <v>0</v>
      </c>
      <c r="D10" s="3">
        <v>3</v>
      </c>
      <c r="E10" s="3">
        <v>9</v>
      </c>
      <c r="F10" s="3">
        <v>31</v>
      </c>
      <c r="G10" s="3">
        <v>51</v>
      </c>
      <c r="H10" s="3">
        <v>67</v>
      </c>
      <c r="I10" s="3">
        <v>76</v>
      </c>
      <c r="J10" s="3">
        <v>86</v>
      </c>
      <c r="K10" s="3">
        <v>93</v>
      </c>
      <c r="L10" s="3">
        <v>95</v>
      </c>
      <c r="M10" s="3">
        <v>100</v>
      </c>
      <c r="N10" s="3">
        <v>100</v>
      </c>
      <c r="O10" s="3">
        <v>100</v>
      </c>
    </row>
    <row r="11" spans="1:18">
      <c r="A11" s="1">
        <v>2009</v>
      </c>
      <c r="B11" s="3">
        <v>0</v>
      </c>
      <c r="C11" s="3">
        <v>0</v>
      </c>
      <c r="D11" s="3">
        <v>0</v>
      </c>
      <c r="E11" s="3">
        <v>5</v>
      </c>
      <c r="F11" s="3">
        <v>15</v>
      </c>
      <c r="G11" s="3">
        <v>23</v>
      </c>
      <c r="H11" s="3">
        <v>30</v>
      </c>
      <c r="I11" s="3">
        <v>44</v>
      </c>
      <c r="J11" s="3">
        <v>51</v>
      </c>
      <c r="K11" s="3">
        <v>75</v>
      </c>
      <c r="L11" s="3">
        <v>89</v>
      </c>
      <c r="M11" s="3">
        <v>94</v>
      </c>
      <c r="N11" s="3">
        <v>96</v>
      </c>
      <c r="O11" s="3">
        <v>100</v>
      </c>
    </row>
    <row r="12" spans="1:18">
      <c r="A12" s="1">
        <v>2010</v>
      </c>
      <c r="B12" s="3">
        <v>0</v>
      </c>
      <c r="C12" s="3">
        <v>8</v>
      </c>
      <c r="D12" s="3">
        <v>17</v>
      </c>
      <c r="E12" s="3">
        <v>37</v>
      </c>
      <c r="F12" s="3">
        <v>67</v>
      </c>
      <c r="G12" s="3">
        <v>83</v>
      </c>
      <c r="H12" s="3">
        <v>91</v>
      </c>
      <c r="I12" s="3">
        <v>96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</row>
    <row r="13" spans="1:18">
      <c r="A13" s="1">
        <v>2011</v>
      </c>
      <c r="B13" s="3">
        <v>0</v>
      </c>
      <c r="C13" s="3">
        <v>0</v>
      </c>
      <c r="D13" s="3">
        <v>5</v>
      </c>
      <c r="E13" s="3">
        <v>19</v>
      </c>
      <c r="F13" s="3">
        <v>51</v>
      </c>
      <c r="G13" s="3">
        <v>69</v>
      </c>
      <c r="H13" s="3">
        <v>80</v>
      </c>
      <c r="I13" s="3">
        <v>87</v>
      </c>
      <c r="J13" s="3">
        <v>92</v>
      </c>
      <c r="K13" s="3">
        <v>96</v>
      </c>
      <c r="L13" s="3">
        <v>100</v>
      </c>
      <c r="M13" s="3">
        <v>100</v>
      </c>
      <c r="N13" s="3">
        <v>100</v>
      </c>
      <c r="O13" s="3">
        <v>100</v>
      </c>
    </row>
    <row r="14" spans="1:18">
      <c r="A14" s="1">
        <v>2012</v>
      </c>
      <c r="B14" s="3">
        <v>4</v>
      </c>
      <c r="C14" s="3">
        <v>10</v>
      </c>
      <c r="D14" s="3">
        <v>22</v>
      </c>
      <c r="E14" s="3">
        <v>41</v>
      </c>
      <c r="F14" s="3">
        <v>58</v>
      </c>
      <c r="G14" s="3">
        <v>71</v>
      </c>
      <c r="H14" s="3">
        <v>80</v>
      </c>
      <c r="I14" s="3">
        <v>87</v>
      </c>
      <c r="J14" s="3">
        <v>93</v>
      </c>
      <c r="K14" s="3">
        <v>96</v>
      </c>
      <c r="L14" s="3">
        <v>100</v>
      </c>
      <c r="M14" s="3">
        <v>100</v>
      </c>
      <c r="N14" s="3">
        <v>100</v>
      </c>
      <c r="O14" s="3">
        <v>100</v>
      </c>
    </row>
    <row r="15" spans="1:18">
      <c r="A15" s="1">
        <v>2013</v>
      </c>
      <c r="B15" s="3">
        <v>0</v>
      </c>
      <c r="C15" s="3">
        <v>0</v>
      </c>
      <c r="D15" s="3">
        <v>3</v>
      </c>
      <c r="E15" s="3">
        <v>11</v>
      </c>
      <c r="F15" s="4">
        <f>AVERAGE(F14/E14,F13/E13,F12/E12,F11/E11,F10/E10,F9/E9,F8/E8,F7/E7,F6/E6,F5/E5)*E15*1.15</f>
        <v>28.329750045334709</v>
      </c>
      <c r="G15" s="4">
        <f>AVERAGE(G14/F14,G13/F13,G12/F12,G11/F11,G10/F10,G9/F9,G8/F8,G7/F7,G6/F6,G5/F5)*F15*1.15</f>
        <v>46.529188964359818</v>
      </c>
      <c r="H15" s="3">
        <v>63</v>
      </c>
      <c r="I15" s="3">
        <v>77</v>
      </c>
      <c r="J15" s="3">
        <v>86</v>
      </c>
      <c r="K15" s="3">
        <v>91</v>
      </c>
      <c r="L15" s="3">
        <v>100</v>
      </c>
      <c r="M15" s="3">
        <v>100</v>
      </c>
      <c r="N15" s="3">
        <v>100</v>
      </c>
      <c r="O15" s="3">
        <v>100</v>
      </c>
    </row>
    <row r="16" spans="1:18">
      <c r="A16" s="1">
        <v>2014</v>
      </c>
      <c r="B16" s="3">
        <v>0</v>
      </c>
      <c r="C16" s="3">
        <v>0</v>
      </c>
      <c r="D16" s="3">
        <v>3</v>
      </c>
      <c r="E16" s="3">
        <v>10</v>
      </c>
      <c r="F16" s="3">
        <v>20</v>
      </c>
      <c r="G16" s="3">
        <v>40</v>
      </c>
      <c r="H16" s="3">
        <v>53</v>
      </c>
      <c r="I16" s="3">
        <v>70</v>
      </c>
      <c r="J16" s="3">
        <v>83</v>
      </c>
      <c r="K16" s="3">
        <v>90</v>
      </c>
      <c r="L16" s="3">
        <v>94</v>
      </c>
      <c r="M16" s="3">
        <v>97</v>
      </c>
      <c r="N16" s="3">
        <v>100</v>
      </c>
      <c r="O16" s="3">
        <v>100</v>
      </c>
    </row>
    <row r="17" spans="1:15">
      <c r="A17" s="1">
        <v>2015</v>
      </c>
      <c r="B17" s="3">
        <v>0</v>
      </c>
      <c r="C17" s="3">
        <v>0</v>
      </c>
      <c r="D17" s="3">
        <v>7</v>
      </c>
      <c r="E17" s="3">
        <v>21</v>
      </c>
      <c r="F17" s="3">
        <v>42</v>
      </c>
      <c r="G17" s="3">
        <v>62</v>
      </c>
      <c r="H17" s="3">
        <v>77</v>
      </c>
      <c r="I17" s="3">
        <v>87</v>
      </c>
      <c r="J17" s="3">
        <v>92</v>
      </c>
      <c r="K17" s="3">
        <v>95</v>
      </c>
      <c r="L17" s="3">
        <v>100</v>
      </c>
      <c r="M17" s="3">
        <v>100</v>
      </c>
      <c r="N17" s="3">
        <v>100</v>
      </c>
      <c r="O17" s="3">
        <v>100</v>
      </c>
    </row>
    <row r="18" spans="1:15">
      <c r="A18" s="1">
        <v>2016</v>
      </c>
      <c r="B18" s="3">
        <v>0</v>
      </c>
      <c r="C18" s="3">
        <v>4</v>
      </c>
      <c r="D18" s="3">
        <v>10</v>
      </c>
      <c r="E18" s="3">
        <v>26</v>
      </c>
      <c r="F18" s="3">
        <v>44</v>
      </c>
      <c r="G18" s="3">
        <v>62</v>
      </c>
      <c r="H18" s="3">
        <v>76</v>
      </c>
      <c r="I18" s="3">
        <v>87</v>
      </c>
      <c r="J18" s="3">
        <v>93</v>
      </c>
      <c r="K18" s="3">
        <v>97</v>
      </c>
      <c r="L18" s="3">
        <v>100</v>
      </c>
      <c r="M18" s="3">
        <v>100</v>
      </c>
      <c r="N18" s="3">
        <v>100</v>
      </c>
      <c r="O18" s="3">
        <v>100</v>
      </c>
    </row>
    <row r="19" spans="1:15">
      <c r="A19" s="1">
        <v>2017</v>
      </c>
      <c r="B19" s="3">
        <v>0</v>
      </c>
      <c r="C19" s="3">
        <v>4</v>
      </c>
      <c r="D19" s="3">
        <v>10</v>
      </c>
      <c r="E19" s="3">
        <v>22</v>
      </c>
      <c r="F19" s="3">
        <v>36</v>
      </c>
      <c r="G19" s="3">
        <v>49</v>
      </c>
      <c r="H19" s="3">
        <v>70</v>
      </c>
      <c r="I19" s="3">
        <v>83</v>
      </c>
      <c r="J19" s="3">
        <v>90</v>
      </c>
      <c r="K19" s="3">
        <v>93</v>
      </c>
      <c r="L19" s="3">
        <v>96</v>
      </c>
      <c r="M19" s="3">
        <v>100</v>
      </c>
      <c r="N19" s="3">
        <v>100</v>
      </c>
      <c r="O19" s="3">
        <v>100</v>
      </c>
    </row>
    <row r="20" spans="1:15">
      <c r="A20" s="1">
        <v>2018</v>
      </c>
      <c r="B20" s="3">
        <v>0</v>
      </c>
      <c r="C20" s="3">
        <v>6</v>
      </c>
      <c r="D20" s="3">
        <v>14</v>
      </c>
      <c r="E20" s="3">
        <v>23</v>
      </c>
      <c r="F20" s="3">
        <v>32</v>
      </c>
      <c r="G20" s="3">
        <v>38</v>
      </c>
      <c r="H20" s="3">
        <v>53</v>
      </c>
      <c r="I20" s="3">
        <v>72</v>
      </c>
      <c r="J20" s="3">
        <v>83</v>
      </c>
      <c r="K20" s="3">
        <v>88</v>
      </c>
      <c r="L20" s="3">
        <v>91</v>
      </c>
      <c r="M20" s="3">
        <v>94</v>
      </c>
      <c r="N20" s="3">
        <v>100</v>
      </c>
      <c r="O20" s="3">
        <v>100</v>
      </c>
    </row>
    <row r="21" spans="1:15">
      <c r="A21" s="1">
        <v>2019</v>
      </c>
      <c r="B21" s="3">
        <v>0</v>
      </c>
      <c r="C21" s="3">
        <v>0</v>
      </c>
      <c r="D21" s="3">
        <v>0</v>
      </c>
      <c r="E21" s="3">
        <v>7</v>
      </c>
      <c r="F21" s="3">
        <v>14</v>
      </c>
      <c r="G21" s="3">
        <v>26</v>
      </c>
      <c r="H21" s="3">
        <v>46</v>
      </c>
      <c r="I21" s="3">
        <v>62</v>
      </c>
      <c r="J21" s="3">
        <v>75</v>
      </c>
      <c r="K21" s="3">
        <v>85</v>
      </c>
      <c r="L21" s="3">
        <v>91</v>
      </c>
      <c r="M21" s="3">
        <v>94</v>
      </c>
      <c r="N21" s="3">
        <v>96</v>
      </c>
      <c r="O21" s="3">
        <v>100</v>
      </c>
    </row>
    <row r="22" spans="1:15">
      <c r="A22" s="1">
        <v>2020</v>
      </c>
      <c r="B22" s="3">
        <v>0</v>
      </c>
      <c r="C22" s="3">
        <v>0</v>
      </c>
      <c r="D22" s="3">
        <v>6</v>
      </c>
      <c r="E22" s="3">
        <v>20</v>
      </c>
      <c r="F22" s="3">
        <v>38</v>
      </c>
      <c r="G22" s="3">
        <v>61</v>
      </c>
      <c r="H22" s="3">
        <v>75</v>
      </c>
      <c r="I22" s="3">
        <v>83</v>
      </c>
      <c r="J22" s="3">
        <v>87</v>
      </c>
      <c r="K22" s="3">
        <v>92</v>
      </c>
      <c r="L22" s="3">
        <v>96</v>
      </c>
      <c r="M22" s="3">
        <v>100</v>
      </c>
      <c r="N22" s="3">
        <v>100</v>
      </c>
      <c r="O22" s="3">
        <v>100</v>
      </c>
    </row>
    <row r="23" spans="1:15">
      <c r="A23" s="1">
        <v>2021</v>
      </c>
      <c r="B23" s="3">
        <v>0</v>
      </c>
      <c r="C23" s="3">
        <v>6</v>
      </c>
      <c r="D23" s="3">
        <v>16</v>
      </c>
      <c r="E23" s="3">
        <v>34</v>
      </c>
      <c r="F23" s="3">
        <v>49</v>
      </c>
      <c r="G23" s="3">
        <v>60</v>
      </c>
      <c r="H23" s="3">
        <v>73</v>
      </c>
      <c r="I23" s="3">
        <v>79</v>
      </c>
      <c r="J23" s="3">
        <v>87</v>
      </c>
      <c r="K23" s="3">
        <v>92</v>
      </c>
      <c r="L23" s="3">
        <v>95</v>
      </c>
      <c r="M23" s="3">
        <v>100</v>
      </c>
      <c r="N23" s="3">
        <v>100</v>
      </c>
      <c r="O23" s="3">
        <v>100</v>
      </c>
    </row>
    <row r="24" spans="1:15">
      <c r="A24" s="1">
        <v>2022</v>
      </c>
      <c r="B24" s="3">
        <v>0</v>
      </c>
      <c r="C24" s="3">
        <v>3</v>
      </c>
      <c r="D24" s="3">
        <v>8</v>
      </c>
      <c r="E24" s="3">
        <v>22</v>
      </c>
      <c r="F24" s="3">
        <v>44</v>
      </c>
      <c r="G24" s="3">
        <v>63</v>
      </c>
      <c r="H24" s="3">
        <v>80</v>
      </c>
      <c r="I24" s="3">
        <v>88</v>
      </c>
      <c r="J24" s="3">
        <v>94</v>
      </c>
      <c r="K24" s="3">
        <v>96</v>
      </c>
      <c r="L24" s="3">
        <v>100</v>
      </c>
      <c r="M24" s="3">
        <v>100</v>
      </c>
      <c r="N24" s="3">
        <v>100</v>
      </c>
      <c r="O24" s="3">
        <v>100</v>
      </c>
    </row>
    <row r="25" spans="1:15" ht="12.95" customHeight="1">
      <c r="A25" s="1">
        <v>2023</v>
      </c>
      <c r="B25" s="3">
        <v>0</v>
      </c>
      <c r="C25" s="3">
        <v>5</v>
      </c>
      <c r="D25" s="3">
        <v>12</v>
      </c>
      <c r="E25" s="3">
        <v>23</v>
      </c>
      <c r="F25" s="3">
        <v>43</v>
      </c>
      <c r="G25" s="3">
        <v>62</v>
      </c>
      <c r="H25" s="3">
        <v>76</v>
      </c>
      <c r="I25" s="3">
        <v>85</v>
      </c>
      <c r="J25" s="3">
        <v>91</v>
      </c>
      <c r="K25" s="3">
        <v>95</v>
      </c>
      <c r="L25" s="3">
        <v>100</v>
      </c>
      <c r="M25" s="3">
        <v>100</v>
      </c>
      <c r="N25" s="3">
        <v>100</v>
      </c>
      <c r="O25" s="3">
        <v>100</v>
      </c>
    </row>
    <row r="26" spans="1:15" ht="12.95" customHeight="1">
      <c r="A26" s="1">
        <v>2024</v>
      </c>
      <c r="B26" s="3">
        <v>0</v>
      </c>
      <c r="C26" s="3">
        <v>6</v>
      </c>
      <c r="D26" s="3">
        <v>13</v>
      </c>
      <c r="E26" s="3">
        <v>26</v>
      </c>
      <c r="F26" s="3">
        <v>47</v>
      </c>
      <c r="G26" s="3">
        <v>67</v>
      </c>
      <c r="H26" s="3">
        <v>81</v>
      </c>
      <c r="I26" s="3">
        <v>89</v>
      </c>
      <c r="J26" s="3">
        <v>94</v>
      </c>
      <c r="K26" s="3">
        <v>96</v>
      </c>
      <c r="L26" s="3">
        <v>100</v>
      </c>
      <c r="M26" s="3">
        <v>100</v>
      </c>
      <c r="N26" s="3">
        <v>100</v>
      </c>
      <c r="O26" s="3">
        <v>100</v>
      </c>
    </row>
    <row r="27" spans="1:15" ht="12.95" customHeight="1">
      <c r="A27" s="1">
        <v>2025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9" spans="1:15">
      <c r="A29" s="1" t="s">
        <v>37</v>
      </c>
      <c r="B29" s="3"/>
      <c r="C29" s="3"/>
      <c r="D29" s="3"/>
      <c r="E29" s="3"/>
      <c r="F29" s="3">
        <f>E25+(F31-E31)</f>
        <v>37.200000000000003</v>
      </c>
      <c r="G29" s="3">
        <f>F29+(G31-F31)</f>
        <v>51.400000000000006</v>
      </c>
      <c r="H29" s="3">
        <f>G29+(H31-G31)</f>
        <v>67.200000000000017</v>
      </c>
      <c r="I29" s="3">
        <f>H25+(I31-H31)</f>
        <v>87.399999999999991</v>
      </c>
      <c r="J29" s="3">
        <f>I29+(J31-I31)</f>
        <v>95.8</v>
      </c>
      <c r="K29" s="3">
        <v>100</v>
      </c>
      <c r="L29" s="3">
        <v>100</v>
      </c>
      <c r="M29" s="3">
        <v>100</v>
      </c>
      <c r="N29" s="3">
        <v>100</v>
      </c>
      <c r="O29" s="3"/>
    </row>
    <row r="30" spans="1:15">
      <c r="A30" s="5" t="s">
        <v>33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1" t="s">
        <v>19</v>
      </c>
      <c r="B31" s="3">
        <f>AVERAGE(B20:B24)</f>
        <v>0</v>
      </c>
      <c r="C31" s="3">
        <f t="shared" ref="C31:O31" si="1">AVERAGE(C20:C24)</f>
        <v>3</v>
      </c>
      <c r="D31" s="3">
        <f t="shared" si="1"/>
        <v>8.8000000000000007</v>
      </c>
      <c r="E31" s="3">
        <f t="shared" si="1"/>
        <v>21.2</v>
      </c>
      <c r="F31" s="3">
        <f t="shared" si="1"/>
        <v>35.4</v>
      </c>
      <c r="G31" s="3">
        <f t="shared" si="1"/>
        <v>49.6</v>
      </c>
      <c r="H31" s="3">
        <f t="shared" si="1"/>
        <v>65.400000000000006</v>
      </c>
      <c r="I31" s="3">
        <f>AVERAGE(I20:I24)</f>
        <v>76.8</v>
      </c>
      <c r="J31" s="3">
        <f t="shared" si="1"/>
        <v>85.2</v>
      </c>
      <c r="K31" s="3">
        <f t="shared" si="1"/>
        <v>90.6</v>
      </c>
      <c r="L31" s="3">
        <f t="shared" si="1"/>
        <v>94.6</v>
      </c>
      <c r="M31" s="3">
        <f t="shared" si="1"/>
        <v>97.6</v>
      </c>
      <c r="N31" s="3">
        <f t="shared" si="1"/>
        <v>99.2</v>
      </c>
      <c r="O31" s="3">
        <f t="shared" si="1"/>
        <v>100</v>
      </c>
    </row>
    <row r="32" spans="1:15">
      <c r="A32" s="1" t="s">
        <v>21</v>
      </c>
      <c r="B32" s="3">
        <f>MAX(B20:B24)</f>
        <v>0</v>
      </c>
      <c r="C32" s="3">
        <f t="shared" ref="C32:O32" si="2">MAX(C20:C24)</f>
        <v>6</v>
      </c>
      <c r="D32" s="3">
        <f t="shared" si="2"/>
        <v>16</v>
      </c>
      <c r="E32" s="3">
        <f t="shared" si="2"/>
        <v>34</v>
      </c>
      <c r="F32" s="3">
        <f t="shared" si="2"/>
        <v>49</v>
      </c>
      <c r="G32" s="3">
        <f t="shared" si="2"/>
        <v>63</v>
      </c>
      <c r="H32" s="3">
        <f t="shared" si="2"/>
        <v>80</v>
      </c>
      <c r="I32" s="3">
        <f t="shared" si="2"/>
        <v>88</v>
      </c>
      <c r="J32" s="3">
        <f t="shared" si="2"/>
        <v>94</v>
      </c>
      <c r="K32" s="3">
        <f t="shared" si="2"/>
        <v>96</v>
      </c>
      <c r="L32" s="3">
        <f t="shared" si="2"/>
        <v>100</v>
      </c>
      <c r="M32" s="3">
        <f t="shared" si="2"/>
        <v>100</v>
      </c>
      <c r="N32" s="3">
        <f t="shared" si="2"/>
        <v>100</v>
      </c>
      <c r="O32" s="3">
        <f t="shared" si="2"/>
        <v>100</v>
      </c>
    </row>
    <row r="33" spans="1:15">
      <c r="A33" s="1" t="s">
        <v>22</v>
      </c>
      <c r="B33" s="3">
        <f>MIN(B20:B24)</f>
        <v>0</v>
      </c>
      <c r="C33" s="3">
        <f t="shared" ref="C33:O33" si="3">MIN(C20:C24)</f>
        <v>0</v>
      </c>
      <c r="D33" s="3">
        <f t="shared" si="3"/>
        <v>0</v>
      </c>
      <c r="E33" s="3">
        <f t="shared" si="3"/>
        <v>7</v>
      </c>
      <c r="F33" s="3">
        <f t="shared" si="3"/>
        <v>14</v>
      </c>
      <c r="G33" s="3">
        <f t="shared" si="3"/>
        <v>26</v>
      </c>
      <c r="H33" s="3">
        <f t="shared" si="3"/>
        <v>46</v>
      </c>
      <c r="I33" s="3">
        <f t="shared" si="3"/>
        <v>62</v>
      </c>
      <c r="J33" s="3">
        <f t="shared" si="3"/>
        <v>75</v>
      </c>
      <c r="K33" s="3">
        <f t="shared" si="3"/>
        <v>85</v>
      </c>
      <c r="L33" s="3">
        <f t="shared" si="3"/>
        <v>91</v>
      </c>
      <c r="M33" s="3">
        <f t="shared" si="3"/>
        <v>94</v>
      </c>
      <c r="N33" s="3">
        <f t="shared" si="3"/>
        <v>96</v>
      </c>
      <c r="O33" s="3">
        <f t="shared" si="3"/>
        <v>100</v>
      </c>
    </row>
    <row r="34" spans="1:1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1">
        <v>2000</v>
      </c>
      <c r="B36" s="3">
        <f t="shared" ref="B36:B59" si="4">B2-0</f>
        <v>2</v>
      </c>
      <c r="C36" s="3">
        <f t="shared" ref="C36:C52" si="5">C2-B2</f>
        <v>5</v>
      </c>
      <c r="D36" s="3">
        <f t="shared" ref="D36:O36" si="6">D2-C2</f>
        <v>13</v>
      </c>
      <c r="E36" s="3">
        <f t="shared" si="6"/>
        <v>17</v>
      </c>
      <c r="F36" s="3">
        <f t="shared" si="6"/>
        <v>21</v>
      </c>
      <c r="G36" s="3">
        <f t="shared" si="6"/>
        <v>16</v>
      </c>
      <c r="H36" s="3">
        <f t="shared" si="6"/>
        <v>10</v>
      </c>
      <c r="I36" s="3">
        <f t="shared" si="6"/>
        <v>7</v>
      </c>
      <c r="J36" s="3">
        <f t="shared" si="6"/>
        <v>4</v>
      </c>
      <c r="K36" s="3">
        <f t="shared" si="6"/>
        <v>5</v>
      </c>
      <c r="L36" s="3">
        <f t="shared" si="6"/>
        <v>0</v>
      </c>
      <c r="M36" s="3">
        <f t="shared" si="6"/>
        <v>0</v>
      </c>
      <c r="N36" s="3">
        <f t="shared" si="6"/>
        <v>0</v>
      </c>
      <c r="O36" s="3">
        <f t="shared" si="6"/>
        <v>0</v>
      </c>
    </row>
    <row r="37" spans="1:15">
      <c r="A37" s="1">
        <v>2001</v>
      </c>
      <c r="B37" s="3">
        <f t="shared" si="4"/>
        <v>0</v>
      </c>
      <c r="C37" s="3">
        <f t="shared" si="5"/>
        <v>3</v>
      </c>
      <c r="D37" s="3">
        <f t="shared" ref="D37:O37" si="7">D3-C3</f>
        <v>3</v>
      </c>
      <c r="E37" s="3">
        <f t="shared" si="7"/>
        <v>10</v>
      </c>
      <c r="F37" s="3">
        <f t="shared" si="7"/>
        <v>24</v>
      </c>
      <c r="G37" s="3">
        <f t="shared" si="7"/>
        <v>17</v>
      </c>
      <c r="H37" s="3">
        <f t="shared" si="7"/>
        <v>13</v>
      </c>
      <c r="I37" s="3">
        <f t="shared" si="7"/>
        <v>11</v>
      </c>
      <c r="J37" s="3">
        <f t="shared" si="7"/>
        <v>9</v>
      </c>
      <c r="K37" s="3">
        <f t="shared" si="7"/>
        <v>6</v>
      </c>
      <c r="L37" s="3">
        <f t="shared" si="7"/>
        <v>4</v>
      </c>
      <c r="M37" s="3">
        <f t="shared" si="7"/>
        <v>0</v>
      </c>
      <c r="N37" s="3">
        <f t="shared" si="7"/>
        <v>0</v>
      </c>
      <c r="O37" s="3">
        <f t="shared" si="7"/>
        <v>0</v>
      </c>
    </row>
    <row r="38" spans="1:15">
      <c r="A38" s="1">
        <v>2002</v>
      </c>
      <c r="B38" s="3">
        <f t="shared" si="4"/>
        <v>0</v>
      </c>
      <c r="C38" s="3">
        <f t="shared" si="5"/>
        <v>0</v>
      </c>
      <c r="D38" s="3">
        <f t="shared" ref="D38:O38" si="8">D4-C4</f>
        <v>6</v>
      </c>
      <c r="E38" s="3">
        <f t="shared" si="8"/>
        <v>11</v>
      </c>
      <c r="F38" s="3">
        <f t="shared" si="8"/>
        <v>14</v>
      </c>
      <c r="G38" s="3">
        <f t="shared" si="8"/>
        <v>22</v>
      </c>
      <c r="H38" s="3">
        <f t="shared" si="8"/>
        <v>21</v>
      </c>
      <c r="I38" s="3">
        <f t="shared" si="8"/>
        <v>10</v>
      </c>
      <c r="J38" s="3">
        <f t="shared" si="8"/>
        <v>3</v>
      </c>
      <c r="K38" s="3">
        <f t="shared" si="8"/>
        <v>4</v>
      </c>
      <c r="L38" s="3">
        <f t="shared" si="8"/>
        <v>3</v>
      </c>
      <c r="M38" s="3">
        <f t="shared" si="8"/>
        <v>3</v>
      </c>
      <c r="N38" s="3">
        <f t="shared" si="8"/>
        <v>3</v>
      </c>
      <c r="O38" s="3">
        <f t="shared" si="8"/>
        <v>0</v>
      </c>
    </row>
    <row r="39" spans="1:15">
      <c r="A39" s="1">
        <v>2003</v>
      </c>
      <c r="B39" s="3">
        <f t="shared" si="4"/>
        <v>0</v>
      </c>
      <c r="C39" s="3">
        <f t="shared" si="5"/>
        <v>0</v>
      </c>
      <c r="D39" s="3">
        <f t="shared" ref="D39:O39" si="9">D5-C5</f>
        <v>6</v>
      </c>
      <c r="E39" s="3">
        <f t="shared" si="9"/>
        <v>11</v>
      </c>
      <c r="F39" s="3">
        <f t="shared" si="9"/>
        <v>20</v>
      </c>
      <c r="G39" s="3">
        <f t="shared" si="9"/>
        <v>23</v>
      </c>
      <c r="H39" s="3">
        <f t="shared" si="9"/>
        <v>14</v>
      </c>
      <c r="I39" s="3">
        <f t="shared" si="9"/>
        <v>11</v>
      </c>
      <c r="J39" s="3">
        <f t="shared" si="9"/>
        <v>6</v>
      </c>
      <c r="K39" s="3">
        <f t="shared" si="9"/>
        <v>4</v>
      </c>
      <c r="L39" s="3">
        <f t="shared" si="9"/>
        <v>5</v>
      </c>
      <c r="M39" s="3">
        <f t="shared" si="9"/>
        <v>0</v>
      </c>
      <c r="N39" s="3">
        <f t="shared" si="9"/>
        <v>0</v>
      </c>
      <c r="O39" s="3">
        <f t="shared" si="9"/>
        <v>0</v>
      </c>
    </row>
    <row r="40" spans="1:15">
      <c r="A40" s="1">
        <v>2004</v>
      </c>
      <c r="B40" s="3">
        <f t="shared" si="4"/>
        <v>0</v>
      </c>
      <c r="C40" s="3">
        <f t="shared" si="5"/>
        <v>0</v>
      </c>
      <c r="D40" s="3">
        <f t="shared" ref="D40:O40" si="10">D6-C6</f>
        <v>8</v>
      </c>
      <c r="E40" s="3">
        <f t="shared" si="10"/>
        <v>10</v>
      </c>
      <c r="F40" s="3">
        <f t="shared" si="10"/>
        <v>18</v>
      </c>
      <c r="G40" s="3">
        <f t="shared" si="10"/>
        <v>22</v>
      </c>
      <c r="H40" s="3">
        <f t="shared" si="10"/>
        <v>13</v>
      </c>
      <c r="I40" s="3">
        <f t="shared" si="10"/>
        <v>9</v>
      </c>
      <c r="J40" s="3">
        <f t="shared" si="10"/>
        <v>4</v>
      </c>
      <c r="K40" s="3">
        <f t="shared" si="10"/>
        <v>3</v>
      </c>
      <c r="L40" s="3">
        <f t="shared" si="10"/>
        <v>6</v>
      </c>
      <c r="M40" s="3">
        <f t="shared" si="10"/>
        <v>2</v>
      </c>
      <c r="N40" s="3">
        <f t="shared" si="10"/>
        <v>5</v>
      </c>
      <c r="O40" s="3">
        <f t="shared" si="10"/>
        <v>0</v>
      </c>
    </row>
    <row r="41" spans="1:15">
      <c r="A41" s="1">
        <v>2005</v>
      </c>
      <c r="B41" s="3">
        <f t="shared" si="4"/>
        <v>0</v>
      </c>
      <c r="C41" s="3">
        <f t="shared" si="5"/>
        <v>8</v>
      </c>
      <c r="D41" s="3">
        <f t="shared" ref="D41:O41" si="11">D7-C7</f>
        <v>11</v>
      </c>
      <c r="E41" s="3">
        <f t="shared" si="11"/>
        <v>17</v>
      </c>
      <c r="F41" s="3">
        <f t="shared" si="11"/>
        <v>24</v>
      </c>
      <c r="G41" s="3">
        <f t="shared" si="11"/>
        <v>16</v>
      </c>
      <c r="H41" s="3">
        <f t="shared" si="11"/>
        <v>11</v>
      </c>
      <c r="I41" s="3">
        <f t="shared" si="11"/>
        <v>5</v>
      </c>
      <c r="J41" s="3">
        <f t="shared" si="11"/>
        <v>4</v>
      </c>
      <c r="K41" s="3">
        <f t="shared" si="11"/>
        <v>4</v>
      </c>
      <c r="L41" s="3">
        <f t="shared" si="11"/>
        <v>0</v>
      </c>
      <c r="M41" s="3">
        <f t="shared" si="11"/>
        <v>0</v>
      </c>
      <c r="N41" s="3">
        <f t="shared" si="11"/>
        <v>0</v>
      </c>
      <c r="O41" s="3">
        <f t="shared" si="11"/>
        <v>0</v>
      </c>
    </row>
    <row r="42" spans="1:15">
      <c r="A42" s="1">
        <v>2006</v>
      </c>
      <c r="B42" s="3">
        <f t="shared" si="4"/>
        <v>0</v>
      </c>
      <c r="C42" s="3">
        <f t="shared" si="5"/>
        <v>6</v>
      </c>
      <c r="D42" s="3">
        <f t="shared" ref="D42:O42" si="12">D8-C8</f>
        <v>3</v>
      </c>
      <c r="E42" s="3">
        <f t="shared" si="12"/>
        <v>10</v>
      </c>
      <c r="F42" s="3">
        <f t="shared" si="12"/>
        <v>28</v>
      </c>
      <c r="G42" s="3">
        <f t="shared" si="12"/>
        <v>22</v>
      </c>
      <c r="H42" s="3">
        <f t="shared" si="12"/>
        <v>7</v>
      </c>
      <c r="I42" s="3">
        <f t="shared" si="12"/>
        <v>7</v>
      </c>
      <c r="J42" s="3">
        <f t="shared" si="12"/>
        <v>7</v>
      </c>
      <c r="K42" s="3">
        <f t="shared" si="12"/>
        <v>4</v>
      </c>
      <c r="L42" s="3">
        <f t="shared" si="12"/>
        <v>2</v>
      </c>
      <c r="M42" s="3">
        <f t="shared" si="12"/>
        <v>4</v>
      </c>
      <c r="N42" s="3">
        <f t="shared" si="12"/>
        <v>0</v>
      </c>
      <c r="O42" s="3">
        <f t="shared" si="12"/>
        <v>0</v>
      </c>
    </row>
    <row r="43" spans="1:15">
      <c r="A43" s="1">
        <v>2007</v>
      </c>
      <c r="B43" s="3">
        <f t="shared" si="4"/>
        <v>0</v>
      </c>
      <c r="C43" s="3">
        <f t="shared" si="5"/>
        <v>4</v>
      </c>
      <c r="D43" s="3">
        <f t="shared" ref="D43:O43" si="13">D9-C9</f>
        <v>8</v>
      </c>
      <c r="E43" s="3">
        <f t="shared" si="13"/>
        <v>17</v>
      </c>
      <c r="F43" s="3">
        <f t="shared" si="13"/>
        <v>21</v>
      </c>
      <c r="G43" s="3">
        <f t="shared" si="13"/>
        <v>16</v>
      </c>
      <c r="H43" s="3">
        <f t="shared" si="13"/>
        <v>9</v>
      </c>
      <c r="I43" s="3">
        <f t="shared" si="13"/>
        <v>9</v>
      </c>
      <c r="J43" s="3">
        <f t="shared" si="13"/>
        <v>8</v>
      </c>
      <c r="K43" s="3">
        <f t="shared" si="13"/>
        <v>5</v>
      </c>
      <c r="L43" s="3">
        <f t="shared" si="13"/>
        <v>3</v>
      </c>
      <c r="M43" s="3">
        <f t="shared" si="13"/>
        <v>0</v>
      </c>
      <c r="N43" s="3">
        <f t="shared" si="13"/>
        <v>0</v>
      </c>
      <c r="O43" s="3">
        <f t="shared" si="13"/>
        <v>0</v>
      </c>
    </row>
    <row r="44" spans="1:15">
      <c r="A44" s="1">
        <v>2008</v>
      </c>
      <c r="B44" s="3">
        <f t="shared" si="4"/>
        <v>0</v>
      </c>
      <c r="C44" s="3">
        <f t="shared" si="5"/>
        <v>0</v>
      </c>
      <c r="D44" s="3">
        <f t="shared" ref="D44:O44" si="14">D10-C10</f>
        <v>3</v>
      </c>
      <c r="E44" s="3">
        <f t="shared" si="14"/>
        <v>6</v>
      </c>
      <c r="F44" s="3">
        <f t="shared" si="14"/>
        <v>22</v>
      </c>
      <c r="G44" s="3">
        <f t="shared" si="14"/>
        <v>20</v>
      </c>
      <c r="H44" s="3">
        <f t="shared" si="14"/>
        <v>16</v>
      </c>
      <c r="I44" s="3">
        <f t="shared" si="14"/>
        <v>9</v>
      </c>
      <c r="J44" s="3">
        <f t="shared" si="14"/>
        <v>10</v>
      </c>
      <c r="K44" s="3">
        <f t="shared" si="14"/>
        <v>7</v>
      </c>
      <c r="L44" s="3">
        <f t="shared" si="14"/>
        <v>2</v>
      </c>
      <c r="M44" s="3">
        <f t="shared" si="14"/>
        <v>5</v>
      </c>
      <c r="N44" s="3">
        <f t="shared" si="14"/>
        <v>0</v>
      </c>
      <c r="O44" s="3">
        <f t="shared" si="14"/>
        <v>0</v>
      </c>
    </row>
    <row r="45" spans="1:15">
      <c r="A45" s="1">
        <v>2009</v>
      </c>
      <c r="B45" s="3">
        <f t="shared" si="4"/>
        <v>0</v>
      </c>
      <c r="C45" s="3">
        <f t="shared" si="5"/>
        <v>0</v>
      </c>
      <c r="D45" s="3">
        <f t="shared" ref="D45:O45" si="15">D11-C11</f>
        <v>0</v>
      </c>
      <c r="E45" s="3">
        <f t="shared" si="15"/>
        <v>5</v>
      </c>
      <c r="F45" s="3">
        <f t="shared" si="15"/>
        <v>10</v>
      </c>
      <c r="G45" s="3">
        <f t="shared" si="15"/>
        <v>8</v>
      </c>
      <c r="H45" s="3">
        <f t="shared" si="15"/>
        <v>7</v>
      </c>
      <c r="I45" s="3">
        <f t="shared" si="15"/>
        <v>14</v>
      </c>
      <c r="J45" s="3">
        <f t="shared" si="15"/>
        <v>7</v>
      </c>
      <c r="K45" s="3">
        <f t="shared" si="15"/>
        <v>24</v>
      </c>
      <c r="L45" s="3">
        <f t="shared" si="15"/>
        <v>14</v>
      </c>
      <c r="M45" s="3">
        <f t="shared" si="15"/>
        <v>5</v>
      </c>
      <c r="N45" s="3">
        <f t="shared" si="15"/>
        <v>2</v>
      </c>
      <c r="O45" s="3">
        <f t="shared" si="15"/>
        <v>4</v>
      </c>
    </row>
    <row r="46" spans="1:15">
      <c r="A46" s="1">
        <v>2010</v>
      </c>
      <c r="B46" s="3">
        <f t="shared" si="4"/>
        <v>0</v>
      </c>
      <c r="C46" s="3">
        <f t="shared" si="5"/>
        <v>8</v>
      </c>
      <c r="D46" s="3">
        <f t="shared" ref="D46:O46" si="16">D12-C12</f>
        <v>9</v>
      </c>
      <c r="E46" s="3">
        <f t="shared" si="16"/>
        <v>20</v>
      </c>
      <c r="F46" s="3">
        <f t="shared" si="16"/>
        <v>30</v>
      </c>
      <c r="G46" s="3">
        <f t="shared" si="16"/>
        <v>16</v>
      </c>
      <c r="H46" s="3">
        <f t="shared" si="16"/>
        <v>8</v>
      </c>
      <c r="I46" s="3">
        <f t="shared" si="16"/>
        <v>5</v>
      </c>
      <c r="J46" s="3">
        <f t="shared" si="16"/>
        <v>4</v>
      </c>
      <c r="K46" s="3">
        <f t="shared" si="16"/>
        <v>0</v>
      </c>
      <c r="L46" s="3">
        <f t="shared" si="16"/>
        <v>0</v>
      </c>
      <c r="M46" s="3">
        <f t="shared" si="16"/>
        <v>0</v>
      </c>
      <c r="N46" s="3">
        <f t="shared" si="16"/>
        <v>0</v>
      </c>
      <c r="O46" s="3">
        <f t="shared" si="16"/>
        <v>0</v>
      </c>
    </row>
    <row r="47" spans="1:15">
      <c r="A47" s="1">
        <v>2011</v>
      </c>
      <c r="B47" s="3">
        <f t="shared" si="4"/>
        <v>0</v>
      </c>
      <c r="C47" s="3">
        <f t="shared" si="5"/>
        <v>0</v>
      </c>
      <c r="D47" s="3">
        <f t="shared" ref="D47:O47" si="17">D13-C13</f>
        <v>5</v>
      </c>
      <c r="E47" s="3">
        <f t="shared" si="17"/>
        <v>14</v>
      </c>
      <c r="F47" s="3">
        <f t="shared" si="17"/>
        <v>32</v>
      </c>
      <c r="G47" s="3">
        <f t="shared" si="17"/>
        <v>18</v>
      </c>
      <c r="H47" s="3">
        <f t="shared" si="17"/>
        <v>11</v>
      </c>
      <c r="I47" s="3">
        <f t="shared" si="17"/>
        <v>7</v>
      </c>
      <c r="J47" s="3">
        <f t="shared" si="17"/>
        <v>5</v>
      </c>
      <c r="K47" s="3">
        <f t="shared" si="17"/>
        <v>4</v>
      </c>
      <c r="L47" s="3">
        <f t="shared" si="17"/>
        <v>4</v>
      </c>
      <c r="M47" s="3">
        <f t="shared" si="17"/>
        <v>0</v>
      </c>
      <c r="N47" s="3">
        <f t="shared" si="17"/>
        <v>0</v>
      </c>
      <c r="O47" s="3">
        <f t="shared" si="17"/>
        <v>0</v>
      </c>
    </row>
    <row r="48" spans="1:15">
      <c r="A48" s="1">
        <v>2012</v>
      </c>
      <c r="B48" s="3">
        <f t="shared" si="4"/>
        <v>4</v>
      </c>
      <c r="C48" s="3">
        <f t="shared" si="5"/>
        <v>6</v>
      </c>
      <c r="D48" s="3">
        <f t="shared" ref="D48:O48" si="18">D14-C14</f>
        <v>12</v>
      </c>
      <c r="E48" s="3">
        <f t="shared" si="18"/>
        <v>19</v>
      </c>
      <c r="F48" s="3">
        <f t="shared" si="18"/>
        <v>17</v>
      </c>
      <c r="G48" s="3">
        <f t="shared" si="18"/>
        <v>13</v>
      </c>
      <c r="H48" s="3">
        <f t="shared" si="18"/>
        <v>9</v>
      </c>
      <c r="I48" s="3">
        <f t="shared" si="18"/>
        <v>7</v>
      </c>
      <c r="J48" s="3">
        <f t="shared" si="18"/>
        <v>6</v>
      </c>
      <c r="K48" s="3">
        <f t="shared" si="18"/>
        <v>3</v>
      </c>
      <c r="L48" s="3">
        <f t="shared" si="18"/>
        <v>4</v>
      </c>
      <c r="M48" s="3">
        <f t="shared" si="18"/>
        <v>0</v>
      </c>
      <c r="N48" s="3">
        <f t="shared" si="18"/>
        <v>0</v>
      </c>
      <c r="O48" s="3">
        <f t="shared" si="18"/>
        <v>0</v>
      </c>
    </row>
    <row r="49" spans="1:15">
      <c r="A49" s="1">
        <v>2013</v>
      </c>
      <c r="B49" s="3">
        <f t="shared" si="4"/>
        <v>0</v>
      </c>
      <c r="C49" s="3">
        <f t="shared" si="5"/>
        <v>0</v>
      </c>
      <c r="D49" s="3">
        <f t="shared" ref="D49:O49" si="19">D15-C15</f>
        <v>3</v>
      </c>
      <c r="E49" s="3">
        <f t="shared" si="19"/>
        <v>8</v>
      </c>
      <c r="F49" s="3">
        <f t="shared" si="19"/>
        <v>17.329750045334709</v>
      </c>
      <c r="G49" s="3">
        <f t="shared" si="19"/>
        <v>18.199438919025109</v>
      </c>
      <c r="H49" s="3">
        <f t="shared" si="19"/>
        <v>16.470811035640182</v>
      </c>
      <c r="I49" s="3">
        <f t="shared" si="19"/>
        <v>14</v>
      </c>
      <c r="J49" s="3">
        <f t="shared" si="19"/>
        <v>9</v>
      </c>
      <c r="K49" s="3">
        <f t="shared" si="19"/>
        <v>5</v>
      </c>
      <c r="L49" s="3">
        <f t="shared" si="19"/>
        <v>9</v>
      </c>
      <c r="M49" s="3">
        <f t="shared" si="19"/>
        <v>0</v>
      </c>
      <c r="N49" s="3">
        <f t="shared" si="19"/>
        <v>0</v>
      </c>
      <c r="O49" s="3">
        <f t="shared" si="19"/>
        <v>0</v>
      </c>
    </row>
    <row r="50" spans="1:15">
      <c r="A50" s="1">
        <v>2014</v>
      </c>
      <c r="B50" s="3">
        <f t="shared" si="4"/>
        <v>0</v>
      </c>
      <c r="C50" s="3">
        <f t="shared" si="5"/>
        <v>0</v>
      </c>
      <c r="D50" s="3">
        <f t="shared" ref="D50:O50" si="20">D16-C16</f>
        <v>3</v>
      </c>
      <c r="E50" s="3">
        <f t="shared" si="20"/>
        <v>7</v>
      </c>
      <c r="F50" s="3">
        <f t="shared" si="20"/>
        <v>10</v>
      </c>
      <c r="G50" s="3">
        <f t="shared" si="20"/>
        <v>20</v>
      </c>
      <c r="H50" s="3">
        <f t="shared" si="20"/>
        <v>13</v>
      </c>
      <c r="I50" s="3">
        <f t="shared" si="20"/>
        <v>17</v>
      </c>
      <c r="J50" s="3">
        <f t="shared" si="20"/>
        <v>13</v>
      </c>
      <c r="K50" s="3">
        <f t="shared" si="20"/>
        <v>7</v>
      </c>
      <c r="L50" s="3">
        <f t="shared" si="20"/>
        <v>4</v>
      </c>
      <c r="M50" s="3">
        <f t="shared" si="20"/>
        <v>3</v>
      </c>
      <c r="N50" s="3">
        <f t="shared" si="20"/>
        <v>3</v>
      </c>
      <c r="O50" s="3">
        <f t="shared" si="20"/>
        <v>0</v>
      </c>
    </row>
    <row r="51" spans="1:15">
      <c r="A51" s="1">
        <v>2015</v>
      </c>
      <c r="B51" s="3">
        <f t="shared" si="4"/>
        <v>0</v>
      </c>
      <c r="C51" s="3">
        <f t="shared" si="5"/>
        <v>0</v>
      </c>
      <c r="D51" s="3">
        <f t="shared" ref="D51:O51" si="21">D17-C17</f>
        <v>7</v>
      </c>
      <c r="E51" s="3">
        <f t="shared" si="21"/>
        <v>14</v>
      </c>
      <c r="F51" s="3">
        <f t="shared" si="21"/>
        <v>21</v>
      </c>
      <c r="G51" s="3">
        <f t="shared" si="21"/>
        <v>20</v>
      </c>
      <c r="H51" s="3">
        <f t="shared" si="21"/>
        <v>15</v>
      </c>
      <c r="I51" s="3">
        <f t="shared" si="21"/>
        <v>10</v>
      </c>
      <c r="J51" s="3">
        <f t="shared" si="21"/>
        <v>5</v>
      </c>
      <c r="K51" s="3">
        <f t="shared" si="21"/>
        <v>3</v>
      </c>
      <c r="L51" s="3">
        <f t="shared" si="21"/>
        <v>5</v>
      </c>
      <c r="M51" s="3">
        <f t="shared" si="21"/>
        <v>0</v>
      </c>
      <c r="N51" s="3">
        <f t="shared" si="21"/>
        <v>0</v>
      </c>
      <c r="O51" s="3">
        <f t="shared" si="21"/>
        <v>0</v>
      </c>
    </row>
    <row r="52" spans="1:15">
      <c r="A52" s="1">
        <v>2016</v>
      </c>
      <c r="B52" s="3">
        <f t="shared" si="4"/>
        <v>0</v>
      </c>
      <c r="C52" s="3">
        <f t="shared" si="5"/>
        <v>4</v>
      </c>
      <c r="D52" s="3">
        <f t="shared" ref="D52:O52" si="22">D18-C18</f>
        <v>6</v>
      </c>
      <c r="E52" s="3">
        <f t="shared" si="22"/>
        <v>16</v>
      </c>
      <c r="F52" s="3">
        <f t="shared" si="22"/>
        <v>18</v>
      </c>
      <c r="G52" s="3">
        <f t="shared" si="22"/>
        <v>18</v>
      </c>
      <c r="H52" s="3">
        <f t="shared" si="22"/>
        <v>14</v>
      </c>
      <c r="I52" s="3">
        <f t="shared" si="22"/>
        <v>11</v>
      </c>
      <c r="J52" s="3">
        <f t="shared" si="22"/>
        <v>6</v>
      </c>
      <c r="K52" s="3">
        <f t="shared" si="22"/>
        <v>4</v>
      </c>
      <c r="L52" s="3">
        <f t="shared" si="22"/>
        <v>3</v>
      </c>
      <c r="M52" s="3">
        <f t="shared" si="22"/>
        <v>0</v>
      </c>
      <c r="N52" s="3">
        <f t="shared" si="22"/>
        <v>0</v>
      </c>
      <c r="O52" s="3">
        <f t="shared" si="22"/>
        <v>0</v>
      </c>
    </row>
    <row r="53" spans="1:15">
      <c r="A53" s="1">
        <v>2017</v>
      </c>
      <c r="B53" s="3">
        <f t="shared" si="4"/>
        <v>0</v>
      </c>
      <c r="C53" s="3">
        <f t="shared" ref="C53:O59" si="23">C19-B19</f>
        <v>4</v>
      </c>
      <c r="D53" s="3">
        <f t="shared" si="23"/>
        <v>6</v>
      </c>
      <c r="E53" s="3">
        <f t="shared" si="23"/>
        <v>12</v>
      </c>
      <c r="F53" s="3">
        <f t="shared" si="23"/>
        <v>14</v>
      </c>
      <c r="G53" s="3">
        <f t="shared" si="23"/>
        <v>13</v>
      </c>
      <c r="H53" s="3">
        <f t="shared" si="23"/>
        <v>21</v>
      </c>
      <c r="I53" s="3">
        <f t="shared" si="23"/>
        <v>13</v>
      </c>
      <c r="J53" s="3">
        <f t="shared" si="23"/>
        <v>7</v>
      </c>
      <c r="K53" s="3">
        <f t="shared" si="23"/>
        <v>3</v>
      </c>
      <c r="L53" s="3">
        <f t="shared" si="23"/>
        <v>3</v>
      </c>
      <c r="M53" s="3">
        <f t="shared" si="23"/>
        <v>4</v>
      </c>
      <c r="N53" s="3">
        <f t="shared" si="23"/>
        <v>0</v>
      </c>
      <c r="O53" s="3">
        <f t="shared" si="23"/>
        <v>0</v>
      </c>
    </row>
    <row r="54" spans="1:15">
      <c r="A54" s="1">
        <v>2018</v>
      </c>
      <c r="B54" s="3">
        <f t="shared" si="4"/>
        <v>0</v>
      </c>
      <c r="C54" s="3">
        <f t="shared" si="23"/>
        <v>6</v>
      </c>
      <c r="D54" s="3">
        <f t="shared" si="23"/>
        <v>8</v>
      </c>
      <c r="E54" s="3">
        <f t="shared" si="23"/>
        <v>9</v>
      </c>
      <c r="F54" s="3">
        <f t="shared" si="23"/>
        <v>9</v>
      </c>
      <c r="G54" s="3">
        <f t="shared" si="23"/>
        <v>6</v>
      </c>
      <c r="H54" s="3">
        <f t="shared" si="23"/>
        <v>15</v>
      </c>
      <c r="I54" s="3">
        <f t="shared" si="23"/>
        <v>19</v>
      </c>
      <c r="J54" s="3">
        <f t="shared" si="23"/>
        <v>11</v>
      </c>
      <c r="K54" s="3">
        <f t="shared" si="23"/>
        <v>5</v>
      </c>
      <c r="L54" s="3">
        <f t="shared" si="23"/>
        <v>3</v>
      </c>
      <c r="M54" s="3">
        <f t="shared" si="23"/>
        <v>3</v>
      </c>
      <c r="N54" s="3">
        <f t="shared" si="23"/>
        <v>6</v>
      </c>
      <c r="O54" s="3">
        <f t="shared" si="23"/>
        <v>0</v>
      </c>
    </row>
    <row r="55" spans="1:15">
      <c r="A55" s="1">
        <v>2019</v>
      </c>
      <c r="B55" s="3">
        <f t="shared" si="4"/>
        <v>0</v>
      </c>
      <c r="C55" s="3">
        <f t="shared" si="23"/>
        <v>0</v>
      </c>
      <c r="D55" s="3">
        <f t="shared" si="23"/>
        <v>0</v>
      </c>
      <c r="E55" s="3">
        <f t="shared" si="23"/>
        <v>7</v>
      </c>
      <c r="F55" s="3">
        <f t="shared" si="23"/>
        <v>7</v>
      </c>
      <c r="G55" s="3">
        <f t="shared" si="23"/>
        <v>12</v>
      </c>
      <c r="H55" s="3">
        <f t="shared" si="23"/>
        <v>20</v>
      </c>
      <c r="I55" s="3">
        <f t="shared" si="23"/>
        <v>16</v>
      </c>
      <c r="J55" s="3">
        <f t="shared" si="23"/>
        <v>13</v>
      </c>
      <c r="K55" s="3">
        <f t="shared" si="23"/>
        <v>10</v>
      </c>
      <c r="L55" s="3">
        <f t="shared" si="23"/>
        <v>6</v>
      </c>
      <c r="M55" s="3">
        <f t="shared" si="23"/>
        <v>3</v>
      </c>
      <c r="N55" s="3">
        <f t="shared" si="23"/>
        <v>2</v>
      </c>
      <c r="O55" s="3">
        <f t="shared" si="23"/>
        <v>4</v>
      </c>
    </row>
    <row r="56" spans="1:15">
      <c r="A56" s="1">
        <v>2020</v>
      </c>
      <c r="B56" s="3">
        <f t="shared" si="4"/>
        <v>0</v>
      </c>
      <c r="C56" s="3">
        <f t="shared" si="23"/>
        <v>0</v>
      </c>
      <c r="D56" s="3">
        <f t="shared" si="23"/>
        <v>6</v>
      </c>
      <c r="E56" s="3">
        <f t="shared" si="23"/>
        <v>14</v>
      </c>
      <c r="F56" s="3">
        <f t="shared" si="23"/>
        <v>18</v>
      </c>
      <c r="G56" s="3">
        <f t="shared" si="23"/>
        <v>23</v>
      </c>
      <c r="H56" s="3">
        <f t="shared" si="23"/>
        <v>14</v>
      </c>
      <c r="I56" s="3">
        <f t="shared" si="23"/>
        <v>8</v>
      </c>
      <c r="J56" s="3">
        <f t="shared" si="23"/>
        <v>4</v>
      </c>
      <c r="K56" s="3">
        <f t="shared" si="23"/>
        <v>5</v>
      </c>
      <c r="L56" s="3">
        <f t="shared" si="23"/>
        <v>4</v>
      </c>
      <c r="M56" s="3">
        <f t="shared" si="23"/>
        <v>4</v>
      </c>
      <c r="N56" s="3">
        <f t="shared" si="23"/>
        <v>0</v>
      </c>
      <c r="O56" s="3">
        <f t="shared" si="23"/>
        <v>0</v>
      </c>
    </row>
    <row r="57" spans="1:15">
      <c r="A57" s="1">
        <v>2021</v>
      </c>
      <c r="B57" s="3">
        <f t="shared" si="4"/>
        <v>0</v>
      </c>
      <c r="C57" s="3">
        <f t="shared" si="23"/>
        <v>6</v>
      </c>
      <c r="D57" s="3">
        <f t="shared" si="23"/>
        <v>10</v>
      </c>
      <c r="E57" s="3">
        <f t="shared" si="23"/>
        <v>18</v>
      </c>
      <c r="F57" s="3">
        <f t="shared" si="23"/>
        <v>15</v>
      </c>
      <c r="G57" s="3">
        <f t="shared" si="23"/>
        <v>11</v>
      </c>
      <c r="H57" s="3">
        <f t="shared" si="23"/>
        <v>13</v>
      </c>
      <c r="I57" s="3">
        <f t="shared" si="23"/>
        <v>6</v>
      </c>
      <c r="J57" s="3">
        <f t="shared" si="23"/>
        <v>8</v>
      </c>
      <c r="K57" s="3">
        <f t="shared" si="23"/>
        <v>5</v>
      </c>
      <c r="L57" s="3">
        <f t="shared" si="23"/>
        <v>3</v>
      </c>
      <c r="M57" s="3">
        <f t="shared" si="23"/>
        <v>5</v>
      </c>
      <c r="N57" s="3">
        <f t="shared" si="23"/>
        <v>0</v>
      </c>
      <c r="O57" s="3">
        <f t="shared" si="23"/>
        <v>0</v>
      </c>
    </row>
    <row r="58" spans="1:15">
      <c r="A58" s="1">
        <v>2022</v>
      </c>
      <c r="B58" s="3">
        <f t="shared" si="4"/>
        <v>0</v>
      </c>
      <c r="C58" s="3">
        <f t="shared" si="23"/>
        <v>3</v>
      </c>
      <c r="D58" s="3">
        <f t="shared" si="23"/>
        <v>5</v>
      </c>
      <c r="E58" s="3">
        <f t="shared" si="23"/>
        <v>14</v>
      </c>
      <c r="F58" s="3">
        <f t="shared" si="23"/>
        <v>22</v>
      </c>
      <c r="G58" s="3">
        <f t="shared" si="23"/>
        <v>19</v>
      </c>
      <c r="H58" s="3">
        <f t="shared" si="23"/>
        <v>17</v>
      </c>
      <c r="I58" s="3">
        <f t="shared" si="23"/>
        <v>8</v>
      </c>
      <c r="J58" s="3">
        <f t="shared" si="23"/>
        <v>6</v>
      </c>
      <c r="K58" s="3">
        <f t="shared" si="23"/>
        <v>2</v>
      </c>
      <c r="L58" s="3">
        <f t="shared" si="23"/>
        <v>4</v>
      </c>
      <c r="M58" s="3">
        <f t="shared" si="23"/>
        <v>0</v>
      </c>
      <c r="N58" s="3">
        <f t="shared" si="23"/>
        <v>0</v>
      </c>
      <c r="O58" s="3">
        <f t="shared" si="23"/>
        <v>0</v>
      </c>
    </row>
    <row r="59" spans="1:15">
      <c r="A59" s="1">
        <v>2023</v>
      </c>
      <c r="B59" s="3">
        <f t="shared" si="4"/>
        <v>0</v>
      </c>
      <c r="C59" s="3">
        <f t="shared" si="23"/>
        <v>5</v>
      </c>
      <c r="D59" s="3">
        <f t="shared" si="23"/>
        <v>7</v>
      </c>
      <c r="E59" s="3">
        <f t="shared" si="23"/>
        <v>11</v>
      </c>
      <c r="F59" s="3">
        <f t="shared" si="23"/>
        <v>20</v>
      </c>
      <c r="G59" s="3">
        <f t="shared" si="23"/>
        <v>19</v>
      </c>
      <c r="H59" s="3">
        <f t="shared" si="23"/>
        <v>14</v>
      </c>
      <c r="I59" s="3">
        <f t="shared" ref="I59:O60" si="24">I25-H25</f>
        <v>9</v>
      </c>
      <c r="J59" s="3">
        <f t="shared" si="24"/>
        <v>6</v>
      </c>
      <c r="K59" s="3">
        <f t="shared" si="24"/>
        <v>4</v>
      </c>
      <c r="L59" s="3">
        <f t="shared" si="24"/>
        <v>5</v>
      </c>
      <c r="M59" s="3">
        <f t="shared" si="24"/>
        <v>0</v>
      </c>
      <c r="N59" s="3">
        <f t="shared" si="24"/>
        <v>0</v>
      </c>
      <c r="O59" s="3">
        <f t="shared" si="24"/>
        <v>0</v>
      </c>
    </row>
    <row r="60" spans="1:15">
      <c r="A60" s="1">
        <v>2024</v>
      </c>
      <c r="G60" s="3">
        <f>G26-F26</f>
        <v>20</v>
      </c>
      <c r="H60" s="3">
        <f>H26-G26</f>
        <v>14</v>
      </c>
      <c r="I60" s="3">
        <f t="shared" si="24"/>
        <v>8</v>
      </c>
      <c r="J60" s="3">
        <f t="shared" si="24"/>
        <v>5</v>
      </c>
      <c r="K60" s="3">
        <f t="shared" si="24"/>
        <v>2</v>
      </c>
      <c r="L60" s="3">
        <f t="shared" si="24"/>
        <v>4</v>
      </c>
      <c r="M60" s="3">
        <f t="shared" si="24"/>
        <v>0</v>
      </c>
      <c r="N60" s="3">
        <f t="shared" si="24"/>
        <v>0</v>
      </c>
      <c r="O60" s="3">
        <f t="shared" si="24"/>
        <v>0</v>
      </c>
    </row>
    <row r="61" spans="1:15">
      <c r="A61" s="1">
        <v>2025</v>
      </c>
      <c r="G61" s="3">
        <f t="shared" ref="G61:O61" si="25">G28-F28</f>
        <v>0</v>
      </c>
      <c r="H61" s="3">
        <f t="shared" si="25"/>
        <v>0</v>
      </c>
      <c r="I61" s="3">
        <f t="shared" si="25"/>
        <v>0</v>
      </c>
      <c r="J61" s="3">
        <f t="shared" si="25"/>
        <v>0</v>
      </c>
      <c r="K61" s="3">
        <f t="shared" si="25"/>
        <v>0</v>
      </c>
      <c r="L61" s="3">
        <f t="shared" si="25"/>
        <v>0</v>
      </c>
      <c r="M61" s="3">
        <f t="shared" si="25"/>
        <v>0</v>
      </c>
      <c r="N61" s="3">
        <f t="shared" si="25"/>
        <v>0</v>
      </c>
      <c r="O61" s="3">
        <f t="shared" si="2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10</vt:i4>
      </vt:variant>
    </vt:vector>
  </HeadingPairs>
  <TitlesOfParts>
    <vt:vector size="14" baseType="lpstr">
      <vt:lpstr>Conditions Chart Data</vt:lpstr>
      <vt:lpstr>Planting Chart Data</vt:lpstr>
      <vt:lpstr>Pod Setting Data</vt:lpstr>
      <vt:lpstr>Harvest Chart Data</vt:lpstr>
      <vt:lpstr>Conditions and Yield Chart</vt:lpstr>
      <vt:lpstr>Good and Excellent Chart</vt:lpstr>
      <vt:lpstr>Jul - Aug Yield Change</vt:lpstr>
      <vt:lpstr>Aug - Sep Yield Change</vt:lpstr>
      <vt:lpstr>Sep - Oct Yield Change</vt:lpstr>
      <vt:lpstr>Oct - Nov Yield Change</vt:lpstr>
      <vt:lpstr>Nov - Final Yield Change</vt:lpstr>
      <vt:lpstr>Planting Progress Chart</vt:lpstr>
      <vt:lpstr>Pod Setting Chart</vt:lpstr>
      <vt:lpstr>Harvest Progress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2025-07-17T09:03:35Z</dcterms:created>
  <dcterms:modified xsi:type="dcterms:W3CDTF">2025-09-18T11:39:32Z</dcterms:modified>
</cp:coreProperties>
</file>