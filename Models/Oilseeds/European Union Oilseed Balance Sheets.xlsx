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73BDF47C-66E9-4004-8B0F-DAB52E39CFC2}" xr6:coauthVersionLast="47" xr6:coauthVersionMax="47" xr10:uidLastSave="{00000000-0000-0000-0000-000000000000}"/>
  <bookViews>
    <workbookView xWindow="1170" yWindow="1170" windowWidth="24165" windowHeight="14550" xr2:uid="{53F64CA5-3466-4C35-8D95-6295725AAF3C}"/>
  </bookViews>
  <sheets>
    <sheet name="Oilseed" sheetId="1" r:id="rId1"/>
    <sheet name="Chart1" sheetId="2" r:id="rId2"/>
    <sheet name="Protein Meal" sheetId="3" r:id="rId3"/>
    <sheet name="Chart - Per Cap - Total " sheetId="4" r:id="rId4"/>
    <sheet name="Chart2" sheetId="5" r:id="rId5"/>
    <sheet name="Chart3" sheetId="6" r:id="rId6"/>
    <sheet name="Vegetable Oil" sheetId="7" r:id="rId7"/>
    <sheet name="EU Palm Oil" sheetId="8" r:id="rId8"/>
  </sheets>
  <externalReferences>
    <externalReference r:id="rId9"/>
    <externalReference r:id="rId10"/>
    <externalReference r:id="rId11"/>
    <externalReference r:id="rId12"/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96" i="8" l="1"/>
  <c r="AL96" i="8"/>
  <c r="AK96" i="8"/>
  <c r="AJ96" i="8"/>
  <c r="AI96" i="8"/>
  <c r="AH96" i="8"/>
  <c r="AG96" i="8"/>
  <c r="AF96" i="8"/>
  <c r="AE96" i="8"/>
  <c r="AE25" i="8" s="1"/>
  <c r="AF45" i="7" s="1"/>
  <c r="AD96" i="8"/>
  <c r="AD25" i="8" s="1"/>
  <c r="AE45" i="7" s="1"/>
  <c r="AC96" i="8"/>
  <c r="AC25" i="8" s="1"/>
  <c r="AD45" i="7" s="1"/>
  <c r="AB96" i="8"/>
  <c r="AB25" i="8" s="1"/>
  <c r="AC45" i="7" s="1"/>
  <c r="AA96" i="8"/>
  <c r="AA25" i="8" s="1"/>
  <c r="AB45" i="7" s="1"/>
  <c r="Z96" i="8"/>
  <c r="Z25" i="8" s="1"/>
  <c r="AA45" i="7" s="1"/>
  <c r="Y96" i="8"/>
  <c r="Y25" i="8" s="1"/>
  <c r="Z45" i="7" s="1"/>
  <c r="Z40" i="7" s="1"/>
  <c r="X96" i="8"/>
  <c r="W96" i="8"/>
  <c r="W25" i="8" s="1"/>
  <c r="X45" i="7" s="1"/>
  <c r="AH92" i="8"/>
  <c r="AH89" i="8"/>
  <c r="AH86" i="8"/>
  <c r="AM83" i="8"/>
  <c r="AL83" i="8"/>
  <c r="AK83" i="8"/>
  <c r="AJ83" i="8"/>
  <c r="AI83" i="8"/>
  <c r="AH83" i="8"/>
  <c r="AG83" i="8"/>
  <c r="AF83" i="8"/>
  <c r="AE83" i="8"/>
  <c r="AD83" i="8"/>
  <c r="AC83" i="8"/>
  <c r="AB83" i="8"/>
  <c r="AA83" i="8"/>
  <c r="Z83" i="8"/>
  <c r="Y83" i="8"/>
  <c r="X83" i="8"/>
  <c r="W83" i="8"/>
  <c r="V83" i="8"/>
  <c r="U83" i="8"/>
  <c r="T83" i="8"/>
  <c r="S83" i="8"/>
  <c r="R83" i="8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D83" i="8"/>
  <c r="C83" i="8"/>
  <c r="B83" i="8"/>
  <c r="AM80" i="8"/>
  <c r="AL80" i="8"/>
  <c r="AK80" i="8"/>
  <c r="AJ80" i="8"/>
  <c r="AI80" i="8"/>
  <c r="AH80" i="8"/>
  <c r="AF80" i="8"/>
  <c r="AF19" i="8" s="1"/>
  <c r="AE80" i="8"/>
  <c r="AD80" i="8"/>
  <c r="AC80" i="8"/>
  <c r="AB80" i="8"/>
  <c r="AA80" i="8"/>
  <c r="Z80" i="8"/>
  <c r="Y80" i="8"/>
  <c r="Y19" i="8" s="1"/>
  <c r="Z24" i="7" s="1"/>
  <c r="X80" i="8"/>
  <c r="X19" i="8" s="1"/>
  <c r="W80" i="8"/>
  <c r="W19" i="8" s="1"/>
  <c r="X24" i="7" s="1"/>
  <c r="AM67" i="8"/>
  <c r="AL67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B67" i="8"/>
  <c r="AM64" i="8"/>
  <c r="AL64" i="8"/>
  <c r="AK64" i="8"/>
  <c r="AJ64" i="8"/>
  <c r="AI64" i="8"/>
  <c r="AI85" i="8" s="1"/>
  <c r="AH64" i="8"/>
  <c r="AH85" i="8" s="1"/>
  <c r="AG64" i="8"/>
  <c r="AG92" i="8" s="1"/>
  <c r="AF64" i="8"/>
  <c r="AF12" i="8" s="1"/>
  <c r="AG44" i="7" s="1"/>
  <c r="AE64" i="8"/>
  <c r="AE12" i="8" s="1"/>
  <c r="AF44" i="7" s="1"/>
  <c r="AD64" i="8"/>
  <c r="AD12" i="8" s="1"/>
  <c r="AC64" i="8"/>
  <c r="AC12" i="8" s="1"/>
  <c r="AD44" i="7" s="1"/>
  <c r="AB64" i="8"/>
  <c r="AB12" i="8" s="1"/>
  <c r="AC44" i="7" s="1"/>
  <c r="AA64" i="8"/>
  <c r="Z64" i="8"/>
  <c r="Z12" i="8" s="1"/>
  <c r="AA44" i="7" s="1"/>
  <c r="Y64" i="8"/>
  <c r="Y12" i="8" s="1"/>
  <c r="Z44" i="7" s="1"/>
  <c r="X64" i="8"/>
  <c r="X12" i="8" s="1"/>
  <c r="W64" i="8"/>
  <c r="AH61" i="8"/>
  <c r="AG61" i="8"/>
  <c r="AH58" i="8"/>
  <c r="AH55" i="8"/>
  <c r="AH52" i="8"/>
  <c r="AM51" i="8"/>
  <c r="AL51" i="8"/>
  <c r="AK51" i="8"/>
  <c r="AJ51" i="8"/>
  <c r="AI51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B51" i="8"/>
  <c r="AM48" i="8"/>
  <c r="AL48" i="8"/>
  <c r="AK48" i="8"/>
  <c r="AJ48" i="8"/>
  <c r="AI48" i="8"/>
  <c r="AH48" i="8"/>
  <c r="AG48" i="8"/>
  <c r="AF48" i="8"/>
  <c r="AE48" i="8"/>
  <c r="AD48" i="8"/>
  <c r="AD6" i="8" s="1"/>
  <c r="AE23" i="7" s="1"/>
  <c r="AC48" i="8"/>
  <c r="AB48" i="8"/>
  <c r="AH70" i="8" s="1"/>
  <c r="AA48" i="8"/>
  <c r="Z48" i="8"/>
  <c r="Y48" i="8"/>
  <c r="X48" i="8"/>
  <c r="X6" i="8" s="1"/>
  <c r="W48" i="8"/>
  <c r="AM35" i="8"/>
  <c r="AL35" i="8"/>
  <c r="AK35" i="8"/>
  <c r="AJ35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AM28" i="8"/>
  <c r="AD28" i="8"/>
  <c r="Z26" i="8"/>
  <c r="T26" i="8"/>
  <c r="O26" i="8"/>
  <c r="M26" i="8"/>
  <c r="L26" i="8"/>
  <c r="H26" i="8"/>
  <c r="F26" i="8"/>
  <c r="E26" i="8"/>
  <c r="D26" i="8"/>
  <c r="C26" i="8"/>
  <c r="B26" i="8"/>
  <c r="AF25" i="8"/>
  <c r="X25" i="8"/>
  <c r="V21" i="8"/>
  <c r="U21" i="8"/>
  <c r="U26" i="8" s="1"/>
  <c r="T21" i="8"/>
  <c r="S21" i="8"/>
  <c r="S26" i="8" s="1"/>
  <c r="R21" i="8"/>
  <c r="R26" i="8" s="1"/>
  <c r="Q21" i="8"/>
  <c r="Q26" i="8" s="1"/>
  <c r="P21" i="8"/>
  <c r="P26" i="8" s="1"/>
  <c r="O21" i="8"/>
  <c r="N21" i="8"/>
  <c r="N26" i="8" s="1"/>
  <c r="M21" i="8"/>
  <c r="L21" i="8"/>
  <c r="K21" i="8"/>
  <c r="J21" i="8"/>
  <c r="J26" i="8" s="1"/>
  <c r="I21" i="8"/>
  <c r="I26" i="8" s="1"/>
  <c r="H21" i="8"/>
  <c r="G21" i="8"/>
  <c r="G26" i="8" s="1"/>
  <c r="F21" i="8"/>
  <c r="E21" i="8"/>
  <c r="D21" i="8"/>
  <c r="C21" i="8"/>
  <c r="B21" i="8"/>
  <c r="C38" i="7" s="1"/>
  <c r="AM20" i="8"/>
  <c r="AM26" i="8" s="1"/>
  <c r="AL20" i="8"/>
  <c r="AL26" i="8" s="1"/>
  <c r="AA20" i="8"/>
  <c r="AA26" i="8" s="1"/>
  <c r="B20" i="8"/>
  <c r="B27" i="8" s="1"/>
  <c r="AG19" i="8"/>
  <c r="AG80" i="8" s="1"/>
  <c r="AE19" i="8"/>
  <c r="AD19" i="8"/>
  <c r="AC19" i="8"/>
  <c r="AD24" i="7" s="1"/>
  <c r="AB19" i="8"/>
  <c r="AA19" i="8"/>
  <c r="Z19" i="8"/>
  <c r="Z20" i="8" s="1"/>
  <c r="AM17" i="8"/>
  <c r="AL17" i="8"/>
  <c r="AK17" i="8"/>
  <c r="AK20" i="8" s="1"/>
  <c r="AK26" i="8" s="1"/>
  <c r="AJ17" i="8"/>
  <c r="AJ20" i="8" s="1"/>
  <c r="AJ26" i="8" s="1"/>
  <c r="AI17" i="8"/>
  <c r="AI20" i="8" s="1"/>
  <c r="AI26" i="8" s="1"/>
  <c r="AH17" i="8"/>
  <c r="AH20" i="8" s="1"/>
  <c r="AH26" i="8" s="1"/>
  <c r="AH21" i="8" s="1"/>
  <c r="AG17" i="8"/>
  <c r="AG20" i="8" s="1"/>
  <c r="AG26" i="8" s="1"/>
  <c r="AG21" i="8" s="1"/>
  <c r="AF17" i="8"/>
  <c r="AF20" i="8" s="1"/>
  <c r="AF26" i="8" s="1"/>
  <c r="AF21" i="8" s="1"/>
  <c r="AE17" i="8"/>
  <c r="AE20" i="8" s="1"/>
  <c r="AE26" i="8" s="1"/>
  <c r="AE21" i="8" s="1"/>
  <c r="AD17" i="8"/>
  <c r="AD20" i="8" s="1"/>
  <c r="AD26" i="8" s="1"/>
  <c r="AC17" i="8"/>
  <c r="AC20" i="8" s="1"/>
  <c r="AC26" i="8" s="1"/>
  <c r="AB17" i="8"/>
  <c r="AB20" i="8" s="1"/>
  <c r="AB26" i="8" s="1"/>
  <c r="AA17" i="8"/>
  <c r="Z17" i="8"/>
  <c r="Y17" i="8"/>
  <c r="Y20" i="8" s="1"/>
  <c r="Y26" i="8" s="1"/>
  <c r="X17" i="8"/>
  <c r="AM15" i="8"/>
  <c r="B14" i="8"/>
  <c r="AF13" i="8"/>
  <c r="AE13" i="8"/>
  <c r="U13" i="8"/>
  <c r="S13" i="8"/>
  <c r="R13" i="8"/>
  <c r="N13" i="8"/>
  <c r="L13" i="8"/>
  <c r="K13" i="8"/>
  <c r="J13" i="8"/>
  <c r="D13" i="8"/>
  <c r="W12" i="8"/>
  <c r="AM8" i="8"/>
  <c r="V8" i="8"/>
  <c r="V13" i="8" s="1"/>
  <c r="U8" i="8"/>
  <c r="T8" i="8"/>
  <c r="T13" i="8" s="1"/>
  <c r="S8" i="8"/>
  <c r="R8" i="8"/>
  <c r="Q8" i="8"/>
  <c r="Q13" i="8" s="1"/>
  <c r="P8" i="8"/>
  <c r="P13" i="8" s="1"/>
  <c r="O8" i="8"/>
  <c r="O13" i="8" s="1"/>
  <c r="N8" i="8"/>
  <c r="M8" i="8"/>
  <c r="M13" i="8" s="1"/>
  <c r="L8" i="8"/>
  <c r="K8" i="8"/>
  <c r="J8" i="8"/>
  <c r="I8" i="8"/>
  <c r="I13" i="8" s="1"/>
  <c r="H8" i="8"/>
  <c r="H13" i="8" s="1"/>
  <c r="G8" i="8"/>
  <c r="G13" i="8" s="1"/>
  <c r="F8" i="8"/>
  <c r="E8" i="8"/>
  <c r="E13" i="8" s="1"/>
  <c r="D8" i="8"/>
  <c r="C8" i="8"/>
  <c r="C13" i="8" s="1"/>
  <c r="B8" i="8"/>
  <c r="B13" i="8" s="1"/>
  <c r="AH7" i="8"/>
  <c r="AH13" i="8" s="1"/>
  <c r="AG7" i="8"/>
  <c r="AG13" i="8" s="1"/>
  <c r="Y7" i="8"/>
  <c r="Y13" i="8" s="1"/>
  <c r="X7" i="8"/>
  <c r="X13" i="8" s="1"/>
  <c r="B7" i="8"/>
  <c r="AF6" i="8"/>
  <c r="AF7" i="8" s="1"/>
  <c r="AE6" i="8"/>
  <c r="Z6" i="8"/>
  <c r="Y6" i="8"/>
  <c r="W6" i="8"/>
  <c r="AM4" i="8"/>
  <c r="AM7" i="8" s="1"/>
  <c r="AM13" i="8" s="1"/>
  <c r="AL15" i="8" s="1"/>
  <c r="AL4" i="8"/>
  <c r="AL7" i="8" s="1"/>
  <c r="AL13" i="8" s="1"/>
  <c r="AK4" i="8"/>
  <c r="AJ4" i="8"/>
  <c r="AJ7" i="8" s="1"/>
  <c r="AJ13" i="8" s="1"/>
  <c r="AI4" i="8"/>
  <c r="AI7" i="8" s="1"/>
  <c r="AI13" i="8" s="1"/>
  <c r="AH4" i="8"/>
  <c r="AG4" i="8"/>
  <c r="AF4" i="8"/>
  <c r="AE4" i="8"/>
  <c r="AE7" i="8" s="1"/>
  <c r="AD4" i="8"/>
  <c r="AC4" i="8"/>
  <c r="AB4" i="8"/>
  <c r="AA4" i="8"/>
  <c r="Z4" i="8"/>
  <c r="Y4" i="8"/>
  <c r="X4" i="8"/>
  <c r="AN131" i="7"/>
  <c r="AM131" i="7"/>
  <c r="AL131" i="7"/>
  <c r="AK131" i="7"/>
  <c r="AJ131" i="7"/>
  <c r="AI131" i="7"/>
  <c r="AH131" i="7"/>
  <c r="AG131" i="7"/>
  <c r="AF131" i="7"/>
  <c r="AE131" i="7"/>
  <c r="AD131" i="7"/>
  <c r="AC131" i="7"/>
  <c r="AB131" i="7"/>
  <c r="AA131" i="7"/>
  <c r="Z131" i="7"/>
  <c r="Y131" i="7"/>
  <c r="X131" i="7"/>
  <c r="W131" i="7"/>
  <c r="V131" i="7"/>
  <c r="U131" i="7"/>
  <c r="T131" i="7"/>
  <c r="S131" i="7"/>
  <c r="R131" i="7"/>
  <c r="Q131" i="7"/>
  <c r="P131" i="7"/>
  <c r="O131" i="7"/>
  <c r="N131" i="7"/>
  <c r="M131" i="7"/>
  <c r="L131" i="7"/>
  <c r="K131" i="7"/>
  <c r="J131" i="7"/>
  <c r="I131" i="7"/>
  <c r="H131" i="7"/>
  <c r="G131" i="7"/>
  <c r="F131" i="7"/>
  <c r="E131" i="7"/>
  <c r="D131" i="7"/>
  <c r="C131" i="7"/>
  <c r="AN126" i="7"/>
  <c r="AM126" i="7"/>
  <c r="AL126" i="7"/>
  <c r="AK126" i="7"/>
  <c r="AJ126" i="7"/>
  <c r="AI126" i="7"/>
  <c r="AH126" i="7"/>
  <c r="AG126" i="7"/>
  <c r="AF126" i="7"/>
  <c r="AE126" i="7"/>
  <c r="AD126" i="7"/>
  <c r="AC126" i="7"/>
  <c r="AB126" i="7"/>
  <c r="AA126" i="7"/>
  <c r="Z126" i="7"/>
  <c r="Y126" i="7"/>
  <c r="X126" i="7"/>
  <c r="W126" i="7"/>
  <c r="V126" i="7"/>
  <c r="U126" i="7"/>
  <c r="T126" i="7"/>
  <c r="S126" i="7"/>
  <c r="R126" i="7"/>
  <c r="Q126" i="7"/>
  <c r="P126" i="7"/>
  <c r="O126" i="7"/>
  <c r="N126" i="7"/>
  <c r="M126" i="7"/>
  <c r="L126" i="7"/>
  <c r="K126" i="7"/>
  <c r="J126" i="7"/>
  <c r="I126" i="7"/>
  <c r="H126" i="7"/>
  <c r="G126" i="7"/>
  <c r="F126" i="7"/>
  <c r="E126" i="7"/>
  <c r="D126" i="7"/>
  <c r="C126" i="7"/>
  <c r="AN125" i="7"/>
  <c r="AM125" i="7"/>
  <c r="AL125" i="7"/>
  <c r="AK125" i="7"/>
  <c r="AJ125" i="7"/>
  <c r="AI125" i="7"/>
  <c r="AH125" i="7"/>
  <c r="AG125" i="7"/>
  <c r="AF125" i="7"/>
  <c r="AE125" i="7"/>
  <c r="AD125" i="7"/>
  <c r="AC125" i="7"/>
  <c r="AB125" i="7"/>
  <c r="AA125" i="7"/>
  <c r="Z125" i="7"/>
  <c r="Y125" i="7"/>
  <c r="X125" i="7"/>
  <c r="W125" i="7"/>
  <c r="V125" i="7"/>
  <c r="U125" i="7"/>
  <c r="T125" i="7"/>
  <c r="S125" i="7"/>
  <c r="R125" i="7"/>
  <c r="Q125" i="7"/>
  <c r="P125" i="7"/>
  <c r="O125" i="7"/>
  <c r="N125" i="7"/>
  <c r="M125" i="7"/>
  <c r="L125" i="7"/>
  <c r="K125" i="7"/>
  <c r="J125" i="7"/>
  <c r="I125" i="7"/>
  <c r="H125" i="7"/>
  <c r="G125" i="7"/>
  <c r="F125" i="7"/>
  <c r="E125" i="7"/>
  <c r="D125" i="7"/>
  <c r="C125" i="7"/>
  <c r="AN124" i="7"/>
  <c r="AM124" i="7"/>
  <c r="AL124" i="7"/>
  <c r="AK124" i="7"/>
  <c r="AJ124" i="7"/>
  <c r="AI124" i="7"/>
  <c r="AH124" i="7"/>
  <c r="AG124" i="7"/>
  <c r="AF124" i="7"/>
  <c r="AE124" i="7"/>
  <c r="AD124" i="7"/>
  <c r="AC124" i="7"/>
  <c r="AB124" i="7"/>
  <c r="AA124" i="7"/>
  <c r="Z124" i="7"/>
  <c r="Y124" i="7"/>
  <c r="X124" i="7"/>
  <c r="W124" i="7"/>
  <c r="V124" i="7"/>
  <c r="U124" i="7"/>
  <c r="T124" i="7"/>
  <c r="S124" i="7"/>
  <c r="R124" i="7"/>
  <c r="Q124" i="7"/>
  <c r="P124" i="7"/>
  <c r="O124" i="7"/>
  <c r="N124" i="7"/>
  <c r="M124" i="7"/>
  <c r="L124" i="7"/>
  <c r="K124" i="7"/>
  <c r="J124" i="7"/>
  <c r="I124" i="7"/>
  <c r="H124" i="7"/>
  <c r="G124" i="7"/>
  <c r="F124" i="7"/>
  <c r="E124" i="7"/>
  <c r="D124" i="7"/>
  <c r="C124" i="7"/>
  <c r="AN123" i="7"/>
  <c r="AM123" i="7"/>
  <c r="AL123" i="7"/>
  <c r="AK123" i="7"/>
  <c r="AJ123" i="7"/>
  <c r="AI123" i="7"/>
  <c r="AH123" i="7"/>
  <c r="AG123" i="7"/>
  <c r="AF123" i="7"/>
  <c r="AE123" i="7"/>
  <c r="AD123" i="7"/>
  <c r="AC123" i="7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H123" i="7"/>
  <c r="G123" i="7"/>
  <c r="F123" i="7"/>
  <c r="E123" i="7"/>
  <c r="D123" i="7"/>
  <c r="C123" i="7"/>
  <c r="AH67" i="7"/>
  <c r="AG67" i="7"/>
  <c r="AF67" i="7"/>
  <c r="AE67" i="7"/>
  <c r="AD67" i="7"/>
  <c r="AC67" i="7"/>
  <c r="AB67" i="7"/>
  <c r="AA67" i="7"/>
  <c r="Z66" i="7"/>
  <c r="AF65" i="7"/>
  <c r="AH63" i="7"/>
  <c r="AO59" i="7"/>
  <c r="AO58" i="7"/>
  <c r="AO57" i="7"/>
  <c r="AN57" i="7"/>
  <c r="AM57" i="7"/>
  <c r="AL57" i="7"/>
  <c r="AK57" i="7"/>
  <c r="AJ57" i="7"/>
  <c r="AI57" i="7"/>
  <c r="AH57" i="7"/>
  <c r="AG57" i="7"/>
  <c r="AF57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AO56" i="7"/>
  <c r="AN56" i="7"/>
  <c r="AM56" i="7"/>
  <c r="AL56" i="7"/>
  <c r="AK56" i="7"/>
  <c r="AJ56" i="7"/>
  <c r="AI56" i="7"/>
  <c r="AH56" i="7"/>
  <c r="AG56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AO55" i="7"/>
  <c r="AO54" i="7" s="1"/>
  <c r="AN55" i="7"/>
  <c r="AM55" i="7"/>
  <c r="AL55" i="7"/>
  <c r="AK55" i="7"/>
  <c r="AJ55" i="7"/>
  <c r="AI55" i="7"/>
  <c r="AH55" i="7"/>
  <c r="AG55" i="7"/>
  <c r="AF55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M52" i="7"/>
  <c r="J52" i="7"/>
  <c r="I52" i="7"/>
  <c r="H52" i="7"/>
  <c r="G52" i="7"/>
  <c r="F52" i="7"/>
  <c r="F47" i="7" s="1"/>
  <c r="S51" i="7"/>
  <c r="R51" i="7"/>
  <c r="Q51" i="7"/>
  <c r="P51" i="7"/>
  <c r="D51" i="7"/>
  <c r="AN50" i="7"/>
  <c r="AM50" i="7"/>
  <c r="AL50" i="7"/>
  <c r="AK50" i="7"/>
  <c r="AJ50" i="7"/>
  <c r="AI50" i="7"/>
  <c r="AH50" i="7"/>
  <c r="AG50" i="7"/>
  <c r="AF50" i="7"/>
  <c r="AE50" i="7"/>
  <c r="AD50" i="7"/>
  <c r="AC50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AO49" i="7"/>
  <c r="AN49" i="7"/>
  <c r="AM49" i="7"/>
  <c r="AL49" i="7"/>
  <c r="AK49" i="7"/>
  <c r="AJ49" i="7"/>
  <c r="AI49" i="7"/>
  <c r="AH49" i="7"/>
  <c r="AG49" i="7"/>
  <c r="AF49" i="7"/>
  <c r="AE49" i="7"/>
  <c r="AD49" i="7"/>
  <c r="AC49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AO48" i="7"/>
  <c r="AN48" i="7"/>
  <c r="AM48" i="7"/>
  <c r="AL48" i="7"/>
  <c r="AK48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AO47" i="7"/>
  <c r="M47" i="7"/>
  <c r="AN45" i="7"/>
  <c r="AM45" i="7"/>
  <c r="AL45" i="7"/>
  <c r="AK45" i="7"/>
  <c r="AJ45" i="7"/>
  <c r="AI45" i="7"/>
  <c r="AH45" i="7"/>
  <c r="AG45" i="7"/>
  <c r="Y45" i="7"/>
  <c r="W45" i="7"/>
  <c r="V45" i="7"/>
  <c r="U45" i="7"/>
  <c r="T45" i="7"/>
  <c r="S45" i="7"/>
  <c r="R45" i="7"/>
  <c r="Q45" i="7"/>
  <c r="Q52" i="7" s="1"/>
  <c r="P45" i="7"/>
  <c r="P52" i="7" s="1"/>
  <c r="O45" i="7"/>
  <c r="O52" i="7" s="1"/>
  <c r="O47" i="7" s="1"/>
  <c r="N45" i="7"/>
  <c r="M45" i="7"/>
  <c r="L45" i="7"/>
  <c r="K45" i="7"/>
  <c r="J45" i="7"/>
  <c r="I45" i="7"/>
  <c r="H45" i="7"/>
  <c r="G45" i="7"/>
  <c r="F45" i="7"/>
  <c r="E45" i="7"/>
  <c r="E52" i="7" s="1"/>
  <c r="D45" i="7"/>
  <c r="C45" i="7"/>
  <c r="C52" i="7" s="1"/>
  <c r="AN44" i="7"/>
  <c r="AM44" i="7"/>
  <c r="AL44" i="7"/>
  <c r="AK44" i="7"/>
  <c r="AJ44" i="7"/>
  <c r="AI44" i="7"/>
  <c r="AH44" i="7"/>
  <c r="AE44" i="7"/>
  <c r="Y44" i="7"/>
  <c r="X44" i="7"/>
  <c r="W44" i="7"/>
  <c r="V44" i="7"/>
  <c r="U44" i="7"/>
  <c r="U51" i="7" s="1"/>
  <c r="T44" i="7"/>
  <c r="S44" i="7"/>
  <c r="R44" i="7"/>
  <c r="Q44" i="7"/>
  <c r="P44" i="7"/>
  <c r="O44" i="7"/>
  <c r="N44" i="7"/>
  <c r="N51" i="7" s="1"/>
  <c r="M44" i="7"/>
  <c r="M51" i="7" s="1"/>
  <c r="L44" i="7"/>
  <c r="L51" i="7" s="1"/>
  <c r="K44" i="7"/>
  <c r="K51" i="7" s="1"/>
  <c r="J44" i="7"/>
  <c r="J40" i="7" s="1"/>
  <c r="I44" i="7"/>
  <c r="H44" i="7"/>
  <c r="G44" i="7"/>
  <c r="F44" i="7"/>
  <c r="F51" i="7" s="1"/>
  <c r="E44" i="7"/>
  <c r="D44" i="7"/>
  <c r="C44" i="7"/>
  <c r="AN43" i="7"/>
  <c r="AM43" i="7"/>
  <c r="AL43" i="7"/>
  <c r="AK43" i="7"/>
  <c r="AJ43" i="7"/>
  <c r="AI43" i="7"/>
  <c r="AH43" i="7"/>
  <c r="AG43" i="7"/>
  <c r="AO43" i="7" s="1"/>
  <c r="AF43" i="7"/>
  <c r="AE43" i="7"/>
  <c r="AD43" i="7"/>
  <c r="AC43" i="7"/>
  <c r="AB43" i="7"/>
  <c r="AA43" i="7"/>
  <c r="AA40" i="7" s="1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H40" i="7" s="1"/>
  <c r="G43" i="7"/>
  <c r="F43" i="7"/>
  <c r="E43" i="7"/>
  <c r="E40" i="7" s="1"/>
  <c r="D43" i="7"/>
  <c r="C43" i="7"/>
  <c r="AO42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V40" i="7" s="1"/>
  <c r="U42" i="7"/>
  <c r="T42" i="7"/>
  <c r="S42" i="7"/>
  <c r="R42" i="7"/>
  <c r="Q42" i="7"/>
  <c r="P42" i="7"/>
  <c r="O42" i="7"/>
  <c r="N42" i="7"/>
  <c r="M42" i="7"/>
  <c r="L42" i="7"/>
  <c r="K42" i="7"/>
  <c r="K40" i="7" s="1"/>
  <c r="J42" i="7"/>
  <c r="I42" i="7"/>
  <c r="H42" i="7"/>
  <c r="G42" i="7"/>
  <c r="F42" i="7"/>
  <c r="E42" i="7"/>
  <c r="D42" i="7"/>
  <c r="C42" i="7"/>
  <c r="C40" i="7" s="1"/>
  <c r="AO41" i="7"/>
  <c r="AN41" i="7"/>
  <c r="AM41" i="7"/>
  <c r="AM40" i="7" s="1"/>
  <c r="AL41" i="7"/>
  <c r="AK41" i="7"/>
  <c r="AJ41" i="7"/>
  <c r="AJ40" i="7" s="1"/>
  <c r="AI41" i="7"/>
  <c r="AI40" i="7" s="1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T40" i="7" s="1"/>
  <c r="S41" i="7"/>
  <c r="R41" i="7"/>
  <c r="Q41" i="7"/>
  <c r="P41" i="7"/>
  <c r="O41" i="7"/>
  <c r="N41" i="7"/>
  <c r="N40" i="7" s="1"/>
  <c r="M41" i="7"/>
  <c r="M40" i="7" s="1"/>
  <c r="L41" i="7"/>
  <c r="K41" i="7"/>
  <c r="J41" i="7"/>
  <c r="I41" i="7"/>
  <c r="H41" i="7"/>
  <c r="G41" i="7"/>
  <c r="F41" i="7"/>
  <c r="E41" i="7"/>
  <c r="D41" i="7"/>
  <c r="C41" i="7"/>
  <c r="AK40" i="7"/>
  <c r="AD40" i="7"/>
  <c r="Y40" i="7"/>
  <c r="V38" i="7"/>
  <c r="V52" i="7" s="1"/>
  <c r="U38" i="7"/>
  <c r="T38" i="7"/>
  <c r="T52" i="7" s="1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W37" i="7"/>
  <c r="W51" i="7" s="1"/>
  <c r="V37" i="7"/>
  <c r="V51" i="7" s="1"/>
  <c r="U37" i="7"/>
  <c r="T37" i="7"/>
  <c r="S37" i="7"/>
  <c r="R37" i="7"/>
  <c r="Q37" i="7"/>
  <c r="P37" i="7"/>
  <c r="O37" i="7"/>
  <c r="O51" i="7" s="1"/>
  <c r="N37" i="7"/>
  <c r="M37" i="7"/>
  <c r="L37" i="7"/>
  <c r="K37" i="7"/>
  <c r="J37" i="7"/>
  <c r="I37" i="7"/>
  <c r="H37" i="7"/>
  <c r="F37" i="7"/>
  <c r="E37" i="7"/>
  <c r="D37" i="7"/>
  <c r="C37" i="7"/>
  <c r="C51" i="7" s="1"/>
  <c r="AN36" i="7"/>
  <c r="AM36" i="7"/>
  <c r="AM67" i="7" s="1"/>
  <c r="AL36" i="7"/>
  <c r="AK36" i="7"/>
  <c r="AJ36" i="7"/>
  <c r="AI36" i="7"/>
  <c r="AH36" i="7"/>
  <c r="AG36" i="7"/>
  <c r="AF36" i="7"/>
  <c r="AE36" i="7"/>
  <c r="AD36" i="7"/>
  <c r="AC36" i="7"/>
  <c r="AB36" i="7"/>
  <c r="AA36" i="7"/>
  <c r="Z36" i="7"/>
  <c r="Z67" i="7" s="1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D33" i="7" s="1"/>
  <c r="D132" i="7" s="1"/>
  <c r="C36" i="7"/>
  <c r="C33" i="7" s="1"/>
  <c r="C132" i="7" s="1"/>
  <c r="AO35" i="7"/>
  <c r="AN35" i="7"/>
  <c r="AM35" i="7"/>
  <c r="AM66" i="7" s="1"/>
  <c r="AL35" i="7"/>
  <c r="AK35" i="7"/>
  <c r="AJ35" i="7"/>
  <c r="AI35" i="7"/>
  <c r="AH35" i="7"/>
  <c r="AG35" i="7"/>
  <c r="AG66" i="7" s="1"/>
  <c r="AF35" i="7"/>
  <c r="AE35" i="7"/>
  <c r="AE66" i="7" s="1"/>
  <c r="AD35" i="7"/>
  <c r="AD66" i="7" s="1"/>
  <c r="AC35" i="7"/>
  <c r="AC66" i="7" s="1"/>
  <c r="AB35" i="7"/>
  <c r="AB66" i="7" s="1"/>
  <c r="AA35" i="7"/>
  <c r="AA66" i="7" s="1"/>
  <c r="Z35" i="7"/>
  <c r="Y35" i="7"/>
  <c r="Y66" i="7" s="1"/>
  <c r="X35" i="7"/>
  <c r="X66" i="7" s="1"/>
  <c r="W35" i="7"/>
  <c r="V35" i="7"/>
  <c r="U35" i="7"/>
  <c r="U33" i="7" s="1"/>
  <c r="U132" i="7" s="1"/>
  <c r="T35" i="7"/>
  <c r="S35" i="7"/>
  <c r="S33" i="7" s="1"/>
  <c r="S132" i="7" s="1"/>
  <c r="R35" i="7"/>
  <c r="Q35" i="7"/>
  <c r="P35" i="7"/>
  <c r="O35" i="7"/>
  <c r="N35" i="7"/>
  <c r="M35" i="7"/>
  <c r="M33" i="7" s="1"/>
  <c r="M132" i="7" s="1"/>
  <c r="L35" i="7"/>
  <c r="K35" i="7"/>
  <c r="J35" i="7"/>
  <c r="I35" i="7"/>
  <c r="H35" i="7"/>
  <c r="G35" i="7"/>
  <c r="F35" i="7"/>
  <c r="E35" i="7"/>
  <c r="D35" i="7"/>
  <c r="C35" i="7"/>
  <c r="AO34" i="7"/>
  <c r="AN34" i="7"/>
  <c r="AM34" i="7"/>
  <c r="AL34" i="7"/>
  <c r="AK34" i="7"/>
  <c r="AJ34" i="7"/>
  <c r="AI34" i="7"/>
  <c r="AH34" i="7"/>
  <c r="AH65" i="7" s="1"/>
  <c r="AG34" i="7"/>
  <c r="AG65" i="7" s="1"/>
  <c r="AF34" i="7"/>
  <c r="AE34" i="7"/>
  <c r="AD34" i="7"/>
  <c r="AC34" i="7"/>
  <c r="AB34" i="7"/>
  <c r="AA34" i="7"/>
  <c r="Z34" i="7"/>
  <c r="Z65" i="7" s="1"/>
  <c r="Y34" i="7"/>
  <c r="Y65" i="7" s="1"/>
  <c r="X34" i="7"/>
  <c r="X65" i="7" s="1"/>
  <c r="W34" i="7"/>
  <c r="V34" i="7"/>
  <c r="U34" i="7"/>
  <c r="T34" i="7"/>
  <c r="S34" i="7"/>
  <c r="R34" i="7"/>
  <c r="Q34" i="7"/>
  <c r="P34" i="7"/>
  <c r="P33" i="7" s="1"/>
  <c r="P132" i="7" s="1"/>
  <c r="O34" i="7"/>
  <c r="O33" i="7" s="1"/>
  <c r="O132" i="7" s="1"/>
  <c r="N34" i="7"/>
  <c r="M34" i="7"/>
  <c r="L34" i="7"/>
  <c r="K34" i="7"/>
  <c r="J34" i="7"/>
  <c r="I34" i="7"/>
  <c r="I33" i="7" s="1"/>
  <c r="I132" i="7" s="1"/>
  <c r="H34" i="7"/>
  <c r="H33" i="7" s="1"/>
  <c r="H132" i="7" s="1"/>
  <c r="G34" i="7"/>
  <c r="F34" i="7"/>
  <c r="F33" i="7" s="1"/>
  <c r="F132" i="7" s="1"/>
  <c r="E34" i="7"/>
  <c r="E33" i="7" s="1"/>
  <c r="E132" i="7" s="1"/>
  <c r="D34" i="7"/>
  <c r="C34" i="7"/>
  <c r="AN31" i="7"/>
  <c r="AL31" i="7"/>
  <c r="AD31" i="7"/>
  <c r="Z30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AO27" i="7"/>
  <c r="AO26" i="7" s="1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H26" i="7"/>
  <c r="AR24" i="7"/>
  <c r="AR25" i="7" s="1"/>
  <c r="AO24" i="7"/>
  <c r="AN24" i="7"/>
  <c r="AM24" i="7"/>
  <c r="AL24" i="7"/>
  <c r="AK24" i="7"/>
  <c r="AJ24" i="7"/>
  <c r="AI24" i="7"/>
  <c r="AH24" i="7"/>
  <c r="AH31" i="7" s="1"/>
  <c r="AG24" i="7"/>
  <c r="AF24" i="7"/>
  <c r="AF31" i="7" s="1"/>
  <c r="AE24" i="7"/>
  <c r="AE31" i="7" s="1"/>
  <c r="AC24" i="7"/>
  <c r="AB24" i="7"/>
  <c r="AA24" i="7"/>
  <c r="Y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AO23" i="7"/>
  <c r="AN23" i="7"/>
  <c r="AM23" i="7"/>
  <c r="AL23" i="7"/>
  <c r="AK23" i="7"/>
  <c r="AJ23" i="7"/>
  <c r="AI23" i="7"/>
  <c r="AI30" i="7" s="1"/>
  <c r="AH23" i="7"/>
  <c r="AG23" i="7"/>
  <c r="AF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H19" i="7" s="1"/>
  <c r="H127" i="7" s="1"/>
  <c r="G22" i="7"/>
  <c r="G19" i="7" s="1"/>
  <c r="G127" i="7" s="1"/>
  <c r="F22" i="7"/>
  <c r="E22" i="7"/>
  <c r="D22" i="7"/>
  <c r="C22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AA19" i="7" s="1"/>
  <c r="Z21" i="7"/>
  <c r="Z19" i="7" s="1"/>
  <c r="Y21" i="7"/>
  <c r="X21" i="7"/>
  <c r="W21" i="7"/>
  <c r="V21" i="7"/>
  <c r="U21" i="7"/>
  <c r="T21" i="7"/>
  <c r="S21" i="7"/>
  <c r="R21" i="7"/>
  <c r="R19" i="7" s="1"/>
  <c r="R127" i="7" s="1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D19" i="7" s="1"/>
  <c r="D127" i="7" s="1"/>
  <c r="C21" i="7"/>
  <c r="C19" i="7" s="1"/>
  <c r="C127" i="7" s="1"/>
  <c r="AO20" i="7"/>
  <c r="AN20" i="7"/>
  <c r="AM20" i="7"/>
  <c r="AL20" i="7"/>
  <c r="AK20" i="7"/>
  <c r="AJ20" i="7"/>
  <c r="AI20" i="7"/>
  <c r="AH20" i="7"/>
  <c r="AH19" i="7" s="1"/>
  <c r="AG20" i="7"/>
  <c r="AF20" i="7"/>
  <c r="AE20" i="7"/>
  <c r="AD20" i="7"/>
  <c r="AC20" i="7"/>
  <c r="AB20" i="7"/>
  <c r="AA20" i="7"/>
  <c r="Z20" i="7"/>
  <c r="Y20" i="7"/>
  <c r="X20" i="7"/>
  <c r="W20" i="7"/>
  <c r="W19" i="7" s="1"/>
  <c r="W127" i="7" s="1"/>
  <c r="V20" i="7"/>
  <c r="V19" i="7" s="1"/>
  <c r="V127" i="7" s="1"/>
  <c r="U20" i="7"/>
  <c r="U19" i="7" s="1"/>
  <c r="U127" i="7" s="1"/>
  <c r="T20" i="7"/>
  <c r="T19" i="7" s="1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AN19" i="7"/>
  <c r="AM19" i="7"/>
  <c r="AL19" i="7"/>
  <c r="AK19" i="7"/>
  <c r="AJ19" i="7"/>
  <c r="O19" i="7"/>
  <c r="L19" i="7"/>
  <c r="L127" i="7" s="1"/>
  <c r="K19" i="7"/>
  <c r="K127" i="7" s="1"/>
  <c r="J19" i="7"/>
  <c r="J127" i="7" s="1"/>
  <c r="I19" i="7"/>
  <c r="I127" i="7" s="1"/>
  <c r="F19" i="7"/>
  <c r="F127" i="7" s="1"/>
  <c r="E19" i="7"/>
  <c r="E127" i="7" s="1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AO16" i="7"/>
  <c r="AN16" i="7"/>
  <c r="AM16" i="7"/>
  <c r="AM12" i="7" s="1"/>
  <c r="AL16" i="7"/>
  <c r="AK16" i="7"/>
  <c r="AK30" i="7" s="1"/>
  <c r="AJ16" i="7"/>
  <c r="AJ30" i="7" s="1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U12" i="7" s="1"/>
  <c r="T15" i="7"/>
  <c r="S15" i="7"/>
  <c r="S12" i="7" s="1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X12" i="7" s="1"/>
  <c r="W13" i="7"/>
  <c r="W12" i="7" s="1"/>
  <c r="V13" i="7"/>
  <c r="V12" i="7" s="1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I12" i="7" s="1"/>
  <c r="H13" i="7"/>
  <c r="G13" i="7"/>
  <c r="F13" i="7"/>
  <c r="E13" i="7"/>
  <c r="D13" i="7"/>
  <c r="C13" i="7"/>
  <c r="C12" i="7" s="1"/>
  <c r="AO12" i="7"/>
  <c r="AN12" i="7"/>
  <c r="AE12" i="7"/>
  <c r="Y12" i="7"/>
  <c r="L12" i="7"/>
  <c r="F12" i="7"/>
  <c r="AO10" i="7"/>
  <c r="AN10" i="7"/>
  <c r="AM10" i="7"/>
  <c r="AM31" i="7" s="1"/>
  <c r="AL10" i="7"/>
  <c r="AK10" i="7"/>
  <c r="AK31" i="7" s="1"/>
  <c r="AJ10" i="7"/>
  <c r="AI10" i="7"/>
  <c r="AH10" i="7"/>
  <c r="AF10" i="7"/>
  <c r="AE10" i="7"/>
  <c r="AD10" i="7"/>
  <c r="AC10" i="7"/>
  <c r="AB10" i="7"/>
  <c r="AA10" i="7"/>
  <c r="Z10" i="7"/>
  <c r="C10" i="7"/>
  <c r="AO9" i="7"/>
  <c r="AN9" i="7"/>
  <c r="AM9" i="7"/>
  <c r="AK9" i="7"/>
  <c r="AJ9" i="7"/>
  <c r="AI9" i="7"/>
  <c r="AH9" i="7"/>
  <c r="AH30" i="7" s="1"/>
  <c r="AG9" i="7"/>
  <c r="AF9" i="7"/>
  <c r="AE9" i="7"/>
  <c r="AD9" i="7"/>
  <c r="AC9" i="7"/>
  <c r="AB9" i="7"/>
  <c r="Z9" i="7"/>
  <c r="Y9" i="7"/>
  <c r="C9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AO7" i="7"/>
  <c r="AN7" i="7"/>
  <c r="AM7" i="7"/>
  <c r="AL7" i="7"/>
  <c r="AK7" i="7"/>
  <c r="AJ7" i="7"/>
  <c r="AI7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AO6" i="7"/>
  <c r="AN6" i="7"/>
  <c r="AM6" i="7"/>
  <c r="AL6" i="7"/>
  <c r="AK6" i="7"/>
  <c r="AJ6" i="7"/>
  <c r="AI6" i="7"/>
  <c r="AH6" i="7"/>
  <c r="AG6" i="7"/>
  <c r="AF6" i="7"/>
  <c r="AF5" i="7" s="1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AN5" i="7"/>
  <c r="Z5" i="7"/>
  <c r="AG50" i="3"/>
  <c r="AF50" i="3"/>
  <c r="AE50" i="3"/>
  <c r="AD50" i="3"/>
  <c r="AC50" i="3"/>
  <c r="AC47" i="3" s="1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AG49" i="3"/>
  <c r="AF49" i="3"/>
  <c r="AF47" i="3" s="1"/>
  <c r="AE49" i="3"/>
  <c r="AE47" i="3" s="1"/>
  <c r="AD49" i="3"/>
  <c r="AD47" i="3" s="1"/>
  <c r="AC49" i="3"/>
  <c r="AB49" i="3"/>
  <c r="AA49" i="3"/>
  <c r="Z49" i="3"/>
  <c r="Y49" i="3"/>
  <c r="X49" i="3"/>
  <c r="X47" i="3" s="1"/>
  <c r="W49" i="3"/>
  <c r="V49" i="3"/>
  <c r="U49" i="3"/>
  <c r="T49" i="3"/>
  <c r="S49" i="3"/>
  <c r="R49" i="3"/>
  <c r="Q49" i="3"/>
  <c r="P49" i="3"/>
  <c r="P47" i="3" s="1"/>
  <c r="O49" i="3"/>
  <c r="N49" i="3"/>
  <c r="N47" i="3" s="1"/>
  <c r="M49" i="3"/>
  <c r="L49" i="3"/>
  <c r="K49" i="3"/>
  <c r="J49" i="3"/>
  <c r="J47" i="3" s="1"/>
  <c r="I49" i="3"/>
  <c r="H49" i="3"/>
  <c r="G49" i="3"/>
  <c r="F49" i="3"/>
  <c r="E49" i="3"/>
  <c r="D49" i="3"/>
  <c r="C49" i="3"/>
  <c r="AG48" i="3"/>
  <c r="AG47" i="3" s="1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T47" i="3" s="1"/>
  <c r="S48" i="3"/>
  <c r="S47" i="3" s="1"/>
  <c r="R48" i="3"/>
  <c r="R47" i="3" s="1"/>
  <c r="Q48" i="3"/>
  <c r="Q47" i="3" s="1"/>
  <c r="P48" i="3"/>
  <c r="O48" i="3"/>
  <c r="O47" i="3" s="1"/>
  <c r="N48" i="3"/>
  <c r="M48" i="3"/>
  <c r="L48" i="3"/>
  <c r="K48" i="3"/>
  <c r="K47" i="3" s="1"/>
  <c r="J48" i="3"/>
  <c r="I48" i="3"/>
  <c r="H48" i="3"/>
  <c r="G48" i="3"/>
  <c r="F48" i="3"/>
  <c r="E48" i="3"/>
  <c r="E47" i="3" s="1"/>
  <c r="D48" i="3"/>
  <c r="D47" i="3" s="1"/>
  <c r="C48" i="3"/>
  <c r="C47" i="3" s="1"/>
  <c r="AB47" i="3"/>
  <c r="AA47" i="3"/>
  <c r="Z47" i="3"/>
  <c r="Y47" i="3"/>
  <c r="M47" i="3"/>
  <c r="L47" i="3"/>
  <c r="I47" i="3"/>
  <c r="H47" i="3"/>
  <c r="G47" i="3"/>
  <c r="F47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S41" i="3" s="1"/>
  <c r="R44" i="3"/>
  <c r="R41" i="3" s="1"/>
  <c r="Q44" i="3"/>
  <c r="Q41" i="3" s="1"/>
  <c r="P44" i="3"/>
  <c r="P41" i="3" s="1"/>
  <c r="O44" i="3"/>
  <c r="O41" i="3" s="1"/>
  <c r="N44" i="3"/>
  <c r="M44" i="3"/>
  <c r="L44" i="3"/>
  <c r="K44" i="3"/>
  <c r="J44" i="3"/>
  <c r="I44" i="3"/>
  <c r="H44" i="3"/>
  <c r="G44" i="3"/>
  <c r="F44" i="3"/>
  <c r="E44" i="3"/>
  <c r="D44" i="3"/>
  <c r="C44" i="3"/>
  <c r="AG43" i="3"/>
  <c r="AF43" i="3"/>
  <c r="AE43" i="3"/>
  <c r="AD43" i="3"/>
  <c r="AC43" i="3"/>
  <c r="AB43" i="3"/>
  <c r="AA43" i="3"/>
  <c r="AA41" i="3" s="1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E41" i="3" s="1"/>
  <c r="D43" i="3"/>
  <c r="C43" i="3"/>
  <c r="AG42" i="3"/>
  <c r="AG41" i="3" s="1"/>
  <c r="AF42" i="3"/>
  <c r="AE42" i="3"/>
  <c r="AD42" i="3"/>
  <c r="AC42" i="3"/>
  <c r="AC41" i="3" s="1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N41" i="3" s="1"/>
  <c r="M42" i="3"/>
  <c r="L42" i="3"/>
  <c r="L41" i="3" s="1"/>
  <c r="K42" i="3"/>
  <c r="K41" i="3" s="1"/>
  <c r="J42" i="3"/>
  <c r="I42" i="3"/>
  <c r="I41" i="3" s="1"/>
  <c r="H42" i="3"/>
  <c r="G42" i="3"/>
  <c r="F42" i="3"/>
  <c r="E42" i="3"/>
  <c r="D42" i="3"/>
  <c r="C42" i="3"/>
  <c r="AE41" i="3"/>
  <c r="X41" i="3"/>
  <c r="W41" i="3"/>
  <c r="V41" i="3"/>
  <c r="U41" i="3"/>
  <c r="T41" i="3"/>
  <c r="G41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AG37" i="3"/>
  <c r="AF37" i="3"/>
  <c r="AF35" i="3" s="1"/>
  <c r="AE37" i="3"/>
  <c r="AD37" i="3"/>
  <c r="AD35" i="3" s="1"/>
  <c r="AC37" i="3"/>
  <c r="AB37" i="3"/>
  <c r="AA37" i="3"/>
  <c r="Z37" i="3"/>
  <c r="Y37" i="3"/>
  <c r="X37" i="3"/>
  <c r="W37" i="3"/>
  <c r="V37" i="3"/>
  <c r="U37" i="3"/>
  <c r="T37" i="3"/>
  <c r="S37" i="3"/>
  <c r="R37" i="3"/>
  <c r="R35" i="3" s="1"/>
  <c r="Q37" i="3"/>
  <c r="P37" i="3"/>
  <c r="P35" i="3" s="1"/>
  <c r="O37" i="3"/>
  <c r="N37" i="3"/>
  <c r="N35" i="3" s="1"/>
  <c r="M37" i="3"/>
  <c r="L37" i="3"/>
  <c r="K37" i="3"/>
  <c r="J37" i="3"/>
  <c r="I37" i="3"/>
  <c r="H37" i="3"/>
  <c r="H35" i="3" s="1"/>
  <c r="G37" i="3"/>
  <c r="F37" i="3"/>
  <c r="E37" i="3"/>
  <c r="D37" i="3"/>
  <c r="C37" i="3"/>
  <c r="AG36" i="3"/>
  <c r="AG35" i="3" s="1"/>
  <c r="AF36" i="3"/>
  <c r="AE36" i="3"/>
  <c r="AD36" i="3"/>
  <c r="AC36" i="3"/>
  <c r="AB36" i="3"/>
  <c r="AA36" i="3"/>
  <c r="Z36" i="3"/>
  <c r="Y36" i="3"/>
  <c r="X36" i="3"/>
  <c r="W36" i="3"/>
  <c r="V36" i="3"/>
  <c r="V35" i="3" s="1"/>
  <c r="U36" i="3"/>
  <c r="T36" i="3"/>
  <c r="T35" i="3" s="1"/>
  <c r="S36" i="3"/>
  <c r="R36" i="3"/>
  <c r="Q36" i="3"/>
  <c r="Q35" i="3" s="1"/>
  <c r="P36" i="3"/>
  <c r="O36" i="3"/>
  <c r="O35" i="3" s="1"/>
  <c r="N36" i="3"/>
  <c r="M36" i="3"/>
  <c r="L36" i="3"/>
  <c r="K36" i="3"/>
  <c r="J36" i="3"/>
  <c r="I36" i="3"/>
  <c r="H36" i="3"/>
  <c r="G36" i="3"/>
  <c r="F36" i="3"/>
  <c r="E36" i="3"/>
  <c r="D36" i="3"/>
  <c r="D35" i="3" s="1"/>
  <c r="C36" i="3"/>
  <c r="C35" i="3" s="1"/>
  <c r="AE35" i="3"/>
  <c r="AC35" i="3"/>
  <c r="AB35" i="3"/>
  <c r="Z35" i="3"/>
  <c r="Y35" i="3"/>
  <c r="S35" i="3"/>
  <c r="M35" i="3"/>
  <c r="L35" i="3"/>
  <c r="K35" i="3"/>
  <c r="J35" i="3"/>
  <c r="I35" i="3"/>
  <c r="G35" i="3"/>
  <c r="F35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U29" i="3" s="1"/>
  <c r="T32" i="3"/>
  <c r="S32" i="3"/>
  <c r="R32" i="3"/>
  <c r="Q32" i="3"/>
  <c r="P32" i="3"/>
  <c r="P29" i="3" s="1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AG31" i="3"/>
  <c r="AF31" i="3"/>
  <c r="AF29" i="3" s="1"/>
  <c r="AE31" i="3"/>
  <c r="AD31" i="3"/>
  <c r="AD29" i="3" s="1"/>
  <c r="AC31" i="3"/>
  <c r="AB31" i="3"/>
  <c r="AA31" i="3"/>
  <c r="AA29" i="3" s="1"/>
  <c r="Z31" i="3"/>
  <c r="Z29" i="3" s="1"/>
  <c r="Y31" i="3"/>
  <c r="Y29" i="3" s="1"/>
  <c r="X31" i="3"/>
  <c r="X29" i="3" s="1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J29" i="3" s="1"/>
  <c r="I31" i="3"/>
  <c r="H31" i="3"/>
  <c r="G31" i="3"/>
  <c r="F31" i="3"/>
  <c r="E31" i="3"/>
  <c r="E29" i="3" s="1"/>
  <c r="D31" i="3"/>
  <c r="C31" i="3"/>
  <c r="C29" i="3" s="1"/>
  <c r="AG30" i="3"/>
  <c r="AG29" i="3" s="1"/>
  <c r="AF30" i="3"/>
  <c r="AE30" i="3"/>
  <c r="AE29" i="3" s="1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Q29" i="3" s="1"/>
  <c r="P30" i="3"/>
  <c r="O30" i="3"/>
  <c r="O29" i="3" s="1"/>
  <c r="N30" i="3"/>
  <c r="N29" i="3" s="1"/>
  <c r="M30" i="3"/>
  <c r="M29" i="3" s="1"/>
  <c r="L30" i="3"/>
  <c r="L29" i="3" s="1"/>
  <c r="K30" i="3"/>
  <c r="K29" i="3" s="1"/>
  <c r="J30" i="3"/>
  <c r="I30" i="3"/>
  <c r="I29" i="3" s="1"/>
  <c r="H30" i="3"/>
  <c r="G30" i="3"/>
  <c r="F30" i="3"/>
  <c r="E30" i="3"/>
  <c r="D30" i="3"/>
  <c r="C30" i="3"/>
  <c r="W29" i="3"/>
  <c r="V29" i="3"/>
  <c r="T29" i="3"/>
  <c r="F29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AG25" i="3"/>
  <c r="AF25" i="3"/>
  <c r="AF23" i="3" s="1"/>
  <c r="AE25" i="3"/>
  <c r="AE23" i="3" s="1"/>
  <c r="AD25" i="3"/>
  <c r="AD23" i="3" s="1"/>
  <c r="AC25" i="3"/>
  <c r="AB25" i="3"/>
  <c r="AA25" i="3"/>
  <c r="Z25" i="3"/>
  <c r="Y25" i="3"/>
  <c r="X25" i="3"/>
  <c r="X23" i="3" s="1"/>
  <c r="W25" i="3"/>
  <c r="V25" i="3"/>
  <c r="U25" i="3"/>
  <c r="T25" i="3"/>
  <c r="S25" i="3"/>
  <c r="R25" i="3"/>
  <c r="Q25" i="3"/>
  <c r="P25" i="3"/>
  <c r="P23" i="3" s="1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AG24" i="3"/>
  <c r="AG23" i="3" s="1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T23" i="3" s="1"/>
  <c r="S24" i="3"/>
  <c r="S23" i="3" s="1"/>
  <c r="R24" i="3"/>
  <c r="R23" i="3" s="1"/>
  <c r="Q24" i="3"/>
  <c r="Q23" i="3" s="1"/>
  <c r="P24" i="3"/>
  <c r="O24" i="3"/>
  <c r="N24" i="3"/>
  <c r="M24" i="3"/>
  <c r="L24" i="3"/>
  <c r="K24" i="3"/>
  <c r="K23" i="3" s="1"/>
  <c r="J24" i="3"/>
  <c r="I24" i="3"/>
  <c r="H24" i="3"/>
  <c r="G24" i="3"/>
  <c r="F24" i="3"/>
  <c r="E24" i="3"/>
  <c r="E23" i="3" s="1"/>
  <c r="D24" i="3"/>
  <c r="D23" i="3" s="1"/>
  <c r="C24" i="3"/>
  <c r="C23" i="3" s="1"/>
  <c r="AC23" i="3"/>
  <c r="AB23" i="3"/>
  <c r="AA23" i="3"/>
  <c r="Z23" i="3"/>
  <c r="Y23" i="3"/>
  <c r="N23" i="3"/>
  <c r="M23" i="3"/>
  <c r="L23" i="3"/>
  <c r="J23" i="3"/>
  <c r="I23" i="3"/>
  <c r="H23" i="3"/>
  <c r="G23" i="3"/>
  <c r="F23" i="3"/>
  <c r="AG20" i="3"/>
  <c r="AF20" i="3"/>
  <c r="AE20" i="3"/>
  <c r="AD20" i="3"/>
  <c r="AC20" i="3"/>
  <c r="AB20" i="3"/>
  <c r="AA20" i="3"/>
  <c r="Z20" i="3"/>
  <c r="Y20" i="3"/>
  <c r="X20" i="3"/>
  <c r="W20" i="3"/>
  <c r="V20" i="3"/>
  <c r="V17" i="3" s="1"/>
  <c r="U20" i="3"/>
  <c r="T20" i="3"/>
  <c r="S20" i="3"/>
  <c r="S17" i="3" s="1"/>
  <c r="R20" i="3"/>
  <c r="Q20" i="3"/>
  <c r="Q17" i="3" s="1"/>
  <c r="P20" i="3"/>
  <c r="P17" i="3" s="1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AG19" i="3"/>
  <c r="AF19" i="3"/>
  <c r="AE19" i="3"/>
  <c r="AE17" i="3" s="1"/>
  <c r="AD19" i="3"/>
  <c r="AC19" i="3"/>
  <c r="AB19" i="3"/>
  <c r="AB17" i="3" s="1"/>
  <c r="AA19" i="3"/>
  <c r="AA17" i="3" s="1"/>
  <c r="Z19" i="3"/>
  <c r="Y19" i="3"/>
  <c r="X19" i="3"/>
  <c r="X17" i="3" s="1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F17" i="3" s="1"/>
  <c r="E19" i="3"/>
  <c r="E17" i="3" s="1"/>
  <c r="D19" i="3"/>
  <c r="C19" i="3"/>
  <c r="AG18" i="3"/>
  <c r="AG17" i="3" s="1"/>
  <c r="AF18" i="3"/>
  <c r="AF17" i="3" s="1"/>
  <c r="AE18" i="3"/>
  <c r="AD18" i="3"/>
  <c r="AC18" i="3"/>
  <c r="AC17" i="3" s="1"/>
  <c r="AB18" i="3"/>
  <c r="AA18" i="3"/>
  <c r="Z18" i="3"/>
  <c r="Y18" i="3"/>
  <c r="X18" i="3"/>
  <c r="W18" i="3"/>
  <c r="V18" i="3"/>
  <c r="U18" i="3"/>
  <c r="T18" i="3"/>
  <c r="S18" i="3"/>
  <c r="R18" i="3"/>
  <c r="R17" i="3" s="1"/>
  <c r="Q18" i="3"/>
  <c r="P18" i="3"/>
  <c r="O18" i="3"/>
  <c r="N18" i="3"/>
  <c r="N17" i="3" s="1"/>
  <c r="M18" i="3"/>
  <c r="L18" i="3"/>
  <c r="L17" i="3" s="1"/>
  <c r="K18" i="3"/>
  <c r="K17" i="3" s="1"/>
  <c r="J18" i="3"/>
  <c r="J17" i="3" s="1"/>
  <c r="I18" i="3"/>
  <c r="H18" i="3"/>
  <c r="G18" i="3"/>
  <c r="G17" i="3" s="1"/>
  <c r="F18" i="3"/>
  <c r="E18" i="3"/>
  <c r="D18" i="3"/>
  <c r="C18" i="3"/>
  <c r="Z17" i="3"/>
  <c r="W17" i="3"/>
  <c r="U17" i="3"/>
  <c r="T17" i="3"/>
  <c r="M17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AG13" i="3"/>
  <c r="AF13" i="3"/>
  <c r="AF11" i="3" s="1"/>
  <c r="AE13" i="3"/>
  <c r="AE11" i="3" s="1"/>
  <c r="AD13" i="3"/>
  <c r="AD11" i="3" s="1"/>
  <c r="AC13" i="3"/>
  <c r="AB13" i="3"/>
  <c r="AA13" i="3"/>
  <c r="Z13" i="3"/>
  <c r="Y13" i="3"/>
  <c r="X13" i="3"/>
  <c r="W13" i="3"/>
  <c r="V13" i="3"/>
  <c r="U13" i="3"/>
  <c r="T13" i="3"/>
  <c r="T11" i="3" s="1"/>
  <c r="S13" i="3"/>
  <c r="R13" i="3"/>
  <c r="Q13" i="3"/>
  <c r="P13" i="3"/>
  <c r="P11" i="3" s="1"/>
  <c r="O13" i="3"/>
  <c r="N13" i="3"/>
  <c r="M13" i="3"/>
  <c r="L13" i="3"/>
  <c r="K13" i="3"/>
  <c r="J13" i="3"/>
  <c r="J11" i="3" s="1"/>
  <c r="I13" i="3"/>
  <c r="H13" i="3"/>
  <c r="G13" i="3"/>
  <c r="F13" i="3"/>
  <c r="E13" i="3"/>
  <c r="D13" i="3"/>
  <c r="C13" i="3"/>
  <c r="AG12" i="3"/>
  <c r="AG11" i="3" s="1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R11" i="3" s="1"/>
  <c r="Q12" i="3"/>
  <c r="Q11" i="3" s="1"/>
  <c r="P12" i="3"/>
  <c r="O12" i="3"/>
  <c r="N12" i="3"/>
  <c r="M12" i="3"/>
  <c r="L12" i="3"/>
  <c r="K12" i="3"/>
  <c r="K11" i="3" s="1"/>
  <c r="J12" i="3"/>
  <c r="I12" i="3"/>
  <c r="H12" i="3"/>
  <c r="G12" i="3"/>
  <c r="F12" i="3"/>
  <c r="F11" i="3" s="1"/>
  <c r="E12" i="3"/>
  <c r="E11" i="3" s="1"/>
  <c r="D12" i="3"/>
  <c r="D11" i="3" s="1"/>
  <c r="C12" i="3"/>
  <c r="C11" i="3" s="1"/>
  <c r="AB11" i="3"/>
  <c r="AA11" i="3"/>
  <c r="Z11" i="3"/>
  <c r="Y11" i="3"/>
  <c r="S11" i="3"/>
  <c r="N11" i="3"/>
  <c r="M11" i="3"/>
  <c r="L11" i="3"/>
  <c r="I11" i="3"/>
  <c r="H11" i="3"/>
  <c r="AG8" i="3"/>
  <c r="AF8" i="3"/>
  <c r="AE8" i="3"/>
  <c r="AD8" i="3"/>
  <c r="AC8" i="3"/>
  <c r="AB8" i="3"/>
  <c r="AA8" i="3"/>
  <c r="Z8" i="3"/>
  <c r="Z5" i="3" s="1"/>
  <c r="Y8" i="3"/>
  <c r="X8" i="3"/>
  <c r="W8" i="3"/>
  <c r="V8" i="3"/>
  <c r="U8" i="3"/>
  <c r="U5" i="3" s="1"/>
  <c r="T8" i="3"/>
  <c r="T5" i="3" s="1"/>
  <c r="S8" i="3"/>
  <c r="S5" i="3" s="1"/>
  <c r="R8" i="3"/>
  <c r="R5" i="3" s="1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AG7" i="3"/>
  <c r="AF7" i="3"/>
  <c r="AE7" i="3"/>
  <c r="AE5" i="3" s="1"/>
  <c r="AD7" i="3"/>
  <c r="AC7" i="3"/>
  <c r="AB7" i="3"/>
  <c r="AA7" i="3"/>
  <c r="AA5" i="3" s="1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E5" i="3" s="1"/>
  <c r="D7" i="3"/>
  <c r="C7" i="3"/>
  <c r="C5" i="3" s="1"/>
  <c r="AG6" i="3"/>
  <c r="AF6" i="3"/>
  <c r="AE6" i="3"/>
  <c r="AD6" i="3"/>
  <c r="AC6" i="3"/>
  <c r="AB6" i="3"/>
  <c r="AA6" i="3"/>
  <c r="Z6" i="3"/>
  <c r="Y6" i="3"/>
  <c r="X6" i="3"/>
  <c r="W6" i="3"/>
  <c r="V6" i="3"/>
  <c r="V5" i="3" s="1"/>
  <c r="U6" i="3"/>
  <c r="T6" i="3"/>
  <c r="S6" i="3"/>
  <c r="R6" i="3"/>
  <c r="Q6" i="3"/>
  <c r="P6" i="3"/>
  <c r="O6" i="3"/>
  <c r="O5" i="3" s="1"/>
  <c r="N6" i="3"/>
  <c r="N5" i="3" s="1"/>
  <c r="M6" i="3"/>
  <c r="L6" i="3"/>
  <c r="L5" i="3" s="1"/>
  <c r="K6" i="3"/>
  <c r="J6" i="3"/>
  <c r="I6" i="3"/>
  <c r="I5" i="3" s="1"/>
  <c r="H6" i="3"/>
  <c r="G6" i="3"/>
  <c r="F6" i="3"/>
  <c r="E6" i="3"/>
  <c r="D6" i="3"/>
  <c r="C6" i="3"/>
  <c r="Y5" i="3"/>
  <c r="X5" i="3"/>
  <c r="W5" i="3"/>
  <c r="Q5" i="3"/>
  <c r="P5" i="3"/>
  <c r="AM77" i="1"/>
  <c r="AH77" i="1"/>
  <c r="AG77" i="1"/>
  <c r="AF77" i="1"/>
  <c r="AE77" i="1"/>
  <c r="AD77" i="1"/>
  <c r="AC77" i="1"/>
  <c r="AB77" i="1"/>
  <c r="AA77" i="1"/>
  <c r="Z77" i="1"/>
  <c r="Y77" i="1"/>
  <c r="X77" i="1"/>
  <c r="Z75" i="1"/>
  <c r="Y75" i="1"/>
  <c r="AH72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R64" i="1" s="1"/>
  <c r="Q67" i="1"/>
  <c r="Q64" i="1" s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AN66" i="1"/>
  <c r="AM66" i="1"/>
  <c r="AL66" i="1"/>
  <c r="AK66" i="1"/>
  <c r="AJ66" i="1"/>
  <c r="AI66" i="1"/>
  <c r="AH66" i="1"/>
  <c r="AH64" i="1" s="1"/>
  <c r="AG66" i="1"/>
  <c r="AG64" i="1" s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P64" i="1" s="1"/>
  <c r="O66" i="1"/>
  <c r="N66" i="1"/>
  <c r="M66" i="1"/>
  <c r="L66" i="1"/>
  <c r="L64" i="1" s="1"/>
  <c r="K66" i="1"/>
  <c r="K64" i="1" s="1"/>
  <c r="J66" i="1"/>
  <c r="I66" i="1"/>
  <c r="H66" i="1"/>
  <c r="G66" i="1"/>
  <c r="F66" i="1"/>
  <c r="E66" i="1"/>
  <c r="D66" i="1"/>
  <c r="D64" i="1" s="1"/>
  <c r="C66" i="1"/>
  <c r="AN65" i="1"/>
  <c r="AN64" i="1" s="1"/>
  <c r="AM65" i="1"/>
  <c r="AL65" i="1"/>
  <c r="AK65" i="1"/>
  <c r="AJ65" i="1"/>
  <c r="AI65" i="1"/>
  <c r="AH65" i="1"/>
  <c r="AG65" i="1"/>
  <c r="AF65" i="1"/>
  <c r="AE65" i="1"/>
  <c r="AE64" i="1" s="1"/>
  <c r="AD65" i="1"/>
  <c r="AC65" i="1"/>
  <c r="AC64" i="1" s="1"/>
  <c r="AB65" i="1"/>
  <c r="AB64" i="1" s="1"/>
  <c r="AA65" i="1"/>
  <c r="AA64" i="1" s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J64" i="1" s="1"/>
  <c r="I65" i="1"/>
  <c r="I64" i="1" s="1"/>
  <c r="H65" i="1"/>
  <c r="G65" i="1"/>
  <c r="G64" i="1" s="1"/>
  <c r="F65" i="1"/>
  <c r="F64" i="1" s="1"/>
  <c r="E65" i="1"/>
  <c r="E64" i="1" s="1"/>
  <c r="D65" i="1"/>
  <c r="C65" i="1"/>
  <c r="AK64" i="1"/>
  <c r="AJ64" i="1"/>
  <c r="AI64" i="1"/>
  <c r="AF64" i="1"/>
  <c r="Z64" i="1"/>
  <c r="V64" i="1"/>
  <c r="U64" i="1"/>
  <c r="T64" i="1"/>
  <c r="S64" i="1"/>
  <c r="O64" i="1"/>
  <c r="N64" i="1"/>
  <c r="M64" i="1"/>
  <c r="AK61" i="1"/>
  <c r="AF61" i="1"/>
  <c r="T61" i="1"/>
  <c r="P61" i="1"/>
  <c r="O61" i="1"/>
  <c r="AF60" i="1"/>
  <c r="AE60" i="1"/>
  <c r="Y60" i="1"/>
  <c r="U60" i="1"/>
  <c r="I60" i="1"/>
  <c r="AD59" i="1"/>
  <c r="Z59" i="1"/>
  <c r="Y59" i="1"/>
  <c r="D59" i="1"/>
  <c r="C59" i="1"/>
  <c r="AN55" i="1"/>
  <c r="AN43" i="1" s="1"/>
  <c r="AM55" i="1"/>
  <c r="AL55" i="1"/>
  <c r="AK55" i="1"/>
  <c r="AJ55" i="1"/>
  <c r="AI55" i="1"/>
  <c r="AI43" i="1" s="1"/>
  <c r="AH55" i="1"/>
  <c r="AG55" i="1"/>
  <c r="AG52" i="1" s="1"/>
  <c r="AF55" i="1"/>
  <c r="AF52" i="1" s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J43" i="1" s="1"/>
  <c r="J61" i="1" s="1"/>
  <c r="I55" i="1"/>
  <c r="H55" i="1"/>
  <c r="G55" i="1"/>
  <c r="F55" i="1"/>
  <c r="E55" i="1"/>
  <c r="D55" i="1"/>
  <c r="C55" i="1"/>
  <c r="AN54" i="1"/>
  <c r="AM54" i="1"/>
  <c r="AL54" i="1"/>
  <c r="AK54" i="1"/>
  <c r="AJ54" i="1"/>
  <c r="AI54" i="1"/>
  <c r="AH54" i="1"/>
  <c r="AH42" i="1" s="1"/>
  <c r="AH75" i="1" s="1"/>
  <c r="AG54" i="1"/>
  <c r="AF54" i="1"/>
  <c r="AE54" i="1"/>
  <c r="AD54" i="1"/>
  <c r="AC54" i="1"/>
  <c r="AB54" i="1"/>
  <c r="AA54" i="1"/>
  <c r="Z54" i="1"/>
  <c r="Z52" i="1" s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AA52" i="1" s="1"/>
  <c r="Z53" i="1"/>
  <c r="Y53" i="1"/>
  <c r="Y52" i="1" s="1"/>
  <c r="X53" i="1"/>
  <c r="W53" i="1"/>
  <c r="V53" i="1"/>
  <c r="V52" i="1" s="1"/>
  <c r="U53" i="1"/>
  <c r="U52" i="1" s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F41" i="1" s="1"/>
  <c r="E53" i="1"/>
  <c r="E52" i="1" s="1"/>
  <c r="D53" i="1"/>
  <c r="C53" i="1"/>
  <c r="C52" i="1" s="1"/>
  <c r="AN52" i="1"/>
  <c r="AM52" i="1"/>
  <c r="AL52" i="1"/>
  <c r="AK52" i="1"/>
  <c r="AE52" i="1"/>
  <c r="Q52" i="1"/>
  <c r="P52" i="1"/>
  <c r="O52" i="1"/>
  <c r="K52" i="1"/>
  <c r="J52" i="1"/>
  <c r="I52" i="1"/>
  <c r="AN49" i="1"/>
  <c r="AM49" i="1"/>
  <c r="AM43" i="1" s="1"/>
  <c r="AM76" i="1" s="1"/>
  <c r="AL49" i="1"/>
  <c r="AL43" i="1" s="1"/>
  <c r="AK49" i="1"/>
  <c r="AJ49" i="1"/>
  <c r="AI49" i="1"/>
  <c r="AH49" i="1"/>
  <c r="AG49" i="1"/>
  <c r="AF49" i="1"/>
  <c r="AE49" i="1"/>
  <c r="AD49" i="1"/>
  <c r="AC49" i="1"/>
  <c r="AC46" i="1" s="1"/>
  <c r="AB49" i="1"/>
  <c r="AB43" i="1" s="1"/>
  <c r="AB76" i="1" s="1"/>
  <c r="AA49" i="1"/>
  <c r="AA46" i="1" s="1"/>
  <c r="Z49" i="1"/>
  <c r="Z46" i="1" s="1"/>
  <c r="Y49" i="1"/>
  <c r="X49" i="1"/>
  <c r="W49" i="1"/>
  <c r="V49" i="1"/>
  <c r="U49" i="1"/>
  <c r="T49" i="1"/>
  <c r="S49" i="1"/>
  <c r="R49" i="1"/>
  <c r="Q49" i="1"/>
  <c r="Q43" i="1" s="1"/>
  <c r="P49" i="1"/>
  <c r="P43" i="1" s="1"/>
  <c r="O49" i="1"/>
  <c r="N49" i="1"/>
  <c r="M49" i="1"/>
  <c r="L49" i="1"/>
  <c r="K49" i="1"/>
  <c r="J49" i="1"/>
  <c r="I49" i="1"/>
  <c r="I46" i="1" s="1"/>
  <c r="H49" i="1"/>
  <c r="G49" i="1"/>
  <c r="F49" i="1"/>
  <c r="E49" i="1"/>
  <c r="E46" i="1" s="1"/>
  <c r="D49" i="1"/>
  <c r="D46" i="1" s="1"/>
  <c r="C49" i="1"/>
  <c r="AN48" i="1"/>
  <c r="AN42" i="1" s="1"/>
  <c r="AM48" i="1"/>
  <c r="AM42" i="1" s="1"/>
  <c r="AM75" i="1" s="1"/>
  <c r="AL48" i="1"/>
  <c r="AL42" i="1" s="1"/>
  <c r="AK48" i="1"/>
  <c r="AJ48" i="1"/>
  <c r="AI48" i="1"/>
  <c r="AH48" i="1"/>
  <c r="AG48" i="1"/>
  <c r="AG42" i="1" s="1"/>
  <c r="AG75" i="1" s="1"/>
  <c r="AF48" i="1"/>
  <c r="AF42" i="1" s="1"/>
  <c r="AF75" i="1" s="1"/>
  <c r="AE48" i="1"/>
  <c r="AD48" i="1"/>
  <c r="AC48" i="1"/>
  <c r="AB48" i="1"/>
  <c r="AA48" i="1"/>
  <c r="Z48" i="1"/>
  <c r="Y48" i="1"/>
  <c r="Y42" i="1" s="1"/>
  <c r="X48" i="1"/>
  <c r="W48" i="1"/>
  <c r="W42" i="1" s="1"/>
  <c r="V48" i="1"/>
  <c r="V42" i="1" s="1"/>
  <c r="U48" i="1"/>
  <c r="U42" i="1" s="1"/>
  <c r="T48" i="1"/>
  <c r="T42" i="1" s="1"/>
  <c r="S48" i="1"/>
  <c r="S42" i="1" s="1"/>
  <c r="R48" i="1"/>
  <c r="R42" i="1" s="1"/>
  <c r="Q48" i="1"/>
  <c r="Q42" i="1" s="1"/>
  <c r="P48" i="1"/>
  <c r="P42" i="1" s="1"/>
  <c r="O48" i="1"/>
  <c r="N48" i="1"/>
  <c r="M48" i="1"/>
  <c r="L48" i="1"/>
  <c r="K48" i="1"/>
  <c r="K42" i="1" s="1"/>
  <c r="J48" i="1"/>
  <c r="J42" i="1" s="1"/>
  <c r="I48" i="1"/>
  <c r="H48" i="1"/>
  <c r="G48" i="1"/>
  <c r="F48" i="1"/>
  <c r="E48" i="1"/>
  <c r="D48" i="1"/>
  <c r="C48" i="1"/>
  <c r="AN47" i="1"/>
  <c r="AM47" i="1"/>
  <c r="AL47" i="1"/>
  <c r="AK47" i="1"/>
  <c r="AK46" i="1" s="1"/>
  <c r="AJ47" i="1"/>
  <c r="AJ46" i="1" s="1"/>
  <c r="AI47" i="1"/>
  <c r="AI41" i="1" s="1"/>
  <c r="AH47" i="1"/>
  <c r="AG47" i="1"/>
  <c r="AF47" i="1"/>
  <c r="AF41" i="1" s="1"/>
  <c r="AE47" i="1"/>
  <c r="AD47" i="1"/>
  <c r="AC47" i="1"/>
  <c r="AB47" i="1"/>
  <c r="AA47" i="1"/>
  <c r="AA41" i="1" s="1"/>
  <c r="Z47" i="1"/>
  <c r="Z41" i="1" s="1"/>
  <c r="Z74" i="1" s="1"/>
  <c r="Y47" i="1"/>
  <c r="X47" i="1"/>
  <c r="W47" i="1"/>
  <c r="V47" i="1"/>
  <c r="U47" i="1"/>
  <c r="T47" i="1"/>
  <c r="S47" i="1"/>
  <c r="R47" i="1"/>
  <c r="Q47" i="1"/>
  <c r="P47" i="1"/>
  <c r="O47" i="1"/>
  <c r="N47" i="1"/>
  <c r="N41" i="1" s="1"/>
  <c r="N59" i="1" s="1"/>
  <c r="M47" i="1"/>
  <c r="L47" i="1"/>
  <c r="L46" i="1" s="1"/>
  <c r="K47" i="1"/>
  <c r="K46" i="1" s="1"/>
  <c r="J47" i="1"/>
  <c r="J46" i="1" s="1"/>
  <c r="I47" i="1"/>
  <c r="H47" i="1"/>
  <c r="G47" i="1"/>
  <c r="F47" i="1"/>
  <c r="E47" i="1"/>
  <c r="E41" i="1" s="1"/>
  <c r="E59" i="1" s="1"/>
  <c r="D47" i="1"/>
  <c r="D41" i="1" s="1"/>
  <c r="C47" i="1"/>
  <c r="AF46" i="1"/>
  <c r="AE46" i="1"/>
  <c r="AD46" i="1"/>
  <c r="O46" i="1"/>
  <c r="M46" i="1"/>
  <c r="AK43" i="1"/>
  <c r="AF43" i="1"/>
  <c r="AF76" i="1" s="1"/>
  <c r="AE43" i="1"/>
  <c r="AE61" i="1" s="1"/>
  <c r="AD43" i="1"/>
  <c r="AD76" i="1" s="1"/>
  <c r="AC43" i="1"/>
  <c r="AC76" i="1" s="1"/>
  <c r="AA43" i="1"/>
  <c r="Z43" i="1"/>
  <c r="Z76" i="1" s="1"/>
  <c r="Y43" i="1"/>
  <c r="Y76" i="1" s="1"/>
  <c r="X43" i="1"/>
  <c r="X76" i="1" s="1"/>
  <c r="W43" i="1"/>
  <c r="V43" i="1"/>
  <c r="U43" i="1"/>
  <c r="T43" i="1"/>
  <c r="S43" i="1"/>
  <c r="O43" i="1"/>
  <c r="C43" i="1"/>
  <c r="AK42" i="1"/>
  <c r="AJ42" i="1"/>
  <c r="AI42" i="1"/>
  <c r="AE42" i="1"/>
  <c r="AE75" i="1" s="1"/>
  <c r="Z42" i="1"/>
  <c r="Z40" i="1" s="1"/>
  <c r="Z73" i="1" s="1"/>
  <c r="O42" i="1"/>
  <c r="N42" i="1"/>
  <c r="M42" i="1"/>
  <c r="I42" i="1"/>
  <c r="C42" i="1"/>
  <c r="AN41" i="1"/>
  <c r="AN59" i="1" s="1"/>
  <c r="AM41" i="1"/>
  <c r="AL41" i="1"/>
  <c r="AE41" i="1"/>
  <c r="AD41" i="1"/>
  <c r="AD74" i="1" s="1"/>
  <c r="AC41" i="1"/>
  <c r="AC74" i="1" s="1"/>
  <c r="Y41" i="1"/>
  <c r="Y74" i="1" s="1"/>
  <c r="S41" i="1"/>
  <c r="R41" i="1"/>
  <c r="R59" i="1" s="1"/>
  <c r="Q41" i="1"/>
  <c r="P41" i="1"/>
  <c r="O41" i="1"/>
  <c r="M41" i="1"/>
  <c r="M59" i="1" s="1"/>
  <c r="L41" i="1"/>
  <c r="L59" i="1" s="1"/>
  <c r="K41" i="1"/>
  <c r="J41" i="1"/>
  <c r="I41" i="1"/>
  <c r="H41" i="1"/>
  <c r="G41" i="1"/>
  <c r="G59" i="1" s="1"/>
  <c r="C41" i="1"/>
  <c r="AN37" i="1"/>
  <c r="AM37" i="1"/>
  <c r="AM61" i="1" s="1"/>
  <c r="AL37" i="1"/>
  <c r="AL61" i="1" s="1"/>
  <c r="AK37" i="1"/>
  <c r="AJ37" i="1"/>
  <c r="AI37" i="1"/>
  <c r="AH37" i="1"/>
  <c r="AG37" i="1"/>
  <c r="AF37" i="1"/>
  <c r="AE37" i="1"/>
  <c r="AD37" i="1"/>
  <c r="AD61" i="1" s="1"/>
  <c r="AC37" i="1"/>
  <c r="AC61" i="1" s="1"/>
  <c r="AB37" i="1"/>
  <c r="AA37" i="1"/>
  <c r="Z37" i="1"/>
  <c r="Y37" i="1"/>
  <c r="X37" i="1"/>
  <c r="W37" i="1"/>
  <c r="V37" i="1"/>
  <c r="U37" i="1"/>
  <c r="U61" i="1" s="1"/>
  <c r="T37" i="1"/>
  <c r="S37" i="1"/>
  <c r="S61" i="1" s="1"/>
  <c r="R37" i="1"/>
  <c r="Q37" i="1"/>
  <c r="Q61" i="1" s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AN36" i="1"/>
  <c r="AM36" i="1"/>
  <c r="AL36" i="1"/>
  <c r="AK36" i="1"/>
  <c r="AJ36" i="1"/>
  <c r="AI36" i="1"/>
  <c r="AI60" i="1" s="1"/>
  <c r="AH36" i="1"/>
  <c r="AG36" i="1"/>
  <c r="AG60" i="1" s="1"/>
  <c r="AF36" i="1"/>
  <c r="AE36" i="1"/>
  <c r="AD36" i="1"/>
  <c r="AC36" i="1"/>
  <c r="AB36" i="1"/>
  <c r="AA36" i="1"/>
  <c r="Z36" i="1"/>
  <c r="Y36" i="1"/>
  <c r="X36" i="1"/>
  <c r="X34" i="1" s="1"/>
  <c r="W36" i="1"/>
  <c r="W34" i="1" s="1"/>
  <c r="V36" i="1"/>
  <c r="V60" i="1" s="1"/>
  <c r="U36" i="1"/>
  <c r="T36" i="1"/>
  <c r="S36" i="1"/>
  <c r="R36" i="1"/>
  <c r="Q36" i="1"/>
  <c r="P36" i="1"/>
  <c r="O36" i="1"/>
  <c r="N36" i="1"/>
  <c r="M36" i="1"/>
  <c r="M60" i="1" s="1"/>
  <c r="L36" i="1"/>
  <c r="K36" i="1"/>
  <c r="K60" i="1" s="1"/>
  <c r="J36" i="1"/>
  <c r="J60" i="1" s="1"/>
  <c r="I36" i="1"/>
  <c r="H36" i="1"/>
  <c r="G36" i="1"/>
  <c r="F36" i="1"/>
  <c r="E36" i="1"/>
  <c r="D36" i="1"/>
  <c r="C36" i="1"/>
  <c r="AN35" i="1"/>
  <c r="AN34" i="1" s="1"/>
  <c r="AM35" i="1"/>
  <c r="AM34" i="1" s="1"/>
  <c r="AL35" i="1"/>
  <c r="AL34" i="1" s="1"/>
  <c r="AK35" i="1"/>
  <c r="AJ35" i="1"/>
  <c r="AI35" i="1"/>
  <c r="AH35" i="1"/>
  <c r="AG35" i="1"/>
  <c r="AF35" i="1"/>
  <c r="AE35" i="1"/>
  <c r="AD35" i="1"/>
  <c r="AC35" i="1"/>
  <c r="AB35" i="1"/>
  <c r="AA35" i="1"/>
  <c r="Z35" i="1"/>
  <c r="Z34" i="1" s="1"/>
  <c r="Y35" i="1"/>
  <c r="X35" i="1"/>
  <c r="W35" i="1"/>
  <c r="V35" i="1"/>
  <c r="U35" i="1"/>
  <c r="U34" i="1" s="1"/>
  <c r="T35" i="1"/>
  <c r="S35" i="1"/>
  <c r="S34" i="1" s="1"/>
  <c r="R35" i="1"/>
  <c r="R34" i="1" s="1"/>
  <c r="Q35" i="1"/>
  <c r="Q34" i="1" s="1"/>
  <c r="P35" i="1"/>
  <c r="P34" i="1" s="1"/>
  <c r="O35" i="1"/>
  <c r="N35" i="1"/>
  <c r="M35" i="1"/>
  <c r="L35" i="1"/>
  <c r="K35" i="1"/>
  <c r="J35" i="1"/>
  <c r="I35" i="1"/>
  <c r="H35" i="1"/>
  <c r="G35" i="1"/>
  <c r="F35" i="1"/>
  <c r="E35" i="1"/>
  <c r="D35" i="1"/>
  <c r="D34" i="1" s="1"/>
  <c r="C35" i="1"/>
  <c r="AH34" i="1"/>
  <c r="AG34" i="1"/>
  <c r="AF34" i="1"/>
  <c r="AE34" i="1"/>
  <c r="AA34" i="1"/>
  <c r="T34" i="1"/>
  <c r="K34" i="1"/>
  <c r="I34" i="1"/>
  <c r="E34" i="1"/>
  <c r="C34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Y28" i="1" s="1"/>
  <c r="X31" i="1"/>
  <c r="W31" i="1"/>
  <c r="V31" i="1"/>
  <c r="U31" i="1"/>
  <c r="T31" i="1"/>
  <c r="S31" i="1"/>
  <c r="R31" i="1"/>
  <c r="Q31" i="1"/>
  <c r="P31" i="1"/>
  <c r="O31" i="1"/>
  <c r="N31" i="1"/>
  <c r="N28" i="1" s="1"/>
  <c r="M31" i="1"/>
  <c r="L31" i="1"/>
  <c r="K31" i="1"/>
  <c r="J31" i="1"/>
  <c r="I31" i="1"/>
  <c r="H31" i="1"/>
  <c r="G31" i="1"/>
  <c r="F31" i="1"/>
  <c r="E31" i="1"/>
  <c r="D31" i="1"/>
  <c r="C31" i="1"/>
  <c r="C28" i="1" s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N29" i="1"/>
  <c r="AM29" i="1"/>
  <c r="AL29" i="1"/>
  <c r="AK29" i="1"/>
  <c r="AJ29" i="1"/>
  <c r="AJ28" i="1" s="1"/>
  <c r="AI29" i="1"/>
  <c r="AH29" i="1"/>
  <c r="AG29" i="1"/>
  <c r="AF29" i="1"/>
  <c r="AE29" i="1"/>
  <c r="AE28" i="1" s="1"/>
  <c r="AD29" i="1"/>
  <c r="AC29" i="1"/>
  <c r="AC28" i="1" s="1"/>
  <c r="AB29" i="1"/>
  <c r="AB28" i="1" s="1"/>
  <c r="AA29" i="1"/>
  <c r="AA28" i="1" s="1"/>
  <c r="Z29" i="1"/>
  <c r="Z28" i="1" s="1"/>
  <c r="Y29" i="1"/>
  <c r="X29" i="1"/>
  <c r="X28" i="1" s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E28" i="1" s="1"/>
  <c r="D29" i="1"/>
  <c r="D28" i="1" s="1"/>
  <c r="C29" i="1"/>
  <c r="AN28" i="1"/>
  <c r="W28" i="1"/>
  <c r="V28" i="1"/>
  <c r="U28" i="1"/>
  <c r="T28" i="1"/>
  <c r="R28" i="1"/>
  <c r="J28" i="1"/>
  <c r="I28" i="1"/>
  <c r="H28" i="1"/>
  <c r="G28" i="1"/>
  <c r="F28" i="1"/>
  <c r="AN25" i="1"/>
  <c r="AM25" i="1"/>
  <c r="AL25" i="1"/>
  <c r="AK25" i="1"/>
  <c r="AJ25" i="1"/>
  <c r="AI25" i="1"/>
  <c r="AH25" i="1"/>
  <c r="AG25" i="1"/>
  <c r="AF25" i="1"/>
  <c r="AE25" i="1"/>
  <c r="AD25" i="1"/>
  <c r="AD22" i="1" s="1"/>
  <c r="AC25" i="1"/>
  <c r="AB25" i="1"/>
  <c r="AA25" i="1"/>
  <c r="Z25" i="1"/>
  <c r="Z22" i="1" s="1"/>
  <c r="Y25" i="1"/>
  <c r="Y22" i="1" s="1"/>
  <c r="X25" i="1"/>
  <c r="W25" i="1"/>
  <c r="W22" i="1" s="1"/>
  <c r="V25" i="1"/>
  <c r="V22" i="1" s="1"/>
  <c r="U25" i="1"/>
  <c r="U22" i="1" s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D22" i="1" s="1"/>
  <c r="C25" i="1"/>
  <c r="AN24" i="1"/>
  <c r="AM24" i="1"/>
  <c r="AL24" i="1"/>
  <c r="AL22" i="1" s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T22" i="1" s="1"/>
  <c r="S24" i="1"/>
  <c r="S22" i="1" s="1"/>
  <c r="R24" i="1"/>
  <c r="R22" i="1" s="1"/>
  <c r="Q24" i="1"/>
  <c r="P24" i="1"/>
  <c r="P22" i="1" s="1"/>
  <c r="O24" i="1"/>
  <c r="N24" i="1"/>
  <c r="M24" i="1"/>
  <c r="L24" i="1"/>
  <c r="K24" i="1"/>
  <c r="J24" i="1"/>
  <c r="I24" i="1"/>
  <c r="H24" i="1"/>
  <c r="G24" i="1"/>
  <c r="F24" i="1"/>
  <c r="F22" i="1" s="1"/>
  <c r="E24" i="1"/>
  <c r="D24" i="1"/>
  <c r="C24" i="1"/>
  <c r="AN23" i="1"/>
  <c r="AM23" i="1"/>
  <c r="AL23" i="1"/>
  <c r="AK23" i="1"/>
  <c r="AJ23" i="1"/>
  <c r="AJ22" i="1" s="1"/>
  <c r="AI23" i="1"/>
  <c r="AI22" i="1" s="1"/>
  <c r="AH23" i="1"/>
  <c r="AH22" i="1" s="1"/>
  <c r="AG23" i="1"/>
  <c r="AG22" i="1" s="1"/>
  <c r="AF23" i="1"/>
  <c r="AF22" i="1" s="1"/>
  <c r="AE23" i="1"/>
  <c r="AE22" i="1" s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N22" i="1" s="1"/>
  <c r="M23" i="1"/>
  <c r="M22" i="1" s="1"/>
  <c r="L23" i="1"/>
  <c r="L22" i="1" s="1"/>
  <c r="K23" i="1"/>
  <c r="K22" i="1" s="1"/>
  <c r="J23" i="1"/>
  <c r="J22" i="1" s="1"/>
  <c r="I23" i="1"/>
  <c r="I22" i="1" s="1"/>
  <c r="H23" i="1"/>
  <c r="G23" i="1"/>
  <c r="F23" i="1"/>
  <c r="E23" i="1"/>
  <c r="D23" i="1"/>
  <c r="C23" i="1"/>
  <c r="AC22" i="1"/>
  <c r="AB22" i="1"/>
  <c r="AA22" i="1"/>
  <c r="G22" i="1"/>
  <c r="E22" i="1"/>
  <c r="AN19" i="1"/>
  <c r="AM19" i="1"/>
  <c r="AL19" i="1"/>
  <c r="AK19" i="1"/>
  <c r="AJ19" i="1"/>
  <c r="AJ16" i="1" s="1"/>
  <c r="AI19" i="1"/>
  <c r="AH19" i="1"/>
  <c r="AG19" i="1"/>
  <c r="AF19" i="1"/>
  <c r="AE19" i="1"/>
  <c r="AD19" i="1"/>
  <c r="AC19" i="1"/>
  <c r="AB19" i="1"/>
  <c r="AB16" i="1" s="1"/>
  <c r="AA19" i="1"/>
  <c r="Z19" i="1"/>
  <c r="Y19" i="1"/>
  <c r="X19" i="1"/>
  <c r="W19" i="1"/>
  <c r="V19" i="1"/>
  <c r="U19" i="1"/>
  <c r="U16" i="1" s="1"/>
  <c r="T19" i="1"/>
  <c r="S19" i="1"/>
  <c r="S16" i="1" s="1"/>
  <c r="R19" i="1"/>
  <c r="Q19" i="1"/>
  <c r="Q16" i="1" s="1"/>
  <c r="P19" i="1"/>
  <c r="O19" i="1"/>
  <c r="N19" i="1"/>
  <c r="N16" i="1" s="1"/>
  <c r="M19" i="1"/>
  <c r="L19" i="1"/>
  <c r="K19" i="1"/>
  <c r="J19" i="1"/>
  <c r="I19" i="1"/>
  <c r="H19" i="1"/>
  <c r="G19" i="1"/>
  <c r="F19" i="1"/>
  <c r="E19" i="1"/>
  <c r="D19" i="1"/>
  <c r="C19" i="1"/>
  <c r="AN18" i="1"/>
  <c r="AM18" i="1"/>
  <c r="AL18" i="1"/>
  <c r="AK18" i="1"/>
  <c r="AJ18" i="1"/>
  <c r="AI18" i="1"/>
  <c r="AH18" i="1"/>
  <c r="AG18" i="1"/>
  <c r="AF18" i="1"/>
  <c r="AF16" i="1" s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J16" i="1" s="1"/>
  <c r="I18" i="1"/>
  <c r="H18" i="1"/>
  <c r="G18" i="1"/>
  <c r="F18" i="1"/>
  <c r="E18" i="1"/>
  <c r="D18" i="1"/>
  <c r="C18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Z16" i="1" s="1"/>
  <c r="Y17" i="1"/>
  <c r="Y16" i="1" s="1"/>
  <c r="X17" i="1"/>
  <c r="W17" i="1"/>
  <c r="W16" i="1" s="1"/>
  <c r="V17" i="1"/>
  <c r="U17" i="1"/>
  <c r="T17" i="1"/>
  <c r="T16" i="1" s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D16" i="1" s="1"/>
  <c r="C17" i="1"/>
  <c r="C16" i="1" s="1"/>
  <c r="AN16" i="1"/>
  <c r="AM16" i="1"/>
  <c r="AA16" i="1"/>
  <c r="X16" i="1"/>
  <c r="R16" i="1"/>
  <c r="F16" i="1"/>
  <c r="E16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T10" i="1" s="1"/>
  <c r="S13" i="1"/>
  <c r="S10" i="1" s="1"/>
  <c r="R13" i="1"/>
  <c r="R10" i="1" s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P10" i="1" s="1"/>
  <c r="O12" i="1"/>
  <c r="O10" i="1" s="1"/>
  <c r="N12" i="1"/>
  <c r="N10" i="1" s="1"/>
  <c r="M12" i="1"/>
  <c r="L12" i="1"/>
  <c r="K12" i="1"/>
  <c r="J12" i="1"/>
  <c r="I12" i="1"/>
  <c r="H12" i="1"/>
  <c r="G12" i="1"/>
  <c r="F12" i="1"/>
  <c r="E12" i="1"/>
  <c r="D12" i="1"/>
  <c r="C12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Z10" i="1" s="1"/>
  <c r="Y11" i="1"/>
  <c r="Y10" i="1" s="1"/>
  <c r="X11" i="1"/>
  <c r="X10" i="1" s="1"/>
  <c r="W11" i="1"/>
  <c r="W10" i="1" s="1"/>
  <c r="V11" i="1"/>
  <c r="V10" i="1" s="1"/>
  <c r="U11" i="1"/>
  <c r="U10" i="1" s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D10" i="1" s="1"/>
  <c r="C11" i="1"/>
  <c r="C10" i="1" s="1"/>
  <c r="AN10" i="1"/>
  <c r="AM10" i="1"/>
  <c r="AL10" i="1"/>
  <c r="AK10" i="1"/>
  <c r="Q10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Q4" i="1" s="1"/>
  <c r="P7" i="1"/>
  <c r="P4" i="1" s="1"/>
  <c r="O7" i="1"/>
  <c r="O4" i="1" s="1"/>
  <c r="N7" i="1"/>
  <c r="M7" i="1"/>
  <c r="L7" i="1"/>
  <c r="K7" i="1"/>
  <c r="J7" i="1"/>
  <c r="I7" i="1"/>
  <c r="H7" i="1"/>
  <c r="G7" i="1"/>
  <c r="F7" i="1"/>
  <c r="E7" i="1"/>
  <c r="D7" i="1"/>
  <c r="C7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M4" i="1" s="1"/>
  <c r="L6" i="1"/>
  <c r="L4" i="1" s="1"/>
  <c r="K6" i="1"/>
  <c r="J6" i="1"/>
  <c r="I6" i="1"/>
  <c r="H6" i="1"/>
  <c r="G6" i="1"/>
  <c r="F6" i="1"/>
  <c r="E6" i="1"/>
  <c r="D6" i="1"/>
  <c r="C6" i="1"/>
  <c r="AN5" i="1"/>
  <c r="AM5" i="1"/>
  <c r="AL5" i="1"/>
  <c r="AK5" i="1"/>
  <c r="AJ5" i="1"/>
  <c r="AI5" i="1"/>
  <c r="AH5" i="1"/>
  <c r="AG5" i="1"/>
  <c r="AF5" i="1"/>
  <c r="AE5" i="1"/>
  <c r="AD5" i="1"/>
  <c r="AD4" i="1" s="1"/>
  <c r="AC5" i="1"/>
  <c r="AB5" i="1"/>
  <c r="AA5" i="1"/>
  <c r="Z5" i="1"/>
  <c r="Y5" i="1"/>
  <c r="X5" i="1"/>
  <c r="X4" i="1" s="1"/>
  <c r="W5" i="1"/>
  <c r="W4" i="1" s="1"/>
  <c r="V5" i="1"/>
  <c r="V4" i="1" s="1"/>
  <c r="U5" i="1"/>
  <c r="U4" i="1" s="1"/>
  <c r="T5" i="1"/>
  <c r="T4" i="1" s="1"/>
  <c r="S5" i="1"/>
  <c r="S4" i="1" s="1"/>
  <c r="R5" i="1"/>
  <c r="Q5" i="1"/>
  <c r="P5" i="1"/>
  <c r="O5" i="1"/>
  <c r="N5" i="1"/>
  <c r="M5" i="1"/>
  <c r="L5" i="1"/>
  <c r="K5" i="1"/>
  <c r="J5" i="1"/>
  <c r="I5" i="1"/>
  <c r="H5" i="1"/>
  <c r="H4" i="1" s="1"/>
  <c r="G5" i="1"/>
  <c r="F5" i="1"/>
  <c r="E5" i="1"/>
  <c r="D5" i="1"/>
  <c r="C5" i="1"/>
  <c r="AM4" i="1"/>
  <c r="AL4" i="1"/>
  <c r="AK4" i="1"/>
  <c r="AJ4" i="1"/>
  <c r="AI4" i="1"/>
  <c r="AH4" i="1"/>
  <c r="N4" i="1"/>
  <c r="AN2" i="1"/>
  <c r="AM2" i="1"/>
  <c r="AL2" i="1"/>
  <c r="AK2" i="1"/>
  <c r="AJ2" i="1"/>
  <c r="AI2" i="1"/>
  <c r="AH2" i="1"/>
  <c r="W52" i="1" l="1"/>
  <c r="W41" i="1"/>
  <c r="G42" i="1"/>
  <c r="G52" i="1"/>
  <c r="AC42" i="1"/>
  <c r="AC52" i="1"/>
  <c r="M43" i="1"/>
  <c r="M61" i="1" s="1"/>
  <c r="M52" i="1"/>
  <c r="AI76" i="1"/>
  <c r="AI61" i="1"/>
  <c r="AK26" i="7"/>
  <c r="X52" i="1"/>
  <c r="X41" i="1"/>
  <c r="H42" i="1"/>
  <c r="H60" i="1" s="1"/>
  <c r="H52" i="1"/>
  <c r="AD52" i="1"/>
  <c r="AD42" i="1"/>
  <c r="N43" i="1"/>
  <c r="N61" i="1" s="1"/>
  <c r="N52" i="1"/>
  <c r="AJ52" i="1"/>
  <c r="AJ43" i="1"/>
  <c r="AL40" i="1"/>
  <c r="AL59" i="1"/>
  <c r="AH66" i="7"/>
  <c r="F34" i="1"/>
  <c r="AB34" i="1"/>
  <c r="AB61" i="1"/>
  <c r="G33" i="7"/>
  <c r="G132" i="7" s="1"/>
  <c r="AJ70" i="8"/>
  <c r="AE30" i="7"/>
  <c r="AE19" i="7"/>
  <c r="AC40" i="7"/>
  <c r="R33" i="7"/>
  <c r="R132" i="7" s="1"/>
  <c r="AO44" i="7"/>
  <c r="AG40" i="7"/>
  <c r="AL16" i="1"/>
  <c r="R52" i="7"/>
  <c r="AM40" i="1"/>
  <c r="AM73" i="1" s="1"/>
  <c r="AM74" i="1"/>
  <c r="AM59" i="1"/>
  <c r="AM58" i="1" s="1"/>
  <c r="AC65" i="7"/>
  <c r="AF40" i="7"/>
  <c r="AK128" i="7"/>
  <c r="AK46" i="7"/>
  <c r="AB4" i="1"/>
  <c r="H10" i="1"/>
  <c r="AC4" i="1"/>
  <c r="AN22" i="1"/>
  <c r="AF74" i="1"/>
  <c r="AF59" i="1"/>
  <c r="AF58" i="1" s="1"/>
  <c r="AF40" i="1"/>
  <c r="AF73" i="1" s="1"/>
  <c r="I51" i="7"/>
  <c r="I47" i="7" s="1"/>
  <c r="AJ76" i="8"/>
  <c r="J10" i="1"/>
  <c r="AF10" i="1"/>
  <c r="O40" i="1"/>
  <c r="O59" i="1"/>
  <c r="O58" i="1" s="1"/>
  <c r="AG41" i="1"/>
  <c r="AG46" i="1"/>
  <c r="AH52" i="1"/>
  <c r="P40" i="7"/>
  <c r="AL40" i="7"/>
  <c r="Z31" i="7"/>
  <c r="Z26" i="7" s="1"/>
  <c r="AH61" i="1"/>
  <c r="Q40" i="7"/>
  <c r="AF15" i="8"/>
  <c r="AG8" i="8"/>
  <c r="AA28" i="8"/>
  <c r="AB21" i="8"/>
  <c r="AL46" i="8"/>
  <c r="AL128" i="7"/>
  <c r="AL46" i="7"/>
  <c r="G61" i="1"/>
  <c r="AM128" i="7"/>
  <c r="AM46" i="7"/>
  <c r="AP23" i="7"/>
  <c r="AP22" i="7"/>
  <c r="C40" i="1"/>
  <c r="C60" i="1"/>
  <c r="C58" i="1" s="1"/>
  <c r="AD34" i="1"/>
  <c r="Y58" i="1"/>
  <c r="Y19" i="7"/>
  <c r="AD15" i="8"/>
  <c r="AE8" i="8"/>
  <c r="AE15" i="8"/>
  <c r="AF8" i="8"/>
  <c r="AA10" i="1"/>
  <c r="I59" i="1"/>
  <c r="D4" i="1"/>
  <c r="R29" i="3"/>
  <c r="E4" i="1"/>
  <c r="O16" i="1"/>
  <c r="P16" i="1"/>
  <c r="Q40" i="1"/>
  <c r="Q59" i="1"/>
  <c r="Q58" i="1" s="1"/>
  <c r="AJ60" i="1"/>
  <c r="AI59" i="1"/>
  <c r="AI58" i="1" s="1"/>
  <c r="AI74" i="1"/>
  <c r="AI40" i="1"/>
  <c r="O17" i="3"/>
  <c r="AH128" i="7"/>
  <c r="AH46" i="7"/>
  <c r="Y30" i="7"/>
  <c r="AI31" i="7"/>
  <c r="R40" i="7"/>
  <c r="AN40" i="7"/>
  <c r="AG15" i="8"/>
  <c r="AH8" i="8"/>
  <c r="AB28" i="8"/>
  <c r="AC21" i="8"/>
  <c r="AF52" i="7"/>
  <c r="AF59" i="7" s="1"/>
  <c r="AI66" i="7"/>
  <c r="AN40" i="1"/>
  <c r="AC34" i="1"/>
  <c r="H59" i="1"/>
  <c r="L42" i="1"/>
  <c r="L60" i="1" s="1"/>
  <c r="L58" i="1" s="1"/>
  <c r="L52" i="1"/>
  <c r="Y4" i="1"/>
  <c r="AB10" i="1"/>
  <c r="AA4" i="1"/>
  <c r="AD10" i="1"/>
  <c r="O23" i="3"/>
  <c r="AM5" i="7"/>
  <c r="P40" i="1"/>
  <c r="P59" i="1"/>
  <c r="P58" i="1" s="1"/>
  <c r="G40" i="7"/>
  <c r="C47" i="7"/>
  <c r="AC28" i="8"/>
  <c r="AD21" i="8"/>
  <c r="AH39" i="8"/>
  <c r="AE65" i="7"/>
  <c r="R47" i="7"/>
  <c r="AN128" i="7"/>
  <c r="AN46" i="7"/>
  <c r="AC6" i="8"/>
  <c r="AD23" i="7" s="1"/>
  <c r="AD30" i="7" s="1"/>
  <c r="AD26" i="7" s="1"/>
  <c r="AI68" i="8"/>
  <c r="AI71" i="8"/>
  <c r="AI36" i="8"/>
  <c r="AI37" i="8"/>
  <c r="AL37" i="8" s="1"/>
  <c r="AI70" i="8"/>
  <c r="AL70" i="8" s="1"/>
  <c r="AJ5" i="7"/>
  <c r="X67" i="7"/>
  <c r="AG42" i="8"/>
  <c r="AC10" i="1"/>
  <c r="Y67" i="7"/>
  <c r="AM22" i="1"/>
  <c r="I4" i="1"/>
  <c r="AE4" i="1"/>
  <c r="K10" i="1"/>
  <c r="AK16" i="1"/>
  <c r="AI75" i="1"/>
  <c r="AH41" i="1"/>
  <c r="AH46" i="1"/>
  <c r="L10" i="1"/>
  <c r="K4" i="1"/>
  <c r="R58" i="1"/>
  <c r="AJ10" i="1"/>
  <c r="N60" i="1"/>
  <c r="N58" i="1" s="1"/>
  <c r="M40" i="1"/>
  <c r="S40" i="1"/>
  <c r="S59" i="1"/>
  <c r="N46" i="1"/>
  <c r="W60" i="1"/>
  <c r="N19" i="7"/>
  <c r="N127" i="7" s="1"/>
  <c r="AP21" i="7"/>
  <c r="AI39" i="8"/>
  <c r="Q47" i="7"/>
  <c r="H61" i="1"/>
  <c r="F10" i="1"/>
  <c r="V34" i="1"/>
  <c r="AA76" i="1"/>
  <c r="AA61" i="1"/>
  <c r="N33" i="7"/>
  <c r="N132" i="7" s="1"/>
  <c r="H51" i="7"/>
  <c r="H47" i="7" s="1"/>
  <c r="B28" i="8"/>
  <c r="C17" i="8"/>
  <c r="X22" i="1"/>
  <c r="AI52" i="1"/>
  <c r="AF4" i="1"/>
  <c r="H22" i="1"/>
  <c r="AD28" i="1"/>
  <c r="AL46" i="1"/>
  <c r="F46" i="1"/>
  <c r="F43" i="1"/>
  <c r="F61" i="1" s="1"/>
  <c r="X60" i="1"/>
  <c r="M41" i="3"/>
  <c r="D41" i="3"/>
  <c r="Z41" i="3"/>
  <c r="E12" i="7"/>
  <c r="AA12" i="7"/>
  <c r="J12" i="7"/>
  <c r="AF12" i="7"/>
  <c r="T12" i="7"/>
  <c r="V33" i="7"/>
  <c r="V132" i="7" s="1"/>
  <c r="AH40" i="7"/>
  <c r="U40" i="7"/>
  <c r="D40" i="7"/>
  <c r="AF23" i="8"/>
  <c r="AG38" i="7"/>
  <c r="AG69" i="7" s="1"/>
  <c r="AL21" i="8"/>
  <c r="AK28" i="8"/>
  <c r="V26" i="8"/>
  <c r="W38" i="7"/>
  <c r="AE28" i="8"/>
  <c r="AL85" i="8"/>
  <c r="AK85" i="8"/>
  <c r="AM85" i="8" s="1"/>
  <c r="Q22" i="1"/>
  <c r="S52" i="7"/>
  <c r="S47" i="7" s="1"/>
  <c r="M10" i="1"/>
  <c r="G46" i="1"/>
  <c r="G43" i="1"/>
  <c r="AB12" i="7"/>
  <c r="P12" i="7"/>
  <c r="P47" i="7"/>
  <c r="AH38" i="7"/>
  <c r="AG23" i="8"/>
  <c r="AM21" i="8"/>
  <c r="AL28" i="8"/>
  <c r="AF28" i="8"/>
  <c r="F59" i="1"/>
  <c r="R43" i="1"/>
  <c r="R52" i="1"/>
  <c r="C4" i="1"/>
  <c r="E10" i="1"/>
  <c r="AI5" i="7"/>
  <c r="C4" i="8"/>
  <c r="B15" i="8"/>
  <c r="F60" i="1"/>
  <c r="F52" i="1"/>
  <c r="Z61" i="1"/>
  <c r="AJ85" i="8"/>
  <c r="F4" i="1"/>
  <c r="G4" i="1"/>
  <c r="M58" i="1"/>
  <c r="J4" i="1"/>
  <c r="AH10" i="1"/>
  <c r="AG4" i="1"/>
  <c r="C22" i="1"/>
  <c r="J34" i="1"/>
  <c r="Q46" i="1"/>
  <c r="AF28" i="1"/>
  <c r="G34" i="1"/>
  <c r="D43" i="1"/>
  <c r="D61" i="1" s="1"/>
  <c r="T46" i="1"/>
  <c r="R46" i="1"/>
  <c r="AN46" i="1"/>
  <c r="X46" i="1"/>
  <c r="X42" i="1"/>
  <c r="X75" i="1" s="1"/>
  <c r="H46" i="1"/>
  <c r="H43" i="1"/>
  <c r="Z60" i="1"/>
  <c r="Z58" i="1" s="1"/>
  <c r="G12" i="7"/>
  <c r="AC12" i="7"/>
  <c r="Q12" i="7"/>
  <c r="AF30" i="7"/>
  <c r="AF26" i="7" s="1"/>
  <c r="AF19" i="7"/>
  <c r="W40" i="7"/>
  <c r="F40" i="7"/>
  <c r="AI38" i="7"/>
  <c r="AH23" i="8"/>
  <c r="AG28" i="8"/>
  <c r="AB6" i="8"/>
  <c r="AC23" i="7" s="1"/>
  <c r="AC30" i="7" s="1"/>
  <c r="AH40" i="8"/>
  <c r="AH36" i="8"/>
  <c r="AJ92" i="8"/>
  <c r="AI92" i="8"/>
  <c r="AK92" i="8" s="1"/>
  <c r="AI73" i="8"/>
  <c r="P46" i="1"/>
  <c r="V16" i="1"/>
  <c r="E43" i="1"/>
  <c r="E61" i="1" s="1"/>
  <c r="D52" i="1"/>
  <c r="D42" i="1"/>
  <c r="H12" i="7"/>
  <c r="AD12" i="7"/>
  <c r="M12" i="7"/>
  <c r="R12" i="7"/>
  <c r="AQ23" i="7"/>
  <c r="AG19" i="7"/>
  <c r="AG30" i="7"/>
  <c r="AG26" i="7" s="1"/>
  <c r="AD65" i="7"/>
  <c r="AK5" i="7"/>
  <c r="AE10" i="1"/>
  <c r="AI10" i="1"/>
  <c r="L40" i="1"/>
  <c r="R40" i="1"/>
  <c r="AG28" i="1"/>
  <c r="L28" i="1"/>
  <c r="AH28" i="1"/>
  <c r="AJ41" i="1"/>
  <c r="AB46" i="1"/>
  <c r="AL64" i="1"/>
  <c r="AG10" i="7"/>
  <c r="AG5" i="7" s="1"/>
  <c r="AP24" i="7"/>
  <c r="AA65" i="7"/>
  <c r="J33" i="7"/>
  <c r="J132" i="7" s="1"/>
  <c r="AF66" i="7"/>
  <c r="Z127" i="7"/>
  <c r="Z46" i="7"/>
  <c r="X19" i="7"/>
  <c r="AA127" i="7"/>
  <c r="AA46" i="7"/>
  <c r="AB41" i="1"/>
  <c r="AB52" i="1"/>
  <c r="Z4" i="1"/>
  <c r="J59" i="1"/>
  <c r="J58" i="1" s="1"/>
  <c r="J40" i="1"/>
  <c r="G10" i="1"/>
  <c r="K59" i="1"/>
  <c r="K58" i="1" s="1"/>
  <c r="K40" i="1"/>
  <c r="X28" i="8"/>
  <c r="Y21" i="8"/>
  <c r="I10" i="1"/>
  <c r="AE76" i="1"/>
  <c r="AE40" i="1"/>
  <c r="AE73" i="1" s="1"/>
  <c r="AM46" i="1"/>
  <c r="K28" i="1"/>
  <c r="H34" i="1"/>
  <c r="Y40" i="1"/>
  <c r="Y73" i="1" s="1"/>
  <c r="T52" i="1"/>
  <c r="T41" i="1"/>
  <c r="R4" i="1"/>
  <c r="AN4" i="1"/>
  <c r="M28" i="1"/>
  <c r="AI28" i="1"/>
  <c r="T60" i="1"/>
  <c r="AK41" i="1"/>
  <c r="AM64" i="1"/>
  <c r="M5" i="3"/>
  <c r="D5" i="3"/>
  <c r="AJ128" i="7"/>
  <c r="AJ46" i="7"/>
  <c r="T127" i="7"/>
  <c r="AP20" i="7"/>
  <c r="AB19" i="7"/>
  <c r="AB65" i="7"/>
  <c r="J51" i="7"/>
  <c r="O22" i="1"/>
  <c r="AK22" i="1"/>
  <c r="O11" i="3"/>
  <c r="D12" i="7"/>
  <c r="Z12" i="7"/>
  <c r="K33" i="7"/>
  <c r="K132" i="7" s="1"/>
  <c r="S40" i="7"/>
  <c r="X40" i="7"/>
  <c r="U52" i="7"/>
  <c r="U47" i="7" s="1"/>
  <c r="AF38" i="7"/>
  <c r="AF69" i="7" s="1"/>
  <c r="AE23" i="8"/>
  <c r="Z28" i="8"/>
  <c r="AA21" i="8"/>
  <c r="AH42" i="8"/>
  <c r="AN61" i="1"/>
  <c r="S46" i="1"/>
  <c r="U11" i="3"/>
  <c r="U47" i="3"/>
  <c r="C31" i="7"/>
  <c r="C59" i="7" s="1"/>
  <c r="Q33" i="7"/>
  <c r="Q132" i="7" s="1"/>
  <c r="AK61" i="8"/>
  <c r="AJ61" i="8"/>
  <c r="AL61" i="8" s="1"/>
  <c r="AI61" i="8"/>
  <c r="AG10" i="1"/>
  <c r="V11" i="3"/>
  <c r="U23" i="3"/>
  <c r="U35" i="3"/>
  <c r="V47" i="3"/>
  <c r="K12" i="7"/>
  <c r="AG12" i="7"/>
  <c r="O127" i="7"/>
  <c r="AA31" i="7"/>
  <c r="AM11" i="8"/>
  <c r="AN37" i="7"/>
  <c r="AN51" i="7" s="1"/>
  <c r="R61" i="1"/>
  <c r="O28" i="1"/>
  <c r="AC16" i="1"/>
  <c r="AL28" i="1"/>
  <c r="L34" i="1"/>
  <c r="AI46" i="1"/>
  <c r="U46" i="1"/>
  <c r="U41" i="1"/>
  <c r="E42" i="1"/>
  <c r="AA42" i="1"/>
  <c r="K43" i="1"/>
  <c r="K61" i="1" s="1"/>
  <c r="AG43" i="1"/>
  <c r="W11" i="3"/>
  <c r="V23" i="3"/>
  <c r="W47" i="3"/>
  <c r="AH12" i="7"/>
  <c r="AB31" i="7"/>
  <c r="AO33" i="7"/>
  <c r="F13" i="8"/>
  <c r="G37" i="7"/>
  <c r="G51" i="7" s="1"/>
  <c r="G47" i="7" s="1"/>
  <c r="AH60" i="1"/>
  <c r="AK28" i="1"/>
  <c r="G16" i="1"/>
  <c r="P28" i="1"/>
  <c r="H16" i="1"/>
  <c r="AD16" i="1"/>
  <c r="Q28" i="1"/>
  <c r="AM28" i="1"/>
  <c r="O60" i="1"/>
  <c r="AK60" i="1"/>
  <c r="I43" i="1"/>
  <c r="I61" i="1" s="1"/>
  <c r="V46" i="1"/>
  <c r="V41" i="1"/>
  <c r="F42" i="1"/>
  <c r="F40" i="1" s="1"/>
  <c r="AB42" i="1"/>
  <c r="L43" i="1"/>
  <c r="L61" i="1" s="1"/>
  <c r="AH43" i="1"/>
  <c r="AH76" i="1" s="1"/>
  <c r="X11" i="3"/>
  <c r="D17" i="3"/>
  <c r="W23" i="3"/>
  <c r="W35" i="3"/>
  <c r="C5" i="7"/>
  <c r="AI12" i="7"/>
  <c r="M19" i="7"/>
  <c r="M127" i="7" s="1"/>
  <c r="AI19" i="7"/>
  <c r="AC31" i="7"/>
  <c r="I16" i="1"/>
  <c r="AB5" i="3"/>
  <c r="D29" i="3"/>
  <c r="AH15" i="8"/>
  <c r="AI8" i="8"/>
  <c r="S28" i="1"/>
  <c r="Q60" i="1"/>
  <c r="AM60" i="1"/>
  <c r="W61" i="1"/>
  <c r="AE74" i="1"/>
  <c r="AE59" i="1"/>
  <c r="AE58" i="1" s="1"/>
  <c r="G5" i="3"/>
  <c r="AC5" i="3"/>
  <c r="F41" i="3"/>
  <c r="AB41" i="3"/>
  <c r="AA5" i="7"/>
  <c r="C30" i="7"/>
  <c r="C58" i="7" s="1"/>
  <c r="C54" i="7" s="1"/>
  <c r="C61" i="7" s="1"/>
  <c r="AI15" i="8"/>
  <c r="AJ8" i="8"/>
  <c r="R60" i="1"/>
  <c r="AN60" i="1"/>
  <c r="AN58" i="1" s="1"/>
  <c r="X61" i="1"/>
  <c r="C46" i="1"/>
  <c r="Y46" i="1"/>
  <c r="W64" i="1"/>
  <c r="H5" i="3"/>
  <c r="AD5" i="3"/>
  <c r="AB29" i="3"/>
  <c r="AB5" i="7"/>
  <c r="AL12" i="7"/>
  <c r="P19" i="7"/>
  <c r="P127" i="7" s="1"/>
  <c r="AQ24" i="7"/>
  <c r="AK7" i="8"/>
  <c r="AK13" i="8" s="1"/>
  <c r="AL9" i="7"/>
  <c r="AL5" i="7" s="1"/>
  <c r="AG56" i="8"/>
  <c r="AG59" i="8"/>
  <c r="AG90" i="8"/>
  <c r="AG62" i="8"/>
  <c r="AG89" i="8"/>
  <c r="AG58" i="8"/>
  <c r="AE16" i="1"/>
  <c r="P60" i="1"/>
  <c r="W46" i="1"/>
  <c r="X35" i="3"/>
  <c r="AG16" i="1"/>
  <c r="L16" i="1"/>
  <c r="AH16" i="1"/>
  <c r="M34" i="1"/>
  <c r="AI34" i="1"/>
  <c r="S60" i="1"/>
  <c r="C61" i="1"/>
  <c r="Y61" i="1"/>
  <c r="X64" i="1"/>
  <c r="H64" i="1"/>
  <c r="AD64" i="1"/>
  <c r="H17" i="3"/>
  <c r="AD17" i="3"/>
  <c r="G29" i="3"/>
  <c r="AC29" i="3"/>
  <c r="E35" i="3"/>
  <c r="AA35" i="3"/>
  <c r="H41" i="3"/>
  <c r="AD41" i="3"/>
  <c r="AC5" i="7"/>
  <c r="AH5" i="7"/>
  <c r="Q19" i="7"/>
  <c r="Q127" i="7" s="1"/>
  <c r="AG31" i="7"/>
  <c r="O40" i="7"/>
  <c r="AO45" i="7"/>
  <c r="AL8" i="8"/>
  <c r="AK15" i="8"/>
  <c r="AA12" i="8"/>
  <c r="AB44" i="7" s="1"/>
  <c r="AL60" i="1"/>
  <c r="K16" i="1"/>
  <c r="M16" i="1"/>
  <c r="AI16" i="1"/>
  <c r="Y34" i="1"/>
  <c r="N34" i="1"/>
  <c r="AJ34" i="1"/>
  <c r="AA74" i="1"/>
  <c r="AA59" i="1"/>
  <c r="C64" i="1"/>
  <c r="Y64" i="1"/>
  <c r="J5" i="3"/>
  <c r="AF5" i="3"/>
  <c r="G11" i="3"/>
  <c r="AC11" i="3"/>
  <c r="I17" i="3"/>
  <c r="H29" i="3"/>
  <c r="AD5" i="7"/>
  <c r="AN26" i="7"/>
  <c r="E51" i="7"/>
  <c r="E47" i="7" s="1"/>
  <c r="AD7" i="8"/>
  <c r="AD13" i="8" s="1"/>
  <c r="V61" i="1"/>
  <c r="F5" i="3"/>
  <c r="O34" i="1"/>
  <c r="AK34" i="1"/>
  <c r="S52" i="1"/>
  <c r="K5" i="3"/>
  <c r="AG5" i="3"/>
  <c r="J41" i="3"/>
  <c r="AF41" i="3"/>
  <c r="AE5" i="7"/>
  <c r="S19" i="7"/>
  <c r="S127" i="7" s="1"/>
  <c r="AO19" i="7"/>
  <c r="AJ31" i="7"/>
  <c r="L40" i="7"/>
  <c r="N52" i="7"/>
  <c r="N47" i="7" s="1"/>
  <c r="V47" i="7"/>
  <c r="X20" i="8"/>
  <c r="X26" i="8" s="1"/>
  <c r="Y10" i="7"/>
  <c r="Y5" i="7" s="1"/>
  <c r="AA6" i="8"/>
  <c r="AB23" i="7" s="1"/>
  <c r="AB30" i="7" s="1"/>
  <c r="AG72" i="8"/>
  <c r="AI72" i="8" s="1"/>
  <c r="AG44" i="8"/>
  <c r="AK44" i="8" s="1"/>
  <c r="AG75" i="8"/>
  <c r="AG78" i="8"/>
  <c r="AI78" i="8" s="1"/>
  <c r="AG40" i="8"/>
  <c r="AG43" i="8"/>
  <c r="AG74" i="8"/>
  <c r="AJ74" i="8" s="1"/>
  <c r="AG46" i="8"/>
  <c r="AJ46" i="8" s="1"/>
  <c r="AG77" i="8"/>
  <c r="S29" i="3"/>
  <c r="AM65" i="7"/>
  <c r="AI21" i="8"/>
  <c r="AH28" i="8"/>
  <c r="Y28" i="8"/>
  <c r="Z21" i="8"/>
  <c r="AI72" i="1"/>
  <c r="N12" i="7"/>
  <c r="AJ12" i="7"/>
  <c r="D52" i="7"/>
  <c r="D47" i="7" s="1"/>
  <c r="J47" i="7"/>
  <c r="AJ21" i="8"/>
  <c r="AI28" i="8"/>
  <c r="AL86" i="8"/>
  <c r="AK86" i="8"/>
  <c r="AM86" i="8" s="1"/>
  <c r="AC59" i="1"/>
  <c r="O12" i="7"/>
  <c r="AK12" i="7"/>
  <c r="T33" i="7"/>
  <c r="T132" i="7" s="1"/>
  <c r="T51" i="7"/>
  <c r="T47" i="7" s="1"/>
  <c r="AK21" i="8"/>
  <c r="AJ28" i="8"/>
  <c r="AM30" i="7"/>
  <c r="AO5" i="7"/>
  <c r="AQ21" i="7"/>
  <c r="AN30" i="7"/>
  <c r="AN58" i="7" s="1"/>
  <c r="AA9" i="7"/>
  <c r="AA30" i="7" s="1"/>
  <c r="AA26" i="7" s="1"/>
  <c r="Z7" i="8"/>
  <c r="Z13" i="8" s="1"/>
  <c r="C17" i="3"/>
  <c r="Y17" i="3"/>
  <c r="C41" i="3"/>
  <c r="Y41" i="3"/>
  <c r="I40" i="7"/>
  <c r="AE40" i="7"/>
  <c r="AB7" i="8"/>
  <c r="AB13" i="8" s="1"/>
  <c r="X8" i="8"/>
  <c r="W15" i="8"/>
  <c r="K52" i="7"/>
  <c r="K47" i="7" s="1"/>
  <c r="AC7" i="8"/>
  <c r="AC13" i="8" s="1"/>
  <c r="Y8" i="8"/>
  <c r="X15" i="8"/>
  <c r="L38" i="7"/>
  <c r="L52" i="7" s="1"/>
  <c r="L47" i="7" s="1"/>
  <c r="K26" i="8"/>
  <c r="AI55" i="8"/>
  <c r="AH77" i="8"/>
  <c r="AI86" i="8"/>
  <c r="AH46" i="8"/>
  <c r="AJ55" i="8"/>
  <c r="AH74" i="8"/>
  <c r="AJ86" i="8"/>
  <c r="AJ36" i="8"/>
  <c r="AH43" i="8"/>
  <c r="AI46" i="8"/>
  <c r="AH71" i="8"/>
  <c r="AJ77" i="8"/>
  <c r="AG93" i="8"/>
  <c r="AI63" i="7"/>
  <c r="AH93" i="8"/>
  <c r="AJ93" i="8" s="1"/>
  <c r="AJ63" i="7"/>
  <c r="AJ66" i="7" s="1"/>
  <c r="AK46" i="8"/>
  <c r="AM46" i="8" s="1"/>
  <c r="AI52" i="8"/>
  <c r="AL52" i="8" s="1"/>
  <c r="AH62" i="8"/>
  <c r="AJ62" i="8" s="1"/>
  <c r="AH90" i="8"/>
  <c r="AJ52" i="8"/>
  <c r="AH59" i="8"/>
  <c r="AI62" i="8"/>
  <c r="AK71" i="8"/>
  <c r="AH87" i="8"/>
  <c r="AI90" i="8"/>
  <c r="AH37" i="8"/>
  <c r="AJ37" i="8" s="1"/>
  <c r="AH56" i="8"/>
  <c r="AI59" i="8"/>
  <c r="AH68" i="8"/>
  <c r="AJ68" i="8" s="1"/>
  <c r="AI87" i="8"/>
  <c r="AJ90" i="8"/>
  <c r="AH78" i="8"/>
  <c r="AH75" i="8"/>
  <c r="AG41" i="8"/>
  <c r="AJ41" i="8" s="1"/>
  <c r="AH44" i="8"/>
  <c r="AM44" i="8" s="1"/>
  <c r="AH53" i="8"/>
  <c r="AH72" i="8"/>
  <c r="AL72" i="8" s="1"/>
  <c r="AI75" i="8"/>
  <c r="AH84" i="8"/>
  <c r="AG94" i="8"/>
  <c r="AJ94" i="8" s="1"/>
  <c r="AH41" i="8"/>
  <c r="AI44" i="8"/>
  <c r="AL44" i="8" s="1"/>
  <c r="AI53" i="8"/>
  <c r="AI84" i="8"/>
  <c r="AG91" i="8"/>
  <c r="AJ91" i="8" s="1"/>
  <c r="AH94" i="8"/>
  <c r="AI41" i="8"/>
  <c r="AJ44" i="8"/>
  <c r="AJ53" i="8"/>
  <c r="AG60" i="8"/>
  <c r="AJ72" i="8"/>
  <c r="AK75" i="8"/>
  <c r="AJ84" i="8"/>
  <c r="AG88" i="8"/>
  <c r="AI88" i="8" s="1"/>
  <c r="AH91" i="8"/>
  <c r="AI94" i="8"/>
  <c r="AH38" i="8"/>
  <c r="AG57" i="8"/>
  <c r="AH60" i="8"/>
  <c r="AH69" i="8"/>
  <c r="AL69" i="8" s="1"/>
  <c r="AH88" i="8"/>
  <c r="AI91" i="8"/>
  <c r="AI38" i="8"/>
  <c r="AL38" i="8" s="1"/>
  <c r="AL53" i="8"/>
  <c r="AH57" i="8"/>
  <c r="AL57" i="8" s="1"/>
  <c r="AI60" i="8"/>
  <c r="AI69" i="8"/>
  <c r="AJ38" i="8"/>
  <c r="AI57" i="8"/>
  <c r="AJ69" i="8"/>
  <c r="AG76" i="8"/>
  <c r="AK38" i="8"/>
  <c r="AG45" i="8"/>
  <c r="AH54" i="8"/>
  <c r="AH63" i="8" s="1"/>
  <c r="AJ57" i="8"/>
  <c r="AG73" i="8"/>
  <c r="AH76" i="8"/>
  <c r="AH45" i="8"/>
  <c r="AI54" i="8"/>
  <c r="AH73" i="8"/>
  <c r="AL75" i="8" l="1"/>
  <c r="AL73" i="8"/>
  <c r="AB127" i="7"/>
  <c r="Y127" i="7"/>
  <c r="Y46" i="7"/>
  <c r="AJ26" i="7"/>
  <c r="AB40" i="7"/>
  <c r="AB46" i="7" s="1"/>
  <c r="AL94" i="8"/>
  <c r="AH95" i="8"/>
  <c r="AI65" i="7"/>
  <c r="AI67" i="7"/>
  <c r="AB15" i="8"/>
  <c r="AC8" i="8"/>
  <c r="W52" i="7"/>
  <c r="W47" i="7" s="1"/>
  <c r="W33" i="7"/>
  <c r="W132" i="7" s="1"/>
  <c r="AD38" i="7"/>
  <c r="AC23" i="8"/>
  <c r="L33" i="7"/>
  <c r="L132" i="7" s="1"/>
  <c r="AJ54" i="8"/>
  <c r="AK91" i="8"/>
  <c r="AM91" i="8" s="1"/>
  <c r="AK41" i="8"/>
  <c r="AM41" i="8" s="1"/>
  <c r="AM68" i="8"/>
  <c r="AJ78" i="8"/>
  <c r="AL78" i="8" s="1"/>
  <c r="AL93" i="8"/>
  <c r="AJ23" i="8"/>
  <c r="AK38" i="7"/>
  <c r="AL68" i="8"/>
  <c r="X74" i="1"/>
  <c r="X40" i="1"/>
  <c r="X73" i="1" s="1"/>
  <c r="X59" i="1"/>
  <c r="X58" i="1" s="1"/>
  <c r="AM61" i="8"/>
  <c r="AH69" i="7"/>
  <c r="AH52" i="7"/>
  <c r="AH59" i="7" s="1"/>
  <c r="AI74" i="8"/>
  <c r="AL74" i="8" s="1"/>
  <c r="AH59" i="1"/>
  <c r="AH58" i="1" s="1"/>
  <c r="AH74" i="1"/>
  <c r="AH40" i="1"/>
  <c r="AH73" i="1" s="1"/>
  <c r="C26" i="7"/>
  <c r="AA15" i="8"/>
  <c r="AB8" i="8"/>
  <c r="AI77" i="1"/>
  <c r="AK72" i="1"/>
  <c r="AK74" i="1" s="1"/>
  <c r="AL92" i="8"/>
  <c r="D9" i="7"/>
  <c r="C7" i="8"/>
  <c r="C14" i="8" s="1"/>
  <c r="N40" i="1"/>
  <c r="AK55" i="8"/>
  <c r="AM55" i="8" s="1"/>
  <c r="AL41" i="8"/>
  <c r="AC19" i="7"/>
  <c r="AJ40" i="1"/>
  <c r="AJ59" i="1"/>
  <c r="AI128" i="7"/>
  <c r="AI46" i="7"/>
  <c r="Y23" i="8"/>
  <c r="Z38" i="7"/>
  <c r="AM38" i="8"/>
  <c r="AM84" i="8"/>
  <c r="AL23" i="8"/>
  <c r="AM38" i="7"/>
  <c r="AJ40" i="8"/>
  <c r="AI40" i="8"/>
  <c r="AG47" i="8"/>
  <c r="AB75" i="1"/>
  <c r="AB60" i="1"/>
  <c r="AI11" i="8"/>
  <c r="AJ37" i="7"/>
  <c r="V40" i="1"/>
  <c r="V59" i="1"/>
  <c r="V58" i="1" s="1"/>
  <c r="AJ65" i="7"/>
  <c r="AM92" i="8"/>
  <c r="AL55" i="8"/>
  <c r="AK8" i="8"/>
  <c r="AJ15" i="8"/>
  <c r="AL11" i="8"/>
  <c r="AM37" i="7"/>
  <c r="AH11" i="8"/>
  <c r="AI37" i="7"/>
  <c r="AD19" i="7"/>
  <c r="AM71" i="8"/>
  <c r="AK84" i="8"/>
  <c r="X11" i="8"/>
  <c r="Y37" i="7"/>
  <c r="AG52" i="7"/>
  <c r="AG59" i="7" s="1"/>
  <c r="AM52" i="8"/>
  <c r="T40" i="1"/>
  <c r="T59" i="1"/>
  <c r="T58" i="1" s="1"/>
  <c r="AK36" i="8"/>
  <c r="AL30" i="7"/>
  <c r="AB26" i="7"/>
  <c r="AK45" i="8"/>
  <c r="AJ45" i="8"/>
  <c r="AM45" i="8"/>
  <c r="Z8" i="8"/>
  <c r="Y15" i="8"/>
  <c r="AD60" i="1"/>
  <c r="AD58" i="1" s="1"/>
  <c r="AD75" i="1"/>
  <c r="AD40" i="1"/>
  <c r="AD73" i="1" s="1"/>
  <c r="AK57" i="8"/>
  <c r="AM57" i="8" s="1"/>
  <c r="AL88" i="8"/>
  <c r="AG79" i="8"/>
  <c r="AH79" i="8"/>
  <c r="Y31" i="7"/>
  <c r="AK39" i="8"/>
  <c r="AJ39" i="8"/>
  <c r="AI59" i="7"/>
  <c r="AI26" i="7"/>
  <c r="I40" i="1"/>
  <c r="AC38" i="7"/>
  <c r="AB23" i="8"/>
  <c r="AL58" i="1"/>
  <c r="AC60" i="1"/>
  <c r="AC75" i="1"/>
  <c r="AC40" i="1"/>
  <c r="AC73" i="1" s="1"/>
  <c r="AK54" i="8"/>
  <c r="AM54" i="8"/>
  <c r="AL54" i="8"/>
  <c r="AM88" i="8"/>
  <c r="D40" i="1"/>
  <c r="D60" i="1"/>
  <c r="D58" i="1" s="1"/>
  <c r="AK70" i="8"/>
  <c r="AM70" i="8" s="1"/>
  <c r="AK60" i="8"/>
  <c r="AJ67" i="7"/>
  <c r="AM72" i="8"/>
  <c r="AI76" i="8"/>
  <c r="AL76" i="8" s="1"/>
  <c r="AM26" i="7"/>
  <c r="AM94" i="8"/>
  <c r="AM36" i="8"/>
  <c r="AJ58" i="8"/>
  <c r="AI58" i="8"/>
  <c r="AK58" i="8" s="1"/>
  <c r="AG76" i="1"/>
  <c r="AG61" i="1"/>
  <c r="AA23" i="8"/>
  <c r="AB38" i="7"/>
  <c r="AE38" i="7"/>
  <c r="AD23" i="8"/>
  <c r="I58" i="1"/>
  <c r="AK68" i="8"/>
  <c r="AK69" i="8"/>
  <c r="AM69" i="8" s="1"/>
  <c r="AJ60" i="8"/>
  <c r="AM60" i="8" s="1"/>
  <c r="AK72" i="8"/>
  <c r="AG95" i="8"/>
  <c r="Z23" i="8"/>
  <c r="AA38" i="7"/>
  <c r="AK88" i="8"/>
  <c r="AK53" i="8"/>
  <c r="AM53" i="8" s="1"/>
  <c r="AI93" i="8"/>
  <c r="AK93" i="8" s="1"/>
  <c r="AM93" i="8" s="1"/>
  <c r="AL62" i="8"/>
  <c r="AK62" i="8"/>
  <c r="AM62" i="8" s="1"/>
  <c r="H58" i="1"/>
  <c r="AM23" i="8"/>
  <c r="AN38" i="7"/>
  <c r="AK52" i="8"/>
  <c r="AJ88" i="8"/>
  <c r="AK37" i="8"/>
  <c r="AM37" i="8" s="1"/>
  <c r="AL91" i="8"/>
  <c r="AK94" i="8"/>
  <c r="AK78" i="8"/>
  <c r="AH47" i="8"/>
  <c r="AA60" i="1"/>
  <c r="AA40" i="1"/>
  <c r="AA73" i="1" s="1"/>
  <c r="AA75" i="1"/>
  <c r="AB59" i="1"/>
  <c r="AB58" i="1" s="1"/>
  <c r="AB74" i="1"/>
  <c r="AB40" i="1"/>
  <c r="AB73" i="1" s="1"/>
  <c r="AF11" i="8"/>
  <c r="AG37" i="7"/>
  <c r="W40" i="1"/>
  <c r="W59" i="1"/>
  <c r="W58" i="1" s="1"/>
  <c r="AL90" i="8"/>
  <c r="AK90" i="8"/>
  <c r="AM90" i="8" s="1"/>
  <c r="E40" i="1"/>
  <c r="E60" i="1"/>
  <c r="E58" i="1" s="1"/>
  <c r="AG46" i="7"/>
  <c r="AQ22" i="7"/>
  <c r="AG128" i="7"/>
  <c r="AQ20" i="7"/>
  <c r="F58" i="1"/>
  <c r="H40" i="1"/>
  <c r="AL39" i="8"/>
  <c r="X127" i="7"/>
  <c r="X46" i="7"/>
  <c r="AF128" i="7"/>
  <c r="AF46" i="7"/>
  <c r="AC26" i="7"/>
  <c r="AA58" i="1"/>
  <c r="AK23" i="8"/>
  <c r="AL38" i="7"/>
  <c r="G60" i="1"/>
  <c r="G58" i="1" s="1"/>
  <c r="G40" i="1"/>
  <c r="AJ75" i="8"/>
  <c r="AM75" i="8" s="1"/>
  <c r="AK73" i="8"/>
  <c r="AJ73" i="8"/>
  <c r="AM73" i="8" s="1"/>
  <c r="AL84" i="8"/>
  <c r="AG63" i="8"/>
  <c r="AK37" i="7"/>
  <c r="AJ11" i="8"/>
  <c r="U40" i="1"/>
  <c r="U59" i="1"/>
  <c r="U58" i="1" s="1"/>
  <c r="C20" i="8"/>
  <c r="C27" i="8" s="1"/>
  <c r="D10" i="7"/>
  <c r="D31" i="7" s="1"/>
  <c r="D59" i="7" s="1"/>
  <c r="S58" i="1"/>
  <c r="AE11" i="8"/>
  <c r="AF37" i="7"/>
  <c r="AJ61" i="1"/>
  <c r="AJ76" i="1"/>
  <c r="AE128" i="7"/>
  <c r="AE46" i="7"/>
  <c r="Y11" i="8"/>
  <c r="Z37" i="7"/>
  <c r="AI45" i="8"/>
  <c r="AL45" i="8" s="1"/>
  <c r="AJ43" i="8"/>
  <c r="AI43" i="8"/>
  <c r="AL43" i="8" s="1"/>
  <c r="AK40" i="1"/>
  <c r="AK59" i="1"/>
  <c r="AK58" i="1" s="1"/>
  <c r="AK76" i="8"/>
  <c r="AM76" i="8" s="1"/>
  <c r="AK87" i="8"/>
  <c r="AJ87" i="8"/>
  <c r="AL87" i="8" s="1"/>
  <c r="AI77" i="8"/>
  <c r="AL77" i="8" s="1"/>
  <c r="AK63" i="7"/>
  <c r="AL63" i="7" s="1"/>
  <c r="AA7" i="8"/>
  <c r="AA13" i="8" s="1"/>
  <c r="AI23" i="8"/>
  <c r="AJ38" i="7"/>
  <c r="W28" i="8"/>
  <c r="X21" i="8"/>
  <c r="AC15" i="8"/>
  <c r="AD8" i="8"/>
  <c r="AK89" i="8"/>
  <c r="AJ89" i="8"/>
  <c r="AI89" i="8"/>
  <c r="AM89" i="8" s="1"/>
  <c r="AG11" i="8"/>
  <c r="AH37" i="7"/>
  <c r="AJ72" i="1"/>
  <c r="AJ74" i="1" s="1"/>
  <c r="AK59" i="8"/>
  <c r="AJ59" i="8"/>
  <c r="AL59" i="8" s="1"/>
  <c r="AJ71" i="8"/>
  <c r="AL71" i="8" s="1"/>
  <c r="AC58" i="1"/>
  <c r="AE26" i="7"/>
  <c r="AL56" i="8"/>
  <c r="AJ56" i="8"/>
  <c r="AI56" i="8"/>
  <c r="AK56" i="8" s="1"/>
  <c r="AM56" i="8" s="1"/>
  <c r="AI69" i="7"/>
  <c r="AI52" i="7"/>
  <c r="AJ42" i="8"/>
  <c r="AI42" i="8"/>
  <c r="AL42" i="8" s="1"/>
  <c r="AI73" i="1"/>
  <c r="AL36" i="8"/>
  <c r="AG74" i="1"/>
  <c r="AG59" i="1"/>
  <c r="AG40" i="1"/>
  <c r="AG73" i="1" s="1"/>
  <c r="AM40" i="8" l="1"/>
  <c r="AL66" i="7"/>
  <c r="AL67" i="7"/>
  <c r="AL65" i="7"/>
  <c r="AJ63" i="8"/>
  <c r="AG68" i="7"/>
  <c r="AG51" i="7"/>
  <c r="AG33" i="7"/>
  <c r="AB11" i="8"/>
  <c r="AC37" i="7"/>
  <c r="AM77" i="8"/>
  <c r="AM87" i="8"/>
  <c r="AM95" i="8" s="1"/>
  <c r="AA69" i="7"/>
  <c r="AA52" i="7"/>
  <c r="AA59" i="7" s="1"/>
  <c r="AK11" i="8"/>
  <c r="AL37" i="7"/>
  <c r="AH68" i="7"/>
  <c r="AH33" i="7"/>
  <c r="AH51" i="7"/>
  <c r="AJ79" i="8"/>
  <c r="AL60" i="8"/>
  <c r="AL63" i="8" s="1"/>
  <c r="AI95" i="8"/>
  <c r="AC69" i="7"/>
  <c r="AC52" i="7"/>
  <c r="AC59" i="7" s="1"/>
  <c r="AJ58" i="1"/>
  <c r="AK77" i="8"/>
  <c r="AK43" i="8"/>
  <c r="AM43" i="8" s="1"/>
  <c r="AK40" i="8"/>
  <c r="AK47" i="8" s="1"/>
  <c r="AF68" i="7"/>
  <c r="AF33" i="7"/>
  <c r="AF51" i="7"/>
  <c r="AL40" i="8"/>
  <c r="AL47" i="8" s="1"/>
  <c r="AM51" i="7"/>
  <c r="AM68" i="7"/>
  <c r="AM33" i="7"/>
  <c r="AL58" i="8"/>
  <c r="AJ73" i="1"/>
  <c r="AC11" i="8"/>
  <c r="AD37" i="7"/>
  <c r="C28" i="8"/>
  <c r="D17" i="8"/>
  <c r="AK74" i="8"/>
  <c r="AM74" i="8" s="1"/>
  <c r="AM79" i="8" s="1"/>
  <c r="AM58" i="8"/>
  <c r="AM63" i="8" s="1"/>
  <c r="AK73" i="1"/>
  <c r="AI47" i="8"/>
  <c r="AJ69" i="7"/>
  <c r="AJ52" i="7"/>
  <c r="AJ59" i="7" s="1"/>
  <c r="AM69" i="7"/>
  <c r="AM52" i="7"/>
  <c r="AM59" i="7" s="1"/>
  <c r="Z11" i="8"/>
  <c r="AA37" i="7"/>
  <c r="AG58" i="1"/>
  <c r="AL89" i="8"/>
  <c r="AL95" i="8" s="1"/>
  <c r="AJ47" i="8"/>
  <c r="AK77" i="1"/>
  <c r="AK75" i="1"/>
  <c r="AK76" i="1"/>
  <c r="AA8" i="8"/>
  <c r="Z15" i="8"/>
  <c r="AB69" i="7"/>
  <c r="AB52" i="7"/>
  <c r="AB59" i="7" s="1"/>
  <c r="AM59" i="8"/>
  <c r="AM42" i="8"/>
  <c r="AJ68" i="7"/>
  <c r="AJ33" i="7"/>
  <c r="AJ51" i="7"/>
  <c r="AL69" i="7"/>
  <c r="AL52" i="7"/>
  <c r="AL59" i="7" s="1"/>
  <c r="AE69" i="7"/>
  <c r="AE52" i="7"/>
  <c r="AE59" i="7" s="1"/>
  <c r="AJ77" i="1"/>
  <c r="AJ75" i="1"/>
  <c r="AD69" i="7"/>
  <c r="AD52" i="7"/>
  <c r="AD59" i="7" s="1"/>
  <c r="AL26" i="7"/>
  <c r="AC127" i="7"/>
  <c r="AC46" i="7"/>
  <c r="AI63" i="8"/>
  <c r="AL79" i="8"/>
  <c r="AI79" i="8"/>
  <c r="AK66" i="7"/>
  <c r="AK65" i="7"/>
  <c r="AK67" i="7"/>
  <c r="Z69" i="7"/>
  <c r="Z52" i="7"/>
  <c r="Z59" i="7" s="1"/>
  <c r="Z68" i="7"/>
  <c r="Z51" i="7"/>
  <c r="Z33" i="7"/>
  <c r="C15" i="8"/>
  <c r="D4" i="8"/>
  <c r="AD46" i="7"/>
  <c r="AP46" i="7" s="1"/>
  <c r="AD127" i="7"/>
  <c r="AD11" i="8"/>
  <c r="AE37" i="7"/>
  <c r="Y26" i="7"/>
  <c r="AK63" i="8"/>
  <c r="D30" i="7"/>
  <c r="D5" i="7"/>
  <c r="AL72" i="1"/>
  <c r="AI68" i="7"/>
  <c r="AI51" i="7"/>
  <c r="AI33" i="7"/>
  <c r="AM78" i="8"/>
  <c r="AK68" i="7"/>
  <c r="AK51" i="7"/>
  <c r="AK33" i="7"/>
  <c r="AK42" i="8"/>
  <c r="Y68" i="7"/>
  <c r="Y51" i="7"/>
  <c r="AK69" i="7"/>
  <c r="AK52" i="7"/>
  <c r="AK59" i="7" s="1"/>
  <c r="X23" i="8"/>
  <c r="Y38" i="7"/>
  <c r="AM39" i="8"/>
  <c r="AM47" i="8" s="1"/>
  <c r="AN33" i="7"/>
  <c r="AN132" i="7" s="1"/>
  <c r="AN52" i="7"/>
  <c r="AK95" i="8"/>
  <c r="AJ95" i="8"/>
  <c r="D20" i="8" l="1"/>
  <c r="D27" i="8" s="1"/>
  <c r="E10" i="7"/>
  <c r="E31" i="7" s="1"/>
  <c r="E59" i="7" s="1"/>
  <c r="AA11" i="8"/>
  <c r="AB37" i="7"/>
  <c r="AL68" i="7"/>
  <c r="AL51" i="7"/>
  <c r="AL33" i="7"/>
  <c r="AH132" i="7"/>
  <c r="AH64" i="7"/>
  <c r="AM47" i="7"/>
  <c r="AM58" i="7"/>
  <c r="AM54" i="7" s="1"/>
  <c r="AG132" i="7"/>
  <c r="AG64" i="7"/>
  <c r="AD68" i="7"/>
  <c r="AD51" i="7"/>
  <c r="AD33" i="7"/>
  <c r="AN59" i="7"/>
  <c r="AN54" i="7" s="1"/>
  <c r="AN61" i="7" s="1"/>
  <c r="AN47" i="7"/>
  <c r="AF47" i="7"/>
  <c r="AF58" i="7"/>
  <c r="AF54" i="7" s="1"/>
  <c r="AG47" i="7"/>
  <c r="AG58" i="7"/>
  <c r="AG54" i="7" s="1"/>
  <c r="AG61" i="7" s="1"/>
  <c r="Y69" i="7"/>
  <c r="Y52" i="7"/>
  <c r="Y59" i="7" s="1"/>
  <c r="AM132" i="7"/>
  <c r="AM64" i="7"/>
  <c r="E9" i="7"/>
  <c r="D7" i="8"/>
  <c r="D14" i="8" s="1"/>
  <c r="Y47" i="7"/>
  <c r="Y58" i="7"/>
  <c r="Y54" i="7" s="1"/>
  <c r="Z132" i="7"/>
  <c r="Z64" i="7"/>
  <c r="AK132" i="7"/>
  <c r="AK64" i="7"/>
  <c r="AK58" i="7"/>
  <c r="AK54" i="7" s="1"/>
  <c r="AK47" i="7"/>
  <c r="AL77" i="1"/>
  <c r="AL75" i="1"/>
  <c r="AL76" i="1"/>
  <c r="AL74" i="1"/>
  <c r="AL73" i="1"/>
  <c r="Y33" i="7"/>
  <c r="AC68" i="7"/>
  <c r="AC33" i="7"/>
  <c r="AC51" i="7"/>
  <c r="AJ47" i="7"/>
  <c r="AJ58" i="7"/>
  <c r="AJ54" i="7" s="1"/>
  <c r="AJ132" i="7"/>
  <c r="AJ64" i="7"/>
  <c r="AH58" i="7"/>
  <c r="AH54" i="7" s="1"/>
  <c r="AH61" i="7" s="1"/>
  <c r="AH47" i="7"/>
  <c r="AA68" i="7"/>
  <c r="AA33" i="7"/>
  <c r="AA51" i="7"/>
  <c r="AF132" i="7"/>
  <c r="AF64" i="7"/>
  <c r="Z47" i="7"/>
  <c r="Z58" i="7"/>
  <c r="Z54" i="7" s="1"/>
  <c r="AK79" i="8"/>
  <c r="AI132" i="7"/>
  <c r="AI64" i="7"/>
  <c r="D58" i="7"/>
  <c r="D54" i="7" s="1"/>
  <c r="D61" i="7" s="1"/>
  <c r="D26" i="7"/>
  <c r="AE68" i="7"/>
  <c r="AE51" i="7"/>
  <c r="AE33" i="7"/>
  <c r="AI58" i="7"/>
  <c r="AI54" i="7" s="1"/>
  <c r="AI47" i="7"/>
  <c r="AE47" i="7" l="1"/>
  <c r="AE58" i="7"/>
  <c r="AE54" i="7" s="1"/>
  <c r="AE61" i="7" s="1"/>
  <c r="AF61" i="7"/>
  <c r="AD132" i="7"/>
  <c r="AD64" i="7"/>
  <c r="AD47" i="7"/>
  <c r="AP47" i="7" s="1"/>
  <c r="AD58" i="7"/>
  <c r="AD54" i="7" s="1"/>
  <c r="AD61" i="7" s="1"/>
  <c r="AE64" i="7"/>
  <c r="AE132" i="7"/>
  <c r="Y64" i="7"/>
  <c r="Y132" i="7"/>
  <c r="Y61" i="7"/>
  <c r="AC64" i="7"/>
  <c r="AC132" i="7"/>
  <c r="AK61" i="7"/>
  <c r="AM61" i="7"/>
  <c r="AA47" i="7"/>
  <c r="Z61" i="7" s="1"/>
  <c r="AA58" i="7"/>
  <c r="AA54" i="7" s="1"/>
  <c r="AA64" i="7"/>
  <c r="AA132" i="7"/>
  <c r="AL132" i="7"/>
  <c r="AL64" i="7"/>
  <c r="D15" i="8"/>
  <c r="E4" i="8"/>
  <c r="AL47" i="7"/>
  <c r="AL58" i="7"/>
  <c r="AL54" i="7" s="1"/>
  <c r="AL61" i="7" s="1"/>
  <c r="E30" i="7"/>
  <c r="E5" i="7"/>
  <c r="AB68" i="7"/>
  <c r="AB33" i="7"/>
  <c r="AB51" i="7"/>
  <c r="AJ61" i="7"/>
  <c r="AI61" i="7"/>
  <c r="AC47" i="7"/>
  <c r="AC58" i="7"/>
  <c r="AC54" i="7" s="1"/>
  <c r="AC61" i="7" s="1"/>
  <c r="D28" i="8"/>
  <c r="E17" i="8"/>
  <c r="F10" i="7" l="1"/>
  <c r="F31" i="7" s="1"/>
  <c r="F59" i="7" s="1"/>
  <c r="E20" i="8"/>
  <c r="E27" i="8" s="1"/>
  <c r="AB47" i="7"/>
  <c r="AA61" i="7" s="1"/>
  <c r="AB58" i="7"/>
  <c r="AB54" i="7" s="1"/>
  <c r="AB61" i="7" s="1"/>
  <c r="AB64" i="7"/>
  <c r="AB132" i="7"/>
  <c r="E58" i="7"/>
  <c r="E54" i="7" s="1"/>
  <c r="E61" i="7" s="1"/>
  <c r="E26" i="7"/>
  <c r="E7" i="8"/>
  <c r="E14" i="8" s="1"/>
  <c r="F9" i="7"/>
  <c r="F30" i="7" l="1"/>
  <c r="F5" i="7"/>
  <c r="E15" i="8"/>
  <c r="F4" i="8"/>
  <c r="E28" i="8"/>
  <c r="F17" i="8"/>
  <c r="F20" i="8" l="1"/>
  <c r="F27" i="8" s="1"/>
  <c r="G10" i="7"/>
  <c r="G31" i="7" s="1"/>
  <c r="G59" i="7" s="1"/>
  <c r="F7" i="8"/>
  <c r="F14" i="8" s="1"/>
  <c r="G9" i="7"/>
  <c r="F26" i="7"/>
  <c r="F58" i="7"/>
  <c r="F54" i="7" s="1"/>
  <c r="F61" i="7" s="1"/>
  <c r="F15" i="8" l="1"/>
  <c r="G4" i="8"/>
  <c r="G30" i="7"/>
  <c r="G5" i="7"/>
  <c r="F28" i="8"/>
  <c r="G17" i="8"/>
  <c r="G7" i="8" l="1"/>
  <c r="G14" i="8" s="1"/>
  <c r="H9" i="7"/>
  <c r="G20" i="8"/>
  <c r="G27" i="8" s="1"/>
  <c r="H10" i="7"/>
  <c r="H31" i="7" s="1"/>
  <c r="H59" i="7" s="1"/>
  <c r="G58" i="7"/>
  <c r="G54" i="7" s="1"/>
  <c r="G61" i="7" s="1"/>
  <c r="G26" i="7"/>
  <c r="H30" i="7" l="1"/>
  <c r="H5" i="7"/>
  <c r="G28" i="8"/>
  <c r="H17" i="8"/>
  <c r="G15" i="8"/>
  <c r="H4" i="8"/>
  <c r="H7" i="8" l="1"/>
  <c r="H14" i="8" s="1"/>
  <c r="I9" i="7"/>
  <c r="H20" i="8"/>
  <c r="H27" i="8" s="1"/>
  <c r="I10" i="7"/>
  <c r="I31" i="7" s="1"/>
  <c r="I59" i="7" s="1"/>
  <c r="H58" i="7"/>
  <c r="H54" i="7" s="1"/>
  <c r="H61" i="7" s="1"/>
  <c r="H26" i="7"/>
  <c r="I17" i="8" l="1"/>
  <c r="H28" i="8"/>
  <c r="I30" i="7"/>
  <c r="I5" i="7"/>
  <c r="H15" i="8"/>
  <c r="I4" i="8"/>
  <c r="I7" i="8" l="1"/>
  <c r="I14" i="8" s="1"/>
  <c r="J9" i="7"/>
  <c r="I58" i="7"/>
  <c r="I54" i="7" s="1"/>
  <c r="I61" i="7" s="1"/>
  <c r="I26" i="7"/>
  <c r="I20" i="8"/>
  <c r="I27" i="8" s="1"/>
  <c r="J10" i="7"/>
  <c r="J31" i="7" s="1"/>
  <c r="J59" i="7" s="1"/>
  <c r="I28" i="8" l="1"/>
  <c r="J17" i="8"/>
  <c r="J30" i="7"/>
  <c r="J5" i="7"/>
  <c r="I15" i="8"/>
  <c r="J4" i="8"/>
  <c r="J58" i="7" l="1"/>
  <c r="J54" i="7" s="1"/>
  <c r="J61" i="7" s="1"/>
  <c r="J26" i="7"/>
  <c r="J20" i="8"/>
  <c r="J27" i="8" s="1"/>
  <c r="K10" i="7"/>
  <c r="K31" i="7" s="1"/>
  <c r="K59" i="7" s="1"/>
  <c r="J7" i="8"/>
  <c r="J14" i="8" s="1"/>
  <c r="K9" i="7"/>
  <c r="K30" i="7" l="1"/>
  <c r="K5" i="7"/>
  <c r="K17" i="8"/>
  <c r="J28" i="8"/>
  <c r="J15" i="8"/>
  <c r="K4" i="8"/>
  <c r="K7" i="8" l="1"/>
  <c r="K14" i="8" s="1"/>
  <c r="L9" i="7"/>
  <c r="K20" i="8"/>
  <c r="K27" i="8" s="1"/>
  <c r="L10" i="7"/>
  <c r="L31" i="7" s="1"/>
  <c r="L59" i="7" s="1"/>
  <c r="K58" i="7"/>
  <c r="K54" i="7" s="1"/>
  <c r="K61" i="7" s="1"/>
  <c r="K26" i="7"/>
  <c r="L30" i="7" l="1"/>
  <c r="L5" i="7"/>
  <c r="L17" i="8"/>
  <c r="K28" i="8"/>
  <c r="K15" i="8"/>
  <c r="L4" i="8"/>
  <c r="L20" i="8" l="1"/>
  <c r="L27" i="8" s="1"/>
  <c r="M10" i="7"/>
  <c r="M31" i="7" s="1"/>
  <c r="M59" i="7" s="1"/>
  <c r="L7" i="8"/>
  <c r="L14" i="8" s="1"/>
  <c r="M9" i="7"/>
  <c r="L58" i="7"/>
  <c r="L54" i="7" s="1"/>
  <c r="L61" i="7" s="1"/>
  <c r="L26" i="7"/>
  <c r="M30" i="7" l="1"/>
  <c r="M5" i="7"/>
  <c r="L15" i="8"/>
  <c r="M4" i="8"/>
  <c r="M17" i="8"/>
  <c r="L28" i="8"/>
  <c r="M20" i="8" l="1"/>
  <c r="M27" i="8" s="1"/>
  <c r="N10" i="7"/>
  <c r="N31" i="7" s="1"/>
  <c r="N59" i="7" s="1"/>
  <c r="M7" i="8"/>
  <c r="M14" i="8" s="1"/>
  <c r="N9" i="7"/>
  <c r="M58" i="7"/>
  <c r="M54" i="7" s="1"/>
  <c r="M61" i="7" s="1"/>
  <c r="M26" i="7"/>
  <c r="N30" i="7" l="1"/>
  <c r="N5" i="7"/>
  <c r="M15" i="8"/>
  <c r="N4" i="8"/>
  <c r="N17" i="8"/>
  <c r="M28" i="8"/>
  <c r="N20" i="8" l="1"/>
  <c r="N27" i="8" s="1"/>
  <c r="O10" i="7"/>
  <c r="O31" i="7" s="1"/>
  <c r="O59" i="7" s="1"/>
  <c r="N7" i="8"/>
  <c r="N14" i="8" s="1"/>
  <c r="O9" i="7"/>
  <c r="N58" i="7"/>
  <c r="N54" i="7" s="1"/>
  <c r="N61" i="7" s="1"/>
  <c r="N26" i="7"/>
  <c r="O30" i="7" l="1"/>
  <c r="O5" i="7"/>
  <c r="O4" i="8"/>
  <c r="N15" i="8"/>
  <c r="O17" i="8"/>
  <c r="N28" i="8"/>
  <c r="O20" i="8" l="1"/>
  <c r="O27" i="8" s="1"/>
  <c r="P10" i="7"/>
  <c r="P31" i="7" s="1"/>
  <c r="P59" i="7" s="1"/>
  <c r="O7" i="8"/>
  <c r="O14" i="8" s="1"/>
  <c r="P9" i="7"/>
  <c r="O58" i="7"/>
  <c r="O54" i="7" s="1"/>
  <c r="O61" i="7" s="1"/>
  <c r="O26" i="7"/>
  <c r="P4" i="8" l="1"/>
  <c r="O15" i="8"/>
  <c r="P5" i="7"/>
  <c r="P30" i="7"/>
  <c r="P17" i="8"/>
  <c r="O28" i="8"/>
  <c r="Q10" i="7" l="1"/>
  <c r="Q31" i="7" s="1"/>
  <c r="Q59" i="7" s="1"/>
  <c r="P20" i="8"/>
  <c r="P27" i="8" s="1"/>
  <c r="P58" i="7"/>
  <c r="P54" i="7" s="1"/>
  <c r="P61" i="7" s="1"/>
  <c r="P26" i="7"/>
  <c r="P7" i="8"/>
  <c r="P14" i="8" s="1"/>
  <c r="Q9" i="7"/>
  <c r="Q4" i="8" l="1"/>
  <c r="P15" i="8"/>
  <c r="Q17" i="8"/>
  <c r="P28" i="8"/>
  <c r="Q5" i="7"/>
  <c r="Q30" i="7"/>
  <c r="R10" i="7" l="1"/>
  <c r="R31" i="7" s="1"/>
  <c r="R59" i="7" s="1"/>
  <c r="Q20" i="8"/>
  <c r="Q27" i="8" s="1"/>
  <c r="Q58" i="7"/>
  <c r="Q54" i="7" s="1"/>
  <c r="Q61" i="7" s="1"/>
  <c r="Q26" i="7"/>
  <c r="Q7" i="8"/>
  <c r="Q14" i="8" s="1"/>
  <c r="R9" i="7"/>
  <c r="R5" i="7" l="1"/>
  <c r="R30" i="7"/>
  <c r="R17" i="8"/>
  <c r="Q28" i="8"/>
  <c r="R4" i="8"/>
  <c r="Q15" i="8"/>
  <c r="R7" i="8" l="1"/>
  <c r="R14" i="8" s="1"/>
  <c r="S9" i="7"/>
  <c r="S10" i="7"/>
  <c r="S31" i="7" s="1"/>
  <c r="S59" i="7" s="1"/>
  <c r="R20" i="8"/>
  <c r="R27" i="8" s="1"/>
  <c r="R58" i="7"/>
  <c r="R54" i="7" s="1"/>
  <c r="R61" i="7" s="1"/>
  <c r="R26" i="7"/>
  <c r="S17" i="8" l="1"/>
  <c r="R28" i="8"/>
  <c r="S30" i="7"/>
  <c r="S5" i="7"/>
  <c r="S4" i="8"/>
  <c r="R15" i="8"/>
  <c r="S7" i="8" l="1"/>
  <c r="S14" i="8" s="1"/>
  <c r="T9" i="7"/>
  <c r="S58" i="7"/>
  <c r="S54" i="7" s="1"/>
  <c r="S61" i="7" s="1"/>
  <c r="S26" i="7"/>
  <c r="T10" i="7"/>
  <c r="T31" i="7" s="1"/>
  <c r="T59" i="7" s="1"/>
  <c r="S20" i="8"/>
  <c r="S27" i="8" s="1"/>
  <c r="T17" i="8" l="1"/>
  <c r="S28" i="8"/>
  <c r="T30" i="7"/>
  <c r="T5" i="7"/>
  <c r="T4" i="8"/>
  <c r="S15" i="8"/>
  <c r="T7" i="8" l="1"/>
  <c r="T14" i="8" s="1"/>
  <c r="U9" i="7"/>
  <c r="T58" i="7"/>
  <c r="T54" i="7" s="1"/>
  <c r="T61" i="7" s="1"/>
  <c r="T26" i="7"/>
  <c r="T20" i="8"/>
  <c r="T27" i="8" s="1"/>
  <c r="U10" i="7"/>
  <c r="U31" i="7" s="1"/>
  <c r="U59" i="7" s="1"/>
  <c r="T28" i="8" l="1"/>
  <c r="U17" i="8"/>
  <c r="U5" i="7"/>
  <c r="U30" i="7"/>
  <c r="U4" i="8"/>
  <c r="T15" i="8"/>
  <c r="U26" i="7" l="1"/>
  <c r="U58" i="7"/>
  <c r="U54" i="7" s="1"/>
  <c r="U61" i="7" s="1"/>
  <c r="U20" i="8"/>
  <c r="U27" i="8" s="1"/>
  <c r="V10" i="7"/>
  <c r="V31" i="7" s="1"/>
  <c r="V59" i="7" s="1"/>
  <c r="U7" i="8"/>
  <c r="U14" i="8" s="1"/>
  <c r="V9" i="7"/>
  <c r="V4" i="8" l="1"/>
  <c r="U15" i="8"/>
  <c r="V5" i="7"/>
  <c r="V30" i="7"/>
  <c r="U28" i="8"/>
  <c r="V17" i="8"/>
  <c r="V20" i="8" l="1"/>
  <c r="V27" i="8" s="1"/>
  <c r="W10" i="7"/>
  <c r="W31" i="7" s="1"/>
  <c r="W59" i="7" s="1"/>
  <c r="V58" i="7"/>
  <c r="V54" i="7" s="1"/>
  <c r="V61" i="7" s="1"/>
  <c r="V26" i="7"/>
  <c r="V7" i="8"/>
  <c r="V14" i="8" s="1"/>
  <c r="W9" i="7"/>
  <c r="W5" i="7" l="1"/>
  <c r="W30" i="7"/>
  <c r="W4" i="8"/>
  <c r="W17" i="8"/>
  <c r="W58" i="7" l="1"/>
  <c r="W54" i="7" s="1"/>
  <c r="W26" i="7"/>
  <c r="W20" i="8"/>
  <c r="W26" i="8" s="1"/>
  <c r="X10" i="7"/>
  <c r="X31" i="7" s="1"/>
  <c r="W7" i="8"/>
  <c r="W13" i="8" s="1"/>
  <c r="X9" i="7"/>
  <c r="W8" i="8" l="1"/>
  <c r="V15" i="8"/>
  <c r="W21" i="8"/>
  <c r="V28" i="8"/>
  <c r="X5" i="7"/>
  <c r="X30" i="7"/>
  <c r="X26" i="7" l="1"/>
  <c r="W23" i="8"/>
  <c r="X38" i="7"/>
  <c r="W11" i="8"/>
  <c r="X37" i="7"/>
  <c r="X68" i="7" l="1"/>
  <c r="X51" i="7"/>
  <c r="X33" i="7"/>
  <c r="X69" i="7"/>
  <c r="X52" i="7"/>
  <c r="X59" i="7" s="1"/>
  <c r="X132" i="7" l="1"/>
  <c r="X64" i="7"/>
  <c r="X47" i="7"/>
  <c r="W61" i="7" s="1"/>
  <c r="X58" i="7"/>
  <c r="X54" i="7" s="1"/>
  <c r="X61" i="7" s="1"/>
</calcChain>
</file>

<file path=xl/sharedStrings.xml><?xml version="1.0" encoding="utf-8"?>
<sst xmlns="http://schemas.openxmlformats.org/spreadsheetml/2006/main" count="429" uniqueCount="138">
  <si>
    <t>EU OILSEED BALANCE SHEET</t>
  </si>
  <si>
    <t>(000 hectares/000 tonnes)</t>
  </si>
  <si>
    <t xml:space="preserve">93/94 </t>
  </si>
  <si>
    <t xml:space="preserve">94/95 </t>
  </si>
  <si>
    <t xml:space="preserve">95/96 </t>
  </si>
  <si>
    <t xml:space="preserve">96/97 </t>
  </si>
  <si>
    <t xml:space="preserve">97/98 </t>
  </si>
  <si>
    <t xml:space="preserve">98/99 </t>
  </si>
  <si>
    <t xml:space="preserve">99/00 </t>
  </si>
  <si>
    <t xml:space="preserve">00/01 </t>
  </si>
  <si>
    <t xml:space="preserve">01/02 </t>
  </si>
  <si>
    <t xml:space="preserve">02/03 </t>
  </si>
  <si>
    <t xml:space="preserve">03/04 </t>
  </si>
  <si>
    <t xml:space="preserve">04/05 </t>
  </si>
  <si>
    <t xml:space="preserve">05/06 </t>
  </si>
  <si>
    <t xml:space="preserve">06/07 </t>
  </si>
  <si>
    <t xml:space="preserve">07/08 </t>
  </si>
  <si>
    <t xml:space="preserve">08/09 </t>
  </si>
  <si>
    <t xml:space="preserve">09/10 </t>
  </si>
  <si>
    <t xml:space="preserve">10/11 </t>
  </si>
  <si>
    <t xml:space="preserve">11/12 </t>
  </si>
  <si>
    <t xml:space="preserve">12/13 </t>
  </si>
  <si>
    <t xml:space="preserve">13/14 </t>
  </si>
  <si>
    <t xml:space="preserve">14/15 </t>
  </si>
  <si>
    <t xml:space="preserve">15/16 </t>
  </si>
  <si>
    <t xml:space="preserve">16/17 </t>
  </si>
  <si>
    <t xml:space="preserve">17/18 </t>
  </si>
  <si>
    <t xml:space="preserve">18/19 </t>
  </si>
  <si>
    <t>19/20</t>
  </si>
  <si>
    <t>20/21</t>
  </si>
  <si>
    <t>21/22</t>
  </si>
  <si>
    <t>22/23</t>
  </si>
  <si>
    <t>23/24</t>
  </si>
  <si>
    <t>HARVESTED AREA</t>
  </si>
  <si>
    <t xml:space="preserve">  Soybeans</t>
  </si>
  <si>
    <t xml:space="preserve">  Rapeseed</t>
  </si>
  <si>
    <t xml:space="preserve">  Sunflower</t>
  </si>
  <si>
    <t>BEGINNING STOCKS</t>
  </si>
  <si>
    <t>PRODUCTION</t>
  </si>
  <si>
    <t>IMPORTS</t>
  </si>
  <si>
    <t>TOTAL SUPPLY</t>
  </si>
  <si>
    <t>EXPORTS</t>
  </si>
  <si>
    <t>TOTAL DOMESTIC USE</t>
  </si>
  <si>
    <t>CRUSH</t>
  </si>
  <si>
    <t>OTHER</t>
  </si>
  <si>
    <t>TOTAL DEMAND</t>
  </si>
  <si>
    <t>ENDING STOCKS</t>
  </si>
  <si>
    <t>(add cottonseed, and peanut/groundnut)</t>
  </si>
  <si>
    <t>EU MEAL BALANCE SHEET</t>
  </si>
  <si>
    <t>(000 acres/000 tonnes)</t>
  </si>
  <si>
    <t>BEGINNING STOCKS (October 1)</t>
  </si>
  <si>
    <t>Soybean</t>
  </si>
  <si>
    <t>Rapeseed</t>
  </si>
  <si>
    <t>Sunflower</t>
  </si>
  <si>
    <t xml:space="preserve">Palm </t>
  </si>
  <si>
    <t>DOMESTIC USAGE</t>
  </si>
  <si>
    <t>TOTAL USE</t>
  </si>
  <si>
    <t>ENDING STOCKS (September 30)</t>
  </si>
  <si>
    <t>EU VEGETABLE OIL BALANCE SHEET</t>
  </si>
  <si>
    <t>(000 tonnes)</t>
  </si>
  <si>
    <t xml:space="preserve">19/20 </t>
  </si>
  <si>
    <t xml:space="preserve">20/21 </t>
  </si>
  <si>
    <t xml:space="preserve">21/22 </t>
  </si>
  <si>
    <t xml:space="preserve">22/23 </t>
  </si>
  <si>
    <t xml:space="preserve">23/24 </t>
  </si>
  <si>
    <t xml:space="preserve">24/25 </t>
  </si>
  <si>
    <t xml:space="preserve">25/26 </t>
  </si>
  <si>
    <t xml:space="preserve">26/27 </t>
  </si>
  <si>
    <t xml:space="preserve">27/28 </t>
  </si>
  <si>
    <t xml:space="preserve">28/29 </t>
  </si>
  <si>
    <t xml:space="preserve">29/30 </t>
  </si>
  <si>
    <t xml:space="preserve">30/31 </t>
  </si>
  <si>
    <t>30/32</t>
  </si>
  <si>
    <t>Palm Kernel Oil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</si>
  <si>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</si>
  <si>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Industrial Use</t>
  </si>
  <si>
    <t>Total</t>
  </si>
  <si>
    <t>Exporting Countries (000 tonnes)</t>
  </si>
  <si>
    <t>United States</t>
  </si>
  <si>
    <t>Groundnut</t>
  </si>
  <si>
    <t>Cottonseed</t>
  </si>
  <si>
    <t>Canada</t>
  </si>
  <si>
    <t>Russia</t>
  </si>
  <si>
    <t>Ukraine</t>
  </si>
  <si>
    <t>Brazil</t>
  </si>
  <si>
    <t>Argentina</t>
  </si>
  <si>
    <t>European Union</t>
  </si>
  <si>
    <t>North America</t>
  </si>
  <si>
    <t>Black Sea</t>
  </si>
  <si>
    <t>South America</t>
  </si>
  <si>
    <t>Europe</t>
  </si>
  <si>
    <t>Other</t>
  </si>
  <si>
    <t>Check</t>
  </si>
  <si>
    <t>Industrial</t>
  </si>
  <si>
    <t>Food</t>
  </si>
  <si>
    <t>EU PALM COMPLEX SUPPLY AND DEMAND</t>
  </si>
  <si>
    <t>24/25</t>
  </si>
  <si>
    <t>25/26</t>
  </si>
  <si>
    <t>26/27</t>
  </si>
  <si>
    <t>27/28</t>
  </si>
  <si>
    <t>28/29</t>
  </si>
  <si>
    <t>29/30</t>
  </si>
  <si>
    <t>30/31</t>
  </si>
  <si>
    <t>EU-28 PALM OIL SUPPLY AND DEMAND (1,000 Tonnes)</t>
  </si>
  <si>
    <t>Carryin (October 1)</t>
  </si>
  <si>
    <t>Production</t>
  </si>
  <si>
    <t>Imports</t>
  </si>
  <si>
    <t xml:space="preserve">    Total Supply</t>
  </si>
  <si>
    <t>Domestic Usage</t>
  </si>
  <si>
    <t xml:space="preserve">  Industrail Usage</t>
  </si>
  <si>
    <t xml:space="preserve">  Feed Usage</t>
  </si>
  <si>
    <t xml:space="preserve">  Food Usage</t>
  </si>
  <si>
    <t>Exports</t>
  </si>
  <si>
    <t xml:space="preserve">    Total Use</t>
  </si>
  <si>
    <t>Carryout (September 30)</t>
  </si>
  <si>
    <r>
      <t xml:space="preserve">Days of Coverage </t>
    </r>
    <r>
      <rPr>
        <sz val="8"/>
        <color theme="1"/>
        <rFont val="Bahnschrift SemiBold"/>
        <family val="2"/>
      </rPr>
      <t>(next year demand)</t>
    </r>
  </si>
  <si>
    <t>EU-28 PALM KERNEL OIL SUPPLY AND DEMAND (1,000 Tonnes)</t>
  </si>
  <si>
    <t>Beginning Stocks (October 1)</t>
  </si>
  <si>
    <t>Ending Stocks (September 30)</t>
  </si>
  <si>
    <t>We need to add trade sheets for PO and PKO imports and export for the EU.</t>
  </si>
  <si>
    <t>PALM OIL IMPORTS (1,000 Tonnes)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</si>
  <si>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</si>
  <si>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</si>
  <si>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</si>
  <si>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</si>
  <si>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</si>
  <si>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</si>
  <si>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</si>
  <si>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</si>
  <si>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</si>
  <si>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</si>
  <si>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</si>
  <si>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</si>
  <si>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 xml:space="preserve">    Total</t>
  </si>
  <si>
    <t>PALM OIL EXPORTS (1,000 Tonnes)</t>
  </si>
  <si>
    <t>PALM KERNEL OIL IMPORTS (1,000 Tonnes)</t>
  </si>
  <si>
    <t xml:space="preserve"> </t>
  </si>
  <si>
    <t>PALM KERNEL OIL EXPORTS (1,000 Tonnes)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</si>
</sst>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_);[Red]\(0\)"/>
    <numFmt numFmtId="165" formatCode="#,##0.0_);[Red]\(#,##0.0\)"/>
    <numFmt numFmtId="166" formatCode="#,##0.0"/>
  </numFmts>
  <fonts count="25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rgb="FFFFFFFF"/>
      <name val="Helvetica-Normal"/>
    </font>
    <font>
      <sz val="11"/>
      <color theme="1"/>
      <name val="Arial Narrow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Helvetica-Normal"/>
    </font>
    <font>
      <sz val="11"/>
      <color theme="1"/>
      <name val="Helvetica-Normal"/>
    </font>
    <font>
      <sz val="12"/>
      <color theme="1"/>
      <name val="Helvetica-Normal"/>
    </font>
    <font>
      <sz val="11"/>
      <color rgb="FFFFFFFF"/>
      <name val="Aptos Narrow"/>
      <family val="2"/>
      <scheme val="minor"/>
    </font>
    <font>
      <b/>
      <sz val="8"/>
      <color rgb="FFFFFFFF"/>
      <name val="Avenir Next LT Pro Demi"/>
      <family val="2"/>
    </font>
    <font>
      <sz val="8"/>
      <color theme="1"/>
      <name val="Avenir Next LT Pro Demi"/>
      <family val="2"/>
    </font>
    <font>
      <b/>
      <sz val="8"/>
      <color theme="1"/>
      <name val="Avenir Next LT Pro Demi"/>
      <family val="2"/>
    </font>
    <font>
      <sz val="8"/>
      <color rgb="FFFFFFFF"/>
      <name val="Avenir Next LT Pro Demi"/>
      <family val="2"/>
    </font>
    <font>
      <sz val="11"/>
      <color theme="1"/>
      <name val="Bahnschrift SemiBold"/>
      <family val="2"/>
    </font>
    <font>
      <b/>
      <sz val="12"/>
      <color theme="1"/>
      <name val="Aptos Narrow"/>
      <family val="2"/>
      <scheme val="minor"/>
    </font>
    <font>
      <b/>
      <sz val="1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Bahnschrift SemiBold"/>
      <family val="2"/>
    </font>
    <font>
      <b/>
      <sz val="10"/>
      <color theme="1"/>
      <name val="Helvetica-Normal"/>
    </font>
    <font>
      <sz val="10"/>
      <color theme="1"/>
      <name val="Helvetica-Normal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8C8C8C"/>
        <bgColor rgb="FF000000"/>
      </patternFill>
    </fill>
    <fill>
      <patternFill patternType="solid">
        <fgColor rgb="FF8C8C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6F079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rgb="FF6F0791"/>
      </bottom>
      <diagonal/>
    </border>
    <border>
      <left/>
      <right/>
      <top style="medium">
        <color rgb="FF6F0791"/>
      </top>
      <bottom/>
      <diagonal/>
    </border>
    <border>
      <left/>
      <right/>
      <top style="medium">
        <color rgb="FF8C8C8C"/>
      </top>
      <bottom/>
      <diagonal/>
    </border>
    <border>
      <left/>
      <right/>
      <top/>
      <bottom style="thin">
        <color rgb="FF6F0791"/>
      </bottom>
      <diagonal/>
    </border>
    <border>
      <left/>
      <right/>
      <top style="thin">
        <color rgb="FF6F0791"/>
      </top>
      <bottom/>
      <diagonal/>
    </border>
    <border>
      <left/>
      <right style="thin">
        <color rgb="FF6F0791"/>
      </right>
      <top/>
      <bottom style="thin">
        <color rgb="FF6F079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 style="medium">
        <color theme="1"/>
      </top>
      <bottom style="medium">
        <color rgb="FF6F0791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rgb="FF8C8C8C"/>
      </top>
      <bottom style="medium">
        <color rgb="FF8C8C8C"/>
      </bottom>
      <diagonal/>
    </border>
    <border>
      <left/>
      <right/>
      <top style="medium">
        <color rgb="FF335163"/>
      </top>
      <bottom style="medium">
        <color rgb="FF335163"/>
      </bottom>
      <diagonal/>
    </border>
    <border>
      <left/>
      <right/>
      <top/>
      <bottom style="thick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</cellStyleXfs>
  <cellXfs count="114"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1" fillId="3" borderId="1" xfId="3" applyFill="1" applyBorder="1"/>
    <xf numFmtId="0" fontId="1" fillId="0" borderId="0" xfId="3"/>
    <xf numFmtId="0" fontId="5" fillId="4" borderId="1" xfId="3" applyFont="1" applyFill="1" applyBorder="1" applyAlignment="1">
      <alignment horizontal="left"/>
    </xf>
    <xf numFmtId="0" fontId="6" fillId="4" borderId="1" xfId="3" applyFont="1" applyFill="1" applyBorder="1"/>
    <xf numFmtId="38" fontId="7" fillId="4" borderId="1" xfId="3" applyNumberFormat="1" applyFont="1" applyFill="1" applyBorder="1" applyAlignment="1">
      <alignment horizontal="center"/>
    </xf>
    <xf numFmtId="0" fontId="5" fillId="0" borderId="0" xfId="3" applyFont="1"/>
    <xf numFmtId="0" fontId="5" fillId="4" borderId="2" xfId="3" applyFont="1" applyFill="1" applyBorder="1" applyAlignment="1">
      <alignment horizontal="left"/>
    </xf>
    <xf numFmtId="0" fontId="6" fillId="4" borderId="2" xfId="3" applyFont="1" applyFill="1" applyBorder="1"/>
    <xf numFmtId="38" fontId="7" fillId="4" borderId="2" xfId="3" applyNumberFormat="1" applyFont="1" applyFill="1" applyBorder="1" applyAlignment="1">
      <alignment horizontal="center"/>
    </xf>
    <xf numFmtId="38" fontId="7" fillId="4" borderId="0" xfId="3" applyNumberFormat="1" applyFont="1" applyFill="1" applyAlignment="1">
      <alignment horizontal="center"/>
    </xf>
    <xf numFmtId="0" fontId="8" fillId="4" borderId="0" xfId="3" applyFont="1" applyFill="1" applyAlignment="1">
      <alignment horizontal="left"/>
    </xf>
    <xf numFmtId="38" fontId="7" fillId="4" borderId="0" xfId="3" applyNumberFormat="1" applyFont="1" applyFill="1" applyAlignment="1">
      <alignment horizontal="right"/>
    </xf>
    <xf numFmtId="0" fontId="9" fillId="4" borderId="2" xfId="3" applyFont="1" applyFill="1" applyBorder="1"/>
    <xf numFmtId="38" fontId="1" fillId="4" borderId="2" xfId="3" applyNumberFormat="1" applyFill="1" applyBorder="1" applyAlignment="1">
      <alignment horizontal="center"/>
    </xf>
    <xf numFmtId="0" fontId="5" fillId="4" borderId="0" xfId="3" applyFont="1" applyFill="1" applyAlignment="1">
      <alignment horizontal="left"/>
    </xf>
    <xf numFmtId="0" fontId="9" fillId="4" borderId="0" xfId="3" applyFont="1" applyFill="1"/>
    <xf numFmtId="38" fontId="1" fillId="4" borderId="0" xfId="3" applyNumberFormat="1" applyFill="1" applyAlignment="1">
      <alignment horizontal="center"/>
    </xf>
    <xf numFmtId="38" fontId="1" fillId="4" borderId="0" xfId="3" applyNumberFormat="1" applyFill="1"/>
    <xf numFmtId="0" fontId="8" fillId="4" borderId="0" xfId="3" applyFont="1" applyFill="1"/>
    <xf numFmtId="0" fontId="5" fillId="4" borderId="3" xfId="3" applyFont="1" applyFill="1" applyBorder="1" applyAlignment="1">
      <alignment horizontal="left"/>
    </xf>
    <xf numFmtId="0" fontId="9" fillId="4" borderId="3" xfId="3" applyFont="1" applyFill="1" applyBorder="1"/>
    <xf numFmtId="38" fontId="1" fillId="4" borderId="3" xfId="3" applyNumberFormat="1" applyFill="1" applyBorder="1" applyAlignment="1">
      <alignment horizontal="center"/>
    </xf>
    <xf numFmtId="0" fontId="8" fillId="4" borderId="4" xfId="3" applyFont="1" applyFill="1" applyBorder="1" applyAlignment="1">
      <alignment horizontal="left"/>
    </xf>
    <xf numFmtId="0" fontId="1" fillId="4" borderId="0" xfId="3" applyFill="1" applyAlignment="1">
      <alignment horizontal="left"/>
    </xf>
    <xf numFmtId="0" fontId="9" fillId="4" borderId="5" xfId="3" applyFont="1" applyFill="1" applyBorder="1"/>
    <xf numFmtId="38" fontId="1" fillId="4" borderId="5" xfId="3" applyNumberFormat="1" applyFill="1" applyBorder="1" applyAlignment="1">
      <alignment horizontal="center"/>
    </xf>
    <xf numFmtId="0" fontId="8" fillId="4" borderId="6" xfId="3" applyFont="1" applyFill="1" applyBorder="1" applyAlignment="1">
      <alignment horizontal="left"/>
    </xf>
    <xf numFmtId="0" fontId="1" fillId="0" borderId="4" xfId="3" applyBorder="1"/>
    <xf numFmtId="0" fontId="10" fillId="4" borderId="0" xfId="3" applyFont="1" applyFill="1"/>
    <xf numFmtId="0" fontId="1" fillId="4" borderId="3" xfId="3" applyFill="1" applyBorder="1" applyAlignment="1">
      <alignment horizontal="left"/>
    </xf>
    <xf numFmtId="38" fontId="2" fillId="4" borderId="0" xfId="3" applyNumberFormat="1" applyFont="1" applyFill="1"/>
    <xf numFmtId="0" fontId="1" fillId="4" borderId="2" xfId="3" applyFill="1" applyBorder="1" applyAlignment="1">
      <alignment horizontal="left"/>
    </xf>
    <xf numFmtId="0" fontId="7" fillId="0" borderId="3" xfId="0" applyFont="1" applyBorder="1"/>
    <xf numFmtId="38" fontId="1" fillId="4" borderId="3" xfId="3" applyNumberFormat="1" applyFill="1" applyBorder="1"/>
    <xf numFmtId="0" fontId="4" fillId="5" borderId="0" xfId="0" applyFont="1" applyFill="1" applyAlignment="1">
      <alignment vertical="center"/>
    </xf>
    <xf numFmtId="0" fontId="1" fillId="4" borderId="0" xfId="3" applyFill="1"/>
    <xf numFmtId="0" fontId="6" fillId="4" borderId="0" xfId="3" applyFont="1" applyFill="1"/>
    <xf numFmtId="164" fontId="7" fillId="4" borderId="0" xfId="3" applyNumberFormat="1" applyFont="1" applyFill="1" applyAlignment="1">
      <alignment horizontal="center"/>
    </xf>
    <xf numFmtId="0" fontId="9" fillId="0" borderId="0" xfId="3" applyFont="1"/>
    <xf numFmtId="38" fontId="1" fillId="0" borderId="0" xfId="3" applyNumberFormat="1"/>
    <xf numFmtId="0" fontId="9" fillId="4" borderId="2" xfId="3" applyFont="1" applyFill="1" applyBorder="1" applyAlignment="1">
      <alignment horizontal="right"/>
    </xf>
    <xf numFmtId="0" fontId="9" fillId="4" borderId="0" xfId="3" applyFont="1" applyFill="1" applyAlignment="1">
      <alignment horizontal="right"/>
    </xf>
    <xf numFmtId="0" fontId="4" fillId="6" borderId="7" xfId="3" applyFont="1" applyFill="1" applyBorder="1" applyAlignment="1">
      <alignment horizontal="left"/>
    </xf>
    <xf numFmtId="0" fontId="4" fillId="6" borderId="8" xfId="3" applyFont="1" applyFill="1" applyBorder="1" applyAlignment="1">
      <alignment horizontal="left"/>
    </xf>
    <xf numFmtId="0" fontId="1" fillId="6" borderId="8" xfId="3" applyFill="1" applyBorder="1"/>
    <xf numFmtId="0" fontId="1" fillId="6" borderId="9" xfId="3" applyFill="1" applyBorder="1"/>
    <xf numFmtId="0" fontId="1" fillId="6" borderId="10" xfId="3" applyFill="1" applyBorder="1"/>
    <xf numFmtId="0" fontId="1" fillId="6" borderId="11" xfId="3" applyFill="1" applyBorder="1"/>
    <xf numFmtId="0" fontId="11" fillId="6" borderId="11" xfId="3" applyFont="1" applyFill="1" applyBorder="1"/>
    <xf numFmtId="0" fontId="11" fillId="6" borderId="12" xfId="3" applyFont="1" applyFill="1" applyBorder="1"/>
    <xf numFmtId="0" fontId="6" fillId="4" borderId="8" xfId="3" applyFont="1" applyFill="1" applyBorder="1"/>
    <xf numFmtId="0" fontId="7" fillId="4" borderId="13" xfId="3" applyFont="1" applyFill="1" applyBorder="1" applyAlignment="1">
      <alignment horizontal="center"/>
    </xf>
    <xf numFmtId="0" fontId="7" fillId="4" borderId="0" xfId="3" applyFont="1" applyFill="1" applyAlignment="1">
      <alignment horizontal="center"/>
    </xf>
    <xf numFmtId="0" fontId="8" fillId="4" borderId="14" xfId="3" applyFont="1" applyFill="1" applyBorder="1"/>
    <xf numFmtId="0" fontId="1" fillId="4" borderId="14" xfId="3" applyFill="1" applyBorder="1"/>
    <xf numFmtId="38" fontId="1" fillId="4" borderId="14" xfId="3" applyNumberFormat="1" applyFill="1" applyBorder="1" applyAlignment="1">
      <alignment horizontal="center"/>
    </xf>
    <xf numFmtId="0" fontId="1" fillId="4" borderId="0" xfId="3" applyFill="1" applyAlignment="1">
      <alignment horizontal="center"/>
    </xf>
    <xf numFmtId="0" fontId="8" fillId="4" borderId="4" xfId="3" applyFont="1" applyFill="1" applyBorder="1"/>
    <xf numFmtId="0" fontId="1" fillId="4" borderId="4" xfId="3" applyFill="1" applyBorder="1"/>
    <xf numFmtId="0" fontId="12" fillId="6" borderId="0" xfId="3" applyFont="1" applyFill="1"/>
    <xf numFmtId="0" fontId="13" fillId="6" borderId="0" xfId="3" applyFont="1" applyFill="1"/>
    <xf numFmtId="0" fontId="14" fillId="6" borderId="0" xfId="3" applyFont="1" applyFill="1"/>
    <xf numFmtId="0" fontId="13" fillId="0" borderId="0" xfId="3" applyFont="1"/>
    <xf numFmtId="0" fontId="15" fillId="6" borderId="0" xfId="3" applyFont="1" applyFill="1"/>
    <xf numFmtId="0" fontId="13" fillId="4" borderId="15" xfId="3" applyFont="1" applyFill="1" applyBorder="1"/>
    <xf numFmtId="0" fontId="14" fillId="4" borderId="15" xfId="3" applyFont="1" applyFill="1" applyBorder="1" applyAlignment="1">
      <alignment horizontal="center"/>
    </xf>
    <xf numFmtId="0" fontId="13" fillId="4" borderId="0" xfId="3" applyFont="1" applyFill="1"/>
    <xf numFmtId="0" fontId="14" fillId="4" borderId="0" xfId="3" applyFont="1" applyFill="1" applyAlignment="1">
      <alignment horizontal="center"/>
    </xf>
    <xf numFmtId="0" fontId="14" fillId="4" borderId="14" xfId="3" applyFont="1" applyFill="1" applyBorder="1"/>
    <xf numFmtId="0" fontId="13" fillId="0" borderId="14" xfId="3" applyFont="1" applyBorder="1"/>
    <xf numFmtId="38" fontId="14" fillId="4" borderId="4" xfId="3" applyNumberFormat="1" applyFont="1" applyFill="1" applyBorder="1"/>
    <xf numFmtId="38" fontId="13" fillId="4" borderId="0" xfId="3" applyNumberFormat="1" applyFont="1" applyFill="1"/>
    <xf numFmtId="38" fontId="14" fillId="4" borderId="0" xfId="3" applyNumberFormat="1" applyFont="1" applyFill="1"/>
    <xf numFmtId="0" fontId="14" fillId="4" borderId="4" xfId="3" applyFont="1" applyFill="1" applyBorder="1"/>
    <xf numFmtId="0" fontId="13" fillId="4" borderId="4" xfId="3" applyFont="1" applyFill="1" applyBorder="1"/>
    <xf numFmtId="9" fontId="13" fillId="0" borderId="0" xfId="2" applyFont="1"/>
    <xf numFmtId="38" fontId="13" fillId="0" borderId="0" xfId="3" applyNumberFormat="1" applyFont="1"/>
    <xf numFmtId="10" fontId="13" fillId="0" borderId="0" xfId="2" applyNumberFormat="1" applyFont="1"/>
    <xf numFmtId="0" fontId="14" fillId="0" borderId="0" xfId="3" applyFont="1"/>
    <xf numFmtId="165" fontId="13" fillId="0" borderId="0" xfId="3" applyNumberFormat="1" applyFont="1"/>
    <xf numFmtId="164" fontId="14" fillId="4" borderId="0" xfId="3" applyNumberFormat="1" applyFont="1" applyFill="1" applyAlignment="1">
      <alignment horizontal="center"/>
    </xf>
    <xf numFmtId="38" fontId="14" fillId="4" borderId="0" xfId="3" applyNumberFormat="1" applyFont="1" applyFill="1" applyAlignment="1">
      <alignment horizontal="right"/>
    </xf>
    <xf numFmtId="166" fontId="13" fillId="0" borderId="0" xfId="3" applyNumberFormat="1" applyFont="1"/>
    <xf numFmtId="0" fontId="14" fillId="4" borderId="0" xfId="3" applyFont="1" applyFill="1"/>
    <xf numFmtId="0" fontId="13" fillId="4" borderId="2" xfId="3" applyFont="1" applyFill="1" applyBorder="1"/>
    <xf numFmtId="38" fontId="13" fillId="4" borderId="2" xfId="3" applyNumberFormat="1" applyFont="1" applyFill="1" applyBorder="1"/>
    <xf numFmtId="38" fontId="14" fillId="4" borderId="2" xfId="3" applyNumberFormat="1" applyFont="1" applyFill="1" applyBorder="1"/>
    <xf numFmtId="38" fontId="14" fillId="0" borderId="0" xfId="3" applyNumberFormat="1" applyFont="1"/>
    <xf numFmtId="0" fontId="16" fillId="0" borderId="0" xfId="0" applyFont="1"/>
    <xf numFmtId="0" fontId="17" fillId="0" borderId="0" xfId="0" applyFont="1"/>
    <xf numFmtId="0" fontId="0" fillId="0" borderId="15" xfId="0" applyBorder="1"/>
    <xf numFmtId="164" fontId="18" fillId="0" borderId="15" xfId="1" quotePrefix="1" applyNumberFormat="1" applyFont="1" applyBorder="1" applyAlignment="1" applyProtection="1">
      <alignment horizontal="right"/>
    </xf>
    <xf numFmtId="164" fontId="18" fillId="0" borderId="15" xfId="1" quotePrefix="1" applyNumberFormat="1" applyFont="1" applyFill="1" applyBorder="1" applyAlignment="1" applyProtection="1">
      <alignment horizontal="right"/>
    </xf>
    <xf numFmtId="0" fontId="16" fillId="0" borderId="5" xfId="0" applyFont="1" applyBorder="1"/>
    <xf numFmtId="38" fontId="19" fillId="0" borderId="5" xfId="0" applyNumberFormat="1" applyFont="1" applyBorder="1"/>
    <xf numFmtId="38" fontId="20" fillId="0" borderId="5" xfId="0" applyNumberFormat="1" applyFont="1" applyBorder="1"/>
    <xf numFmtId="38" fontId="19" fillId="0" borderId="0" xfId="0" applyNumberFormat="1" applyFont="1"/>
    <xf numFmtId="38" fontId="20" fillId="0" borderId="0" xfId="0" applyNumberFormat="1" applyFont="1"/>
    <xf numFmtId="165" fontId="19" fillId="0" borderId="0" xfId="0" applyNumberFormat="1" applyFont="1"/>
    <xf numFmtId="165" fontId="20" fillId="0" borderId="0" xfId="0" applyNumberFormat="1" applyFont="1"/>
    <xf numFmtId="0" fontId="16" fillId="0" borderId="3" xfId="0" applyFont="1" applyBorder="1"/>
    <xf numFmtId="0" fontId="0" fillId="0" borderId="3" xfId="0" applyBorder="1"/>
    <xf numFmtId="0" fontId="17" fillId="0" borderId="3" xfId="0" applyFont="1" applyBorder="1"/>
    <xf numFmtId="0" fontId="22" fillId="0" borderId="0" xfId="0" applyFont="1"/>
    <xf numFmtId="0" fontId="23" fillId="0" borderId="0" xfId="0" applyFont="1"/>
    <xf numFmtId="38" fontId="18" fillId="0" borderId="16" xfId="1" quotePrefix="1" applyNumberFormat="1" applyFont="1" applyBorder="1" applyAlignment="1" applyProtection="1">
      <alignment horizontal="right"/>
    </xf>
    <xf numFmtId="38" fontId="18" fillId="0" borderId="0" xfId="1" quotePrefix="1" applyNumberFormat="1" applyFont="1" applyBorder="1" applyAlignment="1" applyProtection="1">
      <alignment horizontal="right"/>
    </xf>
    <xf numFmtId="38" fontId="23" fillId="0" borderId="0" xfId="0" applyNumberFormat="1" applyFont="1"/>
    <xf numFmtId="38" fontId="22" fillId="0" borderId="0" xfId="0" applyNumberFormat="1" applyFont="1"/>
    <xf numFmtId="38" fontId="23" fillId="0" borderId="17" xfId="0" applyNumberFormat="1" applyFont="1" applyBorder="1"/>
    <xf numFmtId="38" fontId="22" fillId="0" borderId="17" xfId="0" applyNumberFormat="1" applyFont="1" applyBorder="1"/>
    <xf numFmtId="38" fontId="24" fillId="0" borderId="16" xfId="1" quotePrefix="1" applyNumberFormat="1" applyFont="1" applyBorder="1" applyAlignment="1" applyProtection="1">
      <alignment horizontal="right"/>
    </xf>
  </cellXfs>
  <cellStyles count="4">
    <cellStyle name="Comma" xfId="1" builtinId="3"/>
    <cellStyle name="Normal" xfId="0" builtinId="0"/>
    <cellStyle name="Normal 2 2" xfId="3" xr:uid="{6FE64CE0-FC0D-4770-8EB0-F0B51138E84B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13" Type="http://schemas.openxmlformats.org/officeDocument/2006/relationships/externalLink" Target="externalLinks/externalLink5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12" Type="http://schemas.openxmlformats.org/officeDocument/2006/relationships/externalLink" Target="externalLinks/externalLink4.xml"/><Relationship Id="rId17" Type="http://schemas.openxmlformats.org/officeDocument/2006/relationships/calcChain" Target="calcChain.xml"/><Relationship Id="rId2" Type="http://schemas.openxmlformats.org/officeDocument/2006/relationships/chartsheet" Target="chartsheets/sheet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externalLink" Target="externalLinks/externalLink3.xml"/><Relationship Id="rId5" Type="http://schemas.openxmlformats.org/officeDocument/2006/relationships/chartsheet" Target="chartsheets/sheet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4" Type="http://schemas.openxmlformats.org/officeDocument/2006/relationships/chartsheet" Target="chartsheets/sheet2.xml"/><Relationship Id="rId9" Type="http://schemas.openxmlformats.org/officeDocument/2006/relationships/externalLink" Target="externalLinks/externalLink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Oilseed!$W$74</c:f>
              <c:strCache>
                <c:ptCount val="1"/>
                <c:pt idx="0">
                  <c:v>  Soybeans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Oilseed!$X$74:$AH$74</c:f>
              <c:numCache>
                <c:formatCode>General</c:formatCode>
                <c:ptCount val="11"/>
                <c:pt idx="0">
                  <c:v>85.423364267169802</c:v>
                </c:pt>
                <c:pt idx="1">
                  <c:v>88.20087044765495</c:v>
                </c:pt>
                <c:pt idx="2">
                  <c:v>80.906636803144593</c:v>
                </c:pt>
                <c:pt idx="3">
                  <c:v>90.074327547981852</c:v>
                </c:pt>
                <c:pt idx="4">
                  <c:v>88.758139302480117</c:v>
                </c:pt>
                <c:pt idx="5">
                  <c:v>89.322493005866932</c:v>
                </c:pt>
                <c:pt idx="6">
                  <c:v>87.335854984913894</c:v>
                </c:pt>
                <c:pt idx="7">
                  <c:v>83.929599934004372</c:v>
                </c:pt>
                <c:pt idx="8">
                  <c:v>87.533730531723819</c:v>
                </c:pt>
                <c:pt idx="9">
                  <c:v>80.389084753718976</c:v>
                </c:pt>
                <c:pt idx="10">
                  <c:v>84.041867911477681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F5-4740-BFD4-EFCE3DDD1A22}"/>
            </c:ext>
          </c:extLst>
        </c:ser>
        <c:ser>
          <c:idx val="1"/>
          <c:order val="1"/>
          <c:tx>
            <c:strRef>
              <c:f>Oilseed!$W$75</c:f>
              <c:strCache>
                <c:ptCount val="1"/>
                <c:pt idx="0">
                  <c:v>  Rapeseed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Oilseed!$X$75:$AH$75</c:f>
              <c:numCache>
                <c:formatCode>General</c:formatCode>
                <c:ptCount val="11"/>
                <c:pt idx="0">
                  <c:v>116.87154615941152</c:v>
                </c:pt>
                <c:pt idx="1">
                  <c:v>112.69855857270078</c:v>
                </c:pt>
                <c:pt idx="2">
                  <c:v>113.63251381595938</c:v>
                </c:pt>
                <c:pt idx="3">
                  <c:v>112.91551964772931</c:v>
                </c:pt>
                <c:pt idx="4">
                  <c:v>109.34678528500039</c:v>
                </c:pt>
                <c:pt idx="5">
                  <c:v>107.64234546606525</c:v>
                </c:pt>
                <c:pt idx="6">
                  <c:v>112.88401457371926</c:v>
                </c:pt>
                <c:pt idx="7">
                  <c:v>109.01195705899349</c:v>
                </c:pt>
                <c:pt idx="8">
                  <c:v>121.89499650913432</c:v>
                </c:pt>
                <c:pt idx="9">
                  <c:v>120.90511173131028</c:v>
                </c:pt>
                <c:pt idx="10">
                  <c:v>115.08880177865214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F5-4740-BFD4-EFCE3DDD1A22}"/>
            </c:ext>
          </c:extLst>
        </c:ser>
        <c:ser>
          <c:idx val="2"/>
          <c:order val="2"/>
          <c:tx>
            <c:strRef>
              <c:f>Oilseed!$W$76</c:f>
              <c:strCache>
                <c:ptCount val="1"/>
                <c:pt idx="0">
                  <c:v>  Sunflower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Oilseed!$X$76:$AH$76</c:f>
              <c:numCache>
                <c:formatCode>General</c:formatCode>
                <c:ptCount val="11"/>
                <c:pt idx="0">
                  <c:v>44.287227020574001</c:v>
                </c:pt>
                <c:pt idx="1">
                  <c:v>38.906839323792028</c:v>
                </c:pt>
                <c:pt idx="2">
                  <c:v>42.199551215982993</c:v>
                </c:pt>
                <c:pt idx="3">
                  <c:v>50.579380060189195</c:v>
                </c:pt>
                <c:pt idx="4">
                  <c:v>49.599811535887085</c:v>
                </c:pt>
                <c:pt idx="5">
                  <c:v>52.887210792331274</c:v>
                </c:pt>
                <c:pt idx="6">
                  <c:v>47.350838755482158</c:v>
                </c:pt>
                <c:pt idx="7">
                  <c:v>53.377285453172092</c:v>
                </c:pt>
                <c:pt idx="8">
                  <c:v>55.450831515822195</c:v>
                </c:pt>
                <c:pt idx="9">
                  <c:v>47.096207986344417</c:v>
                </c:pt>
                <c:pt idx="10">
                  <c:v>41.448686452885404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F5-4740-BFD4-EFCE3DDD1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2960336"/>
        <c:axId val="2112949776"/>
      </c:lineChart>
      <c:catAx>
        <c:axId val="211296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949776"/>
        <c:crosses val="autoZero"/>
        <c:auto val="1"/>
        <c:lblAlgn val="ctr"/>
        <c:lblOffset val="100"/>
        <c:noMultiLvlLbl val="0"/>
      </c:catAx>
      <c:valAx>
        <c:axId val="211294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96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28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 sz="2800"/>
              <a:t>EU protein meal demand is decreasing </a:t>
            </a:r>
          </a:p>
          <a:p>
            <a:pPr>
              <a:defRPr sz="2800"/>
            </a:pPr>
            <a:r>
              <a:rPr lang="en-US" sz="2800"/>
              <a:t>since its peak in 2017/18</a:t>
            </a:r>
          </a:p>
        </c:rich>
      </c:tx>
      <c:layout>
        <c:manualLayout>
          <c:xMode val="edge"/>
          <c:yMode val="edge"/>
          <c:x val="0.19243671749102711"/>
          <c:y val="1.61563527860485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28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91164910128791"/>
          <c:y val="0.19857159395141771"/>
          <c:w val="0.86796541867631072"/>
          <c:h val="0.6900169959742694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'Protein Meal'!$B$30</c:f>
              <c:strCache>
                <c:ptCount val="1"/>
                <c:pt idx="0">
                  <c:v>Soybean</c:v>
                </c:pt>
              </c:strCache>
            </c:strRef>
          </c:tx>
          <c:spPr>
            <a:solidFill>
              <a:srgbClr val="6F079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bg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'Protein Meal'!$X$3:$AG$3</c:f>
              <c:strCache>
                <c:ptCount val="10"/>
                <c:pt idx="0">
                  <c:v>14/15 </c:v>
                </c:pt>
                <c:pt idx="1">
                  <c:v>15/16 </c:v>
                </c:pt>
                <c:pt idx="2">
                  <c:v>16/17 </c:v>
                </c:pt>
                <c:pt idx="3">
                  <c:v>17/18 </c:v>
                </c:pt>
                <c:pt idx="4">
                  <c:v>18/19 </c:v>
                </c:pt>
                <c:pt idx="5">
                  <c:v>19/20</c:v>
                </c:pt>
                <c:pt idx="6">
                  <c:v>20/21</c:v>
                </c:pt>
                <c:pt idx="7">
                  <c:v>21/22</c:v>
                </c:pt>
                <c:pt idx="8">
                  <c:v>22/23</c:v>
                </c:pt>
                <c:pt idx="9">
                  <c:v>23/24</c:v>
                </c:pt>
              </c:strCache>
            </c:strRef>
          </c:cat>
          <c:val>
            <c:numRef>
              <c:f>'Protein Meal'!$X$30:$AG$30</c:f>
              <c:numCache>
                <c:formatCode>#,##0_);[Red]\(#,##0\)</c:formatCode>
                <c:ptCount val="10"/>
                <c:pt idx="0">
                  <c:v>29390.985543252591</c:v>
                </c:pt>
                <c:pt idx="1">
                  <c:v>30185.532244147162</c:v>
                </c:pt>
                <c:pt idx="2">
                  <c:v>31045.241999999995</c:v>
                </c:pt>
                <c:pt idx="3">
                  <c:v>30400.312687962607</c:v>
                </c:pt>
                <c:pt idx="4">
                  <c:v>30096.94378842142</c:v>
                </c:pt>
                <c:pt idx="5">
                  <c:v>27557.220781216594</c:v>
                </c:pt>
                <c:pt idx="6">
                  <c:v>28175.242568999998</c:v>
                </c:pt>
                <c:pt idx="7">
                  <c:v>27515.593071157899</c:v>
                </c:pt>
                <c:pt idx="8">
                  <c:v>27007.758871000002</c:v>
                </c:pt>
                <c:pt idx="9">
                  <c:v>27386.315718070182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93-45E3-9072-2712DDAEEE02}"/>
            </c:ext>
          </c:extLst>
        </c:ser>
        <c:ser>
          <c:idx val="2"/>
          <c:order val="1"/>
          <c:tx>
            <c:strRef>
              <c:f>'Protein Meal'!$B$31</c:f>
              <c:strCache>
                <c:ptCount val="1"/>
                <c:pt idx="0">
                  <c:v>Rapeseed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bg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'Protein Meal'!$X$3:$AG$3</c:f>
              <c:strCache>
                <c:ptCount val="10"/>
                <c:pt idx="0">
                  <c:v>14/15 </c:v>
                </c:pt>
                <c:pt idx="1">
                  <c:v>15/16 </c:v>
                </c:pt>
                <c:pt idx="2">
                  <c:v>16/17 </c:v>
                </c:pt>
                <c:pt idx="3">
                  <c:v>17/18 </c:v>
                </c:pt>
                <c:pt idx="4">
                  <c:v>18/19 </c:v>
                </c:pt>
                <c:pt idx="5">
                  <c:v>19/20</c:v>
                </c:pt>
                <c:pt idx="6">
                  <c:v>20/21</c:v>
                </c:pt>
                <c:pt idx="7">
                  <c:v>21/22</c:v>
                </c:pt>
                <c:pt idx="8">
                  <c:v>22/23</c:v>
                </c:pt>
                <c:pt idx="9">
                  <c:v>23/24</c:v>
                </c:pt>
              </c:strCache>
            </c:strRef>
          </c:cat>
          <c:val>
            <c:numRef>
              <c:f>'Protein Meal'!$X$31:$AG$31</c:f>
              <c:numCache>
                <c:formatCode>#,##0_);[Red]\(#,##0\)</c:formatCode>
                <c:ptCount val="10"/>
                <c:pt idx="0">
                  <c:v>14178.018</c:v>
                </c:pt>
                <c:pt idx="1">
                  <c:v>13678.735999999999</c:v>
                </c:pt>
                <c:pt idx="2">
                  <c:v>13535.625</c:v>
                </c:pt>
                <c:pt idx="3">
                  <c:v>12445.582</c:v>
                </c:pt>
                <c:pt idx="4">
                  <c:v>12178.248152</c:v>
                </c:pt>
                <c:pt idx="5">
                  <c:v>11891.981609999999</c:v>
                </c:pt>
                <c:pt idx="6">
                  <c:v>12660.795487000001</c:v>
                </c:pt>
                <c:pt idx="7">
                  <c:v>13056.665938116757</c:v>
                </c:pt>
                <c:pt idx="8">
                  <c:v>14361.087215409463</c:v>
                </c:pt>
                <c:pt idx="9">
                  <c:v>14357.696964000001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93-45E3-9072-2712DDAEEE02}"/>
            </c:ext>
          </c:extLst>
        </c:ser>
        <c:ser>
          <c:idx val="3"/>
          <c:order val="2"/>
          <c:tx>
            <c:v>Sunflower</c:v>
          </c:tx>
          <c:spPr>
            <a:solidFill>
              <a:srgbClr val="E0E0E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'Protein Meal'!$X$3:$AG$3</c:f>
              <c:strCache>
                <c:ptCount val="10"/>
                <c:pt idx="0">
                  <c:v>14/15 </c:v>
                </c:pt>
                <c:pt idx="1">
                  <c:v>15/16 </c:v>
                </c:pt>
                <c:pt idx="2">
                  <c:v>16/17 </c:v>
                </c:pt>
                <c:pt idx="3">
                  <c:v>17/18 </c:v>
                </c:pt>
                <c:pt idx="4">
                  <c:v>18/19 </c:v>
                </c:pt>
                <c:pt idx="5">
                  <c:v>19/20</c:v>
                </c:pt>
                <c:pt idx="6">
                  <c:v>20/21</c:v>
                </c:pt>
                <c:pt idx="7">
                  <c:v>21/22</c:v>
                </c:pt>
                <c:pt idx="8">
                  <c:v>22/23</c:v>
                </c:pt>
                <c:pt idx="9">
                  <c:v>23/24</c:v>
                </c:pt>
              </c:strCache>
            </c:strRef>
          </c:cat>
          <c:val>
            <c:numRef>
              <c:f>'Protein Meal'!$X$32:$AG$32</c:f>
              <c:numCache>
                <c:formatCode>#,##0_);[Red]\(#,##0\)</c:formatCode>
                <c:ptCount val="10"/>
                <c:pt idx="0">
                  <c:v>6929.5639999999994</c:v>
                </c:pt>
                <c:pt idx="1">
                  <c:v>6577.4660000000003</c:v>
                </c:pt>
                <c:pt idx="2">
                  <c:v>8001.229003056601</c:v>
                </c:pt>
                <c:pt idx="3">
                  <c:v>8139.7328295083462</c:v>
                </c:pt>
                <c:pt idx="4">
                  <c:v>7657.3073679999998</c:v>
                </c:pt>
                <c:pt idx="5">
                  <c:v>7178.1271890000007</c:v>
                </c:pt>
                <c:pt idx="6">
                  <c:v>6208.898548000001</c:v>
                </c:pt>
                <c:pt idx="7">
                  <c:v>6837.4414400000005</c:v>
                </c:pt>
                <c:pt idx="8">
                  <c:v>6697.3826286837539</c:v>
                </c:pt>
                <c:pt idx="9">
                  <c:v>6999.1192681576995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93-45E3-9072-2712DDAEE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400877743"/>
        <c:axId val="949721135"/>
      </c:barChart>
      <c:lineChart>
        <c:grouping val="standard"/>
        <c:varyColors val="0"/>
        <c:ser>
          <c:idx val="0"/>
          <c:order val="3"/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'Protein Meal'!$X$29:$AG$29</c:f>
              <c:numCache>
                <c:formatCode>#,##0_);[Red]\(#,##0\)</c:formatCode>
                <c:ptCount val="10"/>
                <c:pt idx="0">
                  <c:v>50498.56754325259</c:v>
                </c:pt>
                <c:pt idx="1">
                  <c:v>50441.734244147163</c:v>
                </c:pt>
                <c:pt idx="2">
                  <c:v>52582.096003056598</c:v>
                </c:pt>
                <c:pt idx="3">
                  <c:v>50985.627517470959</c:v>
                </c:pt>
                <c:pt idx="4">
                  <c:v>49932.499308421422</c:v>
                </c:pt>
                <c:pt idx="5">
                  <c:v>46627.329580216589</c:v>
                </c:pt>
                <c:pt idx="6">
                  <c:v>47044.936604000002</c:v>
                </c:pt>
                <c:pt idx="7">
                  <c:v>47409.700449274656</c:v>
                </c:pt>
                <c:pt idx="8">
                  <c:v>48066.228715093224</c:v>
                </c:pt>
                <c:pt idx="9">
                  <c:v>48743.131950227886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93-45E3-9072-2712DDAEE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877743"/>
        <c:axId val="949721135"/>
      </c:lineChart>
      <c:catAx>
        <c:axId val="14008777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949721135"/>
        <c:crosses val="autoZero"/>
        <c:auto val="1"/>
        <c:lblAlgn val="ctr"/>
        <c:lblOffset val="100"/>
        <c:noMultiLvlLbl val="0"/>
      </c:catAx>
      <c:valAx>
        <c:axId val="949721135"/>
        <c:scaling>
          <c:orientation val="minMax"/>
          <c:max val="55000"/>
          <c:min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(000 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00877743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egendEntry>
        <c:idx val="3"/>
        <c:delete val="1"/>
      </c:legendEntry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1" i="0" u="none" strike="noStrike" kern="1200" baseline="0">
          <a:solidFill>
            <a:sysClr val="windowText" lastClr="000000"/>
          </a:solidFill>
          <a:latin typeface="Aptos Display" panose="020B0004020202020204" pitchFamily="34" charset="0"/>
          <a:ea typeface="+mn-ea"/>
          <a:cs typeface="+mn-cs"/>
        </a:defRPr>
      </a:pPr>
      <a:endParaRPr lang="en-US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EU Veg Oil Per Capita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'Vegetable Oil'!$B$55</c:f>
              <c:strCache>
                <c:ptCount val="1"/>
                <c:pt idx="0">
                  <c:v>Soybean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'Vegetable Oil'!$X$62:$AM$62</c:f>
              <c:numCache>
                <c:formatCode>0_);[Red]\(0\)</c:formatCode>
                <c:ptCount val="1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</c:numCache>
            </c:numRef>
          </c:cat>
          <c:val>
            <c:numRef>
              <c:f>'Vegetable Oil'!$X$65:$AM$65</c:f>
              <c:numCache>
                <c:formatCode>#,##0.0</c:formatCode>
                <c:ptCount val="16"/>
                <c:pt idx="0">
                  <c:v>9.8002847978630747</c:v>
                </c:pt>
                <c:pt idx="1">
                  <c:v>11.336635764563145</c:v>
                </c:pt>
                <c:pt idx="2">
                  <c:v>10.723190951820326</c:v>
                </c:pt>
                <c:pt idx="3">
                  <c:v>11.062351718499656</c:v>
                </c:pt>
                <c:pt idx="4">
                  <c:v>12.173694199883004</c:v>
                </c:pt>
                <c:pt idx="5">
                  <c:v>11.829989955959471</c:v>
                </c:pt>
                <c:pt idx="6">
                  <c:v>11.843782442640965</c:v>
                </c:pt>
                <c:pt idx="7">
                  <c:v>11.138091771323836</c:v>
                </c:pt>
                <c:pt idx="8">
                  <c:v>11.760039384172744</c:v>
                </c:pt>
                <c:pt idx="9">
                  <c:v>12.424872833369198</c:v>
                </c:pt>
                <c:pt idx="10">
                  <c:v>11.880542951787916</c:v>
                </c:pt>
                <c:pt idx="11">
                  <c:v>12.665422959878008</c:v>
                </c:pt>
                <c:pt idx="12">
                  <c:v>14.180577562873696</c:v>
                </c:pt>
                <c:pt idx="13">
                  <c:v>14.275854785284565</c:v>
                </c:pt>
                <c:pt idx="14">
                  <c:v>14.366148016261613</c:v>
                </c:pt>
                <c:pt idx="15">
                  <c:v>14.551173492692799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54-41BA-AC7D-D1F5540BD9B1}"/>
            </c:ext>
          </c:extLst>
        </c:ser>
        <c:ser>
          <c:idx val="3"/>
          <c:order val="3"/>
          <c:tx>
            <c:strRef>
              <c:f>'Vegetable Oil'!$B$57</c:f>
              <c:strCache>
                <c:ptCount val="1"/>
                <c:pt idx="0">
                  <c:v>Sunflower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4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numRef>
              <c:f>'Vegetable Oil'!$X$62:$AM$62</c:f>
              <c:numCache>
                <c:formatCode>0_);[Red]\(0\)</c:formatCode>
                <c:ptCount val="1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</c:numCache>
            </c:numRef>
          </c:cat>
          <c:val>
            <c:numRef>
              <c:f>'Vegetable Oil'!$X$67:$AM$67</c:f>
              <c:numCache>
                <c:formatCode>#,##0.0</c:formatCode>
                <c:ptCount val="16"/>
                <c:pt idx="0">
                  <c:v>18.359173220630513</c:v>
                </c:pt>
                <c:pt idx="1">
                  <c:v>19.303293377430531</c:v>
                </c:pt>
                <c:pt idx="2">
                  <c:v>22.566746816793746</c:v>
                </c:pt>
                <c:pt idx="3">
                  <c:v>24.878807797622851</c:v>
                </c:pt>
                <c:pt idx="4">
                  <c:v>24.194805628804207</c:v>
                </c:pt>
                <c:pt idx="5">
                  <c:v>23.952097767640041</c:v>
                </c:pt>
                <c:pt idx="6">
                  <c:v>23.507489135052808</c:v>
                </c:pt>
                <c:pt idx="7">
                  <c:v>24.424419220923905</c:v>
                </c:pt>
                <c:pt idx="8">
                  <c:v>25.035801054805674</c:v>
                </c:pt>
                <c:pt idx="9">
                  <c:v>26.176097349574118</c:v>
                </c:pt>
                <c:pt idx="10">
                  <c:v>27.493701329248069</c:v>
                </c:pt>
                <c:pt idx="11">
                  <c:v>27.775140496417883</c:v>
                </c:pt>
                <c:pt idx="12">
                  <c:v>28.206888459811335</c:v>
                </c:pt>
                <c:pt idx="13">
                  <c:v>30.053496158310242</c:v>
                </c:pt>
                <c:pt idx="14">
                  <c:v>30.669771823724385</c:v>
                </c:pt>
                <c:pt idx="15">
                  <c:v>31.732524292058866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54-41BA-AC7D-D1F5540BD9B1}"/>
            </c:ext>
          </c:extLst>
        </c:ser>
        <c:ser>
          <c:idx val="4"/>
          <c:order val="4"/>
          <c:tx>
            <c:strRef>
              <c:f>'Vegetable Oil'!$B$58</c:f>
              <c:strCache>
                <c:ptCount val="1"/>
                <c:pt idx="0">
                  <c:v>Palm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B0F0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'Vegetable Oil'!$X$62:$AM$62</c:f>
              <c:numCache>
                <c:formatCode>0_);[Red]\(0\)</c:formatCode>
                <c:ptCount val="1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</c:numCache>
            </c:numRef>
          </c:cat>
          <c:val>
            <c:numRef>
              <c:f>'Vegetable Oil'!$X$68:$AM$68</c:f>
              <c:numCache>
                <c:formatCode>#,##0.0</c:formatCode>
                <c:ptCount val="16"/>
                <c:pt idx="0">
                  <c:v>24.686304876300156</c:v>
                </c:pt>
                <c:pt idx="1">
                  <c:v>23.127088958447427</c:v>
                </c:pt>
                <c:pt idx="2">
                  <c:v>20.394887674725602</c:v>
                </c:pt>
                <c:pt idx="3">
                  <c:v>19.124540140317581</c:v>
                </c:pt>
                <c:pt idx="4">
                  <c:v>24.811418410850752</c:v>
                </c:pt>
                <c:pt idx="5">
                  <c:v>23.383794709240604</c:v>
                </c:pt>
                <c:pt idx="6">
                  <c:v>21.605282801121167</c:v>
                </c:pt>
                <c:pt idx="7">
                  <c:v>15.262752955199637</c:v>
                </c:pt>
                <c:pt idx="8">
                  <c:v>12.582958086107356</c:v>
                </c:pt>
                <c:pt idx="9">
                  <c:v>11.836979380425856</c:v>
                </c:pt>
                <c:pt idx="10">
                  <c:v>10.267347196861673</c:v>
                </c:pt>
                <c:pt idx="11">
                  <c:v>9.958046856360717</c:v>
                </c:pt>
                <c:pt idx="12">
                  <c:v>9.6945955155482793</c:v>
                </c:pt>
                <c:pt idx="13">
                  <c:v>9.431216846833042</c:v>
                </c:pt>
                <c:pt idx="14">
                  <c:v>9.1660134008284437</c:v>
                </c:pt>
                <c:pt idx="15">
                  <c:v>8.9606882592676946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54-41BA-AC7D-D1F5540BD9B1}"/>
            </c:ext>
          </c:extLst>
        </c:ser>
        <c:ser>
          <c:idx val="5"/>
          <c:order val="5"/>
          <c:tx>
            <c:strRef>
              <c:f>'Vegetable Oil'!$B$59</c:f>
              <c:strCache>
                <c:ptCount val="1"/>
                <c:pt idx="0">
                  <c:v>Palm Kernel Oil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'Vegetable Oil'!$X$62:$AM$62</c:f>
              <c:numCache>
                <c:formatCode>0_);[Red]\(0\)</c:formatCode>
                <c:ptCount val="1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</c:numCache>
            </c:numRef>
          </c:cat>
          <c:val>
            <c:numRef>
              <c:f>'Vegetable Oil'!$X$69:$AM$69</c:f>
              <c:numCache>
                <c:formatCode>#,##0.0</c:formatCode>
                <c:ptCount val="16"/>
                <c:pt idx="0">
                  <c:v>3.1930793140751055</c:v>
                </c:pt>
                <c:pt idx="1">
                  <c:v>3.2209881743534914</c:v>
                </c:pt>
                <c:pt idx="2">
                  <c:v>3.4593842546149105</c:v>
                </c:pt>
                <c:pt idx="3">
                  <c:v>3.4436340654667958</c:v>
                </c:pt>
                <c:pt idx="4">
                  <c:v>3.5265955291759492</c:v>
                </c:pt>
                <c:pt idx="5">
                  <c:v>3.4251537568064805</c:v>
                </c:pt>
                <c:pt idx="6">
                  <c:v>3.3810470479549983</c:v>
                </c:pt>
                <c:pt idx="7">
                  <c:v>3.2702322129620458</c:v>
                </c:pt>
                <c:pt idx="8">
                  <c:v>3.0624826179215869</c:v>
                </c:pt>
                <c:pt idx="9">
                  <c:v>2.7215477457942536</c:v>
                </c:pt>
                <c:pt idx="10">
                  <c:v>2.9391167731906953</c:v>
                </c:pt>
                <c:pt idx="11">
                  <c:v>2.8556163779269697</c:v>
                </c:pt>
                <c:pt idx="12">
                  <c:v>2.849918782208916</c:v>
                </c:pt>
                <c:pt idx="13">
                  <c:v>2.8439494099986233</c:v>
                </c:pt>
                <c:pt idx="14">
                  <c:v>2.8370993859707085</c:v>
                </c:pt>
                <c:pt idx="15">
                  <c:v>2.848914473734566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54-41BA-AC7D-D1F5540BD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8704832"/>
        <c:axId val="1278700992"/>
      </c:lineChart>
      <c:lineChart>
        <c:grouping val="standard"/>
        <c:varyColors val="0"/>
        <c:ser>
          <c:idx val="0"/>
          <c:order val="0"/>
          <c:tx>
            <c:strRef>
              <c:f>'Vegetable Oil'!$W$64</c:f>
              <c:strCache>
                <c:ptCount val="1"/>
                <c:pt idx="0">
                  <c:v>Total</c:v>
                </c:pt>
              </c:strCache>
            </c:strRef>
          </c:tx>
          <c:spPr>
            <a:ln w="571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numFmt formatCode="#,##0_);[Red]\(#,##0\)" sourceLinked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'Vegetable Oil'!$X$62:$AM$62</c:f>
              <c:numCache>
                <c:formatCode>0_);[Red]\(0\)</c:formatCode>
                <c:ptCount val="1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</c:numCache>
            </c:numRef>
          </c:cat>
          <c:val>
            <c:numRef>
              <c:f>'Vegetable Oil'!$X$64:$AM$64</c:f>
              <c:numCache>
                <c:formatCode>#,##0.0</c:formatCode>
                <c:ptCount val="16"/>
                <c:pt idx="0">
                  <c:v>128.74482959478101</c:v>
                </c:pt>
                <c:pt idx="1">
                  <c:v>124.74884308607443</c:v>
                </c:pt>
                <c:pt idx="2">
                  <c:v>124.90827597635948</c:v>
                </c:pt>
                <c:pt idx="3">
                  <c:v>120.09346052341009</c:v>
                </c:pt>
                <c:pt idx="4">
                  <c:v>124.68653027356943</c:v>
                </c:pt>
                <c:pt idx="5">
                  <c:v>123.01980851613271</c:v>
                </c:pt>
                <c:pt idx="6">
                  <c:v>129.51681353421904</c:v>
                </c:pt>
                <c:pt idx="7">
                  <c:v>120.94904297343103</c:v>
                </c:pt>
                <c:pt idx="8">
                  <c:v>120.45699958717306</c:v>
                </c:pt>
                <c:pt idx="9">
                  <c:v>122.39216163727889</c:v>
                </c:pt>
                <c:pt idx="10">
                  <c:v>124.33173753934311</c:v>
                </c:pt>
                <c:pt idx="11">
                  <c:v>126.40681992069226</c:v>
                </c:pt>
                <c:pt idx="12">
                  <c:v>131.38775018024862</c:v>
                </c:pt>
                <c:pt idx="13">
                  <c:v>135.38920803536269</c:v>
                </c:pt>
                <c:pt idx="14">
                  <c:v>137.47201265468973</c:v>
                </c:pt>
                <c:pt idx="15">
                  <c:v>142.53804748280925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F54-41BA-AC7D-D1F5540BD9B1}"/>
            </c:ext>
          </c:extLst>
        </c:ser>
        <c:ser>
          <c:idx val="2"/>
          <c:order val="2"/>
          <c:tx>
            <c:strRef>
              <c:f>'Vegetable Oil'!$B$56</c:f>
              <c:strCache>
                <c:ptCount val="1"/>
                <c:pt idx="0">
                  <c:v>Rapeseed</c:v>
                </c:pt>
              </c:strCache>
            </c:strRef>
          </c:tx>
          <c:spPr>
            <a:ln w="571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'Vegetable Oil'!$X$62:$AM$62</c:f>
              <c:numCache>
                <c:formatCode>0_);[Red]\(0\)</c:formatCode>
                <c:ptCount val="1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</c:numCache>
            </c:numRef>
          </c:cat>
          <c:val>
            <c:numRef>
              <c:f>'Vegetable Oil'!$X$66:$AM$66</c:f>
              <c:numCache>
                <c:formatCode>#,##0.0</c:formatCode>
                <c:ptCount val="16"/>
                <c:pt idx="0">
                  <c:v>72.705987385912152</c:v>
                </c:pt>
                <c:pt idx="1">
                  <c:v>67.760836811279844</c:v>
                </c:pt>
                <c:pt idx="2">
                  <c:v>67.764066278404883</c:v>
                </c:pt>
                <c:pt idx="3">
                  <c:v>61.58412680150321</c:v>
                </c:pt>
                <c:pt idx="4">
                  <c:v>59.980016504855506</c:v>
                </c:pt>
                <c:pt idx="5">
                  <c:v>60.428772326486119</c:v>
                </c:pt>
                <c:pt idx="6">
                  <c:v>69.179212107449089</c:v>
                </c:pt>
                <c:pt idx="7">
                  <c:v>66.853546813021609</c:v>
                </c:pt>
                <c:pt idx="8">
                  <c:v>68.015718444165699</c:v>
                </c:pt>
                <c:pt idx="9">
                  <c:v>69.232664328115447</c:v>
                </c:pt>
                <c:pt idx="10">
                  <c:v>71.751029288254742</c:v>
                </c:pt>
                <c:pt idx="11">
                  <c:v>73.152593230108678</c:v>
                </c:pt>
                <c:pt idx="12">
                  <c:v>76.455769859806381</c:v>
                </c:pt>
                <c:pt idx="13">
                  <c:v>78.784690834936214</c:v>
                </c:pt>
                <c:pt idx="14">
                  <c:v>80.432980027904605</c:v>
                </c:pt>
                <c:pt idx="15">
                  <c:v>84.44474696505533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F54-41BA-AC7D-D1F5540BD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32976"/>
        <c:axId val="5532496"/>
      </c:lineChart>
      <c:catAx>
        <c:axId val="1278704832"/>
        <c:scaling>
          <c:orientation val="minMax"/>
        </c:scaling>
        <c:delete val="0"/>
        <c:axPos val="b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78700992"/>
        <c:crosses val="autoZero"/>
        <c:auto val="1"/>
        <c:lblAlgn val="ctr"/>
        <c:lblOffset val="100"/>
        <c:noMultiLvlLbl val="0"/>
      </c:catAx>
      <c:valAx>
        <c:axId val="127870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78704832"/>
        <c:crosses val="autoZero"/>
        <c:crossBetween val="between"/>
      </c:valAx>
      <c:valAx>
        <c:axId val="5532496"/>
        <c:scaling>
          <c:orientation val="minMax"/>
        </c:scaling>
        <c:delete val="0"/>
        <c:axPos val="r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532976"/>
        <c:crosses val="max"/>
        <c:crossBetween val="between"/>
      </c:valAx>
      <c:catAx>
        <c:axId val="5532976"/>
        <c:scaling>
          <c:orientation val="minMax"/>
        </c:scaling>
        <c:delete val="1"/>
        <c:axPos val="b"/>
        <c:numFmt formatCode="0_);[Red]\(0\)" sourceLinked="1"/>
        <c:majorTickMark val="out"/>
        <c:minorTickMark val="none"/>
        <c:tickLblPos val="nextTo"/>
        <c:crossAx val="55324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EU Veg Oil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Industrial Use</c:v>
          </c:tx>
          <c:spPr>
            <a:solidFill>
              <a:srgbClr val="8C8C8C"/>
            </a:solidFill>
            <a:ln>
              <a:solidFill>
                <a:srgbClr val="6F0791"/>
              </a:solidFill>
            </a:ln>
            <a:effectLst/>
          </c:spPr>
          <c:invertIfNegative val="0"/>
          <c:cat>
            <c:strRef>
              <c:f>'Vegetable Oil'!$C$3:$AN$3</c:f>
              <c:strCache>
                <c:ptCount val="38"/>
                <c:pt idx="0">
                  <c:v>93/94 </c:v>
                </c:pt>
                <c:pt idx="1">
                  <c:v>94/95 </c:v>
                </c:pt>
                <c:pt idx="2">
                  <c:v>95/96 </c:v>
                </c:pt>
                <c:pt idx="3">
                  <c:v>96/97 </c:v>
                </c:pt>
                <c:pt idx="4">
                  <c:v>97/98 </c:v>
                </c:pt>
                <c:pt idx="5">
                  <c:v>98/99 </c:v>
                </c:pt>
                <c:pt idx="6">
                  <c:v>99/00 </c:v>
                </c:pt>
                <c:pt idx="7">
                  <c:v>00/01 </c:v>
                </c:pt>
                <c:pt idx="8">
                  <c:v>01/02 </c:v>
                </c:pt>
                <c:pt idx="9">
                  <c:v>02/03 </c:v>
                </c:pt>
                <c:pt idx="10">
                  <c:v>03/04 </c:v>
                </c:pt>
                <c:pt idx="11">
                  <c:v>04/05 </c:v>
                </c:pt>
                <c:pt idx="12">
                  <c:v>05/06 </c:v>
                </c:pt>
                <c:pt idx="13">
                  <c:v>06/07 </c:v>
                </c:pt>
                <c:pt idx="14">
                  <c:v>07/08 </c:v>
                </c:pt>
                <c:pt idx="15">
                  <c:v>08/09 </c:v>
                </c:pt>
                <c:pt idx="16">
                  <c:v>09/10 </c:v>
                </c:pt>
                <c:pt idx="17">
                  <c:v>10/11 </c:v>
                </c:pt>
                <c:pt idx="18">
                  <c:v>11/12 </c:v>
                </c:pt>
                <c:pt idx="19">
                  <c:v>12/13 </c:v>
                </c:pt>
                <c:pt idx="20">
                  <c:v>13/14 </c:v>
                </c:pt>
                <c:pt idx="21">
                  <c:v>14/15 </c:v>
                </c:pt>
                <c:pt idx="22">
                  <c:v>15/16 </c:v>
                </c:pt>
                <c:pt idx="23">
                  <c:v>16/17 </c:v>
                </c:pt>
                <c:pt idx="24">
                  <c:v>17/18 </c:v>
                </c:pt>
                <c:pt idx="25">
                  <c:v>18/19 </c:v>
                </c:pt>
                <c:pt idx="26">
                  <c:v>19/20 </c:v>
                </c:pt>
                <c:pt idx="27">
                  <c:v>20/21 </c:v>
                </c:pt>
                <c:pt idx="28">
                  <c:v>21/22 </c:v>
                </c:pt>
                <c:pt idx="29">
                  <c:v>22/23 </c:v>
                </c:pt>
                <c:pt idx="30">
                  <c:v>23/24 </c:v>
                </c:pt>
                <c:pt idx="31">
                  <c:v>24/25 </c:v>
                </c:pt>
                <c:pt idx="32">
                  <c:v>25/26 </c:v>
                </c:pt>
                <c:pt idx="33">
                  <c:v>26/27 </c:v>
                </c:pt>
                <c:pt idx="34">
                  <c:v>27/28 </c:v>
                </c:pt>
                <c:pt idx="35">
                  <c:v>28/29 </c:v>
                </c:pt>
                <c:pt idx="36">
                  <c:v>29/30 </c:v>
                </c:pt>
                <c:pt idx="37">
                  <c:v>30/31 </c:v>
                </c:pt>
              </c:strCache>
            </c:strRef>
          </c:cat>
          <c:val>
            <c:numRef>
              <c:f>'Vegetable Oil'!$C$131:$AN$131</c:f>
              <c:numCache>
                <c:formatCode>#,##0_);[Red]\(#,##0\)</c:formatCode>
                <c:ptCount val="38"/>
                <c:pt idx="0">
                  <c:v>852</c:v>
                </c:pt>
                <c:pt idx="1">
                  <c:v>877</c:v>
                </c:pt>
                <c:pt idx="2">
                  <c:v>944</c:v>
                </c:pt>
                <c:pt idx="3">
                  <c:v>1040</c:v>
                </c:pt>
                <c:pt idx="4">
                  <c:v>1001</c:v>
                </c:pt>
                <c:pt idx="5">
                  <c:v>1005</c:v>
                </c:pt>
                <c:pt idx="6">
                  <c:v>1606</c:v>
                </c:pt>
                <c:pt idx="7">
                  <c:v>1777</c:v>
                </c:pt>
                <c:pt idx="8">
                  <c:v>1883</c:v>
                </c:pt>
                <c:pt idx="9">
                  <c:v>2290</c:v>
                </c:pt>
                <c:pt idx="10">
                  <c:v>3064</c:v>
                </c:pt>
                <c:pt idx="11">
                  <c:v>4353</c:v>
                </c:pt>
                <c:pt idx="12">
                  <c:v>6402</c:v>
                </c:pt>
                <c:pt idx="13">
                  <c:v>8069</c:v>
                </c:pt>
                <c:pt idx="14">
                  <c:v>8842</c:v>
                </c:pt>
                <c:pt idx="15">
                  <c:v>10351</c:v>
                </c:pt>
                <c:pt idx="16">
                  <c:v>11124</c:v>
                </c:pt>
                <c:pt idx="17">
                  <c:v>10370</c:v>
                </c:pt>
                <c:pt idx="18">
                  <c:v>10350</c:v>
                </c:pt>
                <c:pt idx="19">
                  <c:v>11075</c:v>
                </c:pt>
                <c:pt idx="20">
                  <c:v>11565</c:v>
                </c:pt>
                <c:pt idx="21">
                  <c:v>12045</c:v>
                </c:pt>
                <c:pt idx="22">
                  <c:v>12200</c:v>
                </c:pt>
                <c:pt idx="23">
                  <c:v>12100</c:v>
                </c:pt>
                <c:pt idx="24">
                  <c:v>12160</c:v>
                </c:pt>
                <c:pt idx="25">
                  <c:v>12585</c:v>
                </c:pt>
                <c:pt idx="26">
                  <c:v>12435</c:v>
                </c:pt>
                <c:pt idx="27">
                  <c:v>12420</c:v>
                </c:pt>
                <c:pt idx="28">
                  <c:v>11110</c:v>
                </c:pt>
                <c:pt idx="29">
                  <c:v>11160</c:v>
                </c:pt>
                <c:pt idx="30">
                  <c:v>11185</c:v>
                </c:pt>
                <c:pt idx="31">
                  <c:v>10310</c:v>
                </c:pt>
                <c:pt idx="32">
                  <c:v>10335</c:v>
                </c:pt>
                <c:pt idx="33">
                  <c:v>10810</c:v>
                </c:pt>
                <c:pt idx="34">
                  <c:v>10785</c:v>
                </c:pt>
                <c:pt idx="35">
                  <c:v>10760</c:v>
                </c:pt>
                <c:pt idx="36">
                  <c:v>10735</c:v>
                </c:pt>
                <c:pt idx="37">
                  <c:v>10710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B-4162-BCDA-961166C10A52}"/>
            </c:ext>
          </c:extLst>
        </c:ser>
        <c:ser>
          <c:idx val="1"/>
          <c:order val="1"/>
          <c:tx>
            <c:v>Other Domestic Use</c:v>
          </c:tx>
          <c:spPr>
            <a:solidFill>
              <a:srgbClr val="E0E0E0"/>
            </a:solidFill>
            <a:ln>
              <a:solidFill>
                <a:srgbClr val="6F0791"/>
              </a:solidFill>
            </a:ln>
            <a:effectLst/>
          </c:spPr>
          <c:invertIfNegative val="0"/>
          <c:cat>
            <c:strRef>
              <c:f>'Vegetable Oil'!$C$3:$AN$3</c:f>
              <c:strCache>
                <c:ptCount val="38"/>
                <c:pt idx="0">
                  <c:v>93/94 </c:v>
                </c:pt>
                <c:pt idx="1">
                  <c:v>94/95 </c:v>
                </c:pt>
                <c:pt idx="2">
                  <c:v>95/96 </c:v>
                </c:pt>
                <c:pt idx="3">
                  <c:v>96/97 </c:v>
                </c:pt>
                <c:pt idx="4">
                  <c:v>97/98 </c:v>
                </c:pt>
                <c:pt idx="5">
                  <c:v>98/99 </c:v>
                </c:pt>
                <c:pt idx="6">
                  <c:v>99/00 </c:v>
                </c:pt>
                <c:pt idx="7">
                  <c:v>00/01 </c:v>
                </c:pt>
                <c:pt idx="8">
                  <c:v>01/02 </c:v>
                </c:pt>
                <c:pt idx="9">
                  <c:v>02/03 </c:v>
                </c:pt>
                <c:pt idx="10">
                  <c:v>03/04 </c:v>
                </c:pt>
                <c:pt idx="11">
                  <c:v>04/05 </c:v>
                </c:pt>
                <c:pt idx="12">
                  <c:v>05/06 </c:v>
                </c:pt>
                <c:pt idx="13">
                  <c:v>06/07 </c:v>
                </c:pt>
                <c:pt idx="14">
                  <c:v>07/08 </c:v>
                </c:pt>
                <c:pt idx="15">
                  <c:v>08/09 </c:v>
                </c:pt>
                <c:pt idx="16">
                  <c:v>09/10 </c:v>
                </c:pt>
                <c:pt idx="17">
                  <c:v>10/11 </c:v>
                </c:pt>
                <c:pt idx="18">
                  <c:v>11/12 </c:v>
                </c:pt>
                <c:pt idx="19">
                  <c:v>12/13 </c:v>
                </c:pt>
                <c:pt idx="20">
                  <c:v>13/14 </c:v>
                </c:pt>
                <c:pt idx="21">
                  <c:v>14/15 </c:v>
                </c:pt>
                <c:pt idx="22">
                  <c:v>15/16 </c:v>
                </c:pt>
                <c:pt idx="23">
                  <c:v>16/17 </c:v>
                </c:pt>
                <c:pt idx="24">
                  <c:v>17/18 </c:v>
                </c:pt>
                <c:pt idx="25">
                  <c:v>18/19 </c:v>
                </c:pt>
                <c:pt idx="26">
                  <c:v>19/20 </c:v>
                </c:pt>
                <c:pt idx="27">
                  <c:v>20/21 </c:v>
                </c:pt>
                <c:pt idx="28">
                  <c:v>21/22 </c:v>
                </c:pt>
                <c:pt idx="29">
                  <c:v>22/23 </c:v>
                </c:pt>
                <c:pt idx="30">
                  <c:v>23/24 </c:v>
                </c:pt>
                <c:pt idx="31">
                  <c:v>24/25 </c:v>
                </c:pt>
                <c:pt idx="32">
                  <c:v>25/26 </c:v>
                </c:pt>
                <c:pt idx="33">
                  <c:v>26/27 </c:v>
                </c:pt>
                <c:pt idx="34">
                  <c:v>27/28 </c:v>
                </c:pt>
                <c:pt idx="35">
                  <c:v>28/29 </c:v>
                </c:pt>
                <c:pt idx="36">
                  <c:v>29/30 </c:v>
                </c:pt>
                <c:pt idx="37">
                  <c:v>30/31 </c:v>
                </c:pt>
              </c:strCache>
            </c:strRef>
          </c:cat>
          <c:val>
            <c:numRef>
              <c:f>'Vegetable Oil'!$C$132:$AN$132</c:f>
              <c:numCache>
                <c:formatCode>#,##0_);[Red]\(#,##0\)</c:formatCode>
                <c:ptCount val="38"/>
                <c:pt idx="0">
                  <c:v>10415.354970856934</c:v>
                </c:pt>
                <c:pt idx="1">
                  <c:v>11076.608322957767</c:v>
                </c:pt>
                <c:pt idx="2">
                  <c:v>11691.624633142799</c:v>
                </c:pt>
                <c:pt idx="3">
                  <c:v>11129.985350273182</c:v>
                </c:pt>
                <c:pt idx="4">
                  <c:v>11799.710156317029</c:v>
                </c:pt>
                <c:pt idx="5">
                  <c:v>11983.456053930826</c:v>
                </c:pt>
                <c:pt idx="6">
                  <c:v>10919.342812000341</c:v>
                </c:pt>
                <c:pt idx="7">
                  <c:v>11910.408581929707</c:v>
                </c:pt>
                <c:pt idx="8">
                  <c:v>12248.970567255048</c:v>
                </c:pt>
                <c:pt idx="9">
                  <c:v>12033.048504278517</c:v>
                </c:pt>
                <c:pt idx="10">
                  <c:v>11694.426775255826</c:v>
                </c:pt>
                <c:pt idx="11">
                  <c:v>12422.932672378734</c:v>
                </c:pt>
                <c:pt idx="12">
                  <c:v>13322.177071417413</c:v>
                </c:pt>
                <c:pt idx="13">
                  <c:v>13135.383623059664</c:v>
                </c:pt>
                <c:pt idx="14">
                  <c:v>13181.556409451819</c:v>
                </c:pt>
                <c:pt idx="15">
                  <c:v>13474.150735491359</c:v>
                </c:pt>
                <c:pt idx="16">
                  <c:v>13781.950892519548</c:v>
                </c:pt>
                <c:pt idx="17">
                  <c:v>13292.489383058335</c:v>
                </c:pt>
                <c:pt idx="18">
                  <c:v>13902.703825377823</c:v>
                </c:pt>
                <c:pt idx="19">
                  <c:v>14529.397000000001</c:v>
                </c:pt>
                <c:pt idx="20">
                  <c:v>15018.219786516853</c:v>
                </c:pt>
                <c:pt idx="21">
                  <c:v>13851.4215432526</c:v>
                </c:pt>
                <c:pt idx="22">
                  <c:v>12941.922244147157</c:v>
                </c:pt>
                <c:pt idx="23">
                  <c:v>13110.94055793291</c:v>
                </c:pt>
                <c:pt idx="24">
                  <c:v>12134.238478025301</c:v>
                </c:pt>
                <c:pt idx="25">
                  <c:v>12671.92111352213</c:v>
                </c:pt>
                <c:pt idx="26">
                  <c:v>12482.737875331797</c:v>
                </c:pt>
                <c:pt idx="27">
                  <c:v>13773.022413181516</c:v>
                </c:pt>
                <c:pt idx="28">
                  <c:v>13404.001407470139</c:v>
                </c:pt>
                <c:pt idx="29">
                  <c:v>13345.360422496829</c:v>
                </c:pt>
                <c:pt idx="30">
                  <c:v>13973.152282127667</c:v>
                </c:pt>
                <c:pt idx="31">
                  <c:v>15113.751428571435</c:v>
                </c:pt>
                <c:pt idx="32">
                  <c:v>15560.631578947377</c:v>
                </c:pt>
                <c:pt idx="33">
                  <c:v>16159.833082706777</c:v>
                </c:pt>
                <c:pt idx="34">
                  <c:v>17064.541353383465</c:v>
                </c:pt>
                <c:pt idx="35">
                  <c:v>17586.249624060158</c:v>
                </c:pt>
                <c:pt idx="36">
                  <c:v>18533.957894736857</c:v>
                </c:pt>
                <c:pt idx="37">
                  <c:v>19203.666165413553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2B-4162-BCDA-961166C10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41582783"/>
        <c:axId val="541567423"/>
      </c:barChart>
      <c:lineChart>
        <c:grouping val="standard"/>
        <c:varyColors val="0"/>
        <c:ser>
          <c:idx val="2"/>
          <c:order val="2"/>
          <c:tx>
            <c:v>Days of Coverage</c:v>
          </c:tx>
          <c:spPr>
            <a:ln w="19050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val>
            <c:numRef>
              <c:f>'Vegetable Oil'!$C$61:$AN$61</c:f>
              <c:numCache>
                <c:formatCode>#,##0.0_);[Red]\(#,##0.0\)</c:formatCode>
                <c:ptCount val="38"/>
                <c:pt idx="0">
                  <c:v>22.353391884528463</c:v>
                </c:pt>
                <c:pt idx="1">
                  <c:v>24.506661612289012</c:v>
                </c:pt>
                <c:pt idx="2">
                  <c:v>26.893199455682474</c:v>
                </c:pt>
                <c:pt idx="3">
                  <c:v>21.232204664603561</c:v>
                </c:pt>
                <c:pt idx="4">
                  <c:v>20.550841313953363</c:v>
                </c:pt>
                <c:pt idx="5">
                  <c:v>23.797029209930511</c:v>
                </c:pt>
                <c:pt idx="6">
                  <c:v>24.450985829608832</c:v>
                </c:pt>
                <c:pt idx="7">
                  <c:v>27.533177332654532</c:v>
                </c:pt>
                <c:pt idx="8">
                  <c:v>27.980437330647533</c:v>
                </c:pt>
                <c:pt idx="9">
                  <c:v>27.259043855610024</c:v>
                </c:pt>
                <c:pt idx="10">
                  <c:v>20.122702329920852</c:v>
                </c:pt>
                <c:pt idx="11">
                  <c:v>19.593866280320452</c:v>
                </c:pt>
                <c:pt idx="12">
                  <c:v>20.162937330643739</c:v>
                </c:pt>
                <c:pt idx="13">
                  <c:v>19.710605107411006</c:v>
                </c:pt>
                <c:pt idx="14">
                  <c:v>23.885084287594726</c:v>
                </c:pt>
                <c:pt idx="15">
                  <c:v>26.910120368332695</c:v>
                </c:pt>
                <c:pt idx="16">
                  <c:v>23.826091144532736</c:v>
                </c:pt>
                <c:pt idx="17">
                  <c:v>24.130181565939154</c:v>
                </c:pt>
                <c:pt idx="18">
                  <c:v>23.405704862050168</c:v>
                </c:pt>
                <c:pt idx="19">
                  <c:v>16.337365976376404</c:v>
                </c:pt>
                <c:pt idx="20">
                  <c:v>22.601557176701608</c:v>
                </c:pt>
                <c:pt idx="21">
                  <c:v>17.682076938268143</c:v>
                </c:pt>
                <c:pt idx="22">
                  <c:v>15.940057056001674</c:v>
                </c:pt>
                <c:pt idx="23">
                  <c:v>20.18077226167355</c:v>
                </c:pt>
                <c:pt idx="24">
                  <c:v>21.336376169355013</c:v>
                </c:pt>
                <c:pt idx="25">
                  <c:v>29.679830012434689</c:v>
                </c:pt>
                <c:pt idx="26">
                  <c:v>36.737968140161811</c:v>
                </c:pt>
                <c:pt idx="27">
                  <c:v>21.236897500145169</c:v>
                </c:pt>
                <c:pt idx="28">
                  <c:v>25.861883243769991</c:v>
                </c:pt>
                <c:pt idx="29">
                  <c:v>25.171345134069998</c:v>
                </c:pt>
                <c:pt idx="30">
                  <c:v>30.354697980913503</c:v>
                </c:pt>
                <c:pt idx="31">
                  <c:v>24.414130209336427</c:v>
                </c:pt>
                <c:pt idx="32">
                  <c:v>24.190311049705578</c:v>
                </c:pt>
                <c:pt idx="33">
                  <c:v>24.939493302412824</c:v>
                </c:pt>
                <c:pt idx="34">
                  <c:v>24.174793844487471</c:v>
                </c:pt>
                <c:pt idx="35">
                  <c:v>26.336847987370017</c:v>
                </c:pt>
                <c:pt idx="36">
                  <c:v>25.225107166941815</c:v>
                </c:pt>
                <c:pt idx="37">
                  <c:v>25.216585949088234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2B-4162-BCDA-961166C10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162975"/>
        <c:axId val="316173535"/>
      </c:lineChart>
      <c:catAx>
        <c:axId val="54158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1567423"/>
        <c:crosses val="autoZero"/>
        <c:auto val="1"/>
        <c:lblAlgn val="ctr"/>
        <c:lblOffset val="100"/>
        <c:noMultiLvlLbl val="0"/>
      </c:catAx>
      <c:valAx>
        <c:axId val="54156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1582783"/>
        <c:crosses val="autoZero"/>
        <c:crossBetween val="between"/>
      </c:valAx>
      <c:valAx>
        <c:axId val="316173535"/>
        <c:scaling>
          <c:orientation val="minMax"/>
        </c:scaling>
        <c:delete val="0"/>
        <c:axPos val="r"/>
        <c:numFmt formatCode="#,##0.0_);[Red]\(#,##0.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16162975"/>
        <c:crosses val="max"/>
        <c:crossBetween val="between"/>
      </c:valAx>
      <c:catAx>
        <c:axId val="316162975"/>
        <c:scaling>
          <c:orientation val="minMax"/>
        </c:scaling>
        <c:delete val="1"/>
        <c:axPos val="b"/>
        <c:majorTickMark val="out"/>
        <c:minorTickMark val="none"/>
        <c:tickLblPos val="nextTo"/>
        <c:crossAx val="3161735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'Vegetable Oil'!$B$20</c:f>
              <c:strCache>
                <c:ptCount val="1"/>
                <c:pt idx="0">
                  <c:v>Soybean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'Vegetable Oil'!$C$3:$AN$3</c:f>
              <c:strCache>
                <c:ptCount val="38"/>
                <c:pt idx="0">
                  <c:v>93/94 </c:v>
                </c:pt>
                <c:pt idx="1">
                  <c:v>94/95 </c:v>
                </c:pt>
                <c:pt idx="2">
                  <c:v>95/96 </c:v>
                </c:pt>
                <c:pt idx="3">
                  <c:v>96/97 </c:v>
                </c:pt>
                <c:pt idx="4">
                  <c:v>97/98 </c:v>
                </c:pt>
                <c:pt idx="5">
                  <c:v>98/99 </c:v>
                </c:pt>
                <c:pt idx="6">
                  <c:v>99/00 </c:v>
                </c:pt>
                <c:pt idx="7">
                  <c:v>00/01 </c:v>
                </c:pt>
                <c:pt idx="8">
                  <c:v>01/02 </c:v>
                </c:pt>
                <c:pt idx="9">
                  <c:v>02/03 </c:v>
                </c:pt>
                <c:pt idx="10">
                  <c:v>03/04 </c:v>
                </c:pt>
                <c:pt idx="11">
                  <c:v>04/05 </c:v>
                </c:pt>
                <c:pt idx="12">
                  <c:v>05/06 </c:v>
                </c:pt>
                <c:pt idx="13">
                  <c:v>06/07 </c:v>
                </c:pt>
                <c:pt idx="14">
                  <c:v>07/08 </c:v>
                </c:pt>
                <c:pt idx="15">
                  <c:v>08/09 </c:v>
                </c:pt>
                <c:pt idx="16">
                  <c:v>09/10 </c:v>
                </c:pt>
                <c:pt idx="17">
                  <c:v>10/11 </c:v>
                </c:pt>
                <c:pt idx="18">
                  <c:v>11/12 </c:v>
                </c:pt>
                <c:pt idx="19">
                  <c:v>12/13 </c:v>
                </c:pt>
                <c:pt idx="20">
                  <c:v>13/14 </c:v>
                </c:pt>
                <c:pt idx="21">
                  <c:v>14/15 </c:v>
                </c:pt>
                <c:pt idx="22">
                  <c:v>15/16 </c:v>
                </c:pt>
                <c:pt idx="23">
                  <c:v>16/17 </c:v>
                </c:pt>
                <c:pt idx="24">
                  <c:v>17/18 </c:v>
                </c:pt>
                <c:pt idx="25">
                  <c:v>18/19 </c:v>
                </c:pt>
                <c:pt idx="26">
                  <c:v>19/20 </c:v>
                </c:pt>
                <c:pt idx="27">
                  <c:v>20/21 </c:v>
                </c:pt>
                <c:pt idx="28">
                  <c:v>21/22 </c:v>
                </c:pt>
                <c:pt idx="29">
                  <c:v>22/23 </c:v>
                </c:pt>
                <c:pt idx="30">
                  <c:v>23/24 </c:v>
                </c:pt>
                <c:pt idx="31">
                  <c:v>24/25 </c:v>
                </c:pt>
                <c:pt idx="32">
                  <c:v>25/26 </c:v>
                </c:pt>
                <c:pt idx="33">
                  <c:v>26/27 </c:v>
                </c:pt>
                <c:pt idx="34">
                  <c:v>27/28 </c:v>
                </c:pt>
                <c:pt idx="35">
                  <c:v>28/29 </c:v>
                </c:pt>
                <c:pt idx="36">
                  <c:v>29/30 </c:v>
                </c:pt>
                <c:pt idx="37">
                  <c:v>30/31 </c:v>
                </c:pt>
              </c:strCache>
            </c:strRef>
          </c:cat>
          <c:val>
            <c:numRef>
              <c:f>'Vegetable Oil'!$C$20:$AN$20</c:f>
              <c:numCache>
                <c:formatCode>#,##0_);[Red]\(#,##0\)</c:formatCode>
                <c:ptCount val="38"/>
                <c:pt idx="0">
                  <c:v>203</c:v>
                </c:pt>
                <c:pt idx="1">
                  <c:v>150</c:v>
                </c:pt>
                <c:pt idx="2">
                  <c:v>128</c:v>
                </c:pt>
                <c:pt idx="3">
                  <c:v>124</c:v>
                </c:pt>
                <c:pt idx="4">
                  <c:v>146</c:v>
                </c:pt>
                <c:pt idx="5">
                  <c:v>181</c:v>
                </c:pt>
                <c:pt idx="6">
                  <c:v>84</c:v>
                </c:pt>
                <c:pt idx="7">
                  <c:v>29</c:v>
                </c:pt>
                <c:pt idx="8">
                  <c:v>62</c:v>
                </c:pt>
                <c:pt idx="9">
                  <c:v>30</c:v>
                </c:pt>
                <c:pt idx="10">
                  <c:v>67</c:v>
                </c:pt>
                <c:pt idx="11">
                  <c:v>181.56199999999998</c:v>
                </c:pt>
                <c:pt idx="12">
                  <c:v>717.59400000000005</c:v>
                </c:pt>
                <c:pt idx="13">
                  <c:v>978.43200000000002</c:v>
                </c:pt>
                <c:pt idx="14">
                  <c:v>1037.8</c:v>
                </c:pt>
                <c:pt idx="15">
                  <c:v>794.66899999999998</c:v>
                </c:pt>
                <c:pt idx="16">
                  <c:v>546.83800000000008</c:v>
                </c:pt>
                <c:pt idx="17">
                  <c:v>905.58900000000006</c:v>
                </c:pt>
                <c:pt idx="18">
                  <c:v>385.98900000000003</c:v>
                </c:pt>
                <c:pt idx="19">
                  <c:v>322.19100000000003</c:v>
                </c:pt>
                <c:pt idx="20">
                  <c:v>329.03400000000005</c:v>
                </c:pt>
                <c:pt idx="21">
                  <c:v>252.45599999999999</c:v>
                </c:pt>
                <c:pt idx="22">
                  <c:v>318.73500000000001</c:v>
                </c:pt>
                <c:pt idx="23">
                  <c:v>285.584</c:v>
                </c:pt>
                <c:pt idx="24">
                  <c:v>284.62</c:v>
                </c:pt>
                <c:pt idx="25">
                  <c:v>419.96597000000003</c:v>
                </c:pt>
                <c:pt idx="26">
                  <c:v>482.17280499999993</c:v>
                </c:pt>
                <c:pt idx="27">
                  <c:v>492.06788499999999</c:v>
                </c:pt>
                <c:pt idx="28">
                  <c:v>458.09976700000004</c:v>
                </c:pt>
                <c:pt idx="29">
                  <c:v>628.42360700000006</c:v>
                </c:pt>
                <c:pt idx="30">
                  <c:v>514.74877099999992</c:v>
                </c:pt>
                <c:pt idx="31">
                  <c:v>535</c:v>
                </c:pt>
                <c:pt idx="32">
                  <c:v>600</c:v>
                </c:pt>
                <c:pt idx="33">
                  <c:v>625</c:v>
                </c:pt>
                <c:pt idx="34">
                  <c:v>650</c:v>
                </c:pt>
                <c:pt idx="35">
                  <c:v>675</c:v>
                </c:pt>
                <c:pt idx="36">
                  <c:v>700</c:v>
                </c:pt>
                <c:pt idx="37">
                  <c:v>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AA-4300-BB94-6F82A4FE401D}"/>
            </c:ext>
          </c:extLst>
        </c:ser>
        <c:ser>
          <c:idx val="1"/>
          <c:order val="1"/>
          <c:tx>
            <c:strRef>
              <c:f>'Vegetable Oil'!$B$21</c:f>
              <c:strCache>
                <c:ptCount val="1"/>
                <c:pt idx="0">
                  <c:v>Rapeseed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'Vegetable Oil'!$C$3:$AN$3</c:f>
              <c:strCache>
                <c:ptCount val="38"/>
                <c:pt idx="0">
                  <c:v>93/94 </c:v>
                </c:pt>
                <c:pt idx="1">
                  <c:v>94/95 </c:v>
                </c:pt>
                <c:pt idx="2">
                  <c:v>95/96 </c:v>
                </c:pt>
                <c:pt idx="3">
                  <c:v>96/97 </c:v>
                </c:pt>
                <c:pt idx="4">
                  <c:v>97/98 </c:v>
                </c:pt>
                <c:pt idx="5">
                  <c:v>98/99 </c:v>
                </c:pt>
                <c:pt idx="6">
                  <c:v>99/00 </c:v>
                </c:pt>
                <c:pt idx="7">
                  <c:v>00/01 </c:v>
                </c:pt>
                <c:pt idx="8">
                  <c:v>01/02 </c:v>
                </c:pt>
                <c:pt idx="9">
                  <c:v>02/03 </c:v>
                </c:pt>
                <c:pt idx="10">
                  <c:v>03/04 </c:v>
                </c:pt>
                <c:pt idx="11">
                  <c:v>04/05 </c:v>
                </c:pt>
                <c:pt idx="12">
                  <c:v>05/06 </c:v>
                </c:pt>
                <c:pt idx="13">
                  <c:v>06/07 </c:v>
                </c:pt>
                <c:pt idx="14">
                  <c:v>07/08 </c:v>
                </c:pt>
                <c:pt idx="15">
                  <c:v>08/09 </c:v>
                </c:pt>
                <c:pt idx="16">
                  <c:v>09/10 </c:v>
                </c:pt>
                <c:pt idx="17">
                  <c:v>10/11 </c:v>
                </c:pt>
                <c:pt idx="18">
                  <c:v>11/12 </c:v>
                </c:pt>
                <c:pt idx="19">
                  <c:v>12/13 </c:v>
                </c:pt>
                <c:pt idx="20">
                  <c:v>13/14 </c:v>
                </c:pt>
                <c:pt idx="21">
                  <c:v>14/15 </c:v>
                </c:pt>
                <c:pt idx="22">
                  <c:v>15/16 </c:v>
                </c:pt>
                <c:pt idx="23">
                  <c:v>16/17 </c:v>
                </c:pt>
                <c:pt idx="24">
                  <c:v>17/18 </c:v>
                </c:pt>
                <c:pt idx="25">
                  <c:v>18/19 </c:v>
                </c:pt>
                <c:pt idx="26">
                  <c:v>19/20 </c:v>
                </c:pt>
                <c:pt idx="27">
                  <c:v>20/21 </c:v>
                </c:pt>
                <c:pt idx="28">
                  <c:v>21/22 </c:v>
                </c:pt>
                <c:pt idx="29">
                  <c:v>22/23 </c:v>
                </c:pt>
                <c:pt idx="30">
                  <c:v>23/24 </c:v>
                </c:pt>
                <c:pt idx="31">
                  <c:v>24/25 </c:v>
                </c:pt>
                <c:pt idx="32">
                  <c:v>25/26 </c:v>
                </c:pt>
                <c:pt idx="33">
                  <c:v>26/27 </c:v>
                </c:pt>
                <c:pt idx="34">
                  <c:v>27/28 </c:v>
                </c:pt>
                <c:pt idx="35">
                  <c:v>28/29 </c:v>
                </c:pt>
                <c:pt idx="36">
                  <c:v>29/30 </c:v>
                </c:pt>
                <c:pt idx="37">
                  <c:v>30/31 </c:v>
                </c:pt>
              </c:strCache>
            </c:strRef>
          </c:cat>
          <c:val>
            <c:numRef>
              <c:f>'Vegetable Oil'!$C$21:$AN$21</c:f>
              <c:numCache>
                <c:formatCode>#,##0_);[Red]\(#,##0\)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5.28</c:v>
                </c:pt>
                <c:pt idx="4">
                  <c:v>4.5939999999999985</c:v>
                </c:pt>
                <c:pt idx="5">
                  <c:v>1.7370000000000001</c:v>
                </c:pt>
                <c:pt idx="6">
                  <c:v>3.8010000000000002</c:v>
                </c:pt>
                <c:pt idx="7">
                  <c:v>2.7790000000000004</c:v>
                </c:pt>
                <c:pt idx="8">
                  <c:v>8.7087989999999991</c:v>
                </c:pt>
                <c:pt idx="9">
                  <c:v>16.673000000000002</c:v>
                </c:pt>
                <c:pt idx="10">
                  <c:v>39.305</c:v>
                </c:pt>
                <c:pt idx="11">
                  <c:v>57.321999999999996</c:v>
                </c:pt>
                <c:pt idx="12">
                  <c:v>626.40200000000004</c:v>
                </c:pt>
                <c:pt idx="13">
                  <c:v>852.38299999999992</c:v>
                </c:pt>
                <c:pt idx="14">
                  <c:v>455.13200000000006</c:v>
                </c:pt>
                <c:pt idx="15">
                  <c:v>537.48300000000006</c:v>
                </c:pt>
                <c:pt idx="16">
                  <c:v>459.35100000000006</c:v>
                </c:pt>
                <c:pt idx="17">
                  <c:v>584.84899999999993</c:v>
                </c:pt>
                <c:pt idx="18">
                  <c:v>528.16899999999998</c:v>
                </c:pt>
                <c:pt idx="19">
                  <c:v>282.58100000000007</c:v>
                </c:pt>
                <c:pt idx="20">
                  <c:v>375.15799999999996</c:v>
                </c:pt>
                <c:pt idx="21">
                  <c:v>320.04699999999997</c:v>
                </c:pt>
                <c:pt idx="22">
                  <c:v>294.15600000000001</c:v>
                </c:pt>
                <c:pt idx="23">
                  <c:v>217.97900000000001</c:v>
                </c:pt>
                <c:pt idx="24">
                  <c:v>338.29899999999998</c:v>
                </c:pt>
                <c:pt idx="25">
                  <c:v>396.63399999999996</c:v>
                </c:pt>
                <c:pt idx="26">
                  <c:v>422.83999999999992</c:v>
                </c:pt>
                <c:pt idx="27">
                  <c:v>322.52399999999994</c:v>
                </c:pt>
                <c:pt idx="28">
                  <c:v>507.05100000000004</c:v>
                </c:pt>
                <c:pt idx="29">
                  <c:v>368.762</c:v>
                </c:pt>
                <c:pt idx="30">
                  <c:v>350</c:v>
                </c:pt>
                <c:pt idx="31">
                  <c:v>200</c:v>
                </c:pt>
                <c:pt idx="32">
                  <c:v>350</c:v>
                </c:pt>
                <c:pt idx="33">
                  <c:v>350</c:v>
                </c:pt>
                <c:pt idx="34">
                  <c:v>350</c:v>
                </c:pt>
                <c:pt idx="35">
                  <c:v>350</c:v>
                </c:pt>
                <c:pt idx="36">
                  <c:v>350</c:v>
                </c:pt>
                <c:pt idx="37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AA-4300-BB94-6F82A4FE401D}"/>
            </c:ext>
          </c:extLst>
        </c:ser>
        <c:ser>
          <c:idx val="2"/>
          <c:order val="2"/>
          <c:tx>
            <c:strRef>
              <c:f>'Vegetable Oil'!$B$22</c:f>
              <c:strCache>
                <c:ptCount val="1"/>
                <c:pt idx="0">
                  <c:v>Sunflower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'Vegetable Oil'!$C$3:$AN$3</c:f>
              <c:strCache>
                <c:ptCount val="38"/>
                <c:pt idx="0">
                  <c:v>93/94 </c:v>
                </c:pt>
                <c:pt idx="1">
                  <c:v>94/95 </c:v>
                </c:pt>
                <c:pt idx="2">
                  <c:v>95/96 </c:v>
                </c:pt>
                <c:pt idx="3">
                  <c:v>96/97 </c:v>
                </c:pt>
                <c:pt idx="4">
                  <c:v>97/98 </c:v>
                </c:pt>
                <c:pt idx="5">
                  <c:v>98/99 </c:v>
                </c:pt>
                <c:pt idx="6">
                  <c:v>99/00 </c:v>
                </c:pt>
                <c:pt idx="7">
                  <c:v>00/01 </c:v>
                </c:pt>
                <c:pt idx="8">
                  <c:v>01/02 </c:v>
                </c:pt>
                <c:pt idx="9">
                  <c:v>02/03 </c:v>
                </c:pt>
                <c:pt idx="10">
                  <c:v>03/04 </c:v>
                </c:pt>
                <c:pt idx="11">
                  <c:v>04/05 </c:v>
                </c:pt>
                <c:pt idx="12">
                  <c:v>05/06 </c:v>
                </c:pt>
                <c:pt idx="13">
                  <c:v>06/07 </c:v>
                </c:pt>
                <c:pt idx="14">
                  <c:v>07/08 </c:v>
                </c:pt>
                <c:pt idx="15">
                  <c:v>08/09 </c:v>
                </c:pt>
                <c:pt idx="16">
                  <c:v>09/10 </c:v>
                </c:pt>
                <c:pt idx="17">
                  <c:v>10/11 </c:v>
                </c:pt>
                <c:pt idx="18">
                  <c:v>11/12 </c:v>
                </c:pt>
                <c:pt idx="19">
                  <c:v>12/13 </c:v>
                </c:pt>
                <c:pt idx="20">
                  <c:v>13/14 </c:v>
                </c:pt>
                <c:pt idx="21">
                  <c:v>14/15 </c:v>
                </c:pt>
                <c:pt idx="22">
                  <c:v>15/16 </c:v>
                </c:pt>
                <c:pt idx="23">
                  <c:v>16/17 </c:v>
                </c:pt>
                <c:pt idx="24">
                  <c:v>17/18 </c:v>
                </c:pt>
                <c:pt idx="25">
                  <c:v>18/19 </c:v>
                </c:pt>
                <c:pt idx="26">
                  <c:v>19/20 </c:v>
                </c:pt>
                <c:pt idx="27">
                  <c:v>20/21 </c:v>
                </c:pt>
                <c:pt idx="28">
                  <c:v>21/22 </c:v>
                </c:pt>
                <c:pt idx="29">
                  <c:v>22/23 </c:v>
                </c:pt>
                <c:pt idx="30">
                  <c:v>23/24 </c:v>
                </c:pt>
                <c:pt idx="31">
                  <c:v>24/25 </c:v>
                </c:pt>
                <c:pt idx="32">
                  <c:v>25/26 </c:v>
                </c:pt>
                <c:pt idx="33">
                  <c:v>26/27 </c:v>
                </c:pt>
                <c:pt idx="34">
                  <c:v>27/28 </c:v>
                </c:pt>
                <c:pt idx="35">
                  <c:v>28/29 </c:v>
                </c:pt>
                <c:pt idx="36">
                  <c:v>29/30 </c:v>
                </c:pt>
                <c:pt idx="37">
                  <c:v>30/31 </c:v>
                </c:pt>
              </c:strCache>
            </c:strRef>
          </c:cat>
          <c:val>
            <c:numRef>
              <c:f>'Vegetable Oil'!$C$22:$AN$22</c:f>
              <c:numCache>
                <c:formatCode>#,##0_);[Red]\(#,##0\)</c:formatCode>
                <c:ptCount val="38"/>
                <c:pt idx="0">
                  <c:v>152</c:v>
                </c:pt>
                <c:pt idx="1">
                  <c:v>127</c:v>
                </c:pt>
                <c:pt idx="2">
                  <c:v>108</c:v>
                </c:pt>
                <c:pt idx="3">
                  <c:v>108</c:v>
                </c:pt>
                <c:pt idx="4">
                  <c:v>197.78699999999998</c:v>
                </c:pt>
                <c:pt idx="5">
                  <c:v>221.065</c:v>
                </c:pt>
                <c:pt idx="6">
                  <c:v>144.74099999999999</c:v>
                </c:pt>
                <c:pt idx="7">
                  <c:v>294.95799999999997</c:v>
                </c:pt>
                <c:pt idx="8">
                  <c:v>695.428</c:v>
                </c:pt>
                <c:pt idx="9">
                  <c:v>741.89300000000003</c:v>
                </c:pt>
                <c:pt idx="10">
                  <c:v>494.34799999999996</c:v>
                </c:pt>
                <c:pt idx="11">
                  <c:v>882.37499999999989</c:v>
                </c:pt>
                <c:pt idx="12">
                  <c:v>1261.4490000000001</c:v>
                </c:pt>
                <c:pt idx="13">
                  <c:v>1219.7900000000002</c:v>
                </c:pt>
                <c:pt idx="14">
                  <c:v>1208.9880000000001</c:v>
                </c:pt>
                <c:pt idx="15">
                  <c:v>1059.9930000000002</c:v>
                </c:pt>
                <c:pt idx="16">
                  <c:v>968.64400000000001</c:v>
                </c:pt>
                <c:pt idx="17">
                  <c:v>816.61</c:v>
                </c:pt>
                <c:pt idx="18">
                  <c:v>991.74</c:v>
                </c:pt>
                <c:pt idx="19">
                  <c:v>942.43300000000011</c:v>
                </c:pt>
                <c:pt idx="20">
                  <c:v>1039.377</c:v>
                </c:pt>
                <c:pt idx="21">
                  <c:v>824.99</c:v>
                </c:pt>
                <c:pt idx="22">
                  <c:v>1355.5339999999999</c:v>
                </c:pt>
                <c:pt idx="23">
                  <c:v>1820.0130000000001</c:v>
                </c:pt>
                <c:pt idx="24">
                  <c:v>1622.6810000000003</c:v>
                </c:pt>
                <c:pt idx="25">
                  <c:v>2010.4709060000002</c:v>
                </c:pt>
                <c:pt idx="26">
                  <c:v>2348.9520310000003</c:v>
                </c:pt>
                <c:pt idx="27">
                  <c:v>1591.662797</c:v>
                </c:pt>
                <c:pt idx="28">
                  <c:v>2103.9279609999994</c:v>
                </c:pt>
                <c:pt idx="29">
                  <c:v>2097.5039350000002</c:v>
                </c:pt>
                <c:pt idx="30">
                  <c:v>2966.6225999999992</c:v>
                </c:pt>
                <c:pt idx="31">
                  <c:v>3000</c:v>
                </c:pt>
                <c:pt idx="32">
                  <c:v>2450</c:v>
                </c:pt>
                <c:pt idx="33">
                  <c:v>2500</c:v>
                </c:pt>
                <c:pt idx="34">
                  <c:v>2600</c:v>
                </c:pt>
                <c:pt idx="35">
                  <c:v>2700</c:v>
                </c:pt>
                <c:pt idx="36">
                  <c:v>2750</c:v>
                </c:pt>
                <c:pt idx="37">
                  <c:v>2825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AA-4300-BB94-6F82A4FE401D}"/>
            </c:ext>
          </c:extLst>
        </c:ser>
        <c:ser>
          <c:idx val="3"/>
          <c:order val="3"/>
          <c:tx>
            <c:strRef>
              <c:f>'Vegetable Oil'!$B$23</c:f>
              <c:strCache>
                <c:ptCount val="1"/>
                <c:pt idx="0">
                  <c:v>Palm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'Vegetable Oil'!$C$3:$AN$3</c:f>
              <c:strCache>
                <c:ptCount val="38"/>
                <c:pt idx="0">
                  <c:v>93/94 </c:v>
                </c:pt>
                <c:pt idx="1">
                  <c:v>94/95 </c:v>
                </c:pt>
                <c:pt idx="2">
                  <c:v>95/96 </c:v>
                </c:pt>
                <c:pt idx="3">
                  <c:v>96/97 </c:v>
                </c:pt>
                <c:pt idx="4">
                  <c:v>97/98 </c:v>
                </c:pt>
                <c:pt idx="5">
                  <c:v>98/99 </c:v>
                </c:pt>
                <c:pt idx="6">
                  <c:v>99/00 </c:v>
                </c:pt>
                <c:pt idx="7">
                  <c:v>00/01 </c:v>
                </c:pt>
                <c:pt idx="8">
                  <c:v>01/02 </c:v>
                </c:pt>
                <c:pt idx="9">
                  <c:v>02/03 </c:v>
                </c:pt>
                <c:pt idx="10">
                  <c:v>03/04 </c:v>
                </c:pt>
                <c:pt idx="11">
                  <c:v>04/05 </c:v>
                </c:pt>
                <c:pt idx="12">
                  <c:v>05/06 </c:v>
                </c:pt>
                <c:pt idx="13">
                  <c:v>06/07 </c:v>
                </c:pt>
                <c:pt idx="14">
                  <c:v>07/08 </c:v>
                </c:pt>
                <c:pt idx="15">
                  <c:v>08/09 </c:v>
                </c:pt>
                <c:pt idx="16">
                  <c:v>09/10 </c:v>
                </c:pt>
                <c:pt idx="17">
                  <c:v>10/11 </c:v>
                </c:pt>
                <c:pt idx="18">
                  <c:v>11/12 </c:v>
                </c:pt>
                <c:pt idx="19">
                  <c:v>12/13 </c:v>
                </c:pt>
                <c:pt idx="20">
                  <c:v>13/14 </c:v>
                </c:pt>
                <c:pt idx="21">
                  <c:v>14/15 </c:v>
                </c:pt>
                <c:pt idx="22">
                  <c:v>15/16 </c:v>
                </c:pt>
                <c:pt idx="23">
                  <c:v>16/17 </c:v>
                </c:pt>
                <c:pt idx="24">
                  <c:v>17/18 </c:v>
                </c:pt>
                <c:pt idx="25">
                  <c:v>18/19 </c:v>
                </c:pt>
                <c:pt idx="26">
                  <c:v>19/20 </c:v>
                </c:pt>
                <c:pt idx="27">
                  <c:v>20/21 </c:v>
                </c:pt>
                <c:pt idx="28">
                  <c:v>21/22 </c:v>
                </c:pt>
                <c:pt idx="29">
                  <c:v>22/23 </c:v>
                </c:pt>
                <c:pt idx="30">
                  <c:v>23/24 </c:v>
                </c:pt>
                <c:pt idx="31">
                  <c:v>24/25 </c:v>
                </c:pt>
                <c:pt idx="32">
                  <c:v>25/26 </c:v>
                </c:pt>
                <c:pt idx="33">
                  <c:v>26/27 </c:v>
                </c:pt>
                <c:pt idx="34">
                  <c:v>27/28 </c:v>
                </c:pt>
                <c:pt idx="35">
                  <c:v>28/29 </c:v>
                </c:pt>
                <c:pt idx="36">
                  <c:v>29/30 </c:v>
                </c:pt>
                <c:pt idx="37">
                  <c:v>30/31 </c:v>
                </c:pt>
              </c:strCache>
            </c:strRef>
          </c:cat>
          <c:val>
            <c:numRef>
              <c:f>'Vegetable Oil'!$C$23:$AN$23</c:f>
              <c:numCache>
                <c:formatCode>#,##0_);[Red]\(#,##0\)</c:formatCode>
                <c:ptCount val="38"/>
                <c:pt idx="0">
                  <c:v>1784</c:v>
                </c:pt>
                <c:pt idx="1">
                  <c:v>1770</c:v>
                </c:pt>
                <c:pt idx="2">
                  <c:v>1922</c:v>
                </c:pt>
                <c:pt idx="3">
                  <c:v>2087</c:v>
                </c:pt>
                <c:pt idx="4">
                  <c:v>2224</c:v>
                </c:pt>
                <c:pt idx="5">
                  <c:v>2314</c:v>
                </c:pt>
                <c:pt idx="6">
                  <c:v>2078</c:v>
                </c:pt>
                <c:pt idx="7">
                  <c:v>2885</c:v>
                </c:pt>
                <c:pt idx="8">
                  <c:v>2978</c:v>
                </c:pt>
                <c:pt idx="9">
                  <c:v>3006</c:v>
                </c:pt>
                <c:pt idx="10">
                  <c:v>3411</c:v>
                </c:pt>
                <c:pt idx="11">
                  <c:v>4031</c:v>
                </c:pt>
                <c:pt idx="12">
                  <c:v>4276</c:v>
                </c:pt>
                <c:pt idx="13">
                  <c:v>4339</c:v>
                </c:pt>
                <c:pt idx="14">
                  <c:v>4967</c:v>
                </c:pt>
                <c:pt idx="15">
                  <c:v>5509</c:v>
                </c:pt>
                <c:pt idx="16">
                  <c:v>5442</c:v>
                </c:pt>
                <c:pt idx="17">
                  <c:v>4944</c:v>
                </c:pt>
                <c:pt idx="18">
                  <c:v>5707</c:v>
                </c:pt>
                <c:pt idx="19">
                  <c:v>6812</c:v>
                </c:pt>
                <c:pt idx="20">
                  <c:v>6969</c:v>
                </c:pt>
                <c:pt idx="21">
                  <c:v>4896.7660000000005</c:v>
                </c:pt>
                <c:pt idx="22">
                  <c:v>4537.1570000000002</c:v>
                </c:pt>
                <c:pt idx="23">
                  <c:v>4203.62</c:v>
                </c:pt>
                <c:pt idx="24">
                  <c:v>3878.7870000000003</c:v>
                </c:pt>
                <c:pt idx="25">
                  <c:v>5288.4959999999992</c:v>
                </c:pt>
                <c:pt idx="26">
                  <c:v>5131.2879999999996</c:v>
                </c:pt>
                <c:pt idx="27">
                  <c:v>3812.018</c:v>
                </c:pt>
                <c:pt idx="28">
                  <c:v>3096.2420000000002</c:v>
                </c:pt>
                <c:pt idx="29">
                  <c:v>2627.8470000000002</c:v>
                </c:pt>
                <c:pt idx="30">
                  <c:v>2300.049</c:v>
                </c:pt>
                <c:pt idx="31">
                  <c:v>2100</c:v>
                </c:pt>
                <c:pt idx="32">
                  <c:v>2050</c:v>
                </c:pt>
                <c:pt idx="33">
                  <c:v>2000</c:v>
                </c:pt>
                <c:pt idx="34">
                  <c:v>1950</c:v>
                </c:pt>
                <c:pt idx="35">
                  <c:v>1900</c:v>
                </c:pt>
                <c:pt idx="36">
                  <c:v>1850</c:v>
                </c:pt>
                <c:pt idx="37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AA-4300-BB94-6F82A4FE401D}"/>
            </c:ext>
          </c:extLst>
        </c:ser>
        <c:ser>
          <c:idx val="4"/>
          <c:order val="4"/>
          <c:tx>
            <c:strRef>
              <c:f>'Vegetable Oil'!$B$24</c:f>
              <c:strCache>
                <c:ptCount val="1"/>
                <c:pt idx="0">
                  <c:v>Palm Kernel Oil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'Vegetable Oil'!$C$3:$AN$3</c:f>
              <c:strCache>
                <c:ptCount val="38"/>
                <c:pt idx="0">
                  <c:v>93/94 </c:v>
                </c:pt>
                <c:pt idx="1">
                  <c:v>94/95 </c:v>
                </c:pt>
                <c:pt idx="2">
                  <c:v>95/96 </c:v>
                </c:pt>
                <c:pt idx="3">
                  <c:v>96/97 </c:v>
                </c:pt>
                <c:pt idx="4">
                  <c:v>97/98 </c:v>
                </c:pt>
                <c:pt idx="5">
                  <c:v>98/99 </c:v>
                </c:pt>
                <c:pt idx="6">
                  <c:v>99/00 </c:v>
                </c:pt>
                <c:pt idx="7">
                  <c:v>00/01 </c:v>
                </c:pt>
                <c:pt idx="8">
                  <c:v>01/02 </c:v>
                </c:pt>
                <c:pt idx="9">
                  <c:v>02/03 </c:v>
                </c:pt>
                <c:pt idx="10">
                  <c:v>03/04 </c:v>
                </c:pt>
                <c:pt idx="11">
                  <c:v>04/05 </c:v>
                </c:pt>
                <c:pt idx="12">
                  <c:v>05/06 </c:v>
                </c:pt>
                <c:pt idx="13">
                  <c:v>06/07 </c:v>
                </c:pt>
                <c:pt idx="14">
                  <c:v>07/08 </c:v>
                </c:pt>
                <c:pt idx="15">
                  <c:v>08/09 </c:v>
                </c:pt>
                <c:pt idx="16">
                  <c:v>09/10 </c:v>
                </c:pt>
                <c:pt idx="17">
                  <c:v>10/11 </c:v>
                </c:pt>
                <c:pt idx="18">
                  <c:v>11/12 </c:v>
                </c:pt>
                <c:pt idx="19">
                  <c:v>12/13 </c:v>
                </c:pt>
                <c:pt idx="20">
                  <c:v>13/14 </c:v>
                </c:pt>
                <c:pt idx="21">
                  <c:v>14/15 </c:v>
                </c:pt>
                <c:pt idx="22">
                  <c:v>15/16 </c:v>
                </c:pt>
                <c:pt idx="23">
                  <c:v>16/17 </c:v>
                </c:pt>
                <c:pt idx="24">
                  <c:v>17/18 </c:v>
                </c:pt>
                <c:pt idx="25">
                  <c:v>18/19 </c:v>
                </c:pt>
                <c:pt idx="26">
                  <c:v>19/20 </c:v>
                </c:pt>
                <c:pt idx="27">
                  <c:v>20/21 </c:v>
                </c:pt>
                <c:pt idx="28">
                  <c:v>21/22 </c:v>
                </c:pt>
                <c:pt idx="29">
                  <c:v>22/23 </c:v>
                </c:pt>
                <c:pt idx="30">
                  <c:v>23/24 </c:v>
                </c:pt>
                <c:pt idx="31">
                  <c:v>24/25 </c:v>
                </c:pt>
                <c:pt idx="32">
                  <c:v>25/26 </c:v>
                </c:pt>
                <c:pt idx="33">
                  <c:v>26/27 </c:v>
                </c:pt>
                <c:pt idx="34">
                  <c:v>27/28 </c:v>
                </c:pt>
                <c:pt idx="35">
                  <c:v>28/29 </c:v>
                </c:pt>
                <c:pt idx="36">
                  <c:v>29/30 </c:v>
                </c:pt>
                <c:pt idx="37">
                  <c:v>30/31 </c:v>
                </c:pt>
              </c:strCache>
            </c:strRef>
          </c:cat>
          <c:val>
            <c:numRef>
              <c:f>'Vegetable Oil'!$C$24:$AN$24</c:f>
              <c:numCache>
                <c:formatCode>#,##0_);[Red]\(#,##0\)</c:formatCode>
                <c:ptCount val="38"/>
                <c:pt idx="0">
                  <c:v>386</c:v>
                </c:pt>
                <c:pt idx="1">
                  <c:v>326</c:v>
                </c:pt>
                <c:pt idx="2">
                  <c:v>391</c:v>
                </c:pt>
                <c:pt idx="3">
                  <c:v>413</c:v>
                </c:pt>
                <c:pt idx="4">
                  <c:v>408</c:v>
                </c:pt>
                <c:pt idx="5">
                  <c:v>540</c:v>
                </c:pt>
                <c:pt idx="6">
                  <c:v>429</c:v>
                </c:pt>
                <c:pt idx="7">
                  <c:v>467</c:v>
                </c:pt>
                <c:pt idx="8">
                  <c:v>587</c:v>
                </c:pt>
                <c:pt idx="9">
                  <c:v>603</c:v>
                </c:pt>
                <c:pt idx="10">
                  <c:v>629</c:v>
                </c:pt>
                <c:pt idx="11">
                  <c:v>623</c:v>
                </c:pt>
                <c:pt idx="12">
                  <c:v>592</c:v>
                </c:pt>
                <c:pt idx="13">
                  <c:v>639</c:v>
                </c:pt>
                <c:pt idx="14">
                  <c:v>631</c:v>
                </c:pt>
                <c:pt idx="15">
                  <c:v>637</c:v>
                </c:pt>
                <c:pt idx="16">
                  <c:v>543</c:v>
                </c:pt>
                <c:pt idx="17">
                  <c:v>554</c:v>
                </c:pt>
                <c:pt idx="18">
                  <c:v>580</c:v>
                </c:pt>
                <c:pt idx="19">
                  <c:v>697</c:v>
                </c:pt>
                <c:pt idx="20">
                  <c:v>624</c:v>
                </c:pt>
                <c:pt idx="21">
                  <c:v>648.274</c:v>
                </c:pt>
                <c:pt idx="22">
                  <c:v>703.59</c:v>
                </c:pt>
                <c:pt idx="23">
                  <c:v>722.27700000000004</c:v>
                </c:pt>
                <c:pt idx="24">
                  <c:v>713.84</c:v>
                </c:pt>
                <c:pt idx="25">
                  <c:v>692.21600000000001</c:v>
                </c:pt>
                <c:pt idx="26">
                  <c:v>698.87799999999993</c:v>
                </c:pt>
                <c:pt idx="27">
                  <c:v>681.85299999999995</c:v>
                </c:pt>
                <c:pt idx="28">
                  <c:v>635.25099999999998</c:v>
                </c:pt>
                <c:pt idx="29">
                  <c:v>632.73099999999999</c:v>
                </c:pt>
                <c:pt idx="30">
                  <c:v>593.65100000000007</c:v>
                </c:pt>
                <c:pt idx="31">
                  <c:v>605</c:v>
                </c:pt>
                <c:pt idx="32">
                  <c:v>600</c:v>
                </c:pt>
                <c:pt idx="33">
                  <c:v>600</c:v>
                </c:pt>
                <c:pt idx="34">
                  <c:v>600</c:v>
                </c:pt>
                <c:pt idx="35">
                  <c:v>600</c:v>
                </c:pt>
                <c:pt idx="36">
                  <c:v>600</c:v>
                </c:pt>
                <c:pt idx="37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AA-4300-BB94-6F82A4FE4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59674191"/>
        <c:axId val="659688111"/>
      </c:barChart>
      <c:catAx>
        <c:axId val="65967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59688111"/>
        <c:crosses val="autoZero"/>
        <c:auto val="1"/>
        <c:lblAlgn val="ctr"/>
        <c:lblOffset val="100"/>
        <c:noMultiLvlLbl val="0"/>
      </c:catAx>
      <c:valAx>
        <c:axId val="65968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5967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082EBD3-6CE3-4CCC-81F0-26154A2F79B1}">
  <sheetPr/>
  <sheetViews>
    <sheetView zoomScale="7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DAF377D-960D-4D3E-8946-4B77B50F1283}">
  <sheetPr/>
  <sheetViews>
    <sheetView zoomScale="76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40A2AE6-8F15-4C4B-9476-8EE1FB343707}">
  <sheetPr/>
  <sheetViews>
    <sheetView zoomScale="76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41443F6-4865-47F7-A63D-56393E65A1B3}">
  <sheetPr/>
  <sheetViews>
    <sheetView zoomScale="7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386603</xdr:colOff>
      <xdr:row>76</xdr:row>
      <xdr:rowOff>186017</xdr:rowOff>
    </xdr:from>
    <xdr:to>
      <xdr:col>36</xdr:col>
      <xdr:colOff>588309</xdr:colOff>
      <xdr:row>91</xdr:row>
      <xdr:rowOff>71717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DA0C77-223F-4117-A4CC-D893140008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9408" cy="60742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8D5801-35BA-53E2-C41D-C3B6CF597AA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0.01891</cdr:x>
      <cdr:y>0.95277</cdr:y>
    </cdr:from>
    <cdr:to>
      <cdr:x>0.27069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8BEC4CC-DD70-4662-17A4-B4B5B4C8E5EA}"/>
            </a:ext>
          </a:extLst>
        </cdr:cNvPr>
        <cdr:cNvSpPr txBox="1"/>
      </cdr:nvSpPr>
      <cdr:spPr>
        <a:xfrm xmlns:a="http://schemas.openxmlformats.org/drawingml/2006/main">
          <a:off x="163871" y="5991532"/>
          <a:ext cx="2181532" cy="2970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ptos Display" panose="020B0004020202020204" pitchFamily="34" charset="0"/>
            </a:rPr>
            <a:t>Source: Fastmarkets, USDA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9408" cy="60742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C0F1EE-4BDE-C381-756B-A77FC55336D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9408" cy="606592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E48397-4FD1-9121-DCC7-9C00143DF4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9408" cy="606592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8465C4-DADC-41BD-970A-6E9EBAC7BF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euoilseedbal%20-%20HOBO.xlsx" TargetMode="External"/><Relationship Id="rId1" Type="http://schemas.openxmlformats.org/officeDocument/2006/relationships/externalLinkPath" Target="/Users/torem/Dropbox/FM%20Files/HOBO/Biofuel%20Model/euoilseedbal%20-%20HOB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wldsoybal.xlsx" TargetMode="External"/><Relationship Id="rId1" Type="http://schemas.openxmlformats.org/officeDocument/2006/relationships/externalLinkPath" Target="https://fmpra-my.sharepoint.com/personal/svc-tjteamreader_fmpra_com/Documents/TJTeam%20-%20Documents/Soybean%20Spreadsheets/wldsoyba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wldrapbal.xlsx" TargetMode="External"/><Relationship Id="rId1" Type="http://schemas.openxmlformats.org/officeDocument/2006/relationships/externalLinkPath" Target="https://fmpra-my.sharepoint.com/personal/svc-tjteamreader_fmpra_com/Documents/TJTeam%20-%20Documents/Soybean%20Spreadsheets/wldrapbal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wldsunbal.xlsx" TargetMode="External"/><Relationship Id="rId1" Type="http://schemas.openxmlformats.org/officeDocument/2006/relationships/externalLinkPath" Target="https://fmpra-my.sharepoint.com/personal/svc-tjteamreader_fmpra_com/Documents/TJTeam%20-%20Documents/Soybean%20Spreadsheets/wldsunbal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.jmorciani\Downloads\psd.xls" TargetMode="External"/><Relationship Id="rId1" Type="http://schemas.openxmlformats.org/officeDocument/2006/relationships/externalLinkPath" Target="/Users/aa.jmorciani/Downloads/ps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ilseed"/>
      <sheetName val="Chart1"/>
      <sheetName val="Protein Meal"/>
      <sheetName val="Chart - Per Cap - Total "/>
      <sheetName val="Chart2"/>
      <sheetName val="Chart3"/>
      <sheetName val="Vegetable Oil"/>
      <sheetName val="EU Palm Oil"/>
    </sheetNames>
    <sheetDataSet>
      <sheetData sheetId="0">
        <row r="74">
          <cell r="W74" t="str">
            <v xml:space="preserve">  Soybeans</v>
          </cell>
          <cell r="X74">
            <v>85.423364267169802</v>
          </cell>
          <cell r="Y74">
            <v>88.20087044765495</v>
          </cell>
          <cell r="Z74">
            <v>80.906636803144593</v>
          </cell>
          <cell r="AA74">
            <v>90.074327547981852</v>
          </cell>
          <cell r="AB74">
            <v>88.758139302480117</v>
          </cell>
          <cell r="AC74">
            <v>89.322493005866932</v>
          </cell>
          <cell r="AD74">
            <v>87.335854984913894</v>
          </cell>
          <cell r="AE74">
            <v>83.929599934004372</v>
          </cell>
          <cell r="AF74">
            <v>87.533730531723819</v>
          </cell>
          <cell r="AG74">
            <v>80.389084753718976</v>
          </cell>
          <cell r="AH74">
            <v>84.041867911477681</v>
          </cell>
        </row>
        <row r="75">
          <cell r="W75" t="str">
            <v xml:space="preserve">  Rapeseed</v>
          </cell>
          <cell r="X75">
            <v>116.87154615941152</v>
          </cell>
          <cell r="Y75">
            <v>112.69855857270078</v>
          </cell>
          <cell r="Z75">
            <v>113.63251381595938</v>
          </cell>
          <cell r="AA75">
            <v>112.91551964772931</v>
          </cell>
          <cell r="AB75">
            <v>109.34678528500039</v>
          </cell>
          <cell r="AC75">
            <v>107.64234546606525</v>
          </cell>
          <cell r="AD75">
            <v>112.88401457371926</v>
          </cell>
          <cell r="AE75">
            <v>109.01195705899349</v>
          </cell>
          <cell r="AF75">
            <v>121.89499650913432</v>
          </cell>
          <cell r="AG75">
            <v>120.90511173131028</v>
          </cell>
          <cell r="AH75">
            <v>115.08880177865214</v>
          </cell>
        </row>
        <row r="76">
          <cell r="W76" t="str">
            <v xml:space="preserve">  Sunflower</v>
          </cell>
          <cell r="X76">
            <v>44.287227020574001</v>
          </cell>
          <cell r="Y76">
            <v>38.906839323792028</v>
          </cell>
          <cell r="Z76">
            <v>42.199551215982993</v>
          </cell>
          <cell r="AA76">
            <v>50.579380060189195</v>
          </cell>
          <cell r="AB76">
            <v>49.599811535887085</v>
          </cell>
          <cell r="AC76">
            <v>52.887210792331274</v>
          </cell>
          <cell r="AD76">
            <v>47.350838755482158</v>
          </cell>
          <cell r="AE76">
            <v>53.377285453172092</v>
          </cell>
          <cell r="AF76">
            <v>55.450831515822195</v>
          </cell>
          <cell r="AG76">
            <v>47.096207986344417</v>
          </cell>
          <cell r="AH76">
            <v>41.448686452885404</v>
          </cell>
        </row>
      </sheetData>
      <sheetData sheetId="2">
        <row r="3">
          <cell r="X3" t="str">
            <v xml:space="preserve">14/15 </v>
          </cell>
          <cell r="Y3" t="str">
            <v xml:space="preserve">15/16 </v>
          </cell>
          <cell r="Z3" t="str">
            <v xml:space="preserve">16/17 </v>
          </cell>
          <cell r="AA3" t="str">
            <v xml:space="preserve">17/18 </v>
          </cell>
          <cell r="AB3" t="str">
            <v xml:space="preserve">18/19 </v>
          </cell>
          <cell r="AC3" t="str">
            <v>19/20</v>
          </cell>
          <cell r="AD3" t="str">
            <v>20/21</v>
          </cell>
          <cell r="AE3" t="str">
            <v>21/22</v>
          </cell>
          <cell r="AF3" t="str">
            <v>22/23</v>
          </cell>
          <cell r="AG3" t="str">
            <v>23/24</v>
          </cell>
        </row>
        <row r="29">
          <cell r="X29">
            <v>50498.56754325259</v>
          </cell>
          <cell r="Y29">
            <v>50441.734244147163</v>
          </cell>
          <cell r="Z29">
            <v>52582.096003056598</v>
          </cell>
          <cell r="AA29">
            <v>50985.627517470959</v>
          </cell>
          <cell r="AB29">
            <v>49932.499308421422</v>
          </cell>
          <cell r="AC29">
            <v>46627.329580216589</v>
          </cell>
          <cell r="AD29">
            <v>47044.936604000002</v>
          </cell>
          <cell r="AE29">
            <v>47409.700449274656</v>
          </cell>
          <cell r="AF29">
            <v>48066.228715093224</v>
          </cell>
          <cell r="AG29">
            <v>48743.131950227886</v>
          </cell>
        </row>
        <row r="30">
          <cell r="B30" t="str">
            <v>Soybean</v>
          </cell>
          <cell r="X30">
            <v>29390.985543252591</v>
          </cell>
          <cell r="Y30">
            <v>30185.532244147162</v>
          </cell>
          <cell r="Z30">
            <v>31045.241999999995</v>
          </cell>
          <cell r="AA30">
            <v>30400.312687962607</v>
          </cell>
          <cell r="AB30">
            <v>30096.94378842142</v>
          </cell>
          <cell r="AC30">
            <v>27557.220781216594</v>
          </cell>
          <cell r="AD30">
            <v>28175.242568999998</v>
          </cell>
          <cell r="AE30">
            <v>27515.593071157899</v>
          </cell>
          <cell r="AF30">
            <v>27007.758871000002</v>
          </cell>
          <cell r="AG30">
            <v>27386.315718070182</v>
          </cell>
        </row>
        <row r="31">
          <cell r="B31" t="str">
            <v>Rapeseed</v>
          </cell>
          <cell r="X31">
            <v>14178.018</v>
          </cell>
          <cell r="Y31">
            <v>13678.735999999999</v>
          </cell>
          <cell r="Z31">
            <v>13535.625</v>
          </cell>
          <cell r="AA31">
            <v>12445.582</v>
          </cell>
          <cell r="AB31">
            <v>12178.248152</v>
          </cell>
          <cell r="AC31">
            <v>11891.981609999999</v>
          </cell>
          <cell r="AD31">
            <v>12660.795487000001</v>
          </cell>
          <cell r="AE31">
            <v>13056.665938116757</v>
          </cell>
          <cell r="AF31">
            <v>14361.087215409463</v>
          </cell>
          <cell r="AG31">
            <v>14357.696964000001</v>
          </cell>
        </row>
        <row r="32">
          <cell r="X32">
            <v>6929.5639999999994</v>
          </cell>
          <cell r="Y32">
            <v>6577.4660000000003</v>
          </cell>
          <cell r="Z32">
            <v>8001.229003056601</v>
          </cell>
          <cell r="AA32">
            <v>8139.7328295083462</v>
          </cell>
          <cell r="AB32">
            <v>7657.3073679999998</v>
          </cell>
          <cell r="AC32">
            <v>7178.1271890000007</v>
          </cell>
          <cell r="AD32">
            <v>6208.898548000001</v>
          </cell>
          <cell r="AE32">
            <v>6837.4414400000005</v>
          </cell>
          <cell r="AF32">
            <v>6697.3826286837539</v>
          </cell>
          <cell r="AG32">
            <v>6999.1192681576995</v>
          </cell>
        </row>
      </sheetData>
      <sheetData sheetId="6">
        <row r="3">
          <cell r="C3" t="str">
            <v xml:space="preserve">93/94 </v>
          </cell>
          <cell r="D3" t="str">
            <v xml:space="preserve">94/95 </v>
          </cell>
          <cell r="E3" t="str">
            <v xml:space="preserve">95/96 </v>
          </cell>
          <cell r="F3" t="str">
            <v xml:space="preserve">96/97 </v>
          </cell>
          <cell r="G3" t="str">
            <v xml:space="preserve">97/98 </v>
          </cell>
          <cell r="H3" t="str">
            <v xml:space="preserve">98/99 </v>
          </cell>
          <cell r="I3" t="str">
            <v xml:space="preserve">99/00 </v>
          </cell>
          <cell r="J3" t="str">
            <v xml:space="preserve">00/01 </v>
          </cell>
          <cell r="K3" t="str">
            <v xml:space="preserve">01/02 </v>
          </cell>
          <cell r="L3" t="str">
            <v xml:space="preserve">02/03 </v>
          </cell>
          <cell r="M3" t="str">
            <v xml:space="preserve">03/04 </v>
          </cell>
          <cell r="N3" t="str">
            <v xml:space="preserve">04/05 </v>
          </cell>
          <cell r="O3" t="str">
            <v xml:space="preserve">05/06 </v>
          </cell>
          <cell r="P3" t="str">
            <v xml:space="preserve">06/07 </v>
          </cell>
          <cell r="Q3" t="str">
            <v xml:space="preserve">07/08 </v>
          </cell>
          <cell r="R3" t="str">
            <v xml:space="preserve">08/09 </v>
          </cell>
          <cell r="S3" t="str">
            <v xml:space="preserve">09/10 </v>
          </cell>
          <cell r="T3" t="str">
            <v xml:space="preserve">10/11 </v>
          </cell>
          <cell r="U3" t="str">
            <v xml:space="preserve">11/12 </v>
          </cell>
          <cell r="V3" t="str">
            <v xml:space="preserve">12/13 </v>
          </cell>
          <cell r="W3" t="str">
            <v xml:space="preserve">13/14 </v>
          </cell>
          <cell r="X3" t="str">
            <v xml:space="preserve">14/15 </v>
          </cell>
          <cell r="Y3" t="str">
            <v xml:space="preserve">15/16 </v>
          </cell>
          <cell r="Z3" t="str">
            <v xml:space="preserve">16/17 </v>
          </cell>
          <cell r="AA3" t="str">
            <v xml:space="preserve">17/18 </v>
          </cell>
          <cell r="AB3" t="str">
            <v xml:space="preserve">18/19 </v>
          </cell>
          <cell r="AC3" t="str">
            <v xml:space="preserve">19/20 </v>
          </cell>
          <cell r="AD3" t="str">
            <v xml:space="preserve">20/21 </v>
          </cell>
          <cell r="AE3" t="str">
            <v xml:space="preserve">21/22 </v>
          </cell>
          <cell r="AF3" t="str">
            <v xml:space="preserve">22/23 </v>
          </cell>
          <cell r="AG3" t="str">
            <v xml:space="preserve">23/24 </v>
          </cell>
          <cell r="AH3" t="str">
            <v xml:space="preserve">24/25 </v>
          </cell>
          <cell r="AI3" t="str">
            <v xml:space="preserve">25/26 </v>
          </cell>
          <cell r="AJ3" t="str">
            <v xml:space="preserve">26/27 </v>
          </cell>
          <cell r="AK3" t="str">
            <v xml:space="preserve">27/28 </v>
          </cell>
          <cell r="AL3" t="str">
            <v xml:space="preserve">28/29 </v>
          </cell>
          <cell r="AM3" t="str">
            <v xml:space="preserve">29/30 </v>
          </cell>
          <cell r="AN3" t="str">
            <v xml:space="preserve">30/31 </v>
          </cell>
        </row>
        <row r="20">
          <cell r="B20" t="str">
            <v>Soybean</v>
          </cell>
          <cell r="C20">
            <v>203</v>
          </cell>
          <cell r="D20">
            <v>150</v>
          </cell>
          <cell r="E20">
            <v>128</v>
          </cell>
          <cell r="F20">
            <v>124</v>
          </cell>
          <cell r="G20">
            <v>146</v>
          </cell>
          <cell r="H20">
            <v>181</v>
          </cell>
          <cell r="I20">
            <v>84</v>
          </cell>
          <cell r="J20">
            <v>29</v>
          </cell>
          <cell r="K20">
            <v>62</v>
          </cell>
          <cell r="L20">
            <v>30</v>
          </cell>
          <cell r="M20">
            <v>67</v>
          </cell>
          <cell r="N20">
            <v>181.56199999999998</v>
          </cell>
          <cell r="O20">
            <v>717.59400000000005</v>
          </cell>
          <cell r="P20">
            <v>978.43200000000002</v>
          </cell>
          <cell r="Q20">
            <v>1037.8</v>
          </cell>
          <cell r="R20">
            <v>794.66899999999998</v>
          </cell>
          <cell r="S20">
            <v>546.83800000000008</v>
          </cell>
          <cell r="T20">
            <v>905.58900000000006</v>
          </cell>
          <cell r="U20">
            <v>385.98900000000003</v>
          </cell>
          <cell r="V20">
            <v>322.19100000000003</v>
          </cell>
          <cell r="W20">
            <v>329.03400000000005</v>
          </cell>
          <cell r="X20">
            <v>252.45599999999999</v>
          </cell>
          <cell r="Y20">
            <v>318.73500000000001</v>
          </cell>
          <cell r="Z20">
            <v>285.584</v>
          </cell>
          <cell r="AA20">
            <v>284.62</v>
          </cell>
          <cell r="AB20">
            <v>419.96597000000003</v>
          </cell>
          <cell r="AC20">
            <v>482.17280499999993</v>
          </cell>
          <cell r="AD20">
            <v>492.06788499999999</v>
          </cell>
          <cell r="AE20">
            <v>458.09976700000004</v>
          </cell>
          <cell r="AF20">
            <v>628.42360700000006</v>
          </cell>
          <cell r="AG20">
            <v>514.74877099999992</v>
          </cell>
          <cell r="AH20">
            <v>535</v>
          </cell>
          <cell r="AI20">
            <v>600</v>
          </cell>
          <cell r="AJ20">
            <v>625</v>
          </cell>
          <cell r="AK20">
            <v>650</v>
          </cell>
          <cell r="AL20">
            <v>675</v>
          </cell>
          <cell r="AM20">
            <v>700</v>
          </cell>
          <cell r="AN20">
            <v>725</v>
          </cell>
        </row>
        <row r="21">
          <cell r="B21" t="str">
            <v>Rapeseed</v>
          </cell>
          <cell r="C21">
            <v>0</v>
          </cell>
          <cell r="D21">
            <v>0</v>
          </cell>
          <cell r="E21">
            <v>0</v>
          </cell>
          <cell r="F21">
            <v>5.28</v>
          </cell>
          <cell r="G21">
            <v>4.5939999999999985</v>
          </cell>
          <cell r="H21">
            <v>1.7370000000000001</v>
          </cell>
          <cell r="I21">
            <v>3.8010000000000002</v>
          </cell>
          <cell r="J21">
            <v>2.7790000000000004</v>
          </cell>
          <cell r="K21">
            <v>8.7087989999999991</v>
          </cell>
          <cell r="L21">
            <v>16.673000000000002</v>
          </cell>
          <cell r="M21">
            <v>39.305</v>
          </cell>
          <cell r="N21">
            <v>57.321999999999996</v>
          </cell>
          <cell r="O21">
            <v>626.40200000000004</v>
          </cell>
          <cell r="P21">
            <v>852.38299999999992</v>
          </cell>
          <cell r="Q21">
            <v>455.13200000000006</v>
          </cell>
          <cell r="R21">
            <v>537.48300000000006</v>
          </cell>
          <cell r="S21">
            <v>459.35100000000006</v>
          </cell>
          <cell r="T21">
            <v>584.84899999999993</v>
          </cell>
          <cell r="U21">
            <v>528.16899999999998</v>
          </cell>
          <cell r="V21">
            <v>282.58100000000007</v>
          </cell>
          <cell r="W21">
            <v>375.15799999999996</v>
          </cell>
          <cell r="X21">
            <v>320.04699999999997</v>
          </cell>
          <cell r="Y21">
            <v>294.15600000000001</v>
          </cell>
          <cell r="Z21">
            <v>217.97900000000001</v>
          </cell>
          <cell r="AA21">
            <v>338.29899999999998</v>
          </cell>
          <cell r="AB21">
            <v>396.63399999999996</v>
          </cell>
          <cell r="AC21">
            <v>422.83999999999992</v>
          </cell>
          <cell r="AD21">
            <v>322.52399999999994</v>
          </cell>
          <cell r="AE21">
            <v>507.05100000000004</v>
          </cell>
          <cell r="AF21">
            <v>368.762</v>
          </cell>
          <cell r="AG21">
            <v>350</v>
          </cell>
          <cell r="AH21">
            <v>200</v>
          </cell>
          <cell r="AI21">
            <v>350</v>
          </cell>
          <cell r="AJ21">
            <v>350</v>
          </cell>
          <cell r="AK21">
            <v>350</v>
          </cell>
          <cell r="AL21">
            <v>350</v>
          </cell>
          <cell r="AM21">
            <v>350</v>
          </cell>
          <cell r="AN21">
            <v>350</v>
          </cell>
        </row>
        <row r="22">
          <cell r="B22" t="str">
            <v>Sunflower</v>
          </cell>
          <cell r="C22">
            <v>152</v>
          </cell>
          <cell r="D22">
            <v>127</v>
          </cell>
          <cell r="E22">
            <v>108</v>
          </cell>
          <cell r="F22">
            <v>108</v>
          </cell>
          <cell r="G22">
            <v>197.78699999999998</v>
          </cell>
          <cell r="H22">
            <v>221.065</v>
          </cell>
          <cell r="I22">
            <v>144.74099999999999</v>
          </cell>
          <cell r="J22">
            <v>294.95799999999997</v>
          </cell>
          <cell r="K22">
            <v>695.428</v>
          </cell>
          <cell r="L22">
            <v>741.89300000000003</v>
          </cell>
          <cell r="M22">
            <v>494.34799999999996</v>
          </cell>
          <cell r="N22">
            <v>882.37499999999989</v>
          </cell>
          <cell r="O22">
            <v>1261.4490000000001</v>
          </cell>
          <cell r="P22">
            <v>1219.7900000000002</v>
          </cell>
          <cell r="Q22">
            <v>1208.9880000000001</v>
          </cell>
          <cell r="R22">
            <v>1059.9930000000002</v>
          </cell>
          <cell r="S22">
            <v>968.64400000000001</v>
          </cell>
          <cell r="T22">
            <v>816.61</v>
          </cell>
          <cell r="U22">
            <v>991.74</v>
          </cell>
          <cell r="V22">
            <v>942.43300000000011</v>
          </cell>
          <cell r="W22">
            <v>1039.377</v>
          </cell>
          <cell r="X22">
            <v>824.99</v>
          </cell>
          <cell r="Y22">
            <v>1355.5339999999999</v>
          </cell>
          <cell r="Z22">
            <v>1820.0130000000001</v>
          </cell>
          <cell r="AA22">
            <v>1622.6810000000003</v>
          </cell>
          <cell r="AB22">
            <v>2010.4709060000002</v>
          </cell>
          <cell r="AC22">
            <v>2348.9520310000003</v>
          </cell>
          <cell r="AD22">
            <v>1591.662797</v>
          </cell>
          <cell r="AE22">
            <v>2103.9279609999994</v>
          </cell>
          <cell r="AF22">
            <v>2097.5039350000002</v>
          </cell>
          <cell r="AG22">
            <v>2966.6225999999992</v>
          </cell>
          <cell r="AH22">
            <v>3000</v>
          </cell>
          <cell r="AI22">
            <v>2450</v>
          </cell>
          <cell r="AJ22">
            <v>2500</v>
          </cell>
          <cell r="AK22">
            <v>2600</v>
          </cell>
          <cell r="AL22">
            <v>2700</v>
          </cell>
          <cell r="AM22">
            <v>2750</v>
          </cell>
          <cell r="AN22">
            <v>2825</v>
          </cell>
        </row>
        <row r="23">
          <cell r="B23" t="str">
            <v xml:space="preserve">Palm </v>
          </cell>
          <cell r="C23">
            <v>1784</v>
          </cell>
          <cell r="D23">
            <v>1770</v>
          </cell>
          <cell r="E23">
            <v>1922</v>
          </cell>
          <cell r="F23">
            <v>2087</v>
          </cell>
          <cell r="G23">
            <v>2224</v>
          </cell>
          <cell r="H23">
            <v>2314</v>
          </cell>
          <cell r="I23">
            <v>2078</v>
          </cell>
          <cell r="J23">
            <v>2885</v>
          </cell>
          <cell r="K23">
            <v>2978</v>
          </cell>
          <cell r="L23">
            <v>3006</v>
          </cell>
          <cell r="M23">
            <v>3411</v>
          </cell>
          <cell r="N23">
            <v>4031</v>
          </cell>
          <cell r="O23">
            <v>4276</v>
          </cell>
          <cell r="P23">
            <v>4339</v>
          </cell>
          <cell r="Q23">
            <v>4967</v>
          </cell>
          <cell r="R23">
            <v>5509</v>
          </cell>
          <cell r="S23">
            <v>5442</v>
          </cell>
          <cell r="T23">
            <v>4944</v>
          </cell>
          <cell r="U23">
            <v>5707</v>
          </cell>
          <cell r="V23">
            <v>6812</v>
          </cell>
          <cell r="W23">
            <v>6969</v>
          </cell>
          <cell r="X23">
            <v>4896.7660000000005</v>
          </cell>
          <cell r="Y23">
            <v>4537.1570000000002</v>
          </cell>
          <cell r="Z23">
            <v>4203.62</v>
          </cell>
          <cell r="AA23">
            <v>3878.7870000000003</v>
          </cell>
          <cell r="AB23">
            <v>5288.4959999999992</v>
          </cell>
          <cell r="AC23">
            <v>5131.2879999999996</v>
          </cell>
          <cell r="AD23">
            <v>3812.018</v>
          </cell>
          <cell r="AE23">
            <v>3096.2420000000002</v>
          </cell>
          <cell r="AF23">
            <v>2627.8470000000002</v>
          </cell>
          <cell r="AG23">
            <v>2300.049</v>
          </cell>
          <cell r="AH23">
            <v>2100</v>
          </cell>
          <cell r="AI23">
            <v>2050</v>
          </cell>
          <cell r="AJ23">
            <v>2000</v>
          </cell>
          <cell r="AK23">
            <v>1950</v>
          </cell>
          <cell r="AL23">
            <v>1900</v>
          </cell>
          <cell r="AM23">
            <v>1850</v>
          </cell>
          <cell r="AN23">
            <v>1800</v>
          </cell>
        </row>
        <row r="24">
          <cell r="B24" t="str">
            <v>Palm Kernel Oil</v>
          </cell>
          <cell r="C24">
            <v>386</v>
          </cell>
          <cell r="D24">
            <v>326</v>
          </cell>
          <cell r="E24">
            <v>391</v>
          </cell>
          <cell r="F24">
            <v>413</v>
          </cell>
          <cell r="G24">
            <v>408</v>
          </cell>
          <cell r="H24">
            <v>540</v>
          </cell>
          <cell r="I24">
            <v>429</v>
          </cell>
          <cell r="J24">
            <v>467</v>
          </cell>
          <cell r="K24">
            <v>587</v>
          </cell>
          <cell r="L24">
            <v>603</v>
          </cell>
          <cell r="M24">
            <v>629</v>
          </cell>
          <cell r="N24">
            <v>623</v>
          </cell>
          <cell r="O24">
            <v>592</v>
          </cell>
          <cell r="P24">
            <v>639</v>
          </cell>
          <cell r="Q24">
            <v>631</v>
          </cell>
          <cell r="R24">
            <v>637</v>
          </cell>
          <cell r="S24">
            <v>543</v>
          </cell>
          <cell r="T24">
            <v>554</v>
          </cell>
          <cell r="U24">
            <v>580</v>
          </cell>
          <cell r="V24">
            <v>697</v>
          </cell>
          <cell r="W24">
            <v>624</v>
          </cell>
          <cell r="X24">
            <v>648.274</v>
          </cell>
          <cell r="Y24">
            <v>703.59</v>
          </cell>
          <cell r="Z24">
            <v>722.27700000000004</v>
          </cell>
          <cell r="AA24">
            <v>713.84</v>
          </cell>
          <cell r="AB24">
            <v>692.21600000000001</v>
          </cell>
          <cell r="AC24">
            <v>698.87799999999993</v>
          </cell>
          <cell r="AD24">
            <v>681.85299999999995</v>
          </cell>
          <cell r="AE24">
            <v>635.25099999999998</v>
          </cell>
          <cell r="AF24">
            <v>632.73099999999999</v>
          </cell>
          <cell r="AG24">
            <v>593.65100000000007</v>
          </cell>
          <cell r="AH24">
            <v>605</v>
          </cell>
          <cell r="AI24">
            <v>600</v>
          </cell>
          <cell r="AJ24">
            <v>600</v>
          </cell>
          <cell r="AK24">
            <v>600</v>
          </cell>
          <cell r="AL24">
            <v>600</v>
          </cell>
          <cell r="AM24">
            <v>600</v>
          </cell>
          <cell r="AN24">
            <v>600</v>
          </cell>
        </row>
        <row r="55">
          <cell r="B55" t="str">
            <v>Soybean</v>
          </cell>
        </row>
        <row r="56">
          <cell r="B56" t="str">
            <v>Rapeseed</v>
          </cell>
        </row>
        <row r="57">
          <cell r="B57" t="str">
            <v>Sunflower</v>
          </cell>
        </row>
        <row r="58">
          <cell r="B58" t="str">
            <v xml:space="preserve">Palm </v>
          </cell>
        </row>
        <row r="59">
          <cell r="B59" t="str">
            <v>Palm Kernel Oil</v>
          </cell>
        </row>
        <row r="61">
          <cell r="C61">
            <v>22.353391884528463</v>
          </cell>
          <cell r="D61">
            <v>24.506661612289012</v>
          </cell>
          <cell r="E61">
            <v>26.893199455682474</v>
          </cell>
          <cell r="F61">
            <v>21.232204664603561</v>
          </cell>
          <cell r="G61">
            <v>20.550841313953363</v>
          </cell>
          <cell r="H61">
            <v>23.797029209930511</v>
          </cell>
          <cell r="I61">
            <v>24.450985829608832</v>
          </cell>
          <cell r="J61">
            <v>27.533177332654532</v>
          </cell>
          <cell r="K61">
            <v>27.980437330647533</v>
          </cell>
          <cell r="L61">
            <v>27.259043855610024</v>
          </cell>
          <cell r="M61">
            <v>20.122702329920852</v>
          </cell>
          <cell r="N61">
            <v>19.593866280320452</v>
          </cell>
          <cell r="O61">
            <v>20.162937330643739</v>
          </cell>
          <cell r="P61">
            <v>19.710605107411006</v>
          </cell>
          <cell r="Q61">
            <v>23.885084287594726</v>
          </cell>
          <cell r="R61">
            <v>26.910120368332695</v>
          </cell>
          <cell r="S61">
            <v>23.826091144532736</v>
          </cell>
          <cell r="T61">
            <v>24.130181565939154</v>
          </cell>
          <cell r="U61">
            <v>23.405704862050168</v>
          </cell>
          <cell r="V61">
            <v>16.337365976376404</v>
          </cell>
          <cell r="W61">
            <v>22.601557176701608</v>
          </cell>
          <cell r="X61">
            <v>17.682076938268143</v>
          </cell>
          <cell r="Y61">
            <v>15.940057056001674</v>
          </cell>
          <cell r="Z61">
            <v>20.18077226167355</v>
          </cell>
          <cell r="AA61">
            <v>21.336376169355013</v>
          </cell>
          <cell r="AB61">
            <v>29.679830012434689</v>
          </cell>
          <cell r="AC61">
            <v>36.737968140161811</v>
          </cell>
          <cell r="AD61">
            <v>21.236897500145169</v>
          </cell>
          <cell r="AE61">
            <v>25.861883243769991</v>
          </cell>
          <cell r="AF61">
            <v>25.171345134069998</v>
          </cell>
          <cell r="AG61">
            <v>30.354697980913503</v>
          </cell>
          <cell r="AH61">
            <v>24.414130209336427</v>
          </cell>
          <cell r="AI61">
            <v>24.190311049705578</v>
          </cell>
          <cell r="AJ61">
            <v>24.939493302412824</v>
          </cell>
          <cell r="AK61">
            <v>24.174793844487471</v>
          </cell>
          <cell r="AL61">
            <v>26.336847987370017</v>
          </cell>
          <cell r="AM61">
            <v>25.225107166941815</v>
          </cell>
          <cell r="AN61">
            <v>25.216585949088234</v>
          </cell>
        </row>
        <row r="62">
          <cell r="X62">
            <v>2015</v>
          </cell>
          <cell r="Y62">
            <v>2016</v>
          </cell>
          <cell r="Z62">
            <v>2017</v>
          </cell>
          <cell r="AA62">
            <v>2018</v>
          </cell>
          <cell r="AB62">
            <v>2019</v>
          </cell>
          <cell r="AC62">
            <v>2020</v>
          </cell>
          <cell r="AD62">
            <v>2021</v>
          </cell>
          <cell r="AE62">
            <v>2022</v>
          </cell>
          <cell r="AF62">
            <v>2023</v>
          </cell>
          <cell r="AG62">
            <v>2024</v>
          </cell>
          <cell r="AH62">
            <v>2025</v>
          </cell>
          <cell r="AI62">
            <v>2026</v>
          </cell>
          <cell r="AJ62">
            <v>2027</v>
          </cell>
          <cell r="AK62">
            <v>2028</v>
          </cell>
          <cell r="AL62">
            <v>2029</v>
          </cell>
          <cell r="AM62">
            <v>2030</v>
          </cell>
        </row>
        <row r="64">
          <cell r="W64" t="str">
            <v>Total</v>
          </cell>
          <cell r="X64">
            <v>128.74482959478101</v>
          </cell>
          <cell r="Y64">
            <v>124.74884308607443</v>
          </cell>
          <cell r="Z64">
            <v>124.90827597635948</v>
          </cell>
          <cell r="AA64">
            <v>120.09346052341009</v>
          </cell>
          <cell r="AB64">
            <v>124.68653027356943</v>
          </cell>
          <cell r="AC64">
            <v>123.01980851613271</v>
          </cell>
          <cell r="AD64">
            <v>129.51681353421904</v>
          </cell>
          <cell r="AE64">
            <v>120.94904297343103</v>
          </cell>
          <cell r="AF64">
            <v>120.45699958717306</v>
          </cell>
          <cell r="AG64">
            <v>122.39216163727889</v>
          </cell>
          <cell r="AH64">
            <v>124.33173753934311</v>
          </cell>
          <cell r="AI64">
            <v>126.40681992069226</v>
          </cell>
          <cell r="AJ64">
            <v>131.38775018024862</v>
          </cell>
          <cell r="AK64">
            <v>135.38920803536269</v>
          </cell>
          <cell r="AL64">
            <v>137.47201265468973</v>
          </cell>
          <cell r="AM64">
            <v>142.53804748280925</v>
          </cell>
        </row>
        <row r="65">
          <cell r="X65">
            <v>9.8002847978630747</v>
          </cell>
          <cell r="Y65">
            <v>11.336635764563145</v>
          </cell>
          <cell r="Z65">
            <v>10.723190951820326</v>
          </cell>
          <cell r="AA65">
            <v>11.062351718499656</v>
          </cell>
          <cell r="AB65">
            <v>12.173694199883004</v>
          </cell>
          <cell r="AC65">
            <v>11.829989955959471</v>
          </cell>
          <cell r="AD65">
            <v>11.843782442640965</v>
          </cell>
          <cell r="AE65">
            <v>11.138091771323836</v>
          </cell>
          <cell r="AF65">
            <v>11.760039384172744</v>
          </cell>
          <cell r="AG65">
            <v>12.424872833369198</v>
          </cell>
          <cell r="AH65">
            <v>11.880542951787916</v>
          </cell>
          <cell r="AI65">
            <v>12.665422959878008</v>
          </cell>
          <cell r="AJ65">
            <v>14.180577562873696</v>
          </cell>
          <cell r="AK65">
            <v>14.275854785284565</v>
          </cell>
          <cell r="AL65">
            <v>14.366148016261613</v>
          </cell>
          <cell r="AM65">
            <v>14.551173492692799</v>
          </cell>
        </row>
        <row r="66">
          <cell r="X66">
            <v>72.705987385912152</v>
          </cell>
          <cell r="Y66">
            <v>67.760836811279844</v>
          </cell>
          <cell r="Z66">
            <v>67.764066278404883</v>
          </cell>
          <cell r="AA66">
            <v>61.58412680150321</v>
          </cell>
          <cell r="AB66">
            <v>59.980016504855506</v>
          </cell>
          <cell r="AC66">
            <v>60.428772326486119</v>
          </cell>
          <cell r="AD66">
            <v>69.179212107449089</v>
          </cell>
          <cell r="AE66">
            <v>66.853546813021609</v>
          </cell>
          <cell r="AF66">
            <v>68.015718444165699</v>
          </cell>
          <cell r="AG66">
            <v>69.232664328115447</v>
          </cell>
          <cell r="AH66">
            <v>71.751029288254742</v>
          </cell>
          <cell r="AI66">
            <v>73.152593230108678</v>
          </cell>
          <cell r="AJ66">
            <v>76.455769859806381</v>
          </cell>
          <cell r="AK66">
            <v>78.784690834936214</v>
          </cell>
          <cell r="AL66">
            <v>80.432980027904605</v>
          </cell>
          <cell r="AM66">
            <v>84.44474696505533</v>
          </cell>
        </row>
        <row r="67">
          <cell r="X67">
            <v>18.359173220630513</v>
          </cell>
          <cell r="Y67">
            <v>19.303293377430531</v>
          </cell>
          <cell r="Z67">
            <v>22.566746816793746</v>
          </cell>
          <cell r="AA67">
            <v>24.878807797622851</v>
          </cell>
          <cell r="AB67">
            <v>24.194805628804207</v>
          </cell>
          <cell r="AC67">
            <v>23.952097767640041</v>
          </cell>
          <cell r="AD67">
            <v>23.507489135052808</v>
          </cell>
          <cell r="AE67">
            <v>24.424419220923905</v>
          </cell>
          <cell r="AF67">
            <v>25.035801054805674</v>
          </cell>
          <cell r="AG67">
            <v>26.176097349574118</v>
          </cell>
          <cell r="AH67">
            <v>27.493701329248069</v>
          </cell>
          <cell r="AI67">
            <v>27.775140496417883</v>
          </cell>
          <cell r="AJ67">
            <v>28.206888459811335</v>
          </cell>
          <cell r="AK67">
            <v>30.053496158310242</v>
          </cell>
          <cell r="AL67">
            <v>30.669771823724385</v>
          </cell>
          <cell r="AM67">
            <v>31.732524292058866</v>
          </cell>
        </row>
        <row r="68">
          <cell r="X68">
            <v>24.686304876300156</v>
          </cell>
          <cell r="Y68">
            <v>23.127088958447427</v>
          </cell>
          <cell r="Z68">
            <v>20.394887674725602</v>
          </cell>
          <cell r="AA68">
            <v>19.124540140317581</v>
          </cell>
          <cell r="AB68">
            <v>24.811418410850752</v>
          </cell>
          <cell r="AC68">
            <v>23.383794709240604</v>
          </cell>
          <cell r="AD68">
            <v>21.605282801121167</v>
          </cell>
          <cell r="AE68">
            <v>15.262752955199637</v>
          </cell>
          <cell r="AF68">
            <v>12.582958086107356</v>
          </cell>
          <cell r="AG68">
            <v>11.836979380425856</v>
          </cell>
          <cell r="AH68">
            <v>10.267347196861673</v>
          </cell>
          <cell r="AI68">
            <v>9.958046856360717</v>
          </cell>
          <cell r="AJ68">
            <v>9.6945955155482793</v>
          </cell>
          <cell r="AK68">
            <v>9.431216846833042</v>
          </cell>
          <cell r="AL68">
            <v>9.1660134008284437</v>
          </cell>
          <cell r="AM68">
            <v>8.9606882592676946</v>
          </cell>
        </row>
        <row r="69">
          <cell r="X69">
            <v>3.1930793140751055</v>
          </cell>
          <cell r="Y69">
            <v>3.2209881743534914</v>
          </cell>
          <cell r="Z69">
            <v>3.4593842546149105</v>
          </cell>
          <cell r="AA69">
            <v>3.4436340654667958</v>
          </cell>
          <cell r="AB69">
            <v>3.5265955291759492</v>
          </cell>
          <cell r="AC69">
            <v>3.4251537568064805</v>
          </cell>
          <cell r="AD69">
            <v>3.3810470479549983</v>
          </cell>
          <cell r="AE69">
            <v>3.2702322129620458</v>
          </cell>
          <cell r="AF69">
            <v>3.0624826179215869</v>
          </cell>
          <cell r="AG69">
            <v>2.7215477457942536</v>
          </cell>
          <cell r="AH69">
            <v>2.9391167731906953</v>
          </cell>
          <cell r="AI69">
            <v>2.8556163779269697</v>
          </cell>
          <cell r="AJ69">
            <v>2.849918782208916</v>
          </cell>
          <cell r="AK69">
            <v>2.8439494099986233</v>
          </cell>
          <cell r="AL69">
            <v>2.8370993859707085</v>
          </cell>
          <cell r="AM69">
            <v>2.848914473734566</v>
          </cell>
        </row>
        <row r="131">
          <cell r="C131">
            <v>852</v>
          </cell>
          <cell r="D131">
            <v>877</v>
          </cell>
          <cell r="E131">
            <v>944</v>
          </cell>
          <cell r="F131">
            <v>1040</v>
          </cell>
          <cell r="G131">
            <v>1001</v>
          </cell>
          <cell r="H131">
            <v>1005</v>
          </cell>
          <cell r="I131">
            <v>1606</v>
          </cell>
          <cell r="J131">
            <v>1777</v>
          </cell>
          <cell r="K131">
            <v>1883</v>
          </cell>
          <cell r="L131">
            <v>2290</v>
          </cell>
          <cell r="M131">
            <v>3064</v>
          </cell>
          <cell r="N131">
            <v>4353</v>
          </cell>
          <cell r="O131">
            <v>6402</v>
          </cell>
          <cell r="P131">
            <v>8069</v>
          </cell>
          <cell r="Q131">
            <v>8842</v>
          </cell>
          <cell r="R131">
            <v>10351</v>
          </cell>
          <cell r="S131">
            <v>11124</v>
          </cell>
          <cell r="T131">
            <v>10370</v>
          </cell>
          <cell r="U131">
            <v>10350</v>
          </cell>
          <cell r="V131">
            <v>11075</v>
          </cell>
          <cell r="W131">
            <v>11565</v>
          </cell>
          <cell r="X131">
            <v>12045</v>
          </cell>
          <cell r="Y131">
            <v>12200</v>
          </cell>
          <cell r="Z131">
            <v>12100</v>
          </cell>
          <cell r="AA131">
            <v>12160</v>
          </cell>
          <cell r="AB131">
            <v>12585</v>
          </cell>
          <cell r="AC131">
            <v>12435</v>
          </cell>
          <cell r="AD131">
            <v>12420</v>
          </cell>
          <cell r="AE131">
            <v>11110</v>
          </cell>
          <cell r="AF131">
            <v>11160</v>
          </cell>
          <cell r="AG131">
            <v>11185</v>
          </cell>
          <cell r="AH131">
            <v>10310</v>
          </cell>
          <cell r="AI131">
            <v>10335</v>
          </cell>
          <cell r="AJ131">
            <v>10810</v>
          </cell>
          <cell r="AK131">
            <v>10785</v>
          </cell>
          <cell r="AL131">
            <v>10760</v>
          </cell>
          <cell r="AM131">
            <v>10735</v>
          </cell>
          <cell r="AN131">
            <v>10710</v>
          </cell>
        </row>
        <row r="132">
          <cell r="C132">
            <v>10415.354970856934</v>
          </cell>
          <cell r="D132">
            <v>11076.608322957767</v>
          </cell>
          <cell r="E132">
            <v>11691.624633142799</v>
          </cell>
          <cell r="F132">
            <v>11129.985350273182</v>
          </cell>
          <cell r="G132">
            <v>11799.710156317029</v>
          </cell>
          <cell r="H132">
            <v>11983.456053930826</v>
          </cell>
          <cell r="I132">
            <v>10919.342812000341</v>
          </cell>
          <cell r="J132">
            <v>11910.408581929707</v>
          </cell>
          <cell r="K132">
            <v>12248.970567255048</v>
          </cell>
          <cell r="L132">
            <v>12033.048504278517</v>
          </cell>
          <cell r="M132">
            <v>11694.426775255826</v>
          </cell>
          <cell r="N132">
            <v>12422.932672378734</v>
          </cell>
          <cell r="O132">
            <v>13322.177071417413</v>
          </cell>
          <cell r="P132">
            <v>13135.383623059664</v>
          </cell>
          <cell r="Q132">
            <v>13181.556409451819</v>
          </cell>
          <cell r="R132">
            <v>13474.150735491359</v>
          </cell>
          <cell r="S132">
            <v>13781.950892519548</v>
          </cell>
          <cell r="T132">
            <v>13292.489383058335</v>
          </cell>
          <cell r="U132">
            <v>13902.703825377823</v>
          </cell>
          <cell r="V132">
            <v>14529.397000000001</v>
          </cell>
          <cell r="W132">
            <v>15018.219786516853</v>
          </cell>
          <cell r="X132">
            <v>13851.4215432526</v>
          </cell>
          <cell r="Y132">
            <v>12941.922244147157</v>
          </cell>
          <cell r="Z132">
            <v>13110.94055793291</v>
          </cell>
          <cell r="AA132">
            <v>12134.238478025301</v>
          </cell>
          <cell r="AB132">
            <v>12671.92111352213</v>
          </cell>
          <cell r="AC132">
            <v>12482.737875331797</v>
          </cell>
          <cell r="AD132">
            <v>13773.022413181516</v>
          </cell>
          <cell r="AE132">
            <v>13404.001407470139</v>
          </cell>
          <cell r="AF132">
            <v>13345.360422496829</v>
          </cell>
          <cell r="AG132">
            <v>13973.152282127667</v>
          </cell>
          <cell r="AH132">
            <v>15113.751428571435</v>
          </cell>
          <cell r="AI132">
            <v>15560.631578947377</v>
          </cell>
          <cell r="AJ132">
            <v>16159.833082706777</v>
          </cell>
          <cell r="AK132">
            <v>17064.541353383465</v>
          </cell>
          <cell r="AL132">
            <v>17586.249624060158</v>
          </cell>
          <cell r="AM132">
            <v>18533.957894736857</v>
          </cell>
          <cell r="AN132">
            <v>19203.666165413553</v>
          </cell>
        </row>
      </sheetData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4ZTESOY6X7TRF26DJJO6JWOP5K">
      <xxl21:absoluteUrl r:id="rId2"/>
    </xxl21:alternateUrls>
    <sheetNames>
      <sheetName val="Chart7"/>
      <sheetName val="chn_crush_margin_data"/>
      <sheetName val="World Soybean Bal Sheet"/>
      <sheetName val="SB World-Major"/>
      <sheetName val="USDA Comp "/>
      <sheetName val="Historic WASDE MY 202425"/>
      <sheetName val="Historic Fastmarkets MY 202425"/>
      <sheetName val="Historic Fastmarkets MY 202324"/>
      <sheetName val="Historic WASDE MY 202324"/>
      <sheetName val="USDA Comp1"/>
      <sheetName val="SBMeal_premium"/>
      <sheetName val="Chart1 (4)"/>
      <sheetName val="Chart1 (3)"/>
      <sheetName val="Argentina Prod by state"/>
      <sheetName val="Chart1"/>
      <sheetName val="Chart1 (2)"/>
      <sheetName val="Brazil Planting Pace"/>
      <sheetName val="Chart30"/>
      <sheetName val="Chart31"/>
      <sheetName val="World Soy Breakdown"/>
      <sheetName val="Major Soybean Exports"/>
      <sheetName val="Major Qrtly Meal Exports chart"/>
      <sheetName val="Chart8"/>
      <sheetName val="Major Soybean Meal Exports"/>
      <sheetName val="Chart32"/>
      <sheetName val="Chart33"/>
      <sheetName val="Major Exporting Quarterly S&amp;D"/>
      <sheetName val="Soybean Trade Matrix"/>
      <sheetName val="Chart5"/>
      <sheetName val="Soybean Meal Trade Matrix"/>
      <sheetName val="Chart34"/>
      <sheetName val="Chart37"/>
      <sheetName val="Chart62"/>
      <sheetName val="Soybean Oil Trade Matrix"/>
      <sheetName val="Chart63"/>
      <sheetName val="Chart64"/>
      <sheetName val="Chart65"/>
      <sheetName val="Chart3"/>
      <sheetName val="Major Soy Crush"/>
      <sheetName val="US Soy Complex"/>
      <sheetName val="Chart6"/>
      <sheetName val="Major Soy Oil"/>
      <sheetName val="China Soy Complex"/>
      <sheetName val="Chart2"/>
      <sheetName val="Sheet1"/>
      <sheetName val="Brazil area by state "/>
      <sheetName val="Chart4"/>
      <sheetName val="BR sb exports chart"/>
      <sheetName val="BR SBO exports chart"/>
      <sheetName val="Chart9"/>
      <sheetName val="Chart10"/>
      <sheetName val="Brazil Soy Complex"/>
      <sheetName val="Chart3 - bridge"/>
      <sheetName val="Brazil  yield by state"/>
      <sheetName val="Chart66"/>
      <sheetName val="Chart67"/>
      <sheetName val="La Nina and Yields"/>
      <sheetName val="Brazil Soymeal"/>
      <sheetName val="Brazil Soyoil"/>
      <sheetName val="Chart68"/>
      <sheetName val="Chart69"/>
      <sheetName val="Chart70"/>
      <sheetName val="Chart71"/>
      <sheetName val="Chart78"/>
      <sheetName val="Chart72"/>
      <sheetName val="Chart73"/>
      <sheetName val="Chart74"/>
      <sheetName val="Chart75"/>
      <sheetName val="Chart77"/>
      <sheetName val="Chart76"/>
      <sheetName val="Chart79"/>
      <sheetName val="Chart ARGY Meal stocks"/>
      <sheetName val="Argentina Soy Complex"/>
      <sheetName val="ARG Crop conditions"/>
      <sheetName val="Argentina Biodiesel Cal Yrs"/>
      <sheetName val="Argentina Soymeal"/>
      <sheetName val="Argentina Soyoil"/>
      <sheetName val="Chart80"/>
      <sheetName val="Paraguay Soy Complex"/>
      <sheetName val="Chart81"/>
      <sheetName val="Chart82"/>
      <sheetName val="SoAm Soy"/>
      <sheetName val="Uruguay Soy Complex"/>
      <sheetName val="EU Soy Complex"/>
      <sheetName val="EU-27"/>
      <sheetName val="UK"/>
      <sheetName val="Canada Soy Complex"/>
      <sheetName val="Canada SBO CY Balance Sheet"/>
      <sheetName val="Ukraine Soy Complex"/>
      <sheetName val="Russia Soybean Complex"/>
      <sheetName val="India Soy Complex"/>
      <sheetName val="Japan Soy Complex"/>
      <sheetName val="Mexico Soy Complex"/>
      <sheetName val="Complex Temp(3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/>
      <sheetData sheetId="24" refreshError="1"/>
      <sheetData sheetId="25" refreshError="1"/>
      <sheetData sheetId="26"/>
      <sheetData sheetId="27"/>
      <sheetData sheetId="28" refreshError="1"/>
      <sheetData sheetId="29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/>
      <sheetData sheetId="42"/>
      <sheetData sheetId="43" refreshError="1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/>
      <sheetData sheetId="54" refreshError="1"/>
      <sheetData sheetId="55" refreshError="1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 refreshError="1"/>
      <sheetData sheetId="78"/>
      <sheetData sheetId="79" refreshError="1"/>
      <sheetData sheetId="80" refreshError="1"/>
      <sheetData sheetId="81"/>
      <sheetData sheetId="82"/>
      <sheetData sheetId="83">
        <row r="4">
          <cell r="AE4">
            <v>397</v>
          </cell>
          <cell r="AF4">
            <v>448</v>
          </cell>
          <cell r="AG4">
            <v>389</v>
          </cell>
          <cell r="AH4">
            <v>445</v>
          </cell>
          <cell r="AI4">
            <v>547</v>
          </cell>
          <cell r="AJ4">
            <v>725</v>
          </cell>
          <cell r="AK4">
            <v>529</v>
          </cell>
          <cell r="AL4">
            <v>513</v>
          </cell>
          <cell r="AM4">
            <v>479</v>
          </cell>
          <cell r="AN4">
            <v>391</v>
          </cell>
          <cell r="AO4">
            <v>459</v>
          </cell>
          <cell r="AP4">
            <v>431</v>
          </cell>
          <cell r="AQ4">
            <v>451</v>
          </cell>
          <cell r="AR4">
            <v>557</v>
          </cell>
          <cell r="AS4">
            <v>411.85</v>
          </cell>
          <cell r="AT4">
            <v>273.02</v>
          </cell>
          <cell r="AU4">
            <v>352</v>
          </cell>
          <cell r="AV4">
            <v>428.90000000000003</v>
          </cell>
          <cell r="AW4">
            <v>447.43</v>
          </cell>
          <cell r="AX4">
            <v>434.34999999999997</v>
          </cell>
          <cell r="AY4">
            <v>465.53999999999996</v>
          </cell>
          <cell r="AZ4">
            <v>568.85</v>
          </cell>
          <cell r="BA4">
            <v>881.42000000000007</v>
          </cell>
          <cell r="BB4">
            <v>831.18999999999994</v>
          </cell>
          <cell r="BC4">
            <v>962.39</v>
          </cell>
          <cell r="BD4">
            <v>955.39999999999986</v>
          </cell>
          <cell r="BE4">
            <v>907.9</v>
          </cell>
          <cell r="BF4">
            <v>942.86</v>
          </cell>
          <cell r="BG4">
            <v>939.77999999999986</v>
          </cell>
          <cell r="BH4">
            <v>1094.69</v>
          </cell>
          <cell r="BI4">
            <v>985.12</v>
          </cell>
          <cell r="BJ4">
            <v>1118</v>
          </cell>
          <cell r="BK4">
            <v>1026.6666666666665</v>
          </cell>
          <cell r="BL4">
            <v>1225</v>
          </cell>
          <cell r="BM4">
            <v>1168.8371111111046</v>
          </cell>
          <cell r="BN4">
            <v>1169.7315788359701</v>
          </cell>
          <cell r="BO4">
            <v>1154.9290347795322</v>
          </cell>
          <cell r="BP4">
            <v>1132.7857671984457</v>
          </cell>
        </row>
        <row r="6">
          <cell r="AE6">
            <v>676</v>
          </cell>
          <cell r="AF6">
            <v>603</v>
          </cell>
          <cell r="AG6">
            <v>809</v>
          </cell>
          <cell r="AH6">
            <v>763</v>
          </cell>
          <cell r="AI6">
            <v>769</v>
          </cell>
          <cell r="AJ6">
            <v>838</v>
          </cell>
          <cell r="AK6">
            <v>614</v>
          </cell>
          <cell r="AL6">
            <v>667</v>
          </cell>
          <cell r="AM6">
            <v>959</v>
          </cell>
          <cell r="AN6">
            <v>1074</v>
          </cell>
          <cell r="AO6">
            <v>876</v>
          </cell>
          <cell r="AP6">
            <v>906</v>
          </cell>
          <cell r="AQ6">
            <v>757</v>
          </cell>
          <cell r="AR6">
            <v>733</v>
          </cell>
          <cell r="AS6">
            <v>1007</v>
          </cell>
          <cell r="AT6">
            <v>707</v>
          </cell>
          <cell r="AU6">
            <v>454</v>
          </cell>
          <cell r="AV6">
            <v>541</v>
          </cell>
          <cell r="AW6">
            <v>826</v>
          </cell>
          <cell r="AX6">
            <v>1482</v>
          </cell>
          <cell r="AY6">
            <v>1076</v>
          </cell>
          <cell r="AZ6">
            <v>1253</v>
          </cell>
          <cell r="BA6">
            <v>863</v>
          </cell>
          <cell r="BB6">
            <v>1016</v>
          </cell>
          <cell r="BC6">
            <v>891</v>
          </cell>
          <cell r="BD6">
            <v>826</v>
          </cell>
          <cell r="BE6">
            <v>1228</v>
          </cell>
          <cell r="BF6">
            <v>665</v>
          </cell>
          <cell r="BG6">
            <v>462</v>
          </cell>
          <cell r="BH6">
            <v>1455</v>
          </cell>
          <cell r="BI6">
            <v>1447</v>
          </cell>
          <cell r="BJ6">
            <v>1084</v>
          </cell>
          <cell r="BK6">
            <v>1119</v>
          </cell>
          <cell r="BL6">
            <v>1100</v>
          </cell>
          <cell r="BM6">
            <v>1350</v>
          </cell>
          <cell r="BN6">
            <v>1350</v>
          </cell>
          <cell r="BO6">
            <v>1350</v>
          </cell>
          <cell r="BP6">
            <v>1350</v>
          </cell>
        </row>
        <row r="7">
          <cell r="AE7">
            <v>976</v>
          </cell>
          <cell r="AF7">
            <v>1188</v>
          </cell>
          <cell r="AG7">
            <v>1101</v>
          </cell>
          <cell r="AH7">
            <v>1323</v>
          </cell>
          <cell r="AI7">
            <v>1760</v>
          </cell>
          <cell r="AJ7">
            <v>1868</v>
          </cell>
          <cell r="AK7">
            <v>1522</v>
          </cell>
          <cell r="AL7">
            <v>1323</v>
          </cell>
          <cell r="AM7">
            <v>1467</v>
          </cell>
          <cell r="AN7">
            <v>1122</v>
          </cell>
          <cell r="AO7">
            <v>908</v>
          </cell>
          <cell r="AP7">
            <v>1166</v>
          </cell>
          <cell r="AQ7">
            <v>1294</v>
          </cell>
          <cell r="AR7">
            <v>1402</v>
          </cell>
          <cell r="AS7">
            <v>861.51</v>
          </cell>
          <cell r="AT7">
            <v>764.16</v>
          </cell>
          <cell r="AU7">
            <v>963.16</v>
          </cell>
          <cell r="AV7">
            <v>1221.8300000000002</v>
          </cell>
          <cell r="AW7">
            <v>1240.1000000000004</v>
          </cell>
          <cell r="AX7">
            <v>959.15</v>
          </cell>
          <cell r="AY7">
            <v>1215.68</v>
          </cell>
          <cell r="AZ7">
            <v>1841.48</v>
          </cell>
          <cell r="BA7">
            <v>2341.0100000000002</v>
          </cell>
          <cell r="BB7">
            <v>2477.2999999999997</v>
          </cell>
          <cell r="BC7">
            <v>2671.79</v>
          </cell>
          <cell r="BD7">
            <v>2832.6600000000003</v>
          </cell>
          <cell r="BE7">
            <v>2741.54</v>
          </cell>
          <cell r="BF7">
            <v>2617.2100000000005</v>
          </cell>
          <cell r="BG7">
            <v>2648.8799999999997</v>
          </cell>
          <cell r="BH7">
            <v>2448.4800000000005</v>
          </cell>
          <cell r="BI7">
            <v>2792.1599999999994</v>
          </cell>
          <cell r="BJ7">
            <v>2851.15</v>
          </cell>
          <cell r="BK7">
            <v>2875</v>
          </cell>
          <cell r="BL7">
            <v>3350</v>
          </cell>
          <cell r="BM7">
            <v>3225</v>
          </cell>
          <cell r="BN7">
            <v>3250</v>
          </cell>
          <cell r="BO7">
            <v>3250</v>
          </cell>
          <cell r="BP7">
            <v>3225</v>
          </cell>
        </row>
        <row r="8">
          <cell r="AE8">
            <v>13269</v>
          </cell>
          <cell r="AF8">
            <v>16490</v>
          </cell>
          <cell r="AG8">
            <v>14717</v>
          </cell>
          <cell r="AH8">
            <v>14826</v>
          </cell>
          <cell r="AI8">
            <v>14971.732999999998</v>
          </cell>
          <cell r="AJ8">
            <v>14683.893000000002</v>
          </cell>
          <cell r="AK8">
            <v>14114.589000000002</v>
          </cell>
          <cell r="AL8">
            <v>17609.252</v>
          </cell>
          <cell r="AM8">
            <v>18880.496999999999</v>
          </cell>
          <cell r="AN8">
            <v>16995.189000000002</v>
          </cell>
          <cell r="AO8">
            <v>14745.432999999999</v>
          </cell>
          <cell r="AP8">
            <v>14581.899999999998</v>
          </cell>
          <cell r="AQ8">
            <v>14012.974999999999</v>
          </cell>
          <cell r="AR8">
            <v>15179.682999999999</v>
          </cell>
          <cell r="AS8">
            <v>15139.055</v>
          </cell>
          <cell r="AT8">
            <v>13221.061000000002</v>
          </cell>
          <cell r="AU8">
            <v>12683.858</v>
          </cell>
          <cell r="AV8">
            <v>12471.597</v>
          </cell>
          <cell r="AW8">
            <v>12857.385999999999</v>
          </cell>
          <cell r="AX8">
            <v>13797.704000000003</v>
          </cell>
          <cell r="AY8">
            <v>14447.813</v>
          </cell>
          <cell r="AZ8">
            <v>15066.637999999999</v>
          </cell>
          <cell r="BA8">
            <v>15732.06</v>
          </cell>
          <cell r="BB8">
            <v>13947.978999999999</v>
          </cell>
          <cell r="BC8">
            <v>15761.140000000001</v>
          </cell>
          <cell r="BD8">
            <v>15731.600223000001</v>
          </cell>
          <cell r="BE8">
            <v>15016.532448999998</v>
          </cell>
          <cell r="BF8">
            <v>15029.394109999999</v>
          </cell>
          <cell r="BG8">
            <v>14786.317026999999</v>
          </cell>
          <cell r="BH8">
            <v>14544.530868</v>
          </cell>
          <cell r="BI8">
            <v>13346.181654000002</v>
          </cell>
          <cell r="BJ8">
            <v>14750</v>
          </cell>
          <cell r="BK8">
            <v>17050</v>
          </cell>
          <cell r="BL8">
            <v>15250</v>
          </cell>
          <cell r="BM8">
            <v>15250</v>
          </cell>
          <cell r="BN8">
            <v>15250</v>
          </cell>
          <cell r="BO8">
            <v>15250</v>
          </cell>
          <cell r="BP8">
            <v>15250</v>
          </cell>
        </row>
        <row r="9">
          <cell r="AE9">
            <v>14921</v>
          </cell>
          <cell r="AF9">
            <v>18281</v>
          </cell>
          <cell r="AG9">
            <v>16627</v>
          </cell>
          <cell r="AH9">
            <v>16912</v>
          </cell>
          <cell r="AI9">
            <v>17500.733</v>
          </cell>
          <cell r="AJ9">
            <v>17389.893000000004</v>
          </cell>
          <cell r="AK9">
            <v>16250.589000000002</v>
          </cell>
          <cell r="AL9">
            <v>19599.252</v>
          </cell>
          <cell r="AM9">
            <v>21306.496999999999</v>
          </cell>
          <cell r="AN9">
            <v>19191.189000000002</v>
          </cell>
          <cell r="AO9">
            <v>16529.432999999997</v>
          </cell>
          <cell r="AP9">
            <v>16653.899999999998</v>
          </cell>
          <cell r="AQ9">
            <v>16063.974999999999</v>
          </cell>
          <cell r="AR9">
            <v>17314.682999999997</v>
          </cell>
          <cell r="AS9">
            <v>17007.564999999999</v>
          </cell>
          <cell r="AT9">
            <v>14692.221000000001</v>
          </cell>
          <cell r="AU9">
            <v>14101.018</v>
          </cell>
          <cell r="AV9">
            <v>14234.427</v>
          </cell>
          <cell r="AW9">
            <v>14923.485999999999</v>
          </cell>
          <cell r="AX9">
            <v>16238.854000000003</v>
          </cell>
          <cell r="AY9">
            <v>16739.493000000002</v>
          </cell>
          <cell r="AZ9">
            <v>18161.117999999999</v>
          </cell>
          <cell r="BA9">
            <v>18936.07</v>
          </cell>
          <cell r="BB9">
            <v>17441.278999999999</v>
          </cell>
          <cell r="BC9">
            <v>19323.93</v>
          </cell>
          <cell r="BD9">
            <v>19390.260223000001</v>
          </cell>
          <cell r="BE9">
            <v>18986.072448999999</v>
          </cell>
          <cell r="BF9">
            <v>18311.60411</v>
          </cell>
          <cell r="BG9">
            <v>17897.197026999998</v>
          </cell>
          <cell r="BH9">
            <v>18448.010868000001</v>
          </cell>
          <cell r="BI9">
            <v>17585.341654000003</v>
          </cell>
          <cell r="BJ9">
            <v>18685.150000000001</v>
          </cell>
          <cell r="BK9">
            <v>21044</v>
          </cell>
          <cell r="BL9">
            <v>19700</v>
          </cell>
          <cell r="BM9">
            <v>19825</v>
          </cell>
          <cell r="BN9">
            <v>19850</v>
          </cell>
          <cell r="BO9">
            <v>19850</v>
          </cell>
          <cell r="BP9">
            <v>19825</v>
          </cell>
        </row>
        <row r="10">
          <cell r="AE10">
            <v>12729</v>
          </cell>
          <cell r="AF10">
            <v>15457</v>
          </cell>
          <cell r="AG10">
            <v>14406</v>
          </cell>
          <cell r="AH10">
            <v>14764</v>
          </cell>
          <cell r="AI10">
            <v>15583</v>
          </cell>
          <cell r="AJ10">
            <v>15589</v>
          </cell>
          <cell r="AK10">
            <v>14259</v>
          </cell>
          <cell r="AL10">
            <v>16848</v>
          </cell>
          <cell r="AM10">
            <v>18029</v>
          </cell>
          <cell r="AN10">
            <v>16612</v>
          </cell>
          <cell r="AO10">
            <v>14106</v>
          </cell>
          <cell r="AP10">
            <v>14349</v>
          </cell>
          <cell r="AQ10">
            <v>13664</v>
          </cell>
          <cell r="AR10">
            <v>14588</v>
          </cell>
          <cell r="AS10">
            <v>14757</v>
          </cell>
          <cell r="AT10">
            <v>12802</v>
          </cell>
          <cell r="AU10">
            <v>12659</v>
          </cell>
          <cell r="AV10">
            <v>12420</v>
          </cell>
          <cell r="AW10">
            <v>12511</v>
          </cell>
          <cell r="AX10">
            <v>13116</v>
          </cell>
          <cell r="AY10">
            <v>13364</v>
          </cell>
          <cell r="AZ10">
            <v>14090</v>
          </cell>
          <cell r="BA10">
            <v>15047</v>
          </cell>
          <cell r="BB10">
            <v>14465</v>
          </cell>
          <cell r="BC10">
            <v>14965</v>
          </cell>
          <cell r="BD10">
            <v>15404</v>
          </cell>
          <cell r="BE10">
            <v>15695</v>
          </cell>
          <cell r="BF10">
            <v>15633</v>
          </cell>
          <cell r="BG10">
            <v>15400</v>
          </cell>
          <cell r="BH10">
            <v>14300</v>
          </cell>
          <cell r="BI10">
            <v>14500</v>
          </cell>
          <cell r="BJ10">
            <v>15200</v>
          </cell>
          <cell r="BK10">
            <v>15750</v>
          </cell>
          <cell r="BL10">
            <v>15700</v>
          </cell>
          <cell r="BM10">
            <v>15700</v>
          </cell>
          <cell r="BN10">
            <v>15700</v>
          </cell>
          <cell r="BO10">
            <v>15700</v>
          </cell>
          <cell r="BP10">
            <v>15700</v>
          </cell>
        </row>
        <row r="11">
          <cell r="AE11">
            <v>61</v>
          </cell>
          <cell r="AF11">
            <v>49</v>
          </cell>
          <cell r="AG11">
            <v>34</v>
          </cell>
          <cell r="AH11">
            <v>31</v>
          </cell>
          <cell r="AI11">
            <v>39.33</v>
          </cell>
          <cell r="AJ11">
            <v>35.985000000000007</v>
          </cell>
          <cell r="AK11">
            <v>65.388000000000005</v>
          </cell>
          <cell r="AL11">
            <v>24.795999999999999</v>
          </cell>
          <cell r="AM11">
            <v>40.167000000000002</v>
          </cell>
          <cell r="AN11">
            <v>24.228000000000002</v>
          </cell>
          <cell r="AO11">
            <v>39.65</v>
          </cell>
          <cell r="AP11">
            <v>44.526999999999994</v>
          </cell>
          <cell r="AQ11">
            <v>76.617000000000004</v>
          </cell>
          <cell r="AR11">
            <v>59.464999999999996</v>
          </cell>
          <cell r="AS11">
            <v>44.384999999999998</v>
          </cell>
          <cell r="AT11">
            <v>35.553999999999995</v>
          </cell>
          <cell r="AU11">
            <v>60.379999999999995</v>
          </cell>
          <cell r="AV11">
            <v>94.859000000000009</v>
          </cell>
          <cell r="AW11">
            <v>54.457000000000001</v>
          </cell>
          <cell r="AX11">
            <v>91.518999999999991</v>
          </cell>
          <cell r="AY11">
            <v>56.74199999999999</v>
          </cell>
          <cell r="AZ11">
            <v>115.607</v>
          </cell>
          <cell r="BA11">
            <v>144.03800000000001</v>
          </cell>
          <cell r="BB11">
            <v>220.43700000000001</v>
          </cell>
          <cell r="BC11">
            <v>276.39499999999992</v>
          </cell>
          <cell r="BD11">
            <v>183.11429899999999</v>
          </cell>
          <cell r="BE11">
            <v>228.746555</v>
          </cell>
          <cell r="BF11">
            <v>187.10960699999995</v>
          </cell>
          <cell r="BG11">
            <v>291.31144800000004</v>
          </cell>
          <cell r="BH11">
            <v>230.44781100000003</v>
          </cell>
          <cell r="BI11">
            <v>253.07401300000004</v>
          </cell>
          <cell r="BJ11">
            <v>500</v>
          </cell>
          <cell r="BK11">
            <v>200</v>
          </cell>
          <cell r="BL11">
            <v>200</v>
          </cell>
          <cell r="BM11">
            <v>200</v>
          </cell>
          <cell r="BN11">
            <v>200</v>
          </cell>
          <cell r="BO11">
            <v>200</v>
          </cell>
          <cell r="BP11">
            <v>200</v>
          </cell>
        </row>
        <row r="12">
          <cell r="AE12">
            <v>109</v>
          </cell>
          <cell r="AF12">
            <v>77</v>
          </cell>
          <cell r="AG12">
            <v>64</v>
          </cell>
          <cell r="AH12">
            <v>73</v>
          </cell>
          <cell r="AI12">
            <v>98</v>
          </cell>
          <cell r="AJ12">
            <v>88</v>
          </cell>
          <cell r="AK12">
            <v>87</v>
          </cell>
          <cell r="AL12">
            <v>112</v>
          </cell>
          <cell r="AM12">
            <v>114</v>
          </cell>
          <cell r="AN12">
            <v>108</v>
          </cell>
          <cell r="AO12">
            <v>113</v>
          </cell>
          <cell r="AP12">
            <v>113</v>
          </cell>
          <cell r="AQ12">
            <v>116</v>
          </cell>
          <cell r="AR12">
            <v>117</v>
          </cell>
          <cell r="AS12">
            <v>112</v>
          </cell>
          <cell r="AT12">
            <v>111</v>
          </cell>
          <cell r="AU12">
            <v>123</v>
          </cell>
          <cell r="AV12">
            <v>110</v>
          </cell>
          <cell r="AW12">
            <v>130</v>
          </cell>
          <cell r="AX12">
            <v>150</v>
          </cell>
          <cell r="AY12">
            <v>170</v>
          </cell>
          <cell r="AZ12">
            <v>190</v>
          </cell>
          <cell r="BA12">
            <v>230</v>
          </cell>
          <cell r="BB12">
            <v>240</v>
          </cell>
          <cell r="BC12">
            <v>250</v>
          </cell>
          <cell r="BD12">
            <v>260</v>
          </cell>
          <cell r="BE12">
            <v>245</v>
          </cell>
          <cell r="BF12">
            <v>254</v>
          </cell>
          <cell r="BG12">
            <v>220</v>
          </cell>
          <cell r="BH12">
            <v>220</v>
          </cell>
          <cell r="BI12">
            <v>220</v>
          </cell>
          <cell r="BJ12">
            <v>220</v>
          </cell>
          <cell r="BK12">
            <v>230</v>
          </cell>
          <cell r="BL12">
            <v>230</v>
          </cell>
          <cell r="BM12">
            <v>230</v>
          </cell>
          <cell r="BN12">
            <v>230</v>
          </cell>
          <cell r="BO12">
            <v>230</v>
          </cell>
          <cell r="BP12">
            <v>230</v>
          </cell>
        </row>
        <row r="13">
          <cell r="AE13">
            <v>1419</v>
          </cell>
          <cell r="AF13">
            <v>1889</v>
          </cell>
          <cell r="AG13">
            <v>1360</v>
          </cell>
          <cell r="AH13">
            <v>1275</v>
          </cell>
          <cell r="AI13">
            <v>942.40300000000025</v>
          </cell>
          <cell r="AJ13">
            <v>1062.9080000000031</v>
          </cell>
          <cell r="AK13">
            <v>1172.2010000000009</v>
          </cell>
          <cell r="AL13">
            <v>1655.4560000000019</v>
          </cell>
          <cell r="AM13">
            <v>2049.3299999999981</v>
          </cell>
          <cell r="AN13">
            <v>1570.961000000003</v>
          </cell>
          <cell r="AO13">
            <v>1364.7829999999976</v>
          </cell>
          <cell r="AP13">
            <v>1390.3729999999978</v>
          </cell>
          <cell r="AQ13">
            <v>1474.3579999999984</v>
          </cell>
          <cell r="AR13">
            <v>1543.2179999999971</v>
          </cell>
          <cell r="AS13">
            <v>1387.1799999999985</v>
          </cell>
          <cell r="AT13">
            <v>1289.6670000000013</v>
          </cell>
          <cell r="AU13">
            <v>717.63800000000083</v>
          </cell>
          <cell r="AV13">
            <v>783.5679999999993</v>
          </cell>
          <cell r="AW13">
            <v>746.02899999999863</v>
          </cell>
          <cell r="AX13">
            <v>1805.3350000000028</v>
          </cell>
          <cell r="AY13">
            <v>1895.751000000002</v>
          </cell>
          <cell r="AZ13">
            <v>2902.5109999999986</v>
          </cell>
          <cell r="BA13">
            <v>2499.0319999999992</v>
          </cell>
          <cell r="BB13">
            <v>1624.8419999999987</v>
          </cell>
          <cell r="BC13">
            <v>3006.5349999999999</v>
          </cell>
          <cell r="BD13">
            <v>2315.1459240000004</v>
          </cell>
          <cell r="BE13">
            <v>2152.3258939999996</v>
          </cell>
          <cell r="BF13">
            <v>1775.4945030000003</v>
          </cell>
          <cell r="BG13">
            <v>1390.8855789999984</v>
          </cell>
          <cell r="BH13">
            <v>3287.5630570000012</v>
          </cell>
          <cell r="BI13">
            <v>1804.2676410000036</v>
          </cell>
          <cell r="BJ13">
            <v>1765.1500000000015</v>
          </cell>
          <cell r="BK13">
            <v>3764</v>
          </cell>
          <cell r="BL13">
            <v>2220</v>
          </cell>
          <cell r="BM13">
            <v>2345</v>
          </cell>
          <cell r="BN13">
            <v>2370</v>
          </cell>
          <cell r="BO13">
            <v>2370</v>
          </cell>
          <cell r="BP13">
            <v>2345</v>
          </cell>
        </row>
        <row r="15">
          <cell r="AE15">
            <v>603</v>
          </cell>
          <cell r="AF15">
            <v>809</v>
          </cell>
          <cell r="AG15">
            <v>763</v>
          </cell>
          <cell r="AH15">
            <v>769</v>
          </cell>
          <cell r="AI15">
            <v>838</v>
          </cell>
          <cell r="AJ15">
            <v>614</v>
          </cell>
          <cell r="AK15">
            <v>667</v>
          </cell>
          <cell r="AL15">
            <v>959</v>
          </cell>
          <cell r="AM15">
            <v>1074</v>
          </cell>
          <cell r="AN15">
            <v>876</v>
          </cell>
          <cell r="AO15">
            <v>906</v>
          </cell>
          <cell r="AP15">
            <v>757</v>
          </cell>
          <cell r="AQ15">
            <v>733</v>
          </cell>
          <cell r="AR15">
            <v>1007</v>
          </cell>
          <cell r="AS15">
            <v>707</v>
          </cell>
          <cell r="AT15">
            <v>454</v>
          </cell>
          <cell r="AU15">
            <v>541</v>
          </cell>
          <cell r="AV15">
            <v>826</v>
          </cell>
          <cell r="AW15">
            <v>1482</v>
          </cell>
          <cell r="AX15">
            <v>1076</v>
          </cell>
          <cell r="AY15">
            <v>1253</v>
          </cell>
          <cell r="AZ15">
            <v>863</v>
          </cell>
          <cell r="BA15">
            <v>1016</v>
          </cell>
          <cell r="BB15">
            <v>891</v>
          </cell>
          <cell r="BC15">
            <v>826</v>
          </cell>
          <cell r="BD15">
            <v>1228</v>
          </cell>
          <cell r="BE15">
            <v>665</v>
          </cell>
          <cell r="BF15">
            <v>462</v>
          </cell>
          <cell r="BG15">
            <v>595</v>
          </cell>
          <cell r="BH15">
            <v>410</v>
          </cell>
          <cell r="BI15">
            <v>808</v>
          </cell>
          <cell r="BJ15">
            <v>1000</v>
          </cell>
          <cell r="BK15">
            <v>1100</v>
          </cell>
          <cell r="BL15">
            <v>1350</v>
          </cell>
          <cell r="BM15">
            <v>1350</v>
          </cell>
          <cell r="BN15">
            <v>1350</v>
          </cell>
          <cell r="BO15">
            <v>1350</v>
          </cell>
          <cell r="BP15">
            <v>1350</v>
          </cell>
        </row>
        <row r="21">
          <cell r="AE21">
            <v>1182</v>
          </cell>
          <cell r="AF21">
            <v>947</v>
          </cell>
          <cell r="AG21">
            <v>1172</v>
          </cell>
          <cell r="AH21">
            <v>1123</v>
          </cell>
          <cell r="AI21">
            <v>851</v>
          </cell>
          <cell r="AJ21">
            <v>861</v>
          </cell>
          <cell r="AK21">
            <v>1063</v>
          </cell>
          <cell r="AL21">
            <v>886</v>
          </cell>
          <cell r="AM21">
            <v>809</v>
          </cell>
          <cell r="AN21">
            <v>1074</v>
          </cell>
          <cell r="AO21">
            <v>890</v>
          </cell>
          <cell r="AP21">
            <v>858</v>
          </cell>
          <cell r="AQ21">
            <v>859</v>
          </cell>
          <cell r="AR21">
            <v>870</v>
          </cell>
          <cell r="AS21">
            <v>856</v>
          </cell>
          <cell r="AT21">
            <v>1429</v>
          </cell>
          <cell r="AU21">
            <v>505</v>
          </cell>
          <cell r="AV21">
            <v>504</v>
          </cell>
          <cell r="AW21">
            <v>671</v>
          </cell>
          <cell r="AX21">
            <v>481</v>
          </cell>
          <cell r="AY21">
            <v>177</v>
          </cell>
          <cell r="AZ21">
            <v>225</v>
          </cell>
          <cell r="BA21">
            <v>857</v>
          </cell>
          <cell r="BB21">
            <v>1559</v>
          </cell>
          <cell r="BC21">
            <v>974</v>
          </cell>
          <cell r="BD21">
            <v>1111</v>
          </cell>
          <cell r="BE21">
            <v>1347</v>
          </cell>
          <cell r="BF21">
            <v>1626</v>
          </cell>
          <cell r="BG21">
            <v>1455</v>
          </cell>
          <cell r="BH21">
            <v>1447</v>
          </cell>
          <cell r="BI21">
            <v>1084</v>
          </cell>
        </row>
        <row r="22">
          <cell r="AE22">
            <v>10236.524594022125</v>
          </cell>
          <cell r="AF22">
            <v>12280.849346954608</v>
          </cell>
          <cell r="AG22">
            <v>11462.334418508</v>
          </cell>
          <cell r="AH22">
            <v>11763.641875888208</v>
          </cell>
          <cell r="AI22">
            <v>12406.606730830519</v>
          </cell>
          <cell r="AJ22">
            <v>12586.466905875572</v>
          </cell>
          <cell r="AK22">
            <v>11407</v>
          </cell>
          <cell r="AL22">
            <v>13309.999999999998</v>
          </cell>
          <cell r="AM22">
            <v>14243</v>
          </cell>
          <cell r="AN22">
            <v>13123</v>
          </cell>
          <cell r="AO22">
            <v>11143.581103914388</v>
          </cell>
          <cell r="AP22">
            <v>11335.322484592476</v>
          </cell>
          <cell r="AQ22">
            <v>10794.975800608607</v>
          </cell>
          <cell r="AR22">
            <v>11524.726977906896</v>
          </cell>
          <cell r="AS22">
            <v>11657.901652505519</v>
          </cell>
          <cell r="AT22">
            <v>10113.975734157648</v>
          </cell>
          <cell r="AU22">
            <v>10000.559745930925</v>
          </cell>
          <cell r="AV22">
            <v>9812.1021897810224</v>
          </cell>
          <cell r="AW22">
            <v>9883.6899999999987</v>
          </cell>
          <cell r="AX22">
            <v>10361.64</v>
          </cell>
          <cell r="AY22">
            <v>10557.560000000001</v>
          </cell>
          <cell r="AZ22">
            <v>11131.587543252594</v>
          </cell>
          <cell r="BA22">
            <v>11887.633244147159</v>
          </cell>
          <cell r="BB22">
            <v>11420</v>
          </cell>
          <cell r="BC22">
            <v>12021.509687962613</v>
          </cell>
          <cell r="BD22">
            <v>12163.132777421421</v>
          </cell>
          <cell r="BE22">
            <v>12391.094009216591</v>
          </cell>
          <cell r="BF22">
            <v>12350.07</v>
          </cell>
          <cell r="BG22">
            <v>11966.905263157898</v>
          </cell>
          <cell r="BH22">
            <v>11297</v>
          </cell>
          <cell r="BI22">
            <v>11454.491228070181</v>
          </cell>
        </row>
        <row r="23">
          <cell r="AE23">
            <v>15713</v>
          </cell>
          <cell r="AF23">
            <v>16685</v>
          </cell>
          <cell r="AG23">
            <v>15219</v>
          </cell>
          <cell r="AH23">
            <v>13606</v>
          </cell>
          <cell r="AI23">
            <v>11815.602000000001</v>
          </cell>
          <cell r="AJ23">
            <v>15559.901000000002</v>
          </cell>
          <cell r="AK23">
            <v>16014.205000000002</v>
          </cell>
          <cell r="AL23">
            <v>17606.181</v>
          </cell>
          <cell r="AM23">
            <v>19892.092000000001</v>
          </cell>
          <cell r="AN23">
            <v>20612.596999999998</v>
          </cell>
          <cell r="AO23">
            <v>22158.249</v>
          </cell>
          <cell r="AP23">
            <v>22017.631000000001</v>
          </cell>
          <cell r="AQ23">
            <v>22945.977999999999</v>
          </cell>
          <cell r="AR23">
            <v>22361.5</v>
          </cell>
          <cell r="AS23">
            <v>24618.351999999999</v>
          </cell>
          <cell r="AT23">
            <v>21152.889000000003</v>
          </cell>
          <cell r="AU23">
            <v>20879.491999999995</v>
          </cell>
          <cell r="AV23">
            <v>21876.598000000002</v>
          </cell>
          <cell r="AW23">
            <v>20872.091999999997</v>
          </cell>
          <cell r="AX23">
            <v>16941.228999999999</v>
          </cell>
          <cell r="AY23">
            <v>18136.614000000001</v>
          </cell>
          <cell r="AZ23">
            <v>19252.917999999998</v>
          </cell>
          <cell r="BA23">
            <v>19302.017</v>
          </cell>
          <cell r="BB23">
            <v>19373.445999999996</v>
          </cell>
          <cell r="BC23">
            <v>18910.700999999997</v>
          </cell>
          <cell r="BD23">
            <v>18642.004268999997</v>
          </cell>
          <cell r="BE23">
            <v>16276.349400000003</v>
          </cell>
          <cell r="BF23">
            <v>16459.131240999999</v>
          </cell>
          <cell r="BG23">
            <v>16222.242372999999</v>
          </cell>
          <cell r="BH23">
            <v>15956.446799000001</v>
          </cell>
          <cell r="BI23">
            <v>16498.197167000002</v>
          </cell>
        </row>
        <row r="24">
          <cell r="AE24">
            <v>27131.524594022125</v>
          </cell>
          <cell r="AF24">
            <v>29912.849346954608</v>
          </cell>
          <cell r="AG24">
            <v>27853.334418507999</v>
          </cell>
          <cell r="AH24">
            <v>26492.641875888206</v>
          </cell>
          <cell r="AI24">
            <v>25073.20873083052</v>
          </cell>
          <cell r="AJ24">
            <v>29007.367905875573</v>
          </cell>
          <cell r="AK24">
            <v>28484.205000000002</v>
          </cell>
          <cell r="AL24">
            <v>31802.180999999997</v>
          </cell>
          <cell r="AM24">
            <v>34944.092000000004</v>
          </cell>
          <cell r="AN24">
            <v>34809.596999999994</v>
          </cell>
          <cell r="AO24">
            <v>34191.830103914384</v>
          </cell>
          <cell r="AP24">
            <v>34210.953484592479</v>
          </cell>
          <cell r="AQ24">
            <v>34599.953800608608</v>
          </cell>
          <cell r="AR24">
            <v>34756.226977906896</v>
          </cell>
          <cell r="AS24">
            <v>37132.253652505518</v>
          </cell>
          <cell r="AT24">
            <v>32695.864734157651</v>
          </cell>
          <cell r="AU24">
            <v>31385.051745930919</v>
          </cell>
          <cell r="AV24">
            <v>32192.700189781026</v>
          </cell>
          <cell r="AW24">
            <v>31426.781999999996</v>
          </cell>
          <cell r="AX24">
            <v>27783.868999999999</v>
          </cell>
          <cell r="AY24">
            <v>28871.174000000003</v>
          </cell>
          <cell r="AZ24">
            <v>30609.505543252591</v>
          </cell>
          <cell r="BA24">
            <v>32046.65024414716</v>
          </cell>
          <cell r="BB24">
            <v>32352.445999999996</v>
          </cell>
          <cell r="BC24">
            <v>31906.210687962608</v>
          </cell>
          <cell r="BD24">
            <v>31916.13704642142</v>
          </cell>
          <cell r="BE24">
            <v>30014.443409216594</v>
          </cell>
          <cell r="BF24">
            <v>30435.201240999999</v>
          </cell>
          <cell r="BG24">
            <v>29644.147636157897</v>
          </cell>
          <cell r="BH24">
            <v>28700.446799000001</v>
          </cell>
          <cell r="BI24">
            <v>29036.688395070181</v>
          </cell>
        </row>
        <row r="25">
          <cell r="AE25">
            <v>25586.524594022125</v>
          </cell>
          <cell r="AF25">
            <v>27915.849346954608</v>
          </cell>
          <cell r="AG25">
            <v>26116.334418507999</v>
          </cell>
          <cell r="AH25">
            <v>24792.641875888206</v>
          </cell>
          <cell r="AI25">
            <v>22914.20873083052</v>
          </cell>
          <cell r="AJ25">
            <v>26659.367905875573</v>
          </cell>
          <cell r="AK25">
            <v>27397.47</v>
          </cell>
          <cell r="AL25">
            <v>30742.736999999997</v>
          </cell>
          <cell r="AM25">
            <v>33535.698000000004</v>
          </cell>
          <cell r="AN25">
            <v>33582.578999999998</v>
          </cell>
          <cell r="AO25">
            <v>32951.853103914385</v>
          </cell>
          <cell r="AP25">
            <v>32825.398484592479</v>
          </cell>
          <cell r="AQ25">
            <v>33031.193800608606</v>
          </cell>
          <cell r="AR25">
            <v>33356.134977906899</v>
          </cell>
          <cell r="AS25">
            <v>35280.755652505519</v>
          </cell>
          <cell r="AT25">
            <v>31726.821734157649</v>
          </cell>
          <cell r="AU25">
            <v>30409.25074593092</v>
          </cell>
          <cell r="AV25">
            <v>30912.318189781025</v>
          </cell>
          <cell r="AW25">
            <v>30061.318999999996</v>
          </cell>
          <cell r="AX25">
            <v>27070.605</v>
          </cell>
          <cell r="AY25">
            <v>28349.814000000002</v>
          </cell>
          <cell r="AZ25">
            <v>29390.985543252591</v>
          </cell>
          <cell r="BA25">
            <v>30185.532244147162</v>
          </cell>
          <cell r="BB25">
            <v>31045.241999999995</v>
          </cell>
          <cell r="BC25">
            <v>30400.312687962607</v>
          </cell>
          <cell r="BD25">
            <v>30096.94378842142</v>
          </cell>
          <cell r="BE25">
            <v>27557.220781216594</v>
          </cell>
          <cell r="BF25">
            <v>28175.242568999998</v>
          </cell>
          <cell r="BG25">
            <v>27515.593071157899</v>
          </cell>
          <cell r="BH25">
            <v>27007.758871000002</v>
          </cell>
          <cell r="BI25">
            <v>27386.315718070182</v>
          </cell>
        </row>
        <row r="26">
          <cell r="AE26">
            <v>598</v>
          </cell>
          <cell r="AF26">
            <v>825</v>
          </cell>
          <cell r="AG26">
            <v>614</v>
          </cell>
          <cell r="AH26">
            <v>849</v>
          </cell>
          <cell r="AI26">
            <v>1298</v>
          </cell>
          <cell r="AJ26">
            <v>1285</v>
          </cell>
          <cell r="AK26">
            <v>200.73500000000001</v>
          </cell>
          <cell r="AL26">
            <v>250.44399999999996</v>
          </cell>
          <cell r="AM26">
            <v>334.39400000000001</v>
          </cell>
          <cell r="AN26">
            <v>337.01799999999997</v>
          </cell>
          <cell r="AO26">
            <v>381.97699999999998</v>
          </cell>
          <cell r="AP26">
            <v>526.55499999999995</v>
          </cell>
          <cell r="AQ26">
            <v>698.75999999999988</v>
          </cell>
          <cell r="AR26">
            <v>544.09199999999998</v>
          </cell>
          <cell r="AS26">
            <v>422.49799999999999</v>
          </cell>
          <cell r="AT26">
            <v>464.04300000000001</v>
          </cell>
          <cell r="AU26">
            <v>471.80099999999999</v>
          </cell>
          <cell r="AV26">
            <v>609.38200000000006</v>
          </cell>
          <cell r="AW26">
            <v>884.46300000000008</v>
          </cell>
          <cell r="AX26">
            <v>536.26400000000001</v>
          </cell>
          <cell r="AY26">
            <v>296.35999999999996</v>
          </cell>
          <cell r="AZ26">
            <v>361.52</v>
          </cell>
          <cell r="BA26">
            <v>302.11799999999999</v>
          </cell>
          <cell r="BB26">
            <v>333.20400000000001</v>
          </cell>
          <cell r="BC26">
            <v>394.89800000000002</v>
          </cell>
          <cell r="BD26">
            <v>472.19325800000001</v>
          </cell>
          <cell r="BE26">
            <v>831.22262799999999</v>
          </cell>
          <cell r="BF26">
            <v>804.95867199999998</v>
          </cell>
          <cell r="BG26">
            <v>681.55456499999991</v>
          </cell>
          <cell r="BH26">
            <v>608.68792800000006</v>
          </cell>
          <cell r="BI26">
            <v>531.37267699999995</v>
          </cell>
        </row>
        <row r="27">
          <cell r="AE27">
            <v>26184.524594022125</v>
          </cell>
          <cell r="AF27">
            <v>28740.849346954608</v>
          </cell>
          <cell r="AG27">
            <v>26730.334418507999</v>
          </cell>
          <cell r="AH27">
            <v>25641.641875888206</v>
          </cell>
          <cell r="AI27">
            <v>24212.20873083052</v>
          </cell>
          <cell r="AJ27">
            <v>27944.367905875573</v>
          </cell>
          <cell r="AK27">
            <v>27598.205000000002</v>
          </cell>
          <cell r="AL27">
            <v>30993.180999999997</v>
          </cell>
          <cell r="AM27">
            <v>33870.092000000004</v>
          </cell>
          <cell r="AN27">
            <v>33919.596999999994</v>
          </cell>
          <cell r="AO27">
            <v>33333.830103914384</v>
          </cell>
          <cell r="AP27">
            <v>33351.953484592479</v>
          </cell>
          <cell r="AQ27">
            <v>33729.953800608608</v>
          </cell>
          <cell r="AR27">
            <v>33900.226977906896</v>
          </cell>
          <cell r="AS27">
            <v>35703.253652505518</v>
          </cell>
          <cell r="AT27">
            <v>32190.864734157651</v>
          </cell>
          <cell r="AU27">
            <v>30881.051745930919</v>
          </cell>
          <cell r="AV27">
            <v>31521.700189781026</v>
          </cell>
          <cell r="AW27">
            <v>30945.781999999996</v>
          </cell>
          <cell r="AX27">
            <v>27606.868999999999</v>
          </cell>
          <cell r="AY27">
            <v>28646.174000000003</v>
          </cell>
          <cell r="AZ27">
            <v>29752.505543252591</v>
          </cell>
          <cell r="BA27">
            <v>30487.65024414716</v>
          </cell>
          <cell r="BB27">
            <v>31378.445999999996</v>
          </cell>
          <cell r="BC27">
            <v>30795.210687962608</v>
          </cell>
          <cell r="BD27">
            <v>30569.13704642142</v>
          </cell>
          <cell r="BE27">
            <v>28388.443409216594</v>
          </cell>
          <cell r="BF27">
            <v>28980.201240999999</v>
          </cell>
          <cell r="BG27">
            <v>28197.147636157897</v>
          </cell>
          <cell r="BH27">
            <v>27616.446799000001</v>
          </cell>
          <cell r="BI27">
            <v>27917.688395070181</v>
          </cell>
        </row>
        <row r="28">
          <cell r="AE28">
            <v>947</v>
          </cell>
          <cell r="AF28">
            <v>1172</v>
          </cell>
          <cell r="AG28">
            <v>1123</v>
          </cell>
          <cell r="AH28">
            <v>851</v>
          </cell>
          <cell r="AI28">
            <v>861</v>
          </cell>
          <cell r="AJ28">
            <v>1063</v>
          </cell>
          <cell r="AK28">
            <v>886</v>
          </cell>
          <cell r="AL28">
            <v>809</v>
          </cell>
          <cell r="AM28">
            <v>1074</v>
          </cell>
          <cell r="AN28">
            <v>890</v>
          </cell>
          <cell r="AO28">
            <v>858</v>
          </cell>
          <cell r="AP28">
            <v>859</v>
          </cell>
          <cell r="AQ28">
            <v>870</v>
          </cell>
          <cell r="AR28">
            <v>856</v>
          </cell>
          <cell r="AS28">
            <v>1429</v>
          </cell>
          <cell r="AT28">
            <v>505</v>
          </cell>
          <cell r="AU28">
            <v>504</v>
          </cell>
          <cell r="AV28">
            <v>671</v>
          </cell>
          <cell r="AW28">
            <v>481</v>
          </cell>
          <cell r="AX28">
            <v>177</v>
          </cell>
          <cell r="AY28">
            <v>225</v>
          </cell>
          <cell r="AZ28">
            <v>857</v>
          </cell>
          <cell r="BA28">
            <v>1559</v>
          </cell>
          <cell r="BB28">
            <v>974</v>
          </cell>
          <cell r="BC28">
            <v>1111</v>
          </cell>
          <cell r="BD28">
            <v>1347</v>
          </cell>
          <cell r="BE28">
            <v>1626</v>
          </cell>
          <cell r="BF28">
            <v>1455</v>
          </cell>
          <cell r="BG28">
            <v>1447</v>
          </cell>
          <cell r="BH28">
            <v>1084</v>
          </cell>
          <cell r="BI28">
            <v>1119</v>
          </cell>
        </row>
        <row r="31">
          <cell r="AE31">
            <v>263</v>
          </cell>
          <cell r="AF31">
            <v>246</v>
          </cell>
          <cell r="AG31">
            <v>280</v>
          </cell>
          <cell r="AH31">
            <v>228</v>
          </cell>
          <cell r="AI31">
            <v>184</v>
          </cell>
          <cell r="AJ31">
            <v>199</v>
          </cell>
          <cell r="AK31">
            <v>232</v>
          </cell>
          <cell r="AL31">
            <v>227</v>
          </cell>
          <cell r="AM31">
            <v>214</v>
          </cell>
          <cell r="AN31">
            <v>291</v>
          </cell>
          <cell r="AO31">
            <v>255</v>
          </cell>
          <cell r="AP31">
            <v>180</v>
          </cell>
          <cell r="AQ31">
            <v>221</v>
          </cell>
          <cell r="AR31">
            <v>254</v>
          </cell>
          <cell r="AS31">
            <v>270</v>
          </cell>
          <cell r="AT31">
            <v>488</v>
          </cell>
          <cell r="AU31">
            <v>438</v>
          </cell>
          <cell r="AV31">
            <v>129</v>
          </cell>
          <cell r="AW31">
            <v>515</v>
          </cell>
          <cell r="AX31">
            <v>313</v>
          </cell>
          <cell r="AY31">
            <v>187</v>
          </cell>
          <cell r="AZ31">
            <v>249</v>
          </cell>
          <cell r="BA31">
            <v>198</v>
          </cell>
          <cell r="BB31">
            <v>164</v>
          </cell>
          <cell r="BC31">
            <v>211</v>
          </cell>
          <cell r="BD31">
            <v>245</v>
          </cell>
          <cell r="BE31">
            <v>282</v>
          </cell>
          <cell r="BF31">
            <v>439</v>
          </cell>
          <cell r="BG31">
            <v>443</v>
          </cell>
          <cell r="BH31">
            <v>563</v>
          </cell>
          <cell r="BI31">
            <v>601</v>
          </cell>
          <cell r="BJ31">
            <v>655</v>
          </cell>
          <cell r="BK31">
            <v>650</v>
          </cell>
          <cell r="BL31">
            <v>650</v>
          </cell>
          <cell r="BM31">
            <v>650</v>
          </cell>
          <cell r="BN31">
            <v>650</v>
          </cell>
          <cell r="BO31">
            <v>650</v>
          </cell>
          <cell r="BP31">
            <v>650</v>
          </cell>
          <cell r="BQ31">
            <v>650</v>
          </cell>
        </row>
        <row r="32">
          <cell r="AE32">
            <v>2282.6075230660044</v>
          </cell>
          <cell r="AF32">
            <v>2772.7631356757815</v>
          </cell>
          <cell r="AG32">
            <v>2585.5380116959059</v>
          </cell>
          <cell r="AH32">
            <v>2650</v>
          </cell>
          <cell r="AI32">
            <v>2800.0000000000005</v>
          </cell>
          <cell r="AJ32">
            <v>2794.4622242175469</v>
          </cell>
          <cell r="AK32">
            <v>2567</v>
          </cell>
          <cell r="AL32">
            <v>3033</v>
          </cell>
          <cell r="AM32">
            <v>3245.0000000000005</v>
          </cell>
          <cell r="AN32">
            <v>2989.9999999999995</v>
          </cell>
          <cell r="AO32">
            <v>2539.3580681498174</v>
          </cell>
          <cell r="AP32">
            <v>2582.44242088498</v>
          </cell>
          <cell r="AQ32">
            <v>2486.8836400521659</v>
          </cell>
          <cell r="AR32">
            <v>2655.2308627795419</v>
          </cell>
          <cell r="AS32">
            <v>2685.4244998996455</v>
          </cell>
          <cell r="AT32">
            <v>2324.9381761978361</v>
          </cell>
          <cell r="AU32">
            <v>2301.6363636363635</v>
          </cell>
          <cell r="AV32">
            <v>2360.1021897810219</v>
          </cell>
          <cell r="AW32">
            <v>2377.09</v>
          </cell>
          <cell r="AX32">
            <v>2492.04</v>
          </cell>
          <cell r="AY32">
            <v>2539.16</v>
          </cell>
          <cell r="AZ32">
            <v>2677.587543252595</v>
          </cell>
          <cell r="BA32">
            <v>2859.4332441471574</v>
          </cell>
          <cell r="BB32">
            <v>2745</v>
          </cell>
          <cell r="BC32">
            <v>2889.15016618548</v>
          </cell>
          <cell r="BD32">
            <v>2924.6850545221296</v>
          </cell>
          <cell r="BE32">
            <v>2979.8801843317979</v>
          </cell>
          <cell r="BF32">
            <v>2970.2699999999995</v>
          </cell>
          <cell r="BG32">
            <v>2877.8165413533834</v>
          </cell>
          <cell r="BH32">
            <v>2717.0000000000009</v>
          </cell>
          <cell r="BI32">
            <v>2755.6541353383473</v>
          </cell>
          <cell r="BJ32">
            <v>2889.3714285714323</v>
          </cell>
          <cell r="BK32">
            <v>2994.6315789473733</v>
          </cell>
          <cell r="BL32">
            <v>2985.8330827067734</v>
          </cell>
          <cell r="BM32">
            <v>2986.5413533834671</v>
          </cell>
          <cell r="BN32">
            <v>2987.2496240601604</v>
          </cell>
          <cell r="BO32">
            <v>2987.9578947368545</v>
          </cell>
          <cell r="BP32">
            <v>2988.6661654135482</v>
          </cell>
          <cell r="BQ32">
            <v>2989.3744360902415</v>
          </cell>
        </row>
        <row r="33">
          <cell r="AE33">
            <v>203</v>
          </cell>
          <cell r="AF33">
            <v>150</v>
          </cell>
          <cell r="AG33">
            <v>128</v>
          </cell>
          <cell r="AH33">
            <v>124</v>
          </cell>
          <cell r="AI33">
            <v>146</v>
          </cell>
          <cell r="AJ33">
            <v>181</v>
          </cell>
          <cell r="AK33">
            <v>84</v>
          </cell>
          <cell r="AL33">
            <v>29</v>
          </cell>
          <cell r="AM33">
            <v>62</v>
          </cell>
          <cell r="AN33">
            <v>30</v>
          </cell>
          <cell r="AO33">
            <v>67</v>
          </cell>
          <cell r="AP33">
            <v>181.56199999999998</v>
          </cell>
          <cell r="AQ33">
            <v>717.59400000000005</v>
          </cell>
          <cell r="AR33">
            <v>978.43200000000002</v>
          </cell>
          <cell r="AS33">
            <v>1037.8</v>
          </cell>
          <cell r="AT33">
            <v>794.66899999999998</v>
          </cell>
          <cell r="AU33">
            <v>546.83800000000008</v>
          </cell>
          <cell r="AV33">
            <v>905.58900000000006</v>
          </cell>
          <cell r="AW33">
            <v>385.98900000000003</v>
          </cell>
          <cell r="AX33">
            <v>322.19100000000003</v>
          </cell>
          <cell r="AY33">
            <v>329.03400000000005</v>
          </cell>
          <cell r="AZ33">
            <v>252.45599999999999</v>
          </cell>
          <cell r="BA33">
            <v>318.73500000000001</v>
          </cell>
          <cell r="BB33">
            <v>285.584</v>
          </cell>
          <cell r="BC33">
            <v>284.62</v>
          </cell>
          <cell r="BD33">
            <v>419.96597000000003</v>
          </cell>
          <cell r="BE33">
            <v>482.17280499999993</v>
          </cell>
          <cell r="BF33">
            <v>492.06788499999999</v>
          </cell>
          <cell r="BG33">
            <v>458.09976700000004</v>
          </cell>
          <cell r="BH33">
            <v>628.42360700000006</v>
          </cell>
          <cell r="BI33">
            <v>514.74877099999992</v>
          </cell>
          <cell r="BJ33">
            <v>535</v>
          </cell>
          <cell r="BK33">
            <v>600</v>
          </cell>
          <cell r="BL33">
            <v>625</v>
          </cell>
          <cell r="BM33">
            <v>650</v>
          </cell>
          <cell r="BN33">
            <v>675</v>
          </cell>
          <cell r="BO33">
            <v>700</v>
          </cell>
          <cell r="BP33">
            <v>725</v>
          </cell>
          <cell r="BQ33">
            <v>750</v>
          </cell>
        </row>
        <row r="34">
          <cell r="AE34">
            <v>2748.6075230660044</v>
          </cell>
          <cell r="AF34">
            <v>3168.7631356757815</v>
          </cell>
          <cell r="AG34">
            <v>2993.5380116959059</v>
          </cell>
          <cell r="AH34">
            <v>3002</v>
          </cell>
          <cell r="AI34">
            <v>3130.0000000000005</v>
          </cell>
          <cell r="AJ34">
            <v>3174.4622242175469</v>
          </cell>
          <cell r="AK34">
            <v>2883</v>
          </cell>
          <cell r="AL34">
            <v>3289</v>
          </cell>
          <cell r="AM34">
            <v>3521.0000000000005</v>
          </cell>
          <cell r="AN34">
            <v>3310.9999999999995</v>
          </cell>
          <cell r="AO34">
            <v>2861.3580681498174</v>
          </cell>
          <cell r="AP34">
            <v>2944.0044208849799</v>
          </cell>
          <cell r="AQ34">
            <v>3425.477640052166</v>
          </cell>
          <cell r="AR34">
            <v>3887.6628627795417</v>
          </cell>
          <cell r="AS34">
            <v>3993.2244998996457</v>
          </cell>
          <cell r="AT34">
            <v>3607.607176197836</v>
          </cell>
          <cell r="AU34">
            <v>3286.4743636363637</v>
          </cell>
          <cell r="AV34">
            <v>3394.6911897810219</v>
          </cell>
          <cell r="AW34">
            <v>3278.0790000000002</v>
          </cell>
          <cell r="AX34">
            <v>3127.2309999999998</v>
          </cell>
          <cell r="AY34">
            <v>3055.194</v>
          </cell>
          <cell r="AZ34">
            <v>3179.0435432525951</v>
          </cell>
          <cell r="BA34">
            <v>3376.1682441471576</v>
          </cell>
          <cell r="BB34">
            <v>3194.5839999999998</v>
          </cell>
          <cell r="BC34">
            <v>3384.7701661854799</v>
          </cell>
          <cell r="BD34">
            <v>3589.6510245221298</v>
          </cell>
          <cell r="BE34">
            <v>3744.052989331798</v>
          </cell>
          <cell r="BF34">
            <v>3901.3378849999995</v>
          </cell>
          <cell r="BG34">
            <v>3778.9163083533836</v>
          </cell>
          <cell r="BH34">
            <v>3908.4236070000011</v>
          </cell>
          <cell r="BI34">
            <v>3871.4029063383473</v>
          </cell>
          <cell r="BJ34">
            <v>4079.3714285714323</v>
          </cell>
          <cell r="BK34">
            <v>4244.6315789473738</v>
          </cell>
          <cell r="BL34">
            <v>4260.833082706773</v>
          </cell>
          <cell r="BM34">
            <v>4286.5413533834671</v>
          </cell>
          <cell r="BN34">
            <v>4312.2496240601604</v>
          </cell>
          <cell r="BO34">
            <v>4337.9578947368545</v>
          </cell>
          <cell r="BP34">
            <v>4363.6661654135478</v>
          </cell>
          <cell r="BQ34">
            <v>4389.3744360902419</v>
          </cell>
        </row>
        <row r="35">
          <cell r="AE35">
            <v>2126.6075230660044</v>
          </cell>
          <cell r="AF35">
            <v>2229.7631356757815</v>
          </cell>
          <cell r="AG35">
            <v>2204.5380116959059</v>
          </cell>
          <cell r="AH35">
            <v>1955</v>
          </cell>
          <cell r="AI35">
            <v>2063.1970000000001</v>
          </cell>
          <cell r="AJ35">
            <v>1952.793224217547</v>
          </cell>
          <cell r="AK35">
            <v>1698.3740000000003</v>
          </cell>
          <cell r="AL35">
            <v>2174.4160000000002</v>
          </cell>
          <cell r="AM35">
            <v>2369.1610000000005</v>
          </cell>
          <cell r="AN35">
            <v>2355.4989999999993</v>
          </cell>
          <cell r="AO35">
            <v>2133.1890681498176</v>
          </cell>
          <cell r="AP35">
            <v>2199.1204208849799</v>
          </cell>
          <cell r="AQ35">
            <v>2901.3666400521661</v>
          </cell>
          <cell r="AR35">
            <v>3375.3058627795417</v>
          </cell>
          <cell r="AS35">
            <v>3170.8994998996459</v>
          </cell>
          <cell r="AT35">
            <v>2771.2361761978359</v>
          </cell>
          <cell r="AU35">
            <v>2771.7083636363636</v>
          </cell>
          <cell r="AV35">
            <v>2416.444189781022</v>
          </cell>
          <cell r="AW35">
            <v>2222.9610000000002</v>
          </cell>
          <cell r="AX35">
            <v>1928.7909999999997</v>
          </cell>
          <cell r="AY35">
            <v>2040.009</v>
          </cell>
          <cell r="AZ35">
            <v>1971.2815432525949</v>
          </cell>
          <cell r="BA35">
            <v>2284.7892441471577</v>
          </cell>
          <cell r="BB35">
            <v>2164.3219999999997</v>
          </cell>
          <cell r="BC35">
            <v>2237.8521661854797</v>
          </cell>
          <cell r="BD35">
            <v>2465.9442635221299</v>
          </cell>
          <cell r="BE35">
            <v>2396.1717413317979</v>
          </cell>
          <cell r="BF35">
            <v>2395.2446829999994</v>
          </cell>
          <cell r="BG35">
            <v>2257.4729873533834</v>
          </cell>
          <cell r="BH35">
            <v>2392.4222310000009</v>
          </cell>
          <cell r="BI35">
            <v>2553.9776293383475</v>
          </cell>
          <cell r="BJ35">
            <v>2429.3714285714323</v>
          </cell>
          <cell r="BK35">
            <v>2594.6315789473738</v>
          </cell>
          <cell r="BL35">
            <v>2910.833082706773</v>
          </cell>
          <cell r="BM35">
            <v>2936.5413533834671</v>
          </cell>
          <cell r="BN35">
            <v>2962.2496240601604</v>
          </cell>
          <cell r="BO35">
            <v>2987.9578947368545</v>
          </cell>
          <cell r="BP35">
            <v>3013.6661654135478</v>
          </cell>
          <cell r="BQ35">
            <v>3039.3744360902419</v>
          </cell>
        </row>
        <row r="36">
          <cell r="AE36">
            <v>242</v>
          </cell>
          <cell r="AF36">
            <v>235</v>
          </cell>
          <cell r="AG36">
            <v>213</v>
          </cell>
          <cell r="AH36">
            <v>241</v>
          </cell>
          <cell r="AI36">
            <v>223</v>
          </cell>
          <cell r="AJ36">
            <v>214</v>
          </cell>
          <cell r="AK36">
            <v>171</v>
          </cell>
          <cell r="AL36">
            <v>184</v>
          </cell>
          <cell r="AM36">
            <v>225</v>
          </cell>
          <cell r="AN36">
            <v>281</v>
          </cell>
          <cell r="AO36">
            <v>336</v>
          </cell>
          <cell r="AP36">
            <v>410</v>
          </cell>
          <cell r="AQ36">
            <v>1122</v>
          </cell>
          <cell r="AR36">
            <v>1563</v>
          </cell>
          <cell r="AS36">
            <v>1592</v>
          </cell>
          <cell r="AT36">
            <v>1466</v>
          </cell>
          <cell r="AU36">
            <v>1430</v>
          </cell>
          <cell r="AV36">
            <v>1350</v>
          </cell>
          <cell r="AW36">
            <v>1000</v>
          </cell>
          <cell r="AX36">
            <v>800</v>
          </cell>
          <cell r="AY36">
            <v>940</v>
          </cell>
          <cell r="AZ36">
            <v>990</v>
          </cell>
          <cell r="BA36">
            <v>930</v>
          </cell>
          <cell r="BB36">
            <v>850</v>
          </cell>
          <cell r="BC36">
            <v>870</v>
          </cell>
          <cell r="BD36">
            <v>1100</v>
          </cell>
          <cell r="BE36">
            <v>1150</v>
          </cell>
          <cell r="BF36">
            <v>1100</v>
          </cell>
          <cell r="BG36">
            <v>1100</v>
          </cell>
          <cell r="BH36">
            <v>1150</v>
          </cell>
          <cell r="BI36">
            <v>1200</v>
          </cell>
          <cell r="BJ36">
            <v>1100</v>
          </cell>
          <cell r="BK36">
            <v>1350</v>
          </cell>
          <cell r="BL36">
            <v>1350</v>
          </cell>
          <cell r="BM36">
            <v>1350</v>
          </cell>
          <cell r="BN36">
            <v>1350</v>
          </cell>
          <cell r="BO36">
            <v>1350</v>
          </cell>
          <cell r="BP36">
            <v>1350</v>
          </cell>
        </row>
        <row r="38">
          <cell r="AE38">
            <v>376</v>
          </cell>
          <cell r="AF38">
            <v>659</v>
          </cell>
          <cell r="AG38">
            <v>561</v>
          </cell>
          <cell r="AH38">
            <v>863</v>
          </cell>
          <cell r="AI38">
            <v>867.80300000000011</v>
          </cell>
          <cell r="AJ38">
            <v>989.66899999999998</v>
          </cell>
          <cell r="AK38">
            <v>957.62599999999986</v>
          </cell>
          <cell r="AL38">
            <v>900.58400000000006</v>
          </cell>
          <cell r="AM38">
            <v>860.83899999999994</v>
          </cell>
          <cell r="AN38">
            <v>700.50100000000009</v>
          </cell>
          <cell r="AO38">
            <v>548.16899999999987</v>
          </cell>
          <cell r="AP38">
            <v>523.88400000000013</v>
          </cell>
          <cell r="AQ38">
            <v>270.11099999999999</v>
          </cell>
          <cell r="AR38">
            <v>242.357</v>
          </cell>
          <cell r="AS38">
            <v>334.32499999999999</v>
          </cell>
          <cell r="AT38">
            <v>398.37100000000004</v>
          </cell>
          <cell r="AU38">
            <v>385.76600000000002</v>
          </cell>
          <cell r="AV38">
            <v>463.24700000000007</v>
          </cell>
          <cell r="AW38">
            <v>742.11800000000005</v>
          </cell>
          <cell r="AX38">
            <v>1011.4399999999999</v>
          </cell>
          <cell r="AY38">
            <v>766.18499999999995</v>
          </cell>
          <cell r="AZ38">
            <v>1009.7620000000001</v>
          </cell>
          <cell r="BA38">
            <v>927.37900000000002</v>
          </cell>
          <cell r="BB38">
            <v>819.26200000000006</v>
          </cell>
          <cell r="BC38">
            <v>901.91800000000012</v>
          </cell>
          <cell r="BD38">
            <v>841.70676100000003</v>
          </cell>
          <cell r="BE38">
            <v>908.88124800000003</v>
          </cell>
          <cell r="BF38">
            <v>1063.093202</v>
          </cell>
          <cell r="BG38">
            <v>958.44332100000008</v>
          </cell>
          <cell r="BH38">
            <v>915.00137600000005</v>
          </cell>
          <cell r="BI38">
            <v>662.42527699999994</v>
          </cell>
          <cell r="BJ38">
            <v>1000</v>
          </cell>
          <cell r="BK38">
            <v>1000</v>
          </cell>
          <cell r="BL38">
            <v>700</v>
          </cell>
          <cell r="BM38">
            <v>700</v>
          </cell>
          <cell r="BN38">
            <v>700</v>
          </cell>
          <cell r="BO38">
            <v>700</v>
          </cell>
          <cell r="BP38">
            <v>700</v>
          </cell>
        </row>
        <row r="39">
          <cell r="AE39">
            <v>2502.6075230660044</v>
          </cell>
          <cell r="AF39">
            <v>2888.7631356757815</v>
          </cell>
          <cell r="AG39">
            <v>2765.5380116959059</v>
          </cell>
          <cell r="AH39">
            <v>2818</v>
          </cell>
          <cell r="AI39">
            <v>2931.0000000000005</v>
          </cell>
          <cell r="AJ39">
            <v>2942.4622242175469</v>
          </cell>
          <cell r="AK39">
            <v>2656</v>
          </cell>
          <cell r="AL39">
            <v>3075</v>
          </cell>
          <cell r="AM39">
            <v>3230.0000000000005</v>
          </cell>
          <cell r="AN39">
            <v>3055.9999999999995</v>
          </cell>
          <cell r="AO39">
            <v>2681.3580681498174</v>
          </cell>
          <cell r="AP39">
            <v>2723.0044208849799</v>
          </cell>
          <cell r="AQ39">
            <v>3171.477640052166</v>
          </cell>
          <cell r="AR39">
            <v>3617.6628627795417</v>
          </cell>
          <cell r="AS39">
            <v>3505.2244998996457</v>
          </cell>
          <cell r="AT39">
            <v>3169.607176197836</v>
          </cell>
          <cell r="AU39">
            <v>3157.4743636363637</v>
          </cell>
          <cell r="AV39">
            <v>2879.6911897810219</v>
          </cell>
          <cell r="AW39">
            <v>2965.0790000000002</v>
          </cell>
          <cell r="AX39">
            <v>2940.2309999999998</v>
          </cell>
          <cell r="AY39">
            <v>2806.194</v>
          </cell>
          <cell r="AZ39">
            <v>2981.0435432525951</v>
          </cell>
          <cell r="BA39">
            <v>3212.1682441471576</v>
          </cell>
          <cell r="BB39">
            <v>2983.5839999999998</v>
          </cell>
          <cell r="BC39">
            <v>3139.7701661854799</v>
          </cell>
          <cell r="BD39">
            <v>3307.6510245221298</v>
          </cell>
          <cell r="BE39">
            <v>3305.052989331798</v>
          </cell>
          <cell r="BF39">
            <v>3458.3378849999995</v>
          </cell>
          <cell r="BG39">
            <v>3215.9163083533836</v>
          </cell>
          <cell r="BH39">
            <v>3307.4236070000011</v>
          </cell>
          <cell r="BI39">
            <v>3216.4029063383473</v>
          </cell>
          <cell r="BJ39">
            <v>3429.3714285714323</v>
          </cell>
          <cell r="BK39">
            <v>3594.6315789473738</v>
          </cell>
          <cell r="BL39">
            <v>3610.833082706773</v>
          </cell>
          <cell r="BM39">
            <v>3636.5413533834671</v>
          </cell>
          <cell r="BN39">
            <v>3662.2496240601604</v>
          </cell>
          <cell r="BO39">
            <v>3687.9578947368545</v>
          </cell>
          <cell r="BP39">
            <v>3713.6661654135478</v>
          </cell>
          <cell r="BQ39">
            <v>3739.3744360902419</v>
          </cell>
        </row>
        <row r="40">
          <cell r="AE40">
            <v>246</v>
          </cell>
          <cell r="AF40">
            <v>280</v>
          </cell>
          <cell r="AG40">
            <v>228</v>
          </cell>
          <cell r="AH40">
            <v>184</v>
          </cell>
          <cell r="AI40">
            <v>199</v>
          </cell>
          <cell r="AJ40">
            <v>232</v>
          </cell>
          <cell r="AK40">
            <v>227</v>
          </cell>
          <cell r="AL40">
            <v>214</v>
          </cell>
          <cell r="AM40">
            <v>291</v>
          </cell>
          <cell r="AN40">
            <v>255</v>
          </cell>
          <cell r="AO40">
            <v>180</v>
          </cell>
          <cell r="AP40">
            <v>221</v>
          </cell>
          <cell r="AQ40">
            <v>254</v>
          </cell>
          <cell r="AR40">
            <v>270</v>
          </cell>
          <cell r="AS40">
            <v>488</v>
          </cell>
          <cell r="AT40">
            <v>438</v>
          </cell>
          <cell r="AU40">
            <v>129</v>
          </cell>
          <cell r="AV40">
            <v>515</v>
          </cell>
          <cell r="AW40">
            <v>313</v>
          </cell>
          <cell r="AX40">
            <v>187</v>
          </cell>
          <cell r="AY40">
            <v>249</v>
          </cell>
          <cell r="AZ40">
            <v>198</v>
          </cell>
          <cell r="BA40">
            <v>164</v>
          </cell>
          <cell r="BB40">
            <v>211</v>
          </cell>
          <cell r="BC40">
            <v>245</v>
          </cell>
          <cell r="BD40">
            <v>282</v>
          </cell>
          <cell r="BE40">
            <v>439</v>
          </cell>
          <cell r="BF40">
            <v>443</v>
          </cell>
          <cell r="BG40">
            <v>563</v>
          </cell>
          <cell r="BH40">
            <v>601</v>
          </cell>
          <cell r="BI40">
            <v>655</v>
          </cell>
          <cell r="BJ40">
            <v>650</v>
          </cell>
          <cell r="BK40">
            <v>650</v>
          </cell>
          <cell r="BL40">
            <v>650</v>
          </cell>
          <cell r="BM40">
            <v>650</v>
          </cell>
          <cell r="BN40">
            <v>650</v>
          </cell>
          <cell r="BO40">
            <v>650</v>
          </cell>
          <cell r="BP40">
            <v>650</v>
          </cell>
          <cell r="BQ40">
            <v>650</v>
          </cell>
        </row>
      </sheetData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7QCKDDXO2TDJGJB5UMPTBOBKD7">
      <xxl21:absoluteUrl r:id="rId2"/>
    </xxl21:alternateUrls>
    <sheetNames>
      <sheetName val="World Rapeseed"/>
      <sheetName val="Canada Rapeseed USDA Comp"/>
      <sheetName val="Canada Rapeseed"/>
      <sheetName val="Canada Canola Oil CY"/>
      <sheetName val="Australia Rapeseed"/>
      <sheetName val="China Rapeseed"/>
      <sheetName val="Chart1"/>
      <sheetName val="EU Rapeseed"/>
      <sheetName val="Ukraine Rapeseed"/>
      <sheetName val="Russia Rapeseed"/>
      <sheetName val="Japan Rapeseed"/>
      <sheetName val="India Rapeseed"/>
      <sheetName val="Mexico Rapese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5">
          <cell r="B5">
            <v>2997</v>
          </cell>
          <cell r="C5">
            <v>3443</v>
          </cell>
          <cell r="D5">
            <v>3794</v>
          </cell>
          <cell r="E5">
            <v>3344</v>
          </cell>
          <cell r="F5">
            <v>3559</v>
          </cell>
          <cell r="G5">
            <v>4037</v>
          </cell>
          <cell r="H5">
            <v>4995</v>
          </cell>
          <cell r="I5">
            <v>4137</v>
          </cell>
          <cell r="J5">
            <v>4169</v>
          </cell>
          <cell r="K5">
            <v>4283</v>
          </cell>
          <cell r="L5">
            <v>4214</v>
          </cell>
          <cell r="M5">
            <v>4586</v>
          </cell>
          <cell r="N5">
            <v>4866</v>
          </cell>
          <cell r="O5">
            <v>5416</v>
          </cell>
          <cell r="P5">
            <v>6567</v>
          </cell>
          <cell r="Q5">
            <v>6204</v>
          </cell>
          <cell r="R5">
            <v>6545</v>
          </cell>
          <cell r="S5">
            <v>7001</v>
          </cell>
          <cell r="T5">
            <v>6749</v>
          </cell>
          <cell r="U5">
            <v>6209.12</v>
          </cell>
          <cell r="V5">
            <v>6713.57</v>
          </cell>
          <cell r="W5">
            <v>6714.36</v>
          </cell>
          <cell r="X5">
            <v>5822.39</v>
          </cell>
          <cell r="Y5">
            <v>5955.65</v>
          </cell>
          <cell r="Z5">
            <v>6185.75</v>
          </cell>
          <cell r="AA5">
            <v>6317.62</v>
          </cell>
          <cell r="AB5">
            <v>5118.72</v>
          </cell>
          <cell r="AC5">
            <v>5321.72</v>
          </cell>
          <cell r="AD5">
            <v>5326</v>
          </cell>
          <cell r="AE5">
            <v>5886.86</v>
          </cell>
          <cell r="AF5">
            <v>6192.83</v>
          </cell>
          <cell r="AG5">
            <v>5726.51</v>
          </cell>
          <cell r="AH5">
            <v>5650</v>
          </cell>
          <cell r="AI5">
            <v>5650</v>
          </cell>
          <cell r="AJ5">
            <v>5650</v>
          </cell>
          <cell r="AK5">
            <v>5700</v>
          </cell>
          <cell r="AL5">
            <v>5900</v>
          </cell>
          <cell r="AM5">
            <v>5850</v>
          </cell>
        </row>
        <row r="8">
          <cell r="B8">
            <v>129</v>
          </cell>
          <cell r="C8">
            <v>246</v>
          </cell>
          <cell r="D8">
            <v>198</v>
          </cell>
          <cell r="E8">
            <v>385</v>
          </cell>
          <cell r="F8">
            <v>227</v>
          </cell>
          <cell r="G8">
            <v>92</v>
          </cell>
          <cell r="H8">
            <v>310</v>
          </cell>
          <cell r="I8">
            <v>448</v>
          </cell>
          <cell r="J8">
            <v>485</v>
          </cell>
          <cell r="K8">
            <v>633</v>
          </cell>
          <cell r="L8">
            <v>334</v>
          </cell>
          <cell r="M8">
            <v>278</v>
          </cell>
          <cell r="N8">
            <v>1691</v>
          </cell>
          <cell r="O8">
            <v>1600</v>
          </cell>
          <cell r="P8">
            <v>1441</v>
          </cell>
          <cell r="Q8">
            <v>959</v>
          </cell>
          <cell r="R8">
            <v>1843</v>
          </cell>
          <cell r="S8">
            <v>1809</v>
          </cell>
          <cell r="T8">
            <v>2871</v>
          </cell>
          <cell r="U8">
            <v>3184</v>
          </cell>
          <cell r="V8">
            <v>2328</v>
          </cell>
          <cell r="W8">
            <v>1968</v>
          </cell>
          <cell r="X8">
            <v>1984</v>
          </cell>
          <cell r="Y8">
            <v>1612</v>
          </cell>
          <cell r="Z8">
            <v>869</v>
          </cell>
          <cell r="AA8">
            <v>1899</v>
          </cell>
          <cell r="AB8">
            <v>1860</v>
          </cell>
          <cell r="AC8">
            <v>1187</v>
          </cell>
          <cell r="AD8">
            <v>668</v>
          </cell>
          <cell r="AE8">
            <v>627</v>
          </cell>
          <cell r="AF8">
            <v>1686</v>
          </cell>
          <cell r="AG8">
            <v>1493</v>
          </cell>
          <cell r="AH8">
            <v>1250</v>
          </cell>
          <cell r="AI8">
            <v>1300</v>
          </cell>
          <cell r="AJ8">
            <v>1300</v>
          </cell>
          <cell r="AK8">
            <v>1250</v>
          </cell>
          <cell r="AL8">
            <v>1200</v>
          </cell>
          <cell r="AM8">
            <v>1225</v>
          </cell>
        </row>
        <row r="9">
          <cell r="B9">
            <v>7653</v>
          </cell>
          <cell r="C9">
            <v>8331</v>
          </cell>
          <cell r="D9">
            <v>10514</v>
          </cell>
          <cell r="E9">
            <v>8606</v>
          </cell>
          <cell r="F9">
            <v>10196</v>
          </cell>
          <cell r="G9">
            <v>11584</v>
          </cell>
          <cell r="H9">
            <v>14394</v>
          </cell>
          <cell r="I9">
            <v>11393</v>
          </cell>
          <cell r="J9">
            <v>11607</v>
          </cell>
          <cell r="K9">
            <v>11778</v>
          </cell>
          <cell r="L9">
            <v>11214</v>
          </cell>
          <cell r="M9">
            <v>15458</v>
          </cell>
          <cell r="N9">
            <v>15564</v>
          </cell>
          <cell r="O9">
            <v>16112</v>
          </cell>
          <cell r="P9">
            <v>18269.52</v>
          </cell>
          <cell r="Q9">
            <v>18891.400000000001</v>
          </cell>
          <cell r="R9">
            <v>21356.17</v>
          </cell>
          <cell r="S9">
            <v>18384.13</v>
          </cell>
          <cell r="T9">
            <v>16473</v>
          </cell>
          <cell r="U9">
            <v>16690.96</v>
          </cell>
          <cell r="V9">
            <v>18852.98</v>
          </cell>
          <cell r="W9">
            <v>21821.329999999998</v>
          </cell>
          <cell r="X9">
            <v>19299.510000000002</v>
          </cell>
          <cell r="Y9">
            <v>18331.93</v>
          </cell>
          <cell r="Z9">
            <v>19852.979999999996</v>
          </cell>
          <cell r="AA9">
            <v>18002.690000000002</v>
          </cell>
          <cell r="AB9">
            <v>15379.6</v>
          </cell>
          <cell r="AC9">
            <v>16686.72</v>
          </cell>
          <cell r="AD9">
            <v>17072.07</v>
          </cell>
          <cell r="AE9">
            <v>19561.11</v>
          </cell>
          <cell r="AF9">
            <v>19737</v>
          </cell>
          <cell r="AG9">
            <v>16890.726356126022</v>
          </cell>
          <cell r="AH9">
            <v>17300</v>
          </cell>
          <cell r="AI9">
            <v>17400</v>
          </cell>
          <cell r="AJ9">
            <v>17500</v>
          </cell>
          <cell r="AK9">
            <v>17700</v>
          </cell>
          <cell r="AL9">
            <v>18400</v>
          </cell>
          <cell r="AM9">
            <v>18300</v>
          </cell>
        </row>
        <row r="10">
          <cell r="B10">
            <v>31.51740955628933</v>
          </cell>
          <cell r="C10">
            <v>0</v>
          </cell>
          <cell r="D10">
            <v>0</v>
          </cell>
          <cell r="E10">
            <v>89.283000000000001</v>
          </cell>
          <cell r="F10">
            <v>152.21899999999999</v>
          </cell>
          <cell r="G10">
            <v>580.76800000000003</v>
          </cell>
          <cell r="H10">
            <v>65.046000000000006</v>
          </cell>
          <cell r="I10">
            <v>480.58900000000006</v>
          </cell>
          <cell r="J10">
            <v>168.40599999999998</v>
          </cell>
          <cell r="K10">
            <v>47.370999999999995</v>
          </cell>
          <cell r="L10">
            <v>154.72</v>
          </cell>
          <cell r="M10">
            <v>66.337999999999994</v>
          </cell>
          <cell r="N10">
            <v>368.58100000000002</v>
          </cell>
          <cell r="O10">
            <v>431.18600000000004</v>
          </cell>
          <cell r="P10">
            <v>685.37999999999988</v>
          </cell>
          <cell r="Q10">
            <v>3353.0259999999998</v>
          </cell>
          <cell r="R10">
            <v>2081.7670000000003</v>
          </cell>
          <cell r="S10">
            <v>2623.8010000000004</v>
          </cell>
          <cell r="T10">
            <v>3751.8950000000004</v>
          </cell>
          <cell r="U10">
            <v>3378.0909999999999</v>
          </cell>
          <cell r="V10">
            <v>3523.7619999999997</v>
          </cell>
          <cell r="W10">
            <v>2316.6150000000002</v>
          </cell>
          <cell r="X10">
            <v>3432.7629999999999</v>
          </cell>
          <cell r="Y10">
            <v>4278.7139999999999</v>
          </cell>
          <cell r="Z10">
            <v>4330.5829999999996</v>
          </cell>
          <cell r="AA10">
            <v>4398.9629999999988</v>
          </cell>
          <cell r="AB10">
            <v>6081.8675599999997</v>
          </cell>
          <cell r="AC10">
            <v>5796.5684440000005</v>
          </cell>
          <cell r="AD10">
            <v>5433.201047999999</v>
          </cell>
          <cell r="AE10">
            <v>6839.7906600000006</v>
          </cell>
          <cell r="AF10">
            <v>5456.5473410000004</v>
          </cell>
          <cell r="AG10">
            <v>6750</v>
          </cell>
          <cell r="AH10">
            <v>6500</v>
          </cell>
          <cell r="AI10">
            <v>7000</v>
          </cell>
          <cell r="AJ10">
            <v>6000</v>
          </cell>
          <cell r="AK10">
            <v>6000</v>
          </cell>
          <cell r="AL10">
            <v>6000</v>
          </cell>
          <cell r="AM10">
            <v>6000</v>
          </cell>
        </row>
        <row r="11">
          <cell r="B11">
            <v>7813.5174095562897</v>
          </cell>
          <cell r="C11">
            <v>8577</v>
          </cell>
          <cell r="D11">
            <v>10712</v>
          </cell>
          <cell r="E11">
            <v>9080.2829999999994</v>
          </cell>
          <cell r="F11">
            <v>10575.218999999999</v>
          </cell>
          <cell r="G11">
            <v>12256.768</v>
          </cell>
          <cell r="H11">
            <v>14769.046</v>
          </cell>
          <cell r="I11">
            <v>12321.589</v>
          </cell>
          <cell r="J11">
            <v>12260.406000000001</v>
          </cell>
          <cell r="K11">
            <v>12458.370999999999</v>
          </cell>
          <cell r="L11">
            <v>11702.72</v>
          </cell>
          <cell r="M11">
            <v>15802.338</v>
          </cell>
          <cell r="N11">
            <v>17623.580999999998</v>
          </cell>
          <cell r="O11">
            <v>18143.186000000002</v>
          </cell>
          <cell r="P11">
            <v>20395.900000000001</v>
          </cell>
          <cell r="Q11">
            <v>23203.425999999999</v>
          </cell>
          <cell r="R11">
            <v>25280.936999999998</v>
          </cell>
          <cell r="S11">
            <v>22816.931</v>
          </cell>
          <cell r="T11">
            <v>23095.895</v>
          </cell>
          <cell r="U11">
            <v>23253.050999999999</v>
          </cell>
          <cell r="V11">
            <v>24704.741999999998</v>
          </cell>
          <cell r="W11">
            <v>26105.945</v>
          </cell>
          <cell r="X11">
            <v>24716.273000000001</v>
          </cell>
          <cell r="Y11">
            <v>24222.644</v>
          </cell>
          <cell r="Z11">
            <v>25052.562999999995</v>
          </cell>
          <cell r="AA11">
            <v>24300.653000000002</v>
          </cell>
          <cell r="AB11">
            <v>23321.467559999997</v>
          </cell>
          <cell r="AC11">
            <v>23670.288444000002</v>
          </cell>
          <cell r="AD11">
            <v>23173.271047999999</v>
          </cell>
          <cell r="AE11">
            <v>27027.900659999999</v>
          </cell>
          <cell r="AF11">
            <v>26879.547341000001</v>
          </cell>
          <cell r="AG11">
            <v>25133.726356126022</v>
          </cell>
          <cell r="AH11">
            <v>25050</v>
          </cell>
          <cell r="AI11">
            <v>25700</v>
          </cell>
          <cell r="AJ11">
            <v>24800</v>
          </cell>
          <cell r="AK11">
            <v>24950</v>
          </cell>
          <cell r="AL11">
            <v>25600</v>
          </cell>
          <cell r="AM11">
            <v>25525</v>
          </cell>
        </row>
        <row r="12">
          <cell r="B12">
            <v>7511</v>
          </cell>
          <cell r="C12">
            <v>8561</v>
          </cell>
          <cell r="D12">
            <v>9372</v>
          </cell>
          <cell r="E12">
            <v>8310</v>
          </cell>
          <cell r="F12">
            <v>9607</v>
          </cell>
          <cell r="G12">
            <v>10403</v>
          </cell>
          <cell r="H12">
            <v>11119</v>
          </cell>
          <cell r="I12">
            <v>10520</v>
          </cell>
          <cell r="J12">
            <v>10377</v>
          </cell>
          <cell r="K12">
            <v>10515</v>
          </cell>
          <cell r="L12">
            <v>10422</v>
          </cell>
          <cell r="M12">
            <v>13249</v>
          </cell>
          <cell r="N12">
            <v>14693</v>
          </cell>
          <cell r="O12">
            <v>15730</v>
          </cell>
          <cell r="P12">
            <v>18476</v>
          </cell>
          <cell r="Q12">
            <v>20458</v>
          </cell>
          <cell r="R12">
            <v>23027</v>
          </cell>
          <cell r="S12">
            <v>22401</v>
          </cell>
          <cell r="T12">
            <v>21289</v>
          </cell>
          <cell r="U12">
            <v>22951</v>
          </cell>
          <cell r="V12">
            <v>24185</v>
          </cell>
          <cell r="W12">
            <v>25797</v>
          </cell>
          <cell r="X12">
            <v>1836</v>
          </cell>
          <cell r="Y12">
            <v>24100</v>
          </cell>
          <cell r="Z12">
            <v>22050</v>
          </cell>
          <cell r="AA12">
            <v>23735</v>
          </cell>
          <cell r="AB12">
            <v>23385</v>
          </cell>
          <cell r="AC12">
            <v>24699</v>
          </cell>
          <cell r="AD12">
            <v>23679</v>
          </cell>
          <cell r="AE12">
            <v>25397</v>
          </cell>
          <cell r="AF12">
            <v>26318</v>
          </cell>
          <cell r="AG12">
            <v>26500</v>
          </cell>
          <cell r="AH12">
            <v>27500</v>
          </cell>
          <cell r="AI12">
            <v>28500</v>
          </cell>
          <cell r="AJ12">
            <v>29500</v>
          </cell>
          <cell r="AK12">
            <v>30500</v>
          </cell>
          <cell r="AL12">
            <v>31500</v>
          </cell>
          <cell r="AM12">
            <v>32500</v>
          </cell>
        </row>
        <row r="13">
          <cell r="B13">
            <v>42.917683583633476</v>
          </cell>
          <cell r="C13">
            <v>0</v>
          </cell>
          <cell r="D13">
            <v>0</v>
          </cell>
          <cell r="E13">
            <v>10.766999999999999</v>
          </cell>
          <cell r="F13">
            <v>318.33500000000009</v>
          </cell>
          <cell r="G13">
            <v>802.82299999999987</v>
          </cell>
          <cell r="H13">
            <v>2356.748</v>
          </cell>
          <cell r="I13">
            <v>503.38900000000001</v>
          </cell>
          <cell r="J13">
            <v>86.079852000000017</v>
          </cell>
          <cell r="K13">
            <v>534.79999999999995</v>
          </cell>
          <cell r="L13">
            <v>283.36900000000009</v>
          </cell>
          <cell r="M13">
            <v>352.858</v>
          </cell>
          <cell r="N13">
            <v>349.72600000000006</v>
          </cell>
          <cell r="O13">
            <v>161.405</v>
          </cell>
          <cell r="P13">
            <v>432.24599999999998</v>
          </cell>
          <cell r="Q13">
            <v>218.91899999999998</v>
          </cell>
          <cell r="R13">
            <v>345.18800000000005</v>
          </cell>
          <cell r="S13">
            <v>325.95800000000008</v>
          </cell>
          <cell r="T13">
            <v>140.21799999999999</v>
          </cell>
          <cell r="U13">
            <v>110.337</v>
          </cell>
          <cell r="V13">
            <v>332.935</v>
          </cell>
          <cell r="W13">
            <v>613.77900000000011</v>
          </cell>
          <cell r="X13">
            <v>390.96900000000011</v>
          </cell>
          <cell r="Y13">
            <v>418.55399999999997</v>
          </cell>
          <cell r="Z13">
            <v>311.38200000000006</v>
          </cell>
          <cell r="AA13">
            <v>291.00199999999995</v>
          </cell>
          <cell r="AB13">
            <v>331.44428299999993</v>
          </cell>
          <cell r="AC13">
            <v>173.02448100000001</v>
          </cell>
          <cell r="AD13">
            <v>451.683087</v>
          </cell>
          <cell r="AE13">
            <v>543.99905700000011</v>
          </cell>
          <cell r="AF13">
            <v>534.06355499999995</v>
          </cell>
          <cell r="AG13">
            <v>350</v>
          </cell>
          <cell r="AH13">
            <v>250</v>
          </cell>
          <cell r="AI13">
            <v>250</v>
          </cell>
          <cell r="AJ13">
            <v>250</v>
          </cell>
          <cell r="AK13">
            <v>250</v>
          </cell>
          <cell r="AL13">
            <v>250</v>
          </cell>
          <cell r="AM13">
            <v>250</v>
          </cell>
        </row>
        <row r="14">
          <cell r="B14">
            <v>25</v>
          </cell>
          <cell r="C14">
            <v>27</v>
          </cell>
          <cell r="D14">
            <v>24</v>
          </cell>
          <cell r="E14">
            <v>26</v>
          </cell>
          <cell r="F14">
            <v>29</v>
          </cell>
          <cell r="G14">
            <v>36</v>
          </cell>
          <cell r="H14">
            <v>30</v>
          </cell>
          <cell r="I14">
            <v>30</v>
          </cell>
          <cell r="J14">
            <v>31</v>
          </cell>
          <cell r="K14">
            <v>30</v>
          </cell>
          <cell r="L14">
            <v>33</v>
          </cell>
          <cell r="M14">
            <v>35</v>
          </cell>
          <cell r="N14">
            <v>39</v>
          </cell>
          <cell r="O14">
            <v>47</v>
          </cell>
          <cell r="P14">
            <v>45</v>
          </cell>
          <cell r="Q14">
            <v>47</v>
          </cell>
          <cell r="R14">
            <v>50</v>
          </cell>
          <cell r="S14">
            <v>49</v>
          </cell>
          <cell r="T14">
            <v>45</v>
          </cell>
          <cell r="U14">
            <v>48</v>
          </cell>
          <cell r="V14">
            <v>48</v>
          </cell>
          <cell r="W14">
            <v>42</v>
          </cell>
          <cell r="X14">
            <v>43</v>
          </cell>
          <cell r="Y14">
            <v>45</v>
          </cell>
          <cell r="Z14">
            <v>45</v>
          </cell>
          <cell r="AA14">
            <v>37</v>
          </cell>
          <cell r="AB14">
            <v>38</v>
          </cell>
          <cell r="AC14">
            <v>38</v>
          </cell>
          <cell r="AD14">
            <v>42</v>
          </cell>
          <cell r="AE14">
            <v>45</v>
          </cell>
          <cell r="AF14">
            <v>41</v>
          </cell>
          <cell r="AG14">
            <v>41</v>
          </cell>
          <cell r="AH14">
            <v>41</v>
          </cell>
          <cell r="AI14">
            <v>41</v>
          </cell>
          <cell r="AJ14">
            <v>41</v>
          </cell>
          <cell r="AK14">
            <v>42</v>
          </cell>
          <cell r="AL14">
            <v>42</v>
          </cell>
          <cell r="AM14">
            <v>42</v>
          </cell>
        </row>
        <row r="15">
          <cell r="B15">
            <v>-11.400274027343585</v>
          </cell>
          <cell r="C15">
            <v>-209</v>
          </cell>
          <cell r="D15">
            <v>931</v>
          </cell>
          <cell r="E15">
            <v>506.51599999999962</v>
          </cell>
          <cell r="F15">
            <v>528.8839999999982</v>
          </cell>
          <cell r="G15">
            <v>704.94499999999971</v>
          </cell>
          <cell r="H15">
            <v>815.29800000000068</v>
          </cell>
          <cell r="I15">
            <v>783.20000000000073</v>
          </cell>
          <cell r="J15">
            <v>1133.3261480000001</v>
          </cell>
          <cell r="K15">
            <v>1044.5709999999999</v>
          </cell>
          <cell r="L15">
            <v>686.35099999999875</v>
          </cell>
          <cell r="M15">
            <v>474.47999999999956</v>
          </cell>
          <cell r="N15">
            <v>941.85499999999774</v>
          </cell>
          <cell r="O15">
            <v>763.78100000000086</v>
          </cell>
          <cell r="P15">
            <v>483.65400000000227</v>
          </cell>
          <cell r="Q15">
            <v>636.50699999999779</v>
          </cell>
          <cell r="R15">
            <v>49.748999999999796</v>
          </cell>
          <cell r="S15">
            <v>-2830.0269999999982</v>
          </cell>
          <cell r="T15">
            <v>-1562.3230000000003</v>
          </cell>
          <cell r="U15">
            <v>-2184.2860000000001</v>
          </cell>
          <cell r="V15">
            <v>-1829.1930000000029</v>
          </cell>
          <cell r="W15">
            <v>-2330.8339999999989</v>
          </cell>
          <cell r="X15">
            <v>20834.304</v>
          </cell>
          <cell r="Y15">
            <v>-1209.9099999999999</v>
          </cell>
          <cell r="Z15">
            <v>747.18099999999322</v>
          </cell>
          <cell r="AA15">
            <v>-1622.3489999999983</v>
          </cell>
          <cell r="AB15">
            <v>-1619.9767230000034</v>
          </cell>
          <cell r="AC15">
            <v>-1907.7360369999988</v>
          </cell>
          <cell r="AD15">
            <v>-1626.4120390000026</v>
          </cell>
          <cell r="AE15">
            <v>-644.09839700000157</v>
          </cell>
          <cell r="AF15">
            <v>-1506.5162139999993</v>
          </cell>
          <cell r="AG15">
            <v>-3007.2736438739776</v>
          </cell>
          <cell r="AH15">
            <v>-4041</v>
          </cell>
          <cell r="AI15">
            <v>-4391</v>
          </cell>
          <cell r="AJ15">
            <v>-6241</v>
          </cell>
          <cell r="AK15">
            <v>-7042</v>
          </cell>
          <cell r="AL15">
            <v>-7417</v>
          </cell>
          <cell r="AM15">
            <v>-8517</v>
          </cell>
        </row>
        <row r="17">
          <cell r="B17">
            <v>246</v>
          </cell>
          <cell r="C17">
            <v>198</v>
          </cell>
          <cell r="D17">
            <v>385</v>
          </cell>
          <cell r="E17">
            <v>227</v>
          </cell>
          <cell r="F17">
            <v>92</v>
          </cell>
          <cell r="G17">
            <v>310</v>
          </cell>
          <cell r="H17">
            <v>448</v>
          </cell>
          <cell r="I17">
            <v>485</v>
          </cell>
          <cell r="J17">
            <v>633</v>
          </cell>
          <cell r="K17">
            <v>334</v>
          </cell>
          <cell r="L17">
            <v>278</v>
          </cell>
          <cell r="M17">
            <v>1691</v>
          </cell>
          <cell r="N17">
            <v>1600</v>
          </cell>
          <cell r="O17">
            <v>1441</v>
          </cell>
          <cell r="P17">
            <v>959</v>
          </cell>
          <cell r="Q17">
            <v>1843</v>
          </cell>
          <cell r="R17">
            <v>1809</v>
          </cell>
          <cell r="S17">
            <v>2871</v>
          </cell>
          <cell r="T17">
            <v>3184</v>
          </cell>
          <cell r="U17">
            <v>2328</v>
          </cell>
          <cell r="V17">
            <v>1968</v>
          </cell>
          <cell r="W17">
            <v>1984</v>
          </cell>
          <cell r="X17">
            <v>1612</v>
          </cell>
          <cell r="Y17">
            <v>869</v>
          </cell>
          <cell r="Z17">
            <v>1899</v>
          </cell>
          <cell r="AA17">
            <v>1860</v>
          </cell>
          <cell r="AB17">
            <v>1187</v>
          </cell>
          <cell r="AC17">
            <v>668</v>
          </cell>
          <cell r="AD17">
            <v>627</v>
          </cell>
          <cell r="AE17">
            <v>1686</v>
          </cell>
          <cell r="AF17">
            <v>1493</v>
          </cell>
          <cell r="AG17">
            <v>1250</v>
          </cell>
          <cell r="AH17">
            <v>1300</v>
          </cell>
          <cell r="AI17">
            <v>1300</v>
          </cell>
          <cell r="AJ17">
            <v>1250</v>
          </cell>
          <cell r="AK17">
            <v>1200</v>
          </cell>
          <cell r="AL17">
            <v>1225</v>
          </cell>
          <cell r="AM17">
            <v>1250</v>
          </cell>
        </row>
        <row r="22">
          <cell r="B22">
            <v>58</v>
          </cell>
          <cell r="C22">
            <v>78</v>
          </cell>
          <cell r="D22">
            <v>97</v>
          </cell>
          <cell r="E22">
            <v>223</v>
          </cell>
          <cell r="F22">
            <v>179</v>
          </cell>
          <cell r="G22">
            <v>155</v>
          </cell>
          <cell r="H22">
            <v>159</v>
          </cell>
          <cell r="I22">
            <v>217</v>
          </cell>
          <cell r="J22">
            <v>152</v>
          </cell>
          <cell r="K22">
            <v>163</v>
          </cell>
          <cell r="L22">
            <v>137</v>
          </cell>
          <cell r="M22">
            <v>108</v>
          </cell>
          <cell r="N22">
            <v>96</v>
          </cell>
          <cell r="O22">
            <v>95</v>
          </cell>
          <cell r="P22">
            <v>87</v>
          </cell>
          <cell r="Q22">
            <v>95</v>
          </cell>
          <cell r="R22">
            <v>95</v>
          </cell>
          <cell r="S22">
            <v>75</v>
          </cell>
          <cell r="T22">
            <v>170</v>
          </cell>
          <cell r="U22">
            <v>271</v>
          </cell>
          <cell r="V22">
            <v>182</v>
          </cell>
          <cell r="W22">
            <v>229</v>
          </cell>
          <cell r="X22">
            <v>518</v>
          </cell>
          <cell r="Y22">
            <v>508</v>
          </cell>
          <cell r="Z22">
            <v>470</v>
          </cell>
          <cell r="AA22">
            <v>488</v>
          </cell>
          <cell r="AB22">
            <v>581</v>
          </cell>
          <cell r="AC22">
            <v>460</v>
          </cell>
          <cell r="AD22">
            <v>387</v>
          </cell>
          <cell r="AE22">
            <v>386</v>
          </cell>
          <cell r="AF22">
            <v>431</v>
          </cell>
        </row>
        <row r="23">
          <cell r="B23">
            <v>4549.7357902293534</v>
          </cell>
          <cell r="C23">
            <v>5046.18325113421</v>
          </cell>
          <cell r="D23">
            <v>5334.6152393400716</v>
          </cell>
          <cell r="E23">
            <v>5233.2534340801485</v>
          </cell>
          <cell r="F23">
            <v>5943.9413089947529</v>
          </cell>
          <cell r="G23">
            <v>6029.4955742512348</v>
          </cell>
          <cell r="H23">
            <v>6338</v>
          </cell>
          <cell r="I23">
            <v>5996</v>
          </cell>
          <cell r="J23">
            <v>5915</v>
          </cell>
          <cell r="K23">
            <v>5994</v>
          </cell>
          <cell r="L23">
            <v>5974</v>
          </cell>
          <cell r="M23">
            <v>7381</v>
          </cell>
          <cell r="N23">
            <v>8373</v>
          </cell>
          <cell r="O23">
            <v>8960</v>
          </cell>
          <cell r="P23">
            <v>10402</v>
          </cell>
          <cell r="Q23">
            <v>11628</v>
          </cell>
          <cell r="R23">
            <v>12853</v>
          </cell>
          <cell r="S23">
            <v>12113</v>
          </cell>
          <cell r="T23">
            <v>12341</v>
          </cell>
          <cell r="U23">
            <v>12968</v>
          </cell>
          <cell r="V23">
            <v>13651</v>
          </cell>
          <cell r="W23">
            <v>14450</v>
          </cell>
          <cell r="X23">
            <v>13851</v>
          </cell>
          <cell r="Y23">
            <v>13737</v>
          </cell>
          <cell r="Z23">
            <v>12582</v>
          </cell>
          <cell r="AA23">
            <v>12227</v>
          </cell>
          <cell r="AB23">
            <v>12027</v>
          </cell>
          <cell r="AC23">
            <v>12711</v>
          </cell>
          <cell r="AD23">
            <v>13263.321161116757</v>
          </cell>
          <cell r="AE23">
            <v>14397.271366409463</v>
          </cell>
          <cell r="AF23">
            <v>14674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405.4020000000001</v>
          </cell>
          <cell r="F24">
            <v>274.56799999999998</v>
          </cell>
          <cell r="G24">
            <v>134.86299999999997</v>
          </cell>
          <cell r="H24">
            <v>437.56299999999993</v>
          </cell>
          <cell r="I24">
            <v>96.75800000000001</v>
          </cell>
          <cell r="J24">
            <v>93.793999999999983</v>
          </cell>
          <cell r="K24">
            <v>57.042000000000002</v>
          </cell>
          <cell r="L24">
            <v>121.44999999999999</v>
          </cell>
          <cell r="M24">
            <v>87.257000000000005</v>
          </cell>
          <cell r="N24">
            <v>91.710000000000008</v>
          </cell>
          <cell r="O24">
            <v>101.988</v>
          </cell>
          <cell r="P24">
            <v>133.35399999999998</v>
          </cell>
          <cell r="Q24">
            <v>168.697</v>
          </cell>
          <cell r="R24">
            <v>132.83500000000001</v>
          </cell>
          <cell r="S24">
            <v>217.95599999999999</v>
          </cell>
          <cell r="T24">
            <v>232.72200000000001</v>
          </cell>
          <cell r="U24">
            <v>478.39800000000002</v>
          </cell>
          <cell r="V24">
            <v>496.08499999999992</v>
          </cell>
          <cell r="W24">
            <v>448.82299999999998</v>
          </cell>
          <cell r="X24">
            <v>326.87299999999999</v>
          </cell>
          <cell r="Y24">
            <v>199.571</v>
          </cell>
          <cell r="Z24">
            <v>334.23</v>
          </cell>
          <cell r="AA24">
            <v>518.6937630000001</v>
          </cell>
          <cell r="AB24">
            <v>448.13444400000003</v>
          </cell>
          <cell r="AC24">
            <v>559.88421199999993</v>
          </cell>
          <cell r="AD24">
            <v>495.80696500000005</v>
          </cell>
          <cell r="AE24">
            <v>850</v>
          </cell>
          <cell r="AF24">
            <v>500</v>
          </cell>
        </row>
        <row r="25">
          <cell r="B25">
            <v>4607.7357902293534</v>
          </cell>
          <cell r="C25">
            <v>5124.18325113421</v>
          </cell>
          <cell r="D25">
            <v>5431.6152393400716</v>
          </cell>
          <cell r="E25">
            <v>5861.6554340801486</v>
          </cell>
          <cell r="F25">
            <v>6397.5093089947532</v>
          </cell>
          <cell r="G25">
            <v>6319.358574251235</v>
          </cell>
          <cell r="H25">
            <v>6934.5630000000001</v>
          </cell>
          <cell r="I25">
            <v>6309.7579999999998</v>
          </cell>
          <cell r="J25">
            <v>6160.7939999999999</v>
          </cell>
          <cell r="K25">
            <v>6214.0420000000004</v>
          </cell>
          <cell r="L25">
            <v>6232.45</v>
          </cell>
          <cell r="M25">
            <v>7576.2569999999996</v>
          </cell>
          <cell r="N25">
            <v>8560.7099999999991</v>
          </cell>
          <cell r="O25">
            <v>9156.9879999999994</v>
          </cell>
          <cell r="P25">
            <v>10622.353999999999</v>
          </cell>
          <cell r="Q25">
            <v>11891.697</v>
          </cell>
          <cell r="R25">
            <v>13080.834999999999</v>
          </cell>
          <cell r="S25">
            <v>12405.956</v>
          </cell>
          <cell r="T25">
            <v>12743.722</v>
          </cell>
          <cell r="U25">
            <v>13717.397999999999</v>
          </cell>
          <cell r="V25">
            <v>14329.084999999999</v>
          </cell>
          <cell r="W25">
            <v>15127.823</v>
          </cell>
          <cell r="X25">
            <v>14695.873</v>
          </cell>
          <cell r="Y25">
            <v>14444.571</v>
          </cell>
          <cell r="Z25">
            <v>13386.23</v>
          </cell>
          <cell r="AA25">
            <v>13233.693762999999</v>
          </cell>
          <cell r="AB25">
            <v>13056.134443999999</v>
          </cell>
          <cell r="AC25">
            <v>13730.884212000001</v>
          </cell>
          <cell r="AD25">
            <v>14146.128126116757</v>
          </cell>
          <cell r="AE25">
            <v>15633.271366409463</v>
          </cell>
          <cell r="AF25">
            <v>15605</v>
          </cell>
        </row>
        <row r="26">
          <cell r="B26">
            <v>4529.7357902293534</v>
          </cell>
          <cell r="C26">
            <v>5027.18325113421</v>
          </cell>
          <cell r="D26">
            <v>5208.6152393400716</v>
          </cell>
          <cell r="E26">
            <v>5671.1584340801483</v>
          </cell>
          <cell r="F26">
            <v>6232.2953089947532</v>
          </cell>
          <cell r="G26">
            <v>6144.3675742512351</v>
          </cell>
          <cell r="H26">
            <v>6703.3630000000003</v>
          </cell>
          <cell r="I26">
            <v>6131.5259999999998</v>
          </cell>
          <cell r="J26">
            <v>5956.6530000000002</v>
          </cell>
          <cell r="K26">
            <v>6029.826</v>
          </cell>
          <cell r="L26">
            <v>6063.0419999999995</v>
          </cell>
          <cell r="M26">
            <v>7421.0709999999999</v>
          </cell>
          <cell r="N26">
            <v>8418.1749999999993</v>
          </cell>
          <cell r="O26">
            <v>8990.2119999999995</v>
          </cell>
          <cell r="P26">
            <v>10328.314999999999</v>
          </cell>
          <cell r="Q26">
            <v>11637.073</v>
          </cell>
          <cell r="R26">
            <v>12771.334999999999</v>
          </cell>
          <cell r="S26">
            <v>11975.05</v>
          </cell>
          <cell r="T26">
            <v>12208.244999999999</v>
          </cell>
          <cell r="U26">
            <v>13242.043</v>
          </cell>
          <cell r="V26">
            <v>13717.449999999999</v>
          </cell>
          <cell r="W26">
            <v>14178.018</v>
          </cell>
          <cell r="X26">
            <v>13678.735999999999</v>
          </cell>
          <cell r="Y26">
            <v>13535.625</v>
          </cell>
          <cell r="Z26">
            <v>12445.582</v>
          </cell>
          <cell r="AA26">
            <v>12178.248152</v>
          </cell>
          <cell r="AB26">
            <v>11891.981609999999</v>
          </cell>
          <cell r="AC26">
            <v>12660.795487000001</v>
          </cell>
          <cell r="AD26">
            <v>13056.665938116757</v>
          </cell>
          <cell r="AE26">
            <v>14361.087215409463</v>
          </cell>
          <cell r="AF26">
            <v>14357.696964000001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11.496999999999998</v>
          </cell>
          <cell r="F27">
            <v>10.213999999999999</v>
          </cell>
          <cell r="G27">
            <v>15.991000000000001</v>
          </cell>
          <cell r="H27">
            <v>14.2</v>
          </cell>
          <cell r="I27">
            <v>26.232000000000003</v>
          </cell>
          <cell r="J27">
            <v>41.141000000000005</v>
          </cell>
          <cell r="K27">
            <v>47.216000000000001</v>
          </cell>
          <cell r="L27">
            <v>61.408000000000001</v>
          </cell>
          <cell r="M27">
            <v>59.186000000000007</v>
          </cell>
          <cell r="N27">
            <v>47.534999999999997</v>
          </cell>
          <cell r="O27">
            <v>79.775999999999996</v>
          </cell>
          <cell r="P27">
            <v>199.03899999999999</v>
          </cell>
          <cell r="Q27">
            <v>159.624</v>
          </cell>
          <cell r="R27">
            <v>234.5</v>
          </cell>
          <cell r="S27">
            <v>260.90600000000001</v>
          </cell>
          <cell r="T27">
            <v>264.47700000000003</v>
          </cell>
          <cell r="U27">
            <v>293.35500000000002</v>
          </cell>
          <cell r="V27">
            <v>382.63499999999999</v>
          </cell>
          <cell r="W27">
            <v>431.80500000000006</v>
          </cell>
          <cell r="X27">
            <v>509.137</v>
          </cell>
          <cell r="Y27">
            <v>438.94600000000003</v>
          </cell>
          <cell r="Z27">
            <v>452.64800000000002</v>
          </cell>
          <cell r="AA27">
            <v>474.44561100000004</v>
          </cell>
          <cell r="AB27">
            <v>704.15283399999987</v>
          </cell>
          <cell r="AC27">
            <v>683.08872499999995</v>
          </cell>
          <cell r="AD27">
            <v>703.46218799999986</v>
          </cell>
          <cell r="AE27">
            <v>841.18415100000016</v>
          </cell>
          <cell r="AF27">
            <v>854.30303600000002</v>
          </cell>
        </row>
        <row r="28">
          <cell r="B28">
            <v>4529.7357902293534</v>
          </cell>
          <cell r="C28">
            <v>5027.18325113421</v>
          </cell>
          <cell r="D28">
            <v>5208.6152393400716</v>
          </cell>
          <cell r="E28">
            <v>5682.6554340801486</v>
          </cell>
          <cell r="F28">
            <v>6242.5093089947532</v>
          </cell>
          <cell r="G28">
            <v>6160.358574251235</v>
          </cell>
          <cell r="H28">
            <v>6717.5630000000001</v>
          </cell>
          <cell r="I28">
            <v>6157.7579999999998</v>
          </cell>
          <cell r="J28">
            <v>5997.7939999999999</v>
          </cell>
          <cell r="K28">
            <v>6077.0420000000004</v>
          </cell>
          <cell r="L28">
            <v>6124.45</v>
          </cell>
          <cell r="M28">
            <v>7480.2569999999996</v>
          </cell>
          <cell r="N28">
            <v>8465.7099999999991</v>
          </cell>
          <cell r="O28">
            <v>9069.9879999999994</v>
          </cell>
          <cell r="P28">
            <v>10527.353999999999</v>
          </cell>
          <cell r="Q28">
            <v>11796.697</v>
          </cell>
          <cell r="R28">
            <v>13005.834999999999</v>
          </cell>
          <cell r="S28">
            <v>12235.956</v>
          </cell>
          <cell r="T28">
            <v>12472.722</v>
          </cell>
          <cell r="U28">
            <v>13535.397999999999</v>
          </cell>
          <cell r="V28">
            <v>14100.084999999999</v>
          </cell>
          <cell r="W28">
            <v>14609.823</v>
          </cell>
          <cell r="X28">
            <v>14187.873</v>
          </cell>
          <cell r="Y28">
            <v>13974.571</v>
          </cell>
          <cell r="Z28">
            <v>12898.23</v>
          </cell>
          <cell r="AA28">
            <v>12652.693762999999</v>
          </cell>
          <cell r="AB28">
            <v>12596.134443999999</v>
          </cell>
          <cell r="AC28">
            <v>13343.884212000001</v>
          </cell>
          <cell r="AD28">
            <v>13760.128126116757</v>
          </cell>
          <cell r="AE28">
            <v>15202.271366409463</v>
          </cell>
          <cell r="AF28">
            <v>15212</v>
          </cell>
        </row>
        <row r="29">
          <cell r="B29">
            <v>78</v>
          </cell>
          <cell r="C29">
            <v>97</v>
          </cell>
          <cell r="D29">
            <v>223</v>
          </cell>
          <cell r="E29">
            <v>179</v>
          </cell>
          <cell r="F29">
            <v>155</v>
          </cell>
          <cell r="G29">
            <v>159</v>
          </cell>
          <cell r="H29">
            <v>217</v>
          </cell>
          <cell r="I29">
            <v>152</v>
          </cell>
          <cell r="J29">
            <v>163</v>
          </cell>
          <cell r="K29">
            <v>137</v>
          </cell>
          <cell r="L29">
            <v>108</v>
          </cell>
          <cell r="M29">
            <v>96</v>
          </cell>
          <cell r="N29">
            <v>95</v>
          </cell>
          <cell r="O29">
            <v>87</v>
          </cell>
          <cell r="P29">
            <v>95</v>
          </cell>
          <cell r="Q29">
            <v>95</v>
          </cell>
          <cell r="R29">
            <v>75</v>
          </cell>
          <cell r="S29">
            <v>170</v>
          </cell>
          <cell r="T29">
            <v>271</v>
          </cell>
          <cell r="U29">
            <v>182</v>
          </cell>
          <cell r="V29">
            <v>229</v>
          </cell>
          <cell r="W29">
            <v>518</v>
          </cell>
          <cell r="X29">
            <v>508</v>
          </cell>
          <cell r="Y29">
            <v>470</v>
          </cell>
          <cell r="Z29">
            <v>488</v>
          </cell>
          <cell r="AA29">
            <v>581</v>
          </cell>
          <cell r="AB29">
            <v>460</v>
          </cell>
          <cell r="AC29">
            <v>387</v>
          </cell>
          <cell r="AD29">
            <v>386</v>
          </cell>
          <cell r="AE29">
            <v>431</v>
          </cell>
          <cell r="AF29">
            <v>393</v>
          </cell>
        </row>
        <row r="32">
          <cell r="B32">
            <v>201</v>
          </cell>
          <cell r="C32">
            <v>196</v>
          </cell>
          <cell r="D32">
            <v>185</v>
          </cell>
          <cell r="E32">
            <v>279</v>
          </cell>
          <cell r="F32">
            <v>204</v>
          </cell>
          <cell r="G32">
            <v>233</v>
          </cell>
          <cell r="H32">
            <v>207</v>
          </cell>
          <cell r="I32">
            <v>257</v>
          </cell>
          <cell r="J32">
            <v>348</v>
          </cell>
          <cell r="K32">
            <v>320</v>
          </cell>
          <cell r="L32">
            <v>317</v>
          </cell>
          <cell r="M32">
            <v>156</v>
          </cell>
          <cell r="N32">
            <v>214</v>
          </cell>
          <cell r="O32">
            <v>208</v>
          </cell>
          <cell r="P32">
            <v>201</v>
          </cell>
          <cell r="Q32">
            <v>305</v>
          </cell>
          <cell r="R32">
            <v>280</v>
          </cell>
          <cell r="S32">
            <v>318</v>
          </cell>
          <cell r="T32">
            <v>194</v>
          </cell>
          <cell r="U32">
            <v>281</v>
          </cell>
          <cell r="V32">
            <v>220</v>
          </cell>
          <cell r="W32">
            <v>408</v>
          </cell>
          <cell r="X32">
            <v>194</v>
          </cell>
          <cell r="Y32">
            <v>281</v>
          </cell>
          <cell r="Z32">
            <v>220</v>
          </cell>
          <cell r="AA32">
            <v>408</v>
          </cell>
          <cell r="AB32">
            <v>663</v>
          </cell>
          <cell r="AC32">
            <v>525</v>
          </cell>
          <cell r="AD32">
            <v>212</v>
          </cell>
          <cell r="AE32">
            <v>86</v>
          </cell>
          <cell r="AF32">
            <v>318</v>
          </cell>
          <cell r="AG32">
            <v>378</v>
          </cell>
          <cell r="AH32">
            <v>211</v>
          </cell>
          <cell r="AI32">
            <v>325</v>
          </cell>
          <cell r="AJ32">
            <v>291</v>
          </cell>
          <cell r="AK32">
            <v>305</v>
          </cell>
          <cell r="AL32">
            <v>500</v>
          </cell>
          <cell r="AM32">
            <v>500</v>
          </cell>
          <cell r="AN32">
            <v>500</v>
          </cell>
        </row>
        <row r="33">
          <cell r="B33">
            <v>4549.7357902293534</v>
          </cell>
          <cell r="C33">
            <v>5046.18325113421</v>
          </cell>
          <cell r="D33">
            <v>5334.6152393400716</v>
          </cell>
          <cell r="E33">
            <v>5233.2534340801485</v>
          </cell>
          <cell r="F33">
            <v>5943.9413089947529</v>
          </cell>
          <cell r="G33">
            <v>6029.4955742512348</v>
          </cell>
          <cell r="H33">
            <v>6338</v>
          </cell>
          <cell r="I33">
            <v>5996</v>
          </cell>
          <cell r="J33">
            <v>5915</v>
          </cell>
          <cell r="K33">
            <v>5994</v>
          </cell>
          <cell r="L33">
            <v>5974</v>
          </cell>
          <cell r="M33">
            <v>7381</v>
          </cell>
          <cell r="N33">
            <v>8373</v>
          </cell>
          <cell r="O33">
            <v>8960</v>
          </cell>
          <cell r="P33">
            <v>10402</v>
          </cell>
          <cell r="Q33">
            <v>11628</v>
          </cell>
          <cell r="R33">
            <v>12853</v>
          </cell>
          <cell r="S33">
            <v>12113</v>
          </cell>
          <cell r="T33">
            <v>12341</v>
          </cell>
          <cell r="U33">
            <v>12968</v>
          </cell>
          <cell r="V33">
            <v>13651</v>
          </cell>
          <cell r="W33">
            <v>14450</v>
          </cell>
          <cell r="X33">
            <v>13851</v>
          </cell>
          <cell r="Y33">
            <v>13737</v>
          </cell>
          <cell r="Z33">
            <v>12582</v>
          </cell>
          <cell r="AA33">
            <v>12227</v>
          </cell>
          <cell r="AB33">
            <v>12027</v>
          </cell>
          <cell r="AC33">
            <v>13981.208247181516</v>
          </cell>
          <cell r="AD33">
            <v>13263.321161116757</v>
          </cell>
          <cell r="AE33">
            <v>14397.271366409463</v>
          </cell>
          <cell r="AF33">
            <v>14674</v>
          </cell>
          <cell r="AG33">
            <v>14954.880000000001</v>
          </cell>
          <cell r="AH33">
            <v>15400.000000000004</v>
          </cell>
          <cell r="AI33">
            <v>15960</v>
          </cell>
          <cell r="AJ33">
            <v>16520</v>
          </cell>
          <cell r="AK33">
            <v>17079.999999999996</v>
          </cell>
          <cell r="AL33">
            <v>17640</v>
          </cell>
          <cell r="AM33">
            <v>18200.000000000004</v>
          </cell>
          <cell r="AN33">
            <v>18760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5.28</v>
          </cell>
          <cell r="F34">
            <v>4.5939999999999985</v>
          </cell>
          <cell r="G34">
            <v>1.7370000000000001</v>
          </cell>
          <cell r="H34">
            <v>3.8010000000000002</v>
          </cell>
          <cell r="I34">
            <v>2.7790000000000004</v>
          </cell>
          <cell r="J34">
            <v>8.7087989999999991</v>
          </cell>
          <cell r="K34">
            <v>16.673000000000002</v>
          </cell>
          <cell r="L34">
            <v>39.305</v>
          </cell>
          <cell r="M34">
            <v>57.321999999999996</v>
          </cell>
          <cell r="N34">
            <v>626.40200000000004</v>
          </cell>
          <cell r="O34">
            <v>852.38299999999992</v>
          </cell>
          <cell r="P34">
            <v>455.13200000000006</v>
          </cell>
          <cell r="Q34">
            <v>537.48300000000006</v>
          </cell>
          <cell r="R34">
            <v>459.35100000000006</v>
          </cell>
          <cell r="S34">
            <v>584.84899999999993</v>
          </cell>
          <cell r="T34">
            <v>528.16899999999998</v>
          </cell>
          <cell r="U34">
            <v>282.58100000000007</v>
          </cell>
          <cell r="V34">
            <v>375.15799999999996</v>
          </cell>
          <cell r="W34">
            <v>320.04699999999997</v>
          </cell>
          <cell r="X34">
            <v>294.15600000000001</v>
          </cell>
          <cell r="Y34">
            <v>217.97900000000001</v>
          </cell>
          <cell r="Z34">
            <v>338.29899999999998</v>
          </cell>
          <cell r="AA34">
            <v>396.63399999999996</v>
          </cell>
          <cell r="AB34">
            <v>422.83999999999992</v>
          </cell>
          <cell r="AC34">
            <v>322.52399999999994</v>
          </cell>
          <cell r="AD34">
            <v>507.05100000000004</v>
          </cell>
          <cell r="AE34">
            <v>368.762</v>
          </cell>
          <cell r="AF34">
            <v>350</v>
          </cell>
          <cell r="AG34">
            <v>200</v>
          </cell>
          <cell r="AH34">
            <v>350</v>
          </cell>
          <cell r="AI34">
            <v>350</v>
          </cell>
          <cell r="AJ34">
            <v>350</v>
          </cell>
          <cell r="AK34">
            <v>350</v>
          </cell>
          <cell r="AL34">
            <v>350</v>
          </cell>
          <cell r="AM34">
            <v>350</v>
          </cell>
          <cell r="AN34">
            <v>350</v>
          </cell>
        </row>
        <row r="35">
          <cell r="B35">
            <v>4750.7357902293534</v>
          </cell>
          <cell r="C35">
            <v>5242.18325113421</v>
          </cell>
          <cell r="D35">
            <v>5519.6152393400716</v>
          </cell>
          <cell r="E35">
            <v>5517.5334340801483</v>
          </cell>
          <cell r="F35">
            <v>6152.535308994753</v>
          </cell>
          <cell r="G35">
            <v>6264.2325742512348</v>
          </cell>
          <cell r="H35">
            <v>6548.8010000000004</v>
          </cell>
          <cell r="I35">
            <v>6255.7790000000005</v>
          </cell>
          <cell r="J35">
            <v>6271.708799</v>
          </cell>
          <cell r="K35">
            <v>6330.6729999999998</v>
          </cell>
          <cell r="L35">
            <v>6330.3050000000003</v>
          </cell>
          <cell r="M35">
            <v>7594.3220000000001</v>
          </cell>
          <cell r="N35">
            <v>9213.402</v>
          </cell>
          <cell r="O35">
            <v>10020.383</v>
          </cell>
          <cell r="P35">
            <v>11058.132</v>
          </cell>
          <cell r="Q35">
            <v>12470.483</v>
          </cell>
          <cell r="R35">
            <v>13592.351000000001</v>
          </cell>
          <cell r="S35">
            <v>13015.849</v>
          </cell>
          <cell r="T35">
            <v>13063.169</v>
          </cell>
          <cell r="U35">
            <v>13531.581</v>
          </cell>
          <cell r="V35">
            <v>14246.157999999999</v>
          </cell>
          <cell r="W35">
            <v>15178.047</v>
          </cell>
          <cell r="X35">
            <v>14339.156000000001</v>
          </cell>
          <cell r="Y35">
            <v>14235.978999999999</v>
          </cell>
          <cell r="Z35">
            <v>13140.298999999999</v>
          </cell>
          <cell r="AA35">
            <v>13031.634</v>
          </cell>
          <cell r="AB35">
            <v>13112.84</v>
          </cell>
          <cell r="AC35">
            <v>14828.732247181515</v>
          </cell>
          <cell r="AD35">
            <v>13982.372161116757</v>
          </cell>
          <cell r="AE35">
            <v>14852.033366409463</v>
          </cell>
          <cell r="AF35">
            <v>15342</v>
          </cell>
          <cell r="AG35">
            <v>15532.880000000001</v>
          </cell>
          <cell r="AH35">
            <v>15961.000000000004</v>
          </cell>
          <cell r="AI35">
            <v>16635</v>
          </cell>
          <cell r="AJ35">
            <v>17161</v>
          </cell>
          <cell r="AK35">
            <v>17734.999999999996</v>
          </cell>
          <cell r="AL35">
            <v>18490</v>
          </cell>
          <cell r="AM35">
            <v>19050.000000000004</v>
          </cell>
          <cell r="AN35">
            <v>19610</v>
          </cell>
        </row>
        <row r="36">
          <cell r="B36">
            <v>4554.7357902293534</v>
          </cell>
          <cell r="C36">
            <v>5057.18325113421</v>
          </cell>
          <cell r="D36">
            <v>5240.6152393400716</v>
          </cell>
          <cell r="E36">
            <v>4861.8594340801483</v>
          </cell>
          <cell r="F36">
            <v>5243.3053089947534</v>
          </cell>
          <cell r="G36">
            <v>5375.9065742512348</v>
          </cell>
          <cell r="H36">
            <v>5730.6240000000007</v>
          </cell>
          <cell r="I36">
            <v>5733.7350000000006</v>
          </cell>
          <cell r="J36">
            <v>5692.1147989999999</v>
          </cell>
          <cell r="K36">
            <v>5791.3589999999995</v>
          </cell>
          <cell r="L36">
            <v>5953.9970000000003</v>
          </cell>
          <cell r="M36">
            <v>7140.9090000000006</v>
          </cell>
          <cell r="N36">
            <v>8826.9719999999998</v>
          </cell>
          <cell r="O36">
            <v>9675.1309999999994</v>
          </cell>
          <cell r="P36">
            <v>10547.530999999999</v>
          </cell>
          <cell r="Q36">
            <v>11895.761</v>
          </cell>
          <cell r="R36">
            <v>13034.454</v>
          </cell>
          <cell r="S36">
            <v>12560.687</v>
          </cell>
          <cell r="T36">
            <v>12418.749</v>
          </cell>
          <cell r="U36">
            <v>12711.102000000001</v>
          </cell>
          <cell r="V36">
            <v>13463.520999999999</v>
          </cell>
          <cell r="W36">
            <v>14624.470000000001</v>
          </cell>
          <cell r="X36">
            <v>13656.541000000001</v>
          </cell>
          <cell r="Y36">
            <v>13677.203</v>
          </cell>
          <cell r="Z36">
            <v>12458.125999999998</v>
          </cell>
          <cell r="AA36">
            <v>12149.753000000001</v>
          </cell>
          <cell r="AB36">
            <v>12239.885</v>
          </cell>
          <cell r="AC36">
            <v>13990.559247181514</v>
          </cell>
          <cell r="AD36">
            <v>13549.904161116756</v>
          </cell>
          <cell r="AE36">
            <v>13836.885366409464</v>
          </cell>
          <cell r="AF36">
            <v>14231.025</v>
          </cell>
          <cell r="AG36">
            <v>14671.880000000001</v>
          </cell>
          <cell r="AH36">
            <v>14986.000000000004</v>
          </cell>
          <cell r="AI36">
            <v>15694</v>
          </cell>
          <cell r="AJ36">
            <v>16206</v>
          </cell>
          <cell r="AK36">
            <v>16584.999999999996</v>
          </cell>
          <cell r="AL36">
            <v>17340</v>
          </cell>
          <cell r="AM36">
            <v>17900.000000000004</v>
          </cell>
          <cell r="AN36">
            <v>18460</v>
          </cell>
        </row>
        <row r="37">
          <cell r="H37">
            <v>883</v>
          </cell>
          <cell r="I37">
            <v>1024</v>
          </cell>
          <cell r="J37">
            <v>1084</v>
          </cell>
          <cell r="K37">
            <v>1247</v>
          </cell>
          <cell r="L37">
            <v>1783</v>
          </cell>
          <cell r="M37">
            <v>2588</v>
          </cell>
          <cell r="N37">
            <v>3709</v>
          </cell>
          <cell r="O37">
            <v>4768</v>
          </cell>
          <cell r="P37">
            <v>5000</v>
          </cell>
          <cell r="Q37">
            <v>6250</v>
          </cell>
          <cell r="R37">
            <v>7100</v>
          </cell>
          <cell r="S37">
            <v>6900</v>
          </cell>
          <cell r="T37">
            <v>6500</v>
          </cell>
          <cell r="U37">
            <v>6575</v>
          </cell>
          <cell r="V37">
            <v>6865</v>
          </cell>
          <cell r="W37">
            <v>7095</v>
          </cell>
          <cell r="X37">
            <v>7200</v>
          </cell>
          <cell r="Y37">
            <v>7100</v>
          </cell>
          <cell r="Z37">
            <v>7090</v>
          </cell>
          <cell r="AA37">
            <v>6700</v>
          </cell>
          <cell r="AB37">
            <v>6600</v>
          </cell>
          <cell r="AC37">
            <v>6675</v>
          </cell>
          <cell r="AD37">
            <v>6600</v>
          </cell>
          <cell r="AE37">
            <v>6975</v>
          </cell>
          <cell r="AF37">
            <v>7050</v>
          </cell>
          <cell r="AG37">
            <v>6700</v>
          </cell>
          <cell r="AH37">
            <v>6500</v>
          </cell>
          <cell r="AI37">
            <v>7000</v>
          </cell>
          <cell r="AJ37">
            <v>7000</v>
          </cell>
          <cell r="AK37">
            <v>7000</v>
          </cell>
          <cell r="AL37">
            <v>7000</v>
          </cell>
          <cell r="AM37">
            <v>7000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451.67399999999998</v>
          </cell>
          <cell r="F40">
            <v>676.23</v>
          </cell>
          <cell r="G40">
            <v>681.32599999999991</v>
          </cell>
          <cell r="H40">
            <v>561.17700000000002</v>
          </cell>
          <cell r="I40">
            <v>174.04399999999998</v>
          </cell>
          <cell r="J40">
            <v>259.59399999999999</v>
          </cell>
          <cell r="K40">
            <v>222.31400000000002</v>
          </cell>
          <cell r="L40">
            <v>220.30799999999999</v>
          </cell>
          <cell r="M40">
            <v>239.41299999999998</v>
          </cell>
          <cell r="N40">
            <v>178.43</v>
          </cell>
          <cell r="O40">
            <v>144.25199999999998</v>
          </cell>
          <cell r="P40">
            <v>205.60099999999997</v>
          </cell>
          <cell r="Q40">
            <v>294.72199999999998</v>
          </cell>
          <cell r="R40">
            <v>239.89700000000005</v>
          </cell>
          <cell r="S40">
            <v>261.16199999999998</v>
          </cell>
          <cell r="T40">
            <v>363.4199999999999</v>
          </cell>
          <cell r="U40">
            <v>600.47900000000004</v>
          </cell>
          <cell r="V40">
            <v>374.63699999999994</v>
          </cell>
          <cell r="W40">
            <v>359.577</v>
          </cell>
          <cell r="X40">
            <v>401.61500000000007</v>
          </cell>
          <cell r="Y40">
            <v>338.77600000000001</v>
          </cell>
          <cell r="Z40">
            <v>274.173</v>
          </cell>
          <cell r="AA40">
            <v>218.881</v>
          </cell>
          <cell r="AB40">
            <v>347.95500000000004</v>
          </cell>
          <cell r="AC40">
            <v>626.17300000000012</v>
          </cell>
          <cell r="AD40">
            <v>346.46800000000002</v>
          </cell>
          <cell r="AE40">
            <v>697.14800000000002</v>
          </cell>
          <cell r="AF40">
            <v>732.97500000000014</v>
          </cell>
          <cell r="AG40">
            <v>650</v>
          </cell>
          <cell r="AH40">
            <v>650</v>
          </cell>
          <cell r="AI40">
            <v>650</v>
          </cell>
          <cell r="AJ40">
            <v>650</v>
          </cell>
          <cell r="AK40">
            <v>650</v>
          </cell>
          <cell r="AL40">
            <v>650</v>
          </cell>
          <cell r="AM40">
            <v>650</v>
          </cell>
        </row>
        <row r="41">
          <cell r="B41">
            <v>4554.7357902293534</v>
          </cell>
          <cell r="C41">
            <v>5057.18325113421</v>
          </cell>
          <cell r="D41">
            <v>5240.6152393400716</v>
          </cell>
          <cell r="E41">
            <v>5313.5334340801483</v>
          </cell>
          <cell r="F41">
            <v>5919.535308994753</v>
          </cell>
          <cell r="G41">
            <v>6057.2325742512348</v>
          </cell>
          <cell r="H41">
            <v>6291.8010000000004</v>
          </cell>
          <cell r="I41">
            <v>5907.7790000000005</v>
          </cell>
          <cell r="J41">
            <v>5951.708799</v>
          </cell>
          <cell r="K41">
            <v>6013.6729999999998</v>
          </cell>
          <cell r="L41">
            <v>6174.3050000000003</v>
          </cell>
          <cell r="M41">
            <v>7380.3220000000001</v>
          </cell>
          <cell r="N41">
            <v>9005.402</v>
          </cell>
          <cell r="O41">
            <v>9819.3829999999998</v>
          </cell>
          <cell r="P41">
            <v>10753.132</v>
          </cell>
          <cell r="Q41">
            <v>12190.483</v>
          </cell>
          <cell r="R41">
            <v>13274.351000000001</v>
          </cell>
          <cell r="S41">
            <v>12821.849</v>
          </cell>
          <cell r="T41">
            <v>12782.169</v>
          </cell>
          <cell r="U41">
            <v>13311.581</v>
          </cell>
          <cell r="V41">
            <v>13838.157999999999</v>
          </cell>
          <cell r="W41">
            <v>14984.047</v>
          </cell>
          <cell r="X41">
            <v>14058.156000000001</v>
          </cell>
          <cell r="Y41">
            <v>14015.978999999999</v>
          </cell>
          <cell r="Z41">
            <v>12732.298999999999</v>
          </cell>
          <cell r="AA41">
            <v>12368.634</v>
          </cell>
          <cell r="AB41">
            <v>12587.84</v>
          </cell>
          <cell r="AC41">
            <v>14616.732247181515</v>
          </cell>
          <cell r="AD41">
            <v>13896.372161116757</v>
          </cell>
          <cell r="AE41">
            <v>14534.033366409463</v>
          </cell>
          <cell r="AF41">
            <v>14964</v>
          </cell>
          <cell r="AG41">
            <v>15321.880000000001</v>
          </cell>
          <cell r="AH41">
            <v>15636.000000000004</v>
          </cell>
          <cell r="AI41">
            <v>16344</v>
          </cell>
          <cell r="AJ41">
            <v>16856</v>
          </cell>
          <cell r="AK41">
            <v>17234.999999999996</v>
          </cell>
          <cell r="AL41">
            <v>17990</v>
          </cell>
          <cell r="AM41">
            <v>18550.000000000004</v>
          </cell>
          <cell r="AN41">
            <v>19110</v>
          </cell>
        </row>
        <row r="42">
          <cell r="B42">
            <v>196</v>
          </cell>
          <cell r="C42">
            <v>185</v>
          </cell>
          <cell r="D42">
            <v>279</v>
          </cell>
          <cell r="E42">
            <v>204</v>
          </cell>
          <cell r="F42">
            <v>233</v>
          </cell>
          <cell r="G42">
            <v>207</v>
          </cell>
          <cell r="H42">
            <v>257</v>
          </cell>
          <cell r="I42">
            <v>348</v>
          </cell>
          <cell r="J42">
            <v>320</v>
          </cell>
          <cell r="K42">
            <v>317</v>
          </cell>
          <cell r="L42">
            <v>156</v>
          </cell>
          <cell r="M42">
            <v>214</v>
          </cell>
          <cell r="N42">
            <v>208</v>
          </cell>
          <cell r="O42">
            <v>201</v>
          </cell>
          <cell r="P42">
            <v>305</v>
          </cell>
          <cell r="Q42">
            <v>280</v>
          </cell>
          <cell r="R42">
            <v>318</v>
          </cell>
          <cell r="S42">
            <v>194</v>
          </cell>
          <cell r="T42">
            <v>281</v>
          </cell>
          <cell r="U42">
            <v>220</v>
          </cell>
          <cell r="V42">
            <v>408</v>
          </cell>
          <cell r="W42">
            <v>194</v>
          </cell>
          <cell r="X42">
            <v>281</v>
          </cell>
          <cell r="Y42">
            <v>220</v>
          </cell>
          <cell r="Z42">
            <v>408</v>
          </cell>
          <cell r="AA42">
            <v>663</v>
          </cell>
          <cell r="AB42">
            <v>525</v>
          </cell>
          <cell r="AC42">
            <v>212</v>
          </cell>
          <cell r="AD42">
            <v>86</v>
          </cell>
          <cell r="AE42">
            <v>318</v>
          </cell>
          <cell r="AF42">
            <v>378</v>
          </cell>
          <cell r="AG42">
            <v>211</v>
          </cell>
          <cell r="AH42">
            <v>325</v>
          </cell>
          <cell r="AI42">
            <v>291</v>
          </cell>
          <cell r="AJ42">
            <v>305</v>
          </cell>
          <cell r="AK42">
            <v>500</v>
          </cell>
          <cell r="AL42">
            <v>500</v>
          </cell>
          <cell r="AM42">
            <v>500</v>
          </cell>
          <cell r="AN42">
            <v>500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ld Sun Bal"/>
      <sheetName val="World Sun Meal Bal"/>
      <sheetName val="World Sun Oil Bal"/>
      <sheetName val="Major Sunflower Exports"/>
      <sheetName val="Major Sun Oil Exports"/>
      <sheetName val="Sun Matrix"/>
      <sheetName val="Sun Meal Matrix"/>
      <sheetName val="Sun Oil Matrix"/>
      <sheetName val="Argentina Sun Complex"/>
      <sheetName val="EU Sun Complex"/>
      <sheetName val="Ukraine Sun Complex"/>
      <sheetName val="Russia Sun Complex"/>
      <sheetName val="India Sun Complex"/>
      <sheetName val="China Sun Complex"/>
      <sheetName val="Canada Sun Complex"/>
      <sheetName val="Mexico Sun Complex"/>
      <sheetName val="Turkey Sun Complex"/>
      <sheetName val="Ukraine Exports by Region"/>
      <sheetName val="Template"/>
      <sheetName val="Ukraine Sun Complex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5">
          <cell r="B5">
            <v>4390</v>
          </cell>
          <cell r="C5">
            <v>4401</v>
          </cell>
          <cell r="D5">
            <v>4169</v>
          </cell>
          <cell r="E5">
            <v>4279</v>
          </cell>
          <cell r="F5">
            <v>4082</v>
          </cell>
          <cell r="G5">
            <v>4098</v>
          </cell>
          <cell r="H5">
            <v>4302</v>
          </cell>
          <cell r="I5">
            <v>3583</v>
          </cell>
          <cell r="J5">
            <v>3574</v>
          </cell>
          <cell r="K5">
            <v>3471</v>
          </cell>
          <cell r="L5">
            <v>4180</v>
          </cell>
          <cell r="M5">
            <v>3682</v>
          </cell>
          <cell r="N5">
            <v>3618</v>
          </cell>
          <cell r="O5">
            <v>4013</v>
          </cell>
          <cell r="P5">
            <v>3504</v>
          </cell>
          <cell r="Q5">
            <v>3492.49</v>
          </cell>
          <cell r="R5">
            <v>3918.93</v>
          </cell>
          <cell r="S5">
            <v>3782.139999999999</v>
          </cell>
          <cell r="T5">
            <v>4367.57</v>
          </cell>
          <cell r="U5">
            <v>4312.63</v>
          </cell>
          <cell r="V5">
            <v>4623.2300000000005</v>
          </cell>
          <cell r="W5">
            <v>4266.04</v>
          </cell>
          <cell r="X5">
            <v>4197.5999999999995</v>
          </cell>
          <cell r="Y5">
            <v>4133.1299999999992</v>
          </cell>
          <cell r="Z5">
            <v>4311.6400000000003</v>
          </cell>
          <cell r="AA5">
            <v>4025.6499999999996</v>
          </cell>
          <cell r="AB5">
            <v>4337.8600000000006</v>
          </cell>
          <cell r="AC5">
            <v>4395.6800000000012</v>
          </cell>
          <cell r="AD5">
            <v>4368.7699999999995</v>
          </cell>
          <cell r="AE5">
            <v>4933.76</v>
          </cell>
          <cell r="AF5">
            <v>4687.59</v>
          </cell>
          <cell r="AG5">
            <v>4876.8900000000003</v>
          </cell>
          <cell r="AH5">
            <v>4623.4866666666676</v>
          </cell>
          <cell r="AI5">
            <v>4780</v>
          </cell>
          <cell r="AJ5">
            <v>4825</v>
          </cell>
          <cell r="AK5">
            <v>4865</v>
          </cell>
          <cell r="AL5">
            <v>4955</v>
          </cell>
          <cell r="AM5">
            <v>5010</v>
          </cell>
        </row>
        <row r="8">
          <cell r="B8">
            <v>153.05799999999999</v>
          </cell>
          <cell r="C8">
            <v>119.82299999999999</v>
          </cell>
          <cell r="D8">
            <v>68.218999999999994</v>
          </cell>
          <cell r="E8">
            <v>191.995</v>
          </cell>
          <cell r="F8">
            <v>145.43299999999999</v>
          </cell>
          <cell r="G8">
            <v>92.242999999999995</v>
          </cell>
          <cell r="H8">
            <v>60.849999999999994</v>
          </cell>
          <cell r="I8">
            <v>196.59800000000001</v>
          </cell>
          <cell r="J8">
            <v>474.49200000000002</v>
          </cell>
          <cell r="K8">
            <v>177.739</v>
          </cell>
          <cell r="L8">
            <v>536.07600000000002</v>
          </cell>
          <cell r="M8">
            <v>181.994</v>
          </cell>
          <cell r="N8">
            <v>39.167999999999999</v>
          </cell>
          <cell r="O8">
            <v>81.569999999999993</v>
          </cell>
          <cell r="P8">
            <v>8.6020000000000003</v>
          </cell>
          <cell r="Q8">
            <v>15.279</v>
          </cell>
          <cell r="R8">
            <v>388.68299999999999</v>
          </cell>
          <cell r="S8">
            <v>394.54300000000001</v>
          </cell>
          <cell r="T8">
            <v>143.672</v>
          </cell>
          <cell r="U8">
            <v>197.46799999999999</v>
          </cell>
          <cell r="V8">
            <v>160.124</v>
          </cell>
          <cell r="W8">
            <v>100.304</v>
          </cell>
          <cell r="X8">
            <v>177.059</v>
          </cell>
          <cell r="Y8">
            <v>328.11599999999999</v>
          </cell>
          <cell r="Z8">
            <v>871</v>
          </cell>
          <cell r="AA8">
            <v>937</v>
          </cell>
          <cell r="AB8">
            <v>891</v>
          </cell>
          <cell r="AC8">
            <v>825</v>
          </cell>
          <cell r="AD8">
            <v>401</v>
          </cell>
          <cell r="AE8">
            <v>692</v>
          </cell>
          <cell r="AF8">
            <v>324</v>
          </cell>
          <cell r="AG8">
            <v>678</v>
          </cell>
          <cell r="AH8">
            <v>600</v>
          </cell>
          <cell r="AI8">
            <v>425</v>
          </cell>
          <cell r="AJ8">
            <v>425</v>
          </cell>
          <cell r="AK8">
            <v>500</v>
          </cell>
          <cell r="AL8">
            <v>600</v>
          </cell>
          <cell r="AM8">
            <v>625</v>
          </cell>
        </row>
        <row r="9">
          <cell r="B9">
            <v>5494</v>
          </cell>
          <cell r="C9">
            <v>6172</v>
          </cell>
          <cell r="D9">
            <v>5675</v>
          </cell>
          <cell r="E9">
            <v>6526</v>
          </cell>
          <cell r="F9">
            <v>6067</v>
          </cell>
          <cell r="G9">
            <v>5782</v>
          </cell>
          <cell r="H9">
            <v>6138</v>
          </cell>
          <cell r="I9">
            <v>5171</v>
          </cell>
          <cell r="J9">
            <v>5015</v>
          </cell>
          <cell r="K9">
            <v>5246</v>
          </cell>
          <cell r="L9">
            <v>6224</v>
          </cell>
          <cell r="M9">
            <v>6533</v>
          </cell>
          <cell r="N9">
            <v>6036</v>
          </cell>
          <cell r="O9">
            <v>6584</v>
          </cell>
          <cell r="P9">
            <v>4875.8500000000004</v>
          </cell>
          <cell r="Q9">
            <v>7221.61</v>
          </cell>
          <cell r="R9">
            <v>7047.26</v>
          </cell>
          <cell r="S9">
            <v>6974.57</v>
          </cell>
          <cell r="T9">
            <v>8558.7199999999993</v>
          </cell>
          <cell r="U9">
            <v>7198.54</v>
          </cell>
          <cell r="V9">
            <v>9266.91</v>
          </cell>
          <cell r="W9">
            <v>9299.3100000000013</v>
          </cell>
          <cell r="X9">
            <v>7883.6699999999992</v>
          </cell>
          <cell r="Y9">
            <v>8728.59</v>
          </cell>
          <cell r="Z9">
            <v>10402.91</v>
          </cell>
          <cell r="AA9">
            <v>9972.510000000002</v>
          </cell>
          <cell r="AB9">
            <v>10244.16</v>
          </cell>
          <cell r="AC9">
            <v>9001.2300000000014</v>
          </cell>
          <cell r="AD9">
            <v>10364.869999999999</v>
          </cell>
          <cell r="AE9">
            <v>9301.6800000000021</v>
          </cell>
          <cell r="AF9">
            <v>9799.2099999999991</v>
          </cell>
          <cell r="AG9">
            <v>8047.5599999999995</v>
          </cell>
          <cell r="AH9">
            <v>9850</v>
          </cell>
          <cell r="AI9">
            <v>10150</v>
          </cell>
          <cell r="AJ9">
            <v>10350</v>
          </cell>
          <cell r="AK9">
            <v>10500</v>
          </cell>
          <cell r="AL9">
            <v>10700</v>
          </cell>
          <cell r="AM9">
            <v>10850</v>
          </cell>
        </row>
        <row r="10">
          <cell r="B10">
            <v>1486</v>
          </cell>
          <cell r="C10">
            <v>1610</v>
          </cell>
          <cell r="D10">
            <v>2518</v>
          </cell>
          <cell r="E10">
            <v>2397</v>
          </cell>
          <cell r="F10">
            <v>1782.6519999999998</v>
          </cell>
          <cell r="G10">
            <v>2207.181</v>
          </cell>
          <cell r="H10">
            <v>1363.7330000000002</v>
          </cell>
          <cell r="I10">
            <v>1761.0359999999998</v>
          </cell>
          <cell r="J10">
            <v>782.65600000000006</v>
          </cell>
          <cell r="K10">
            <v>734.82100000000003</v>
          </cell>
          <cell r="L10">
            <v>1018.6450000000001</v>
          </cell>
          <cell r="M10">
            <v>435.66200000000003</v>
          </cell>
          <cell r="N10">
            <v>601.76800000000003</v>
          </cell>
          <cell r="O10">
            <v>593.21100000000001</v>
          </cell>
          <cell r="P10">
            <v>299.10199999999998</v>
          </cell>
          <cell r="Q10">
            <v>615.55000000000007</v>
          </cell>
          <cell r="R10">
            <v>293.89999999999992</v>
          </cell>
          <cell r="S10">
            <v>367.06799999999993</v>
          </cell>
          <cell r="T10">
            <v>244.05799999999999</v>
          </cell>
          <cell r="U10">
            <v>191.97500000000002</v>
          </cell>
          <cell r="V10">
            <v>344.41299999999995</v>
          </cell>
          <cell r="W10">
            <v>252.98699999999999</v>
          </cell>
          <cell r="X10">
            <v>503.34600000000006</v>
          </cell>
          <cell r="Y10">
            <v>742.32299999999987</v>
          </cell>
          <cell r="Z10">
            <v>548.09400000000005</v>
          </cell>
          <cell r="AA10">
            <v>531.18299999999999</v>
          </cell>
          <cell r="AB10">
            <v>969.02896899999985</v>
          </cell>
          <cell r="AC10">
            <v>817.10107599999992</v>
          </cell>
          <cell r="AD10">
            <v>1147.9380720000001</v>
          </cell>
          <cell r="AE10">
            <v>2183.3956139999996</v>
          </cell>
          <cell r="AF10">
            <v>765.187636</v>
          </cell>
          <cell r="AG10">
            <v>750</v>
          </cell>
          <cell r="AH10">
            <v>650</v>
          </cell>
          <cell r="AI10">
            <v>650</v>
          </cell>
          <cell r="AJ10">
            <v>650</v>
          </cell>
          <cell r="AK10">
            <v>650</v>
          </cell>
          <cell r="AL10">
            <v>650</v>
          </cell>
          <cell r="AM10">
            <v>650</v>
          </cell>
        </row>
        <row r="11">
          <cell r="B11">
            <v>7133.058</v>
          </cell>
          <cell r="C11">
            <v>7901.8230000000003</v>
          </cell>
          <cell r="D11">
            <v>8261.219000000001</v>
          </cell>
          <cell r="E11">
            <v>9114.994999999999</v>
          </cell>
          <cell r="F11">
            <v>7995.085</v>
          </cell>
          <cell r="G11">
            <v>8081.4240000000009</v>
          </cell>
          <cell r="H11">
            <v>7562.5830000000005</v>
          </cell>
          <cell r="I11">
            <v>7128.634</v>
          </cell>
          <cell r="J11">
            <v>6272.1480000000001</v>
          </cell>
          <cell r="K11">
            <v>6158.5599999999995</v>
          </cell>
          <cell r="L11">
            <v>7778.7210000000005</v>
          </cell>
          <cell r="M11">
            <v>7150.6559999999999</v>
          </cell>
          <cell r="N11">
            <v>6676.9359999999997</v>
          </cell>
          <cell r="O11">
            <v>7258.7809999999999</v>
          </cell>
          <cell r="P11">
            <v>5183.5540000000001</v>
          </cell>
          <cell r="Q11">
            <v>7852.4390000000003</v>
          </cell>
          <cell r="R11">
            <v>7729.8429999999998</v>
          </cell>
          <cell r="S11">
            <v>7736.1809999999996</v>
          </cell>
          <cell r="T11">
            <v>8946.4500000000007</v>
          </cell>
          <cell r="U11">
            <v>7587.9830000000002</v>
          </cell>
          <cell r="V11">
            <v>9771.4470000000001</v>
          </cell>
          <cell r="W11">
            <v>9652.6010000000006</v>
          </cell>
          <cell r="X11">
            <v>8564.0749999999989</v>
          </cell>
          <cell r="Y11">
            <v>9799.0290000000005</v>
          </cell>
          <cell r="Z11">
            <v>11822.004000000001</v>
          </cell>
          <cell r="AA11">
            <v>11440.693000000003</v>
          </cell>
          <cell r="AB11">
            <v>12104.188968999999</v>
          </cell>
          <cell r="AC11">
            <v>10643.331076000002</v>
          </cell>
          <cell r="AD11">
            <v>11913.808072</v>
          </cell>
          <cell r="AE11">
            <v>12177.075614000001</v>
          </cell>
          <cell r="AF11">
            <v>10888.397636</v>
          </cell>
          <cell r="AG11">
            <v>9475.56</v>
          </cell>
          <cell r="AH11">
            <v>11100</v>
          </cell>
          <cell r="AI11">
            <v>11225</v>
          </cell>
          <cell r="AJ11">
            <v>11425</v>
          </cell>
          <cell r="AK11">
            <v>11650</v>
          </cell>
          <cell r="AL11">
            <v>11950</v>
          </cell>
          <cell r="AM11">
            <v>12125</v>
          </cell>
        </row>
        <row r="12">
          <cell r="B12">
            <v>5995.9999999999991</v>
          </cell>
          <cell r="C12">
            <v>6726</v>
          </cell>
          <cell r="D12">
            <v>7131.0000000000009</v>
          </cell>
          <cell r="E12">
            <v>7824</v>
          </cell>
          <cell r="F12">
            <v>7292.0000000000009</v>
          </cell>
          <cell r="G12">
            <v>7256.0000000000009</v>
          </cell>
          <cell r="H12">
            <v>6789</v>
          </cell>
          <cell r="I12">
            <v>6237</v>
          </cell>
          <cell r="J12">
            <v>5019.9999999999991</v>
          </cell>
          <cell r="K12">
            <v>5055</v>
          </cell>
          <cell r="L12">
            <v>6234</v>
          </cell>
          <cell r="M12">
            <v>5520</v>
          </cell>
          <cell r="N12">
            <v>5291</v>
          </cell>
          <cell r="O12">
            <v>5482</v>
          </cell>
          <cell r="P12">
            <v>4289</v>
          </cell>
          <cell r="Q12">
            <v>5890</v>
          </cell>
          <cell r="R12">
            <v>5905</v>
          </cell>
          <cell r="S12">
            <v>5932</v>
          </cell>
          <cell r="T12">
            <v>6852</v>
          </cell>
          <cell r="U12">
            <v>6033</v>
          </cell>
          <cell r="V12">
            <v>7692</v>
          </cell>
          <cell r="W12">
            <v>7600</v>
          </cell>
          <cell r="X12">
            <v>6994.7645055741496</v>
          </cell>
          <cell r="Y12">
            <v>7904</v>
          </cell>
          <cell r="Z12">
            <v>8906</v>
          </cell>
          <cell r="AA12">
            <v>8901.4190753198527</v>
          </cell>
          <cell r="AB12">
            <v>8736</v>
          </cell>
          <cell r="AC12">
            <v>8056</v>
          </cell>
          <cell r="AD12">
            <v>9482</v>
          </cell>
          <cell r="AE12">
            <v>9500</v>
          </cell>
          <cell r="AF12">
            <v>9200</v>
          </cell>
          <cell r="AG12">
            <v>8050</v>
          </cell>
          <cell r="AH12">
            <v>9500</v>
          </cell>
          <cell r="AI12">
            <v>9500</v>
          </cell>
          <cell r="AJ12">
            <v>9600</v>
          </cell>
          <cell r="AK12">
            <v>9700</v>
          </cell>
          <cell r="AL12">
            <v>9800</v>
          </cell>
          <cell r="AM12">
            <v>10000</v>
          </cell>
        </row>
        <row r="13">
          <cell r="B13">
            <v>340</v>
          </cell>
          <cell r="C13">
            <v>493</v>
          </cell>
          <cell r="D13">
            <v>487</v>
          </cell>
          <cell r="E13">
            <v>421</v>
          </cell>
          <cell r="F13">
            <v>97.27300000000001</v>
          </cell>
          <cell r="G13">
            <v>103.744</v>
          </cell>
          <cell r="H13">
            <v>177.72800000000001</v>
          </cell>
          <cell r="I13">
            <v>62.201000000000001</v>
          </cell>
          <cell r="J13">
            <v>146.04399999999998</v>
          </cell>
          <cell r="K13">
            <v>116.515</v>
          </cell>
          <cell r="L13">
            <v>386.29899999999998</v>
          </cell>
          <cell r="M13">
            <v>601.33799999999997</v>
          </cell>
          <cell r="N13">
            <v>323.09100000000001</v>
          </cell>
          <cell r="O13">
            <v>793.35800000000006</v>
          </cell>
          <cell r="P13">
            <v>497.49399999999997</v>
          </cell>
          <cell r="Q13">
            <v>346.80699999999996</v>
          </cell>
          <cell r="R13">
            <v>707.80000000000007</v>
          </cell>
          <cell r="S13">
            <v>519.95699999999999</v>
          </cell>
          <cell r="T13">
            <v>652.87700000000007</v>
          </cell>
          <cell r="U13">
            <v>443.71300000000002</v>
          </cell>
          <cell r="V13">
            <v>741.86799999999994</v>
          </cell>
          <cell r="W13">
            <v>567.37300000000005</v>
          </cell>
          <cell r="X13">
            <v>394.66200000000003</v>
          </cell>
          <cell r="Y13">
            <v>410.65600000000001</v>
          </cell>
          <cell r="Z13">
            <v>653.07699999999988</v>
          </cell>
          <cell r="AA13">
            <v>502.58907900000003</v>
          </cell>
          <cell r="AB13">
            <v>566.85189600000001</v>
          </cell>
          <cell r="AC13">
            <v>666.26487299999997</v>
          </cell>
          <cell r="AD13">
            <v>403.27806500000003</v>
          </cell>
          <cell r="AE13">
            <v>572.34791299999995</v>
          </cell>
          <cell r="AF13">
            <v>529.60144300000002</v>
          </cell>
          <cell r="AG13">
            <v>400</v>
          </cell>
          <cell r="AH13">
            <v>550</v>
          </cell>
          <cell r="AI13">
            <v>550</v>
          </cell>
          <cell r="AJ13">
            <v>550</v>
          </cell>
          <cell r="AK13">
            <v>550</v>
          </cell>
          <cell r="AL13">
            <v>675</v>
          </cell>
          <cell r="AM13">
            <v>700</v>
          </cell>
        </row>
        <row r="14">
          <cell r="B14">
            <v>29</v>
          </cell>
          <cell r="C14">
            <v>28</v>
          </cell>
          <cell r="D14">
            <v>29</v>
          </cell>
          <cell r="E14">
            <v>27</v>
          </cell>
          <cell r="F14">
            <v>27</v>
          </cell>
          <cell r="G14">
            <v>29</v>
          </cell>
          <cell r="H14">
            <v>24</v>
          </cell>
          <cell r="I14">
            <v>24</v>
          </cell>
          <cell r="J14">
            <v>23</v>
          </cell>
          <cell r="K14">
            <v>28</v>
          </cell>
          <cell r="L14">
            <v>25</v>
          </cell>
          <cell r="M14">
            <v>24</v>
          </cell>
          <cell r="N14">
            <v>27</v>
          </cell>
          <cell r="O14">
            <v>23</v>
          </cell>
          <cell r="P14">
            <v>23</v>
          </cell>
          <cell r="Q14">
            <v>26</v>
          </cell>
          <cell r="R14">
            <v>25</v>
          </cell>
          <cell r="S14">
            <v>29</v>
          </cell>
          <cell r="T14">
            <v>29</v>
          </cell>
          <cell r="U14">
            <v>31</v>
          </cell>
          <cell r="V14">
            <v>29</v>
          </cell>
          <cell r="W14">
            <v>28</v>
          </cell>
          <cell r="X14">
            <v>28</v>
          </cell>
          <cell r="Y14">
            <v>29</v>
          </cell>
          <cell r="Z14">
            <v>27</v>
          </cell>
          <cell r="AA14">
            <v>29</v>
          </cell>
          <cell r="AB14">
            <v>29</v>
          </cell>
          <cell r="AC14">
            <v>29</v>
          </cell>
          <cell r="AD14">
            <v>33</v>
          </cell>
          <cell r="AE14">
            <v>31</v>
          </cell>
          <cell r="AF14">
            <v>33</v>
          </cell>
          <cell r="AG14">
            <v>31</v>
          </cell>
          <cell r="AH14">
            <v>32</v>
          </cell>
          <cell r="AI14">
            <v>32</v>
          </cell>
          <cell r="AJ14">
            <v>33</v>
          </cell>
          <cell r="AK14">
            <v>33</v>
          </cell>
          <cell r="AL14">
            <v>34</v>
          </cell>
          <cell r="AM14">
            <v>34</v>
          </cell>
        </row>
        <row r="15">
          <cell r="B15">
            <v>648.23500000000058</v>
          </cell>
          <cell r="C15">
            <v>586.60400000000027</v>
          </cell>
          <cell r="D15">
            <v>422.22400000000016</v>
          </cell>
          <cell r="E15">
            <v>697.56199999999808</v>
          </cell>
          <cell r="F15">
            <v>486.5689999999986</v>
          </cell>
          <cell r="G15">
            <v>631.82999999999993</v>
          </cell>
          <cell r="H15">
            <v>375.25700000000052</v>
          </cell>
          <cell r="I15">
            <v>330.9409999999998</v>
          </cell>
          <cell r="J15">
            <v>905.3650000000016</v>
          </cell>
          <cell r="K15">
            <v>422.96899999999914</v>
          </cell>
          <cell r="L15">
            <v>951.42800000000079</v>
          </cell>
          <cell r="M15">
            <v>966.15000000000055</v>
          </cell>
          <cell r="N15">
            <v>954.27499999999964</v>
          </cell>
          <cell r="O15">
            <v>951.82099999999991</v>
          </cell>
          <cell r="P15">
            <v>358.78099999999995</v>
          </cell>
          <cell r="Q15">
            <v>1200.9490000000005</v>
          </cell>
          <cell r="R15">
            <v>697.5</v>
          </cell>
          <cell r="S15">
            <v>1111.5519999999997</v>
          </cell>
          <cell r="T15">
            <v>1215.1049999999996</v>
          </cell>
          <cell r="U15">
            <v>920.14600000000064</v>
          </cell>
          <cell r="V15">
            <v>1208.2749999999996</v>
          </cell>
          <cell r="W15">
            <v>1280.1690000000017</v>
          </cell>
          <cell r="X15">
            <v>818.53249442584911</v>
          </cell>
          <cell r="Y15">
            <v>584.37299999999959</v>
          </cell>
          <cell r="Z15">
            <v>1298.9270000000015</v>
          </cell>
          <cell r="AA15">
            <v>1116.6848456801508</v>
          </cell>
          <cell r="AB15">
            <v>1947.3370729999988</v>
          </cell>
          <cell r="AC15">
            <v>1491.0662030000021</v>
          </cell>
          <cell r="AD15">
            <v>1303.5300069999994</v>
          </cell>
          <cell r="AE15">
            <v>1749.7277010000016</v>
          </cell>
          <cell r="AF15">
            <v>447.79619300000013</v>
          </cell>
          <cell r="AG15">
            <v>394.55999999999949</v>
          </cell>
          <cell r="AH15">
            <v>593</v>
          </cell>
          <cell r="AI15">
            <v>718</v>
          </cell>
          <cell r="AJ15">
            <v>742</v>
          </cell>
          <cell r="AK15">
            <v>767</v>
          </cell>
          <cell r="AL15">
            <v>816</v>
          </cell>
          <cell r="AM15">
            <v>741</v>
          </cell>
        </row>
        <row r="17">
          <cell r="B17">
            <v>119.82299999999999</v>
          </cell>
          <cell r="C17">
            <v>68.218999999999994</v>
          </cell>
          <cell r="D17">
            <v>191.995</v>
          </cell>
          <cell r="E17">
            <v>145.43299999999999</v>
          </cell>
          <cell r="F17">
            <v>92.242999999999995</v>
          </cell>
          <cell r="G17">
            <v>60.849999999999994</v>
          </cell>
          <cell r="H17">
            <v>196.59800000000001</v>
          </cell>
          <cell r="I17">
            <v>474.49200000000002</v>
          </cell>
          <cell r="J17">
            <v>177.739</v>
          </cell>
          <cell r="K17">
            <v>536.07600000000002</v>
          </cell>
          <cell r="L17">
            <v>181.994</v>
          </cell>
          <cell r="M17">
            <v>39.167999999999999</v>
          </cell>
          <cell r="N17">
            <v>81.569999999999993</v>
          </cell>
          <cell r="O17">
            <v>8.6020000000000003</v>
          </cell>
          <cell r="P17">
            <v>15.279</v>
          </cell>
          <cell r="Q17">
            <v>388.68299999999999</v>
          </cell>
          <cell r="R17">
            <v>394.54300000000001</v>
          </cell>
          <cell r="S17">
            <v>143.672</v>
          </cell>
          <cell r="T17">
            <v>197.46799999999999</v>
          </cell>
          <cell r="U17">
            <v>160.124</v>
          </cell>
          <cell r="V17">
            <v>100.304</v>
          </cell>
          <cell r="W17">
            <v>177.059</v>
          </cell>
          <cell r="X17">
            <v>328.11599999999999</v>
          </cell>
          <cell r="Y17">
            <v>871</v>
          </cell>
          <cell r="Z17">
            <v>937</v>
          </cell>
          <cell r="AA17">
            <v>891</v>
          </cell>
          <cell r="AB17">
            <v>825</v>
          </cell>
          <cell r="AC17">
            <v>401</v>
          </cell>
          <cell r="AD17">
            <v>692</v>
          </cell>
          <cell r="AE17">
            <v>324</v>
          </cell>
          <cell r="AF17">
            <v>678</v>
          </cell>
          <cell r="AG17">
            <v>600</v>
          </cell>
          <cell r="AH17">
            <v>425</v>
          </cell>
          <cell r="AI17">
            <v>425</v>
          </cell>
          <cell r="AJ17">
            <v>500</v>
          </cell>
          <cell r="AK17">
            <v>600</v>
          </cell>
          <cell r="AL17">
            <v>625</v>
          </cell>
          <cell r="AM17">
            <v>650</v>
          </cell>
        </row>
        <row r="22">
          <cell r="B22">
            <v>69</v>
          </cell>
          <cell r="C22">
            <v>70</v>
          </cell>
          <cell r="D22">
            <v>148</v>
          </cell>
          <cell r="E22">
            <v>191</v>
          </cell>
          <cell r="F22">
            <v>163</v>
          </cell>
          <cell r="G22">
            <v>140</v>
          </cell>
          <cell r="H22">
            <v>183</v>
          </cell>
          <cell r="I22">
            <v>251</v>
          </cell>
          <cell r="J22">
            <v>212</v>
          </cell>
          <cell r="K22">
            <v>171</v>
          </cell>
          <cell r="L22">
            <v>102</v>
          </cell>
          <cell r="M22">
            <v>130</v>
          </cell>
          <cell r="N22">
            <v>98</v>
          </cell>
          <cell r="O22">
            <v>108</v>
          </cell>
          <cell r="P22">
            <v>91</v>
          </cell>
          <cell r="Q22">
            <v>68</v>
          </cell>
          <cell r="R22">
            <v>317</v>
          </cell>
          <cell r="S22">
            <v>224</v>
          </cell>
          <cell r="T22">
            <v>296</v>
          </cell>
          <cell r="U22">
            <v>659</v>
          </cell>
          <cell r="V22">
            <v>85</v>
          </cell>
          <cell r="W22">
            <v>288</v>
          </cell>
          <cell r="X22">
            <v>380</v>
          </cell>
          <cell r="Y22">
            <v>494</v>
          </cell>
          <cell r="Z22">
            <v>350</v>
          </cell>
          <cell r="AA22">
            <v>266</v>
          </cell>
          <cell r="AB22">
            <v>396</v>
          </cell>
          <cell r="AC22">
            <v>214</v>
          </cell>
          <cell r="AD22">
            <v>260</v>
          </cell>
          <cell r="AE22">
            <v>287</v>
          </cell>
          <cell r="AF22">
            <v>311</v>
          </cell>
        </row>
        <row r="23">
          <cell r="B23">
            <v>3107.6183832953893</v>
          </cell>
          <cell r="C23">
            <v>3544.8372065243475</v>
          </cell>
          <cell r="D23">
            <v>3837.663294925298</v>
          </cell>
          <cell r="E23">
            <v>4078.4084516791881</v>
          </cell>
          <cell r="F23">
            <v>3724.8582500385419</v>
          </cell>
          <cell r="G23">
            <v>3830.8922185340789</v>
          </cell>
          <cell r="H23">
            <v>3769.6622832760186</v>
          </cell>
          <cell r="I23">
            <v>3354.981131598664</v>
          </cell>
          <cell r="J23">
            <v>2616.6692745041491</v>
          </cell>
          <cell r="K23">
            <v>2819.3938694707058</v>
          </cell>
          <cell r="L23">
            <v>3323.818106174072</v>
          </cell>
          <cell r="M23">
            <v>2971.3068984247693</v>
          </cell>
          <cell r="N23">
            <v>2874.8230582976348</v>
          </cell>
          <cell r="O23">
            <v>2952.8662237385533</v>
          </cell>
          <cell r="P23">
            <v>2343.598058680785</v>
          </cell>
          <cell r="Q23">
            <v>3331.1656854499579</v>
          </cell>
          <cell r="R23">
            <v>3120.6431322207955</v>
          </cell>
          <cell r="S23">
            <v>3313.5398319327733</v>
          </cell>
          <cell r="T23">
            <v>3724.0284303456529</v>
          </cell>
          <cell r="U23">
            <v>3317.9999999999995</v>
          </cell>
          <cell r="V23">
            <v>4092.7952412425648</v>
          </cell>
          <cell r="W23">
            <v>4114.26</v>
          </cell>
          <cell r="X23">
            <v>3610.44</v>
          </cell>
          <cell r="Y23">
            <v>4363.9940030566004</v>
          </cell>
          <cell r="Z23">
            <v>4947.5948295083472</v>
          </cell>
          <cell r="AA23">
            <v>4536.5400000000009</v>
          </cell>
          <cell r="AB23">
            <v>4681.8</v>
          </cell>
          <cell r="AC23">
            <v>4380.4800000000005</v>
          </cell>
          <cell r="AD23">
            <v>5297.9400000000005</v>
          </cell>
          <cell r="AE23">
            <v>4975.1027756837539</v>
          </cell>
          <cell r="AF23">
            <v>4911.3559591576995</v>
          </cell>
        </row>
        <row r="24">
          <cell r="B24">
            <v>1405</v>
          </cell>
          <cell r="C24">
            <v>1724</v>
          </cell>
          <cell r="D24">
            <v>1824</v>
          </cell>
          <cell r="E24">
            <v>1910</v>
          </cell>
          <cell r="F24">
            <v>1811.029</v>
          </cell>
          <cell r="G24">
            <v>1976.7769999999998</v>
          </cell>
          <cell r="H24">
            <v>1740.2040000000002</v>
          </cell>
          <cell r="I24">
            <v>1718.8200000000004</v>
          </cell>
          <cell r="J24">
            <v>1469.9440000000002</v>
          </cell>
          <cell r="K24">
            <v>1655.6949999999999</v>
          </cell>
          <cell r="L24">
            <v>1760.153</v>
          </cell>
          <cell r="M24">
            <v>1631.3519999999999</v>
          </cell>
          <cell r="N24">
            <v>1907.27</v>
          </cell>
          <cell r="O24">
            <v>1771.2850000000001</v>
          </cell>
          <cell r="P24">
            <v>1551.5630000000001</v>
          </cell>
          <cell r="Q24">
            <v>2511.422</v>
          </cell>
          <cell r="R24">
            <v>2024.0990000000002</v>
          </cell>
          <cell r="S24">
            <v>2272.3910000000001</v>
          </cell>
          <cell r="T24">
            <v>3856.2780000000002</v>
          </cell>
          <cell r="U24">
            <v>3030.808</v>
          </cell>
          <cell r="V24">
            <v>3368.4560000000001</v>
          </cell>
          <cell r="W24">
            <v>3209.6919999999996</v>
          </cell>
          <cell r="X24">
            <v>3296.1579999999999</v>
          </cell>
          <cell r="Y24">
            <v>3768.027</v>
          </cell>
          <cell r="Z24">
            <v>3514.0119999999997</v>
          </cell>
          <cell r="AA24">
            <v>3645.2784109999998</v>
          </cell>
          <cell r="AB24">
            <v>2889.5027220000002</v>
          </cell>
          <cell r="AC24">
            <v>2571.4286710000001</v>
          </cell>
          <cell r="AD24">
            <v>2563.156833</v>
          </cell>
          <cell r="AE24">
            <v>2750.1656270000003</v>
          </cell>
          <cell r="AF24">
            <v>3156.3241049999992</v>
          </cell>
        </row>
        <row r="25">
          <cell r="B25">
            <v>4581.6183832953893</v>
          </cell>
          <cell r="C25">
            <v>5338.8372065243475</v>
          </cell>
          <cell r="D25">
            <v>5809.663294925298</v>
          </cell>
          <cell r="E25">
            <v>6179.4084516791881</v>
          </cell>
          <cell r="F25">
            <v>5698.8872500385423</v>
          </cell>
          <cell r="G25">
            <v>5947.6692185340789</v>
          </cell>
          <cell r="H25">
            <v>5692.8662832760183</v>
          </cell>
          <cell r="I25">
            <v>5324.8011315986641</v>
          </cell>
          <cell r="J25">
            <v>4298.6132745041496</v>
          </cell>
          <cell r="K25">
            <v>4646.0888694707055</v>
          </cell>
          <cell r="L25">
            <v>5185.9711061740718</v>
          </cell>
          <cell r="M25">
            <v>4732.6588984247692</v>
          </cell>
          <cell r="N25">
            <v>4880.0930582976343</v>
          </cell>
          <cell r="O25">
            <v>4832.1512237385532</v>
          </cell>
          <cell r="P25">
            <v>3986.1610586807851</v>
          </cell>
          <cell r="Q25">
            <v>5910.5876854499584</v>
          </cell>
          <cell r="R25">
            <v>5461.7421322207956</v>
          </cell>
          <cell r="S25">
            <v>5809.9308319327738</v>
          </cell>
          <cell r="T25">
            <v>7876.3064303456531</v>
          </cell>
          <cell r="U25">
            <v>7007.8079999999991</v>
          </cell>
          <cell r="V25">
            <v>7546.2512412425649</v>
          </cell>
          <cell r="W25">
            <v>7611.9519999999993</v>
          </cell>
          <cell r="X25">
            <v>7286.598</v>
          </cell>
          <cell r="Y25">
            <v>8626.0210030566013</v>
          </cell>
          <cell r="Z25">
            <v>8811.606829508346</v>
          </cell>
          <cell r="AA25">
            <v>8447.8184110000002</v>
          </cell>
          <cell r="AB25">
            <v>7967.3027220000004</v>
          </cell>
          <cell r="AC25">
            <v>7165.908671000001</v>
          </cell>
          <cell r="AD25">
            <v>8121.0968330000005</v>
          </cell>
          <cell r="AE25">
            <v>8012.2684026837542</v>
          </cell>
          <cell r="AF25">
            <v>8378.6800641576992</v>
          </cell>
        </row>
        <row r="26">
          <cell r="B26">
            <v>4462.6183832953893</v>
          </cell>
          <cell r="C26">
            <v>5134.8372065243475</v>
          </cell>
          <cell r="D26">
            <v>5584.663294925298</v>
          </cell>
          <cell r="E26">
            <v>5958.4084516791881</v>
          </cell>
          <cell r="F26">
            <v>5554.5912500385421</v>
          </cell>
          <cell r="G26">
            <v>5659.1162185340791</v>
          </cell>
          <cell r="H26">
            <v>5332.6132832760186</v>
          </cell>
          <cell r="I26">
            <v>5016.8641315986642</v>
          </cell>
          <cell r="J26">
            <v>4086.4872745041494</v>
          </cell>
          <cell r="K26">
            <v>4497.9678694707054</v>
          </cell>
          <cell r="L26">
            <v>4976.4241061740722</v>
          </cell>
          <cell r="M26">
            <v>4481.0218984247695</v>
          </cell>
          <cell r="N26">
            <v>4582.4880582976348</v>
          </cell>
          <cell r="O26">
            <v>4606.9592237385532</v>
          </cell>
          <cell r="P26">
            <v>3879.2530586807852</v>
          </cell>
          <cell r="Q26">
            <v>5520.6576854499581</v>
          </cell>
          <cell r="R26">
            <v>5160.8721322207957</v>
          </cell>
          <cell r="S26">
            <v>5388.6458319327739</v>
          </cell>
          <cell r="T26">
            <v>7095.5124303456532</v>
          </cell>
          <cell r="U26">
            <v>6799.8829999999989</v>
          </cell>
          <cell r="V26">
            <v>7085.1672412425651</v>
          </cell>
          <cell r="W26">
            <v>6929.5639999999994</v>
          </cell>
          <cell r="X26">
            <v>6577.4660000000003</v>
          </cell>
          <cell r="Y26">
            <v>8001.229003056601</v>
          </cell>
          <cell r="Z26">
            <v>8139.7328295083462</v>
          </cell>
          <cell r="AA26">
            <v>7657.3073679999998</v>
          </cell>
          <cell r="AB26">
            <v>7178.1271890000007</v>
          </cell>
          <cell r="AC26">
            <v>6208.898548000001</v>
          </cell>
          <cell r="AD26">
            <v>6837.4414400000005</v>
          </cell>
          <cell r="AE26">
            <v>6697.3826286837539</v>
          </cell>
          <cell r="AF26">
            <v>6999.1192681576995</v>
          </cell>
        </row>
        <row r="27">
          <cell r="B27">
            <v>49</v>
          </cell>
          <cell r="C27">
            <v>56</v>
          </cell>
          <cell r="D27">
            <v>34</v>
          </cell>
          <cell r="E27">
            <v>58</v>
          </cell>
          <cell r="F27">
            <v>4.2960000000000003</v>
          </cell>
          <cell r="G27">
            <v>105.553</v>
          </cell>
          <cell r="H27">
            <v>109.25299999999999</v>
          </cell>
          <cell r="I27">
            <v>95.937000000000012</v>
          </cell>
          <cell r="J27">
            <v>41.125999999999998</v>
          </cell>
          <cell r="K27">
            <v>46.121000000000002</v>
          </cell>
          <cell r="L27">
            <v>79.546999999999997</v>
          </cell>
          <cell r="M27">
            <v>153.63700000000003</v>
          </cell>
          <cell r="N27">
            <v>189.60499999999999</v>
          </cell>
          <cell r="O27">
            <v>134.19199999999998</v>
          </cell>
          <cell r="P27">
            <v>38.908000000000008</v>
          </cell>
          <cell r="Q27">
            <v>72.930000000000007</v>
          </cell>
          <cell r="R27">
            <v>76.86999999999999</v>
          </cell>
          <cell r="S27">
            <v>125.28500000000001</v>
          </cell>
          <cell r="T27">
            <v>121.79400000000001</v>
          </cell>
          <cell r="U27">
            <v>122.92500000000001</v>
          </cell>
          <cell r="V27">
            <v>173.08400000000003</v>
          </cell>
          <cell r="W27">
            <v>302.38799999999998</v>
          </cell>
          <cell r="X27">
            <v>215.13200000000003</v>
          </cell>
          <cell r="Y27">
            <v>274.79199999999997</v>
          </cell>
          <cell r="Z27">
            <v>405.87399999999991</v>
          </cell>
          <cell r="AA27">
            <v>394.51104300000003</v>
          </cell>
          <cell r="AB27">
            <v>575.17553299999986</v>
          </cell>
          <cell r="AC27">
            <v>697.01012300000002</v>
          </cell>
          <cell r="AD27">
            <v>996.655393</v>
          </cell>
          <cell r="AE27">
            <v>1003.885774</v>
          </cell>
          <cell r="AF27">
            <v>955.56079599999998</v>
          </cell>
        </row>
        <row r="28">
          <cell r="B28">
            <v>4511.6183832953893</v>
          </cell>
          <cell r="C28">
            <v>5190.8372065243475</v>
          </cell>
          <cell r="D28">
            <v>5618.663294925298</v>
          </cell>
          <cell r="E28">
            <v>6016.4084516791881</v>
          </cell>
          <cell r="F28">
            <v>5558.8872500385423</v>
          </cell>
          <cell r="G28">
            <v>5764.6692185340789</v>
          </cell>
          <cell r="H28">
            <v>5441.8662832760183</v>
          </cell>
          <cell r="I28">
            <v>5112.8011315986641</v>
          </cell>
          <cell r="J28">
            <v>4127.6132745041496</v>
          </cell>
          <cell r="K28">
            <v>4544.0888694707055</v>
          </cell>
          <cell r="L28">
            <v>5055.9711061740718</v>
          </cell>
          <cell r="M28">
            <v>4634.6588984247692</v>
          </cell>
          <cell r="N28">
            <v>4772.0930582976343</v>
          </cell>
          <cell r="O28">
            <v>4741.1512237385532</v>
          </cell>
          <cell r="P28">
            <v>3918.1610586807851</v>
          </cell>
          <cell r="Q28">
            <v>5593.5876854499584</v>
          </cell>
          <cell r="R28">
            <v>5237.7421322207956</v>
          </cell>
          <cell r="S28">
            <v>5513.9308319327738</v>
          </cell>
          <cell r="T28">
            <v>7217.3064303456531</v>
          </cell>
          <cell r="U28">
            <v>6922.8079999999991</v>
          </cell>
          <cell r="V28">
            <v>7258.2512412425649</v>
          </cell>
          <cell r="W28">
            <v>7231.9519999999993</v>
          </cell>
          <cell r="X28">
            <v>6792.598</v>
          </cell>
          <cell r="Y28">
            <v>8276.0210030566013</v>
          </cell>
          <cell r="Z28">
            <v>8545.606829508346</v>
          </cell>
          <cell r="AA28">
            <v>8051.8184110000002</v>
          </cell>
          <cell r="AB28">
            <v>7753.3027220000004</v>
          </cell>
          <cell r="AC28">
            <v>6905.908671000001</v>
          </cell>
          <cell r="AD28">
            <v>7834.0968330000005</v>
          </cell>
          <cell r="AE28">
            <v>7701.2684026837542</v>
          </cell>
          <cell r="AF28">
            <v>7954.6800641576992</v>
          </cell>
        </row>
        <row r="29">
          <cell r="B29">
            <v>70</v>
          </cell>
          <cell r="C29">
            <v>148</v>
          </cell>
          <cell r="D29">
            <v>191</v>
          </cell>
          <cell r="E29">
            <v>163</v>
          </cell>
          <cell r="F29">
            <v>140</v>
          </cell>
          <cell r="G29">
            <v>183</v>
          </cell>
          <cell r="H29">
            <v>251</v>
          </cell>
          <cell r="I29">
            <v>212</v>
          </cell>
          <cell r="J29">
            <v>171</v>
          </cell>
          <cell r="K29">
            <v>102</v>
          </cell>
          <cell r="L29">
            <v>130</v>
          </cell>
          <cell r="M29">
            <v>98</v>
          </cell>
          <cell r="N29">
            <v>108</v>
          </cell>
          <cell r="O29">
            <v>91</v>
          </cell>
          <cell r="P29">
            <v>68</v>
          </cell>
          <cell r="Q29">
            <v>317</v>
          </cell>
          <cell r="R29">
            <v>224</v>
          </cell>
          <cell r="S29">
            <v>296</v>
          </cell>
          <cell r="T29">
            <v>659</v>
          </cell>
          <cell r="U29">
            <v>85</v>
          </cell>
          <cell r="V29">
            <v>288</v>
          </cell>
          <cell r="W29">
            <v>380</v>
          </cell>
          <cell r="X29">
            <v>494</v>
          </cell>
          <cell r="Y29">
            <v>350</v>
          </cell>
          <cell r="Z29">
            <v>266</v>
          </cell>
          <cell r="AA29">
            <v>396</v>
          </cell>
          <cell r="AB29">
            <v>214</v>
          </cell>
          <cell r="AC29">
            <v>260</v>
          </cell>
          <cell r="AD29">
            <v>287</v>
          </cell>
          <cell r="AE29">
            <v>311</v>
          </cell>
          <cell r="AF29">
            <v>424</v>
          </cell>
        </row>
        <row r="32">
          <cell r="B32">
            <v>202</v>
          </cell>
          <cell r="C32">
            <v>199</v>
          </cell>
          <cell r="D32">
            <v>274</v>
          </cell>
          <cell r="E32">
            <v>374</v>
          </cell>
          <cell r="F32">
            <v>296</v>
          </cell>
          <cell r="G32">
            <v>238</v>
          </cell>
          <cell r="H32">
            <v>299</v>
          </cell>
          <cell r="I32">
            <v>320</v>
          </cell>
          <cell r="J32">
            <v>326</v>
          </cell>
          <cell r="K32">
            <v>284</v>
          </cell>
          <cell r="L32">
            <v>292</v>
          </cell>
          <cell r="M32">
            <v>306</v>
          </cell>
          <cell r="N32">
            <v>265</v>
          </cell>
          <cell r="O32">
            <v>303</v>
          </cell>
          <cell r="P32">
            <v>338</v>
          </cell>
          <cell r="Q32">
            <v>315</v>
          </cell>
          <cell r="R32">
            <v>525</v>
          </cell>
          <cell r="S32">
            <v>452</v>
          </cell>
          <cell r="T32">
            <v>295</v>
          </cell>
          <cell r="U32">
            <v>499</v>
          </cell>
          <cell r="V32">
            <v>186</v>
          </cell>
          <cell r="W32">
            <v>329</v>
          </cell>
          <cell r="X32">
            <v>252</v>
          </cell>
          <cell r="Y32">
            <v>158</v>
          </cell>
          <cell r="Z32">
            <v>354</v>
          </cell>
          <cell r="AA32">
            <v>258</v>
          </cell>
          <cell r="AB32">
            <v>372</v>
          </cell>
          <cell r="AC32">
            <v>648</v>
          </cell>
          <cell r="AD32">
            <v>211</v>
          </cell>
          <cell r="AE32">
            <v>646</v>
          </cell>
          <cell r="AF32">
            <v>292</v>
          </cell>
          <cell r="AG32">
            <v>741</v>
          </cell>
          <cell r="AH32">
            <v>500</v>
          </cell>
          <cell r="AI32">
            <v>400</v>
          </cell>
          <cell r="AJ32">
            <v>550</v>
          </cell>
          <cell r="AK32">
            <v>500</v>
          </cell>
          <cell r="AL32">
            <v>550</v>
          </cell>
          <cell r="AM32">
            <v>500</v>
          </cell>
        </row>
        <row r="33">
          <cell r="B33">
            <v>2446.0116575615757</v>
          </cell>
          <cell r="C33">
            <v>2813.6619361477756</v>
          </cell>
          <cell r="D33">
            <v>3050.4713821068221</v>
          </cell>
          <cell r="E33">
            <v>3228.1259161930348</v>
          </cell>
          <cell r="F33">
            <v>2944.6778473222748</v>
          </cell>
          <cell r="G33">
            <v>3043.6632554620423</v>
          </cell>
          <cell r="H33">
            <v>2760.5338120003389</v>
          </cell>
          <cell r="I33">
            <v>2438.7255819297052</v>
          </cell>
          <cell r="J33">
            <v>1910.1877682550466</v>
          </cell>
          <cell r="K33">
            <v>2067.5555042785177</v>
          </cell>
          <cell r="L33">
            <v>2439.6397071060078</v>
          </cell>
          <cell r="M33">
            <v>2182.6572514937534</v>
          </cell>
          <cell r="N33">
            <v>2172.6364313652448</v>
          </cell>
          <cell r="O33">
            <v>2274.2147602801224</v>
          </cell>
          <cell r="P33">
            <v>1805.769909552173</v>
          </cell>
          <cell r="Q33">
            <v>2567.5155592935239</v>
          </cell>
          <cell r="R33">
            <v>2425.3225288831836</v>
          </cell>
          <cell r="S33">
            <v>2578.2231932773111</v>
          </cell>
          <cell r="T33">
            <v>2897.9488253778241</v>
          </cell>
          <cell r="U33">
            <v>2581</v>
          </cell>
          <cell r="V33">
            <v>3184.1707865168537</v>
          </cell>
          <cell r="W33">
            <v>3199.98</v>
          </cell>
          <cell r="X33">
            <v>2808.12</v>
          </cell>
          <cell r="Y33">
            <v>3394.2175579329114</v>
          </cell>
          <cell r="Z33">
            <v>3848.1293118398248</v>
          </cell>
          <cell r="AA33">
            <v>3528.4200000000005</v>
          </cell>
          <cell r="AB33">
            <v>3641.3999999999996</v>
          </cell>
          <cell r="AC33">
            <v>3407.0400000000004</v>
          </cell>
          <cell r="AD33">
            <v>4120.62</v>
          </cell>
          <cell r="AE33">
            <v>3869.5243810873644</v>
          </cell>
          <cell r="AF33">
            <v>3819.9435237893208</v>
          </cell>
          <cell r="AG33">
            <v>3381.0000000000005</v>
          </cell>
          <cell r="AH33">
            <v>3990.0000000000009</v>
          </cell>
          <cell r="AI33">
            <v>3990.0000000000018</v>
          </cell>
          <cell r="AJ33">
            <v>4032.0000000000009</v>
          </cell>
          <cell r="AK33">
            <v>4074.0000000000009</v>
          </cell>
          <cell r="AL33">
            <v>4116.0000000000018</v>
          </cell>
          <cell r="AM33">
            <v>4200.0000000000018</v>
          </cell>
        </row>
        <row r="34">
          <cell r="B34">
            <v>152</v>
          </cell>
          <cell r="C34">
            <v>127</v>
          </cell>
          <cell r="D34">
            <v>108</v>
          </cell>
          <cell r="E34">
            <v>108</v>
          </cell>
          <cell r="F34">
            <v>197.78699999999998</v>
          </cell>
          <cell r="G34">
            <v>221.065</v>
          </cell>
          <cell r="H34">
            <v>144.74099999999999</v>
          </cell>
          <cell r="I34">
            <v>294.95799999999997</v>
          </cell>
          <cell r="J34">
            <v>695.428</v>
          </cell>
          <cell r="K34">
            <v>741.89300000000003</v>
          </cell>
          <cell r="L34">
            <v>494.34799999999996</v>
          </cell>
          <cell r="M34">
            <v>882.37499999999989</v>
          </cell>
          <cell r="N34">
            <v>1261.4490000000001</v>
          </cell>
          <cell r="O34">
            <v>1219.7900000000002</v>
          </cell>
          <cell r="P34">
            <v>1208.9880000000001</v>
          </cell>
          <cell r="Q34">
            <v>1059.9930000000002</v>
          </cell>
          <cell r="R34">
            <v>968.64400000000001</v>
          </cell>
          <cell r="S34">
            <v>816.61</v>
          </cell>
          <cell r="T34">
            <v>991.74</v>
          </cell>
          <cell r="U34">
            <v>942.43300000000011</v>
          </cell>
          <cell r="V34">
            <v>1039.377</v>
          </cell>
          <cell r="W34">
            <v>824.99</v>
          </cell>
          <cell r="X34">
            <v>1355.5339999999999</v>
          </cell>
          <cell r="Y34">
            <v>1820.0130000000001</v>
          </cell>
          <cell r="Z34">
            <v>1622.6810000000003</v>
          </cell>
          <cell r="AA34">
            <v>2010.4709060000002</v>
          </cell>
          <cell r="AB34">
            <v>2348.9520310000003</v>
          </cell>
          <cell r="AC34">
            <v>1591.662797</v>
          </cell>
          <cell r="AD34">
            <v>2103.9279609999994</v>
          </cell>
          <cell r="AE34">
            <v>2097.5039350000002</v>
          </cell>
          <cell r="AF34">
            <v>2966.6225999999992</v>
          </cell>
          <cell r="AG34">
            <v>3000</v>
          </cell>
          <cell r="AH34">
            <v>2450</v>
          </cell>
          <cell r="AI34">
            <v>2500</v>
          </cell>
          <cell r="AJ34">
            <v>2600</v>
          </cell>
          <cell r="AK34">
            <v>2700</v>
          </cell>
          <cell r="AL34">
            <v>2750</v>
          </cell>
          <cell r="AM34">
            <v>2825</v>
          </cell>
        </row>
        <row r="35">
          <cell r="B35">
            <v>2800.0116575615757</v>
          </cell>
          <cell r="C35">
            <v>3139.6619361477756</v>
          </cell>
          <cell r="D35">
            <v>3432.4713821068221</v>
          </cell>
          <cell r="E35">
            <v>3710.1259161930348</v>
          </cell>
          <cell r="F35">
            <v>3438.4648473222746</v>
          </cell>
          <cell r="G35">
            <v>3502.7282554620424</v>
          </cell>
          <cell r="H35">
            <v>3204.2748120003389</v>
          </cell>
          <cell r="I35">
            <v>3053.6835819297053</v>
          </cell>
          <cell r="J35">
            <v>2931.6157682550465</v>
          </cell>
          <cell r="K35">
            <v>3093.4485042785177</v>
          </cell>
          <cell r="L35">
            <v>3225.9877071060077</v>
          </cell>
          <cell r="M35">
            <v>3371.0322514937534</v>
          </cell>
          <cell r="N35">
            <v>3699.0854313652449</v>
          </cell>
          <cell r="O35">
            <v>3797.0047602801224</v>
          </cell>
          <cell r="P35">
            <v>3352.7579095521733</v>
          </cell>
          <cell r="Q35">
            <v>3942.5085592935238</v>
          </cell>
          <cell r="R35">
            <v>3918.9665288831839</v>
          </cell>
          <cell r="S35">
            <v>3846.8331932773112</v>
          </cell>
          <cell r="T35">
            <v>4184.6888253778243</v>
          </cell>
          <cell r="U35">
            <v>4022.433</v>
          </cell>
          <cell r="V35">
            <v>4409.5477865168541</v>
          </cell>
          <cell r="W35">
            <v>4353.97</v>
          </cell>
          <cell r="X35">
            <v>4415.6539999999995</v>
          </cell>
          <cell r="Y35">
            <v>5372.2305579329113</v>
          </cell>
          <cell r="Z35">
            <v>5824.8103118398249</v>
          </cell>
          <cell r="AA35">
            <v>5796.8909060000005</v>
          </cell>
          <cell r="AB35">
            <v>6362.3520310000004</v>
          </cell>
          <cell r="AC35">
            <v>5646.7027969999999</v>
          </cell>
          <cell r="AD35">
            <v>6435.5479609999993</v>
          </cell>
          <cell r="AE35">
            <v>6613.0283160873641</v>
          </cell>
          <cell r="AF35">
            <v>7078.56612378932</v>
          </cell>
          <cell r="AG35">
            <v>7122</v>
          </cell>
          <cell r="AH35">
            <v>6940.0000000000009</v>
          </cell>
          <cell r="AI35">
            <v>6890.0000000000018</v>
          </cell>
          <cell r="AJ35">
            <v>7182.0000000000009</v>
          </cell>
          <cell r="AK35">
            <v>7274.0000000000009</v>
          </cell>
          <cell r="AL35">
            <v>7416.0000000000018</v>
          </cell>
          <cell r="AM35">
            <v>7525.0000000000018</v>
          </cell>
        </row>
        <row r="36">
          <cell r="B36">
            <v>2487.0116575615757</v>
          </cell>
          <cell r="C36">
            <v>2632.6619361477756</v>
          </cell>
          <cell r="D36">
            <v>2917.4713821068221</v>
          </cell>
          <cell r="E36">
            <v>2956.1259161930348</v>
          </cell>
          <cell r="F36">
            <v>2949.2078473222746</v>
          </cell>
          <cell r="G36">
            <v>2913.7562554620426</v>
          </cell>
          <cell r="H36">
            <v>2643.3448120003391</v>
          </cell>
          <cell r="I36">
            <v>2543.2575819297053</v>
          </cell>
          <cell r="J36">
            <v>2544.6947682550467</v>
          </cell>
          <cell r="K36">
            <v>2645.1905042785179</v>
          </cell>
          <cell r="L36">
            <v>2702.2407071060079</v>
          </cell>
          <cell r="M36">
            <v>2918.9032514937535</v>
          </cell>
          <cell r="N36">
            <v>3262.838431365245</v>
          </cell>
          <cell r="O36">
            <v>3311.9467602801224</v>
          </cell>
          <cell r="P36">
            <v>2925.1259095521732</v>
          </cell>
          <cell r="Q36">
            <v>3291.1535592935238</v>
          </cell>
          <cell r="R36">
            <v>3315.788528883184</v>
          </cell>
          <cell r="S36">
            <v>3388.3581932773113</v>
          </cell>
          <cell r="T36">
            <v>3481.9938253778241</v>
          </cell>
          <cell r="U36">
            <v>3598.5039999999999</v>
          </cell>
          <cell r="V36">
            <v>3714.6897865168539</v>
          </cell>
          <cell r="W36">
            <v>3692.8620000000001</v>
          </cell>
          <cell r="X36">
            <v>3890.3919999999994</v>
          </cell>
          <cell r="Y36">
            <v>4554.773557932911</v>
          </cell>
          <cell r="Z36">
            <v>5032.8443118398245</v>
          </cell>
          <cell r="AA36">
            <v>4900.9808500000008</v>
          </cell>
          <cell r="AB36">
            <v>4851.5121340000005</v>
          </cell>
          <cell r="AC36">
            <v>4754.0714829999997</v>
          </cell>
          <cell r="AD36">
            <v>4950.3512589999991</v>
          </cell>
          <cell r="AE36">
            <v>5093.1978250873644</v>
          </cell>
          <cell r="AF36">
            <v>5380.5916527893205</v>
          </cell>
          <cell r="AG36">
            <v>5622</v>
          </cell>
          <cell r="AH36">
            <v>5690.0000000000009</v>
          </cell>
          <cell r="AI36">
            <v>5790.0000000000018</v>
          </cell>
          <cell r="AJ36">
            <v>6182.0000000000009</v>
          </cell>
          <cell r="AK36">
            <v>6324.0000000000009</v>
          </cell>
          <cell r="AL36">
            <v>6516.0000000000018</v>
          </cell>
          <cell r="AM36">
            <v>6625.0000000000018</v>
          </cell>
        </row>
        <row r="37">
          <cell r="B37">
            <v>73</v>
          </cell>
          <cell r="C37">
            <v>147</v>
          </cell>
          <cell r="D37">
            <v>152</v>
          </cell>
          <cell r="E37">
            <v>181</v>
          </cell>
          <cell r="F37">
            <v>147</v>
          </cell>
          <cell r="G37">
            <v>149</v>
          </cell>
          <cell r="H37">
            <v>149</v>
          </cell>
          <cell r="I37">
            <v>130</v>
          </cell>
          <cell r="J37">
            <v>98</v>
          </cell>
          <cell r="K37">
            <v>102</v>
          </cell>
          <cell r="L37">
            <v>102</v>
          </cell>
          <cell r="M37">
            <v>154</v>
          </cell>
          <cell r="N37">
            <v>142</v>
          </cell>
          <cell r="O37">
            <v>173</v>
          </cell>
          <cell r="P37">
            <v>271</v>
          </cell>
          <cell r="Q37">
            <v>220</v>
          </cell>
          <cell r="R37">
            <v>220</v>
          </cell>
          <cell r="S37">
            <v>220</v>
          </cell>
          <cell r="T37">
            <v>250</v>
          </cell>
          <cell r="U37">
            <v>290</v>
          </cell>
          <cell r="V37">
            <v>310</v>
          </cell>
          <cell r="W37">
            <v>310</v>
          </cell>
          <cell r="X37">
            <v>420</v>
          </cell>
          <cell r="Y37">
            <v>450</v>
          </cell>
          <cell r="Z37">
            <v>470</v>
          </cell>
          <cell r="AA37">
            <v>500</v>
          </cell>
          <cell r="AB37">
            <v>500</v>
          </cell>
          <cell r="AC37">
            <v>500</v>
          </cell>
          <cell r="AD37">
            <v>525</v>
          </cell>
          <cell r="AE37">
            <v>550</v>
          </cell>
          <cell r="AF37">
            <v>550</v>
          </cell>
          <cell r="AG37">
            <v>450</v>
          </cell>
          <cell r="AH37">
            <v>450</v>
          </cell>
          <cell r="AI37">
            <v>450</v>
          </cell>
          <cell r="AJ37">
            <v>450</v>
          </cell>
          <cell r="AK37">
            <v>450</v>
          </cell>
          <cell r="AL37">
            <v>450</v>
          </cell>
          <cell r="AM37">
            <v>450</v>
          </cell>
        </row>
        <row r="40">
          <cell r="B40">
            <v>114</v>
          </cell>
          <cell r="C40">
            <v>233</v>
          </cell>
          <cell r="D40">
            <v>141</v>
          </cell>
          <cell r="E40">
            <v>458</v>
          </cell>
          <cell r="F40">
            <v>251.25699999999995</v>
          </cell>
          <cell r="G40">
            <v>289.97199999999998</v>
          </cell>
          <cell r="H40">
            <v>240.92999999999998</v>
          </cell>
          <cell r="I40">
            <v>184.42599999999999</v>
          </cell>
          <cell r="J40">
            <v>102.92099999999999</v>
          </cell>
          <cell r="K40">
            <v>156.25799999999998</v>
          </cell>
          <cell r="L40">
            <v>217.74700000000001</v>
          </cell>
          <cell r="M40">
            <v>187.12900000000002</v>
          </cell>
          <cell r="N40">
            <v>133.24700000000001</v>
          </cell>
          <cell r="O40">
            <v>147.05799999999999</v>
          </cell>
          <cell r="P40">
            <v>112.63200000000001</v>
          </cell>
          <cell r="Q40">
            <v>126.35499999999999</v>
          </cell>
          <cell r="R40">
            <v>151.17800000000003</v>
          </cell>
          <cell r="S40">
            <v>163.47500000000002</v>
          </cell>
          <cell r="T40">
            <v>203.69499999999999</v>
          </cell>
          <cell r="U40">
            <v>237.929</v>
          </cell>
          <cell r="V40">
            <v>365.858</v>
          </cell>
          <cell r="W40">
            <v>409.10799999999995</v>
          </cell>
          <cell r="X40">
            <v>367.262</v>
          </cell>
          <cell r="Y40">
            <v>463.45699999999994</v>
          </cell>
          <cell r="Z40">
            <v>533.96600000000001</v>
          </cell>
          <cell r="AA40">
            <v>523.91005599999994</v>
          </cell>
          <cell r="AB40">
            <v>862.83989699999961</v>
          </cell>
          <cell r="AC40">
            <v>681.63131399999997</v>
          </cell>
          <cell r="AD40">
            <v>839.19670200000007</v>
          </cell>
          <cell r="AE40">
            <v>1227.8304909999999</v>
          </cell>
          <cell r="AF40">
            <v>956.97447099999965</v>
          </cell>
          <cell r="AG40">
            <v>1000</v>
          </cell>
          <cell r="AH40">
            <v>850</v>
          </cell>
          <cell r="AI40">
            <v>550</v>
          </cell>
          <cell r="AJ40">
            <v>500</v>
          </cell>
          <cell r="AK40">
            <v>400</v>
          </cell>
          <cell r="AL40">
            <v>400</v>
          </cell>
          <cell r="AM40">
            <v>400</v>
          </cell>
        </row>
        <row r="41">
          <cell r="B41">
            <v>2601.0116575615757</v>
          </cell>
          <cell r="C41">
            <v>2865.6619361477756</v>
          </cell>
          <cell r="D41">
            <v>3058.4713821068221</v>
          </cell>
          <cell r="E41">
            <v>3414.1259161930348</v>
          </cell>
          <cell r="F41">
            <v>3200.4648473222746</v>
          </cell>
          <cell r="G41">
            <v>3203.7282554620424</v>
          </cell>
          <cell r="H41">
            <v>2884.2748120003389</v>
          </cell>
          <cell r="I41">
            <v>2727.6835819297053</v>
          </cell>
          <cell r="J41">
            <v>2647.6157682550465</v>
          </cell>
          <cell r="K41">
            <v>2801.4485042785177</v>
          </cell>
          <cell r="L41">
            <v>2919.9877071060077</v>
          </cell>
          <cell r="M41">
            <v>3106.0322514937534</v>
          </cell>
          <cell r="N41">
            <v>3396.0854313652449</v>
          </cell>
          <cell r="O41">
            <v>3459.0047602801224</v>
          </cell>
          <cell r="P41">
            <v>3037.7579095521733</v>
          </cell>
          <cell r="Q41">
            <v>3417.5085592935238</v>
          </cell>
          <cell r="R41">
            <v>3466.9665288831839</v>
          </cell>
          <cell r="S41">
            <v>3551.8331932773112</v>
          </cell>
          <cell r="T41">
            <v>3685.6888253778243</v>
          </cell>
          <cell r="U41">
            <v>3836.433</v>
          </cell>
          <cell r="V41">
            <v>4080.5477865168541</v>
          </cell>
          <cell r="W41">
            <v>4101.97</v>
          </cell>
          <cell r="X41">
            <v>4257.6539999999995</v>
          </cell>
          <cell r="Y41">
            <v>5018.2305579329113</v>
          </cell>
          <cell r="Z41">
            <v>5566.8103118398249</v>
          </cell>
          <cell r="AA41">
            <v>5424.8909060000005</v>
          </cell>
          <cell r="AB41">
            <v>5714.3520310000004</v>
          </cell>
          <cell r="AC41">
            <v>5435.7027969999999</v>
          </cell>
          <cell r="AD41">
            <v>5789.5479609999993</v>
          </cell>
          <cell r="AE41">
            <v>6321.0283160873641</v>
          </cell>
          <cell r="AF41">
            <v>6337.56612378932</v>
          </cell>
          <cell r="AG41">
            <v>6622</v>
          </cell>
          <cell r="AH41">
            <v>6540.0000000000009</v>
          </cell>
          <cell r="AI41">
            <v>6340.0000000000018</v>
          </cell>
          <cell r="AJ41">
            <v>6682.0000000000009</v>
          </cell>
          <cell r="AK41">
            <v>6724.0000000000009</v>
          </cell>
          <cell r="AL41">
            <v>6916.0000000000018</v>
          </cell>
          <cell r="AM41">
            <v>7025.0000000000018</v>
          </cell>
        </row>
        <row r="42">
          <cell r="B42">
            <v>199</v>
          </cell>
          <cell r="C42">
            <v>274</v>
          </cell>
          <cell r="D42">
            <v>374</v>
          </cell>
          <cell r="E42">
            <v>296</v>
          </cell>
          <cell r="F42">
            <v>238</v>
          </cell>
          <cell r="G42">
            <v>299</v>
          </cell>
          <cell r="H42">
            <v>320</v>
          </cell>
          <cell r="I42">
            <v>326</v>
          </cell>
          <cell r="J42">
            <v>284</v>
          </cell>
          <cell r="K42">
            <v>292</v>
          </cell>
          <cell r="L42">
            <v>306</v>
          </cell>
          <cell r="M42">
            <v>265</v>
          </cell>
          <cell r="N42">
            <v>303</v>
          </cell>
          <cell r="O42">
            <v>338</v>
          </cell>
          <cell r="P42">
            <v>315</v>
          </cell>
          <cell r="Q42">
            <v>525</v>
          </cell>
          <cell r="R42">
            <v>452</v>
          </cell>
          <cell r="S42">
            <v>295</v>
          </cell>
          <cell r="T42">
            <v>499</v>
          </cell>
          <cell r="U42">
            <v>186</v>
          </cell>
          <cell r="V42">
            <v>329</v>
          </cell>
          <cell r="W42">
            <v>252</v>
          </cell>
          <cell r="X42">
            <v>158</v>
          </cell>
          <cell r="Y42">
            <v>354</v>
          </cell>
          <cell r="Z42">
            <v>258</v>
          </cell>
          <cell r="AA42">
            <v>372</v>
          </cell>
          <cell r="AB42">
            <v>648</v>
          </cell>
          <cell r="AC42">
            <v>211</v>
          </cell>
          <cell r="AD42">
            <v>646</v>
          </cell>
          <cell r="AE42">
            <v>292</v>
          </cell>
          <cell r="AF42">
            <v>741</v>
          </cell>
          <cell r="AG42">
            <v>500</v>
          </cell>
          <cell r="AH42">
            <v>400</v>
          </cell>
          <cell r="AI42">
            <v>550</v>
          </cell>
          <cell r="AJ42">
            <v>500</v>
          </cell>
          <cell r="AK42">
            <v>550</v>
          </cell>
          <cell r="AL42">
            <v>500</v>
          </cell>
          <cell r="AM42">
            <v>500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d"/>
    </sheetNames>
    <sheetDataSet>
      <sheetData sheetId="0" refreshError="1">
        <row r="5">
          <cell r="H5">
            <v>719</v>
          </cell>
          <cell r="P5">
            <v>605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2206E-D189-4EBD-BFC1-CAD037347675}">
  <dimension ref="A1:AN79"/>
  <sheetViews>
    <sheetView tabSelected="1" zoomScale="85" zoomScaleNormal="85" workbookViewId="0">
      <pane xSplit="2" ySplit="2" topLeftCell="V58" activePane="bottomRight" state="frozen"/>
      <selection activeCell="X71" sqref="X71:AM72"/>
      <selection pane="topRight" activeCell="X71" sqref="X71:AM72"/>
      <selection pane="bottomLeft" activeCell="X71" sqref="X71:AM72"/>
      <selection pane="bottomRight" activeCell="X71" sqref="X71:AM72"/>
    </sheetView>
  </sheetViews>
  <sheetFormatPr defaultColWidth="8.875" defaultRowHeight="15"/>
  <cols>
    <col min="1" max="1" width="8.875" style="25"/>
    <col min="2" max="2" width="41.875" style="3" customWidth="1"/>
    <col min="3" max="27" width="9.125" style="3" customWidth="1"/>
    <col min="28" max="40" width="9.625" style="3" customWidth="1"/>
    <col min="41" max="16384" width="8.875" style="3"/>
  </cols>
  <sheetData>
    <row r="1" spans="1:40" ht="21" thickBo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s="7" customFormat="1" ht="17.25" thickBot="1">
      <c r="A2" s="4"/>
      <c r="B2" s="5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tr">
        <f>'Vegetable Oil'!AH3</f>
        <v xml:space="preserve">24/25 </v>
      </c>
      <c r="AI2" s="6" t="str">
        <f>'Vegetable Oil'!AI3</f>
        <v xml:space="preserve">25/26 </v>
      </c>
      <c r="AJ2" s="6" t="str">
        <f>'Vegetable Oil'!AJ3</f>
        <v xml:space="preserve">26/27 </v>
      </c>
      <c r="AK2" s="6" t="str">
        <f>'Vegetable Oil'!AK3</f>
        <v xml:space="preserve">27/28 </v>
      </c>
      <c r="AL2" s="6" t="str">
        <f>'Vegetable Oil'!AL3</f>
        <v xml:space="preserve">28/29 </v>
      </c>
      <c r="AM2" s="6" t="str">
        <f>'Vegetable Oil'!AM3</f>
        <v xml:space="preserve">29/30 </v>
      </c>
      <c r="AN2" s="6" t="str">
        <f>'Vegetable Oil'!AN3</f>
        <v xml:space="preserve">30/31 </v>
      </c>
    </row>
    <row r="3" spans="1:40" s="7" customFormat="1" ht="16.5">
      <c r="A3" s="8"/>
      <c r="B3" s="9"/>
      <c r="C3" s="10"/>
      <c r="D3" s="10"/>
      <c r="E3" s="10"/>
      <c r="F3" s="10"/>
      <c r="G3" s="10"/>
      <c r="H3" s="10"/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s="7" customFormat="1" ht="17.25" thickBot="1">
      <c r="A4" s="12" t="s">
        <v>33</v>
      </c>
      <c r="C4" s="13">
        <f>SUM(C5:C7)</f>
        <v>7784</v>
      </c>
      <c r="D4" s="13">
        <f t="shared" ref="D4:AN4" si="0">SUM(D5:D7)</f>
        <v>8292</v>
      </c>
      <c r="E4" s="13">
        <f t="shared" si="0"/>
        <v>8352</v>
      </c>
      <c r="F4" s="13">
        <f t="shared" si="0"/>
        <v>8068</v>
      </c>
      <c r="G4" s="13">
        <f t="shared" si="0"/>
        <v>8188</v>
      </c>
      <c r="H4" s="13">
        <f t="shared" si="0"/>
        <v>8860</v>
      </c>
      <c r="I4" s="13">
        <f t="shared" si="0"/>
        <v>9826</v>
      </c>
      <c r="J4" s="13">
        <f t="shared" si="0"/>
        <v>8233</v>
      </c>
      <c r="K4" s="13">
        <f t="shared" si="0"/>
        <v>8222</v>
      </c>
      <c r="L4" s="13">
        <f t="shared" si="0"/>
        <v>8145</v>
      </c>
      <c r="M4" s="13">
        <f t="shared" si="0"/>
        <v>8853</v>
      </c>
      <c r="N4" s="13">
        <f t="shared" si="0"/>
        <v>8699</v>
      </c>
      <c r="O4" s="13">
        <f t="shared" si="0"/>
        <v>8935</v>
      </c>
      <c r="P4" s="13">
        <f t="shared" si="0"/>
        <v>9986</v>
      </c>
      <c r="Q4" s="13">
        <f t="shared" si="0"/>
        <v>10482.85</v>
      </c>
      <c r="R4" s="13">
        <f t="shared" si="0"/>
        <v>9969.51</v>
      </c>
      <c r="S4" s="13">
        <f t="shared" si="0"/>
        <v>10815.93</v>
      </c>
      <c r="T4" s="13">
        <f t="shared" si="0"/>
        <v>11212.039999999999</v>
      </c>
      <c r="U4" s="13">
        <f t="shared" si="0"/>
        <v>11564</v>
      </c>
      <c r="V4" s="13">
        <f t="shared" si="0"/>
        <v>10956.1</v>
      </c>
      <c r="W4" s="13">
        <f t="shared" si="0"/>
        <v>11802.34</v>
      </c>
      <c r="X4" s="13">
        <f t="shared" si="0"/>
        <v>11549.25</v>
      </c>
      <c r="Y4" s="13">
        <f t="shared" si="0"/>
        <v>10901.41</v>
      </c>
      <c r="Z4" s="13">
        <f t="shared" si="0"/>
        <v>10919.969999999998</v>
      </c>
      <c r="AA4" s="13">
        <f t="shared" si="0"/>
        <v>11459.78</v>
      </c>
      <c r="AB4" s="13">
        <f t="shared" si="0"/>
        <v>11298.669999999998</v>
      </c>
      <c r="AC4" s="13">
        <f t="shared" si="0"/>
        <v>10364.48</v>
      </c>
      <c r="AD4" s="13">
        <f t="shared" si="0"/>
        <v>10660.260000000002</v>
      </c>
      <c r="AE4" s="13">
        <f t="shared" si="0"/>
        <v>10634.55</v>
      </c>
      <c r="AF4" s="13">
        <f t="shared" si="0"/>
        <v>11915.31</v>
      </c>
      <c r="AG4" s="13">
        <f t="shared" si="0"/>
        <v>11865.54</v>
      </c>
      <c r="AH4" s="13">
        <f t="shared" si="0"/>
        <v>11721.400000000001</v>
      </c>
      <c r="AI4" s="13">
        <f t="shared" si="0"/>
        <v>11300.153333333334</v>
      </c>
      <c r="AJ4" s="13">
        <f t="shared" si="0"/>
        <v>11655</v>
      </c>
      <c r="AK4" s="13">
        <f t="shared" si="0"/>
        <v>11643.837111111105</v>
      </c>
      <c r="AL4" s="13">
        <f t="shared" si="0"/>
        <v>11734.73157883597</v>
      </c>
      <c r="AM4" s="13">
        <f t="shared" si="0"/>
        <v>12009.929034779532</v>
      </c>
      <c r="AN4" s="13">
        <f t="shared" si="0"/>
        <v>11992.785767198446</v>
      </c>
    </row>
    <row r="5" spans="1:40" s="7" customFormat="1" ht="16.5">
      <c r="A5" s="8"/>
      <c r="B5" s="14" t="s">
        <v>34</v>
      </c>
      <c r="C5" s="15">
        <f>'[2]EU Soy Complex'!AE$4</f>
        <v>397</v>
      </c>
      <c r="D5" s="15">
        <f>'[2]EU Soy Complex'!AF$4</f>
        <v>448</v>
      </c>
      <c r="E5" s="15">
        <f>'[2]EU Soy Complex'!AG$4</f>
        <v>389</v>
      </c>
      <c r="F5" s="15">
        <f>'[2]EU Soy Complex'!AH$4</f>
        <v>445</v>
      </c>
      <c r="G5" s="15">
        <f>'[2]EU Soy Complex'!AI$4</f>
        <v>547</v>
      </c>
      <c r="H5" s="15">
        <f>'[2]EU Soy Complex'!AJ$4</f>
        <v>725</v>
      </c>
      <c r="I5" s="15">
        <f>'[2]EU Soy Complex'!AK$4</f>
        <v>529</v>
      </c>
      <c r="J5" s="15">
        <f>'[2]EU Soy Complex'!AL$4</f>
        <v>513</v>
      </c>
      <c r="K5" s="15">
        <f>'[2]EU Soy Complex'!AM$4</f>
        <v>479</v>
      </c>
      <c r="L5" s="15">
        <f>'[2]EU Soy Complex'!AN$4</f>
        <v>391</v>
      </c>
      <c r="M5" s="15">
        <f>'[2]EU Soy Complex'!AO$4</f>
        <v>459</v>
      </c>
      <c r="N5" s="15">
        <f>'[2]EU Soy Complex'!AP$4</f>
        <v>431</v>
      </c>
      <c r="O5" s="15">
        <f>'[2]EU Soy Complex'!AQ$4</f>
        <v>451</v>
      </c>
      <c r="P5" s="15">
        <f>'[2]EU Soy Complex'!AR$4</f>
        <v>557</v>
      </c>
      <c r="Q5" s="15">
        <f>'[2]EU Soy Complex'!AS$4</f>
        <v>411.85</v>
      </c>
      <c r="R5" s="15">
        <f>'[2]EU Soy Complex'!AT$4</f>
        <v>273.02</v>
      </c>
      <c r="S5" s="15">
        <f>'[2]EU Soy Complex'!AU$4</f>
        <v>352</v>
      </c>
      <c r="T5" s="15">
        <f>'[2]EU Soy Complex'!AV$4</f>
        <v>428.90000000000003</v>
      </c>
      <c r="U5" s="15">
        <f>'[2]EU Soy Complex'!AW$4</f>
        <v>447.43</v>
      </c>
      <c r="V5" s="15">
        <f>'[2]EU Soy Complex'!AX$4</f>
        <v>434.34999999999997</v>
      </c>
      <c r="W5" s="15">
        <f>'[2]EU Soy Complex'!AY$4</f>
        <v>465.53999999999996</v>
      </c>
      <c r="X5" s="15">
        <f>'[2]EU Soy Complex'!AZ$4</f>
        <v>568.85</v>
      </c>
      <c r="Y5" s="15">
        <f>'[2]EU Soy Complex'!BA$4</f>
        <v>881.42000000000007</v>
      </c>
      <c r="Z5" s="15">
        <f>'[2]EU Soy Complex'!BB$4</f>
        <v>831.18999999999994</v>
      </c>
      <c r="AA5" s="15">
        <f>'[2]EU Soy Complex'!BC$4</f>
        <v>962.39</v>
      </c>
      <c r="AB5" s="15">
        <f>'[2]EU Soy Complex'!BD$4</f>
        <v>955.39999999999986</v>
      </c>
      <c r="AC5" s="15">
        <f>'[2]EU Soy Complex'!BE$4</f>
        <v>907.9</v>
      </c>
      <c r="AD5" s="15">
        <f>'[2]EU Soy Complex'!BF$4</f>
        <v>942.86</v>
      </c>
      <c r="AE5" s="15">
        <f>'[2]EU Soy Complex'!BG$4</f>
        <v>939.77999999999986</v>
      </c>
      <c r="AF5" s="15">
        <f>'[2]EU Soy Complex'!BH$4</f>
        <v>1094.69</v>
      </c>
      <c r="AG5" s="15">
        <f>'[2]EU Soy Complex'!BI$4</f>
        <v>985.12</v>
      </c>
      <c r="AH5" s="15">
        <f>'[2]EU Soy Complex'!BJ$4</f>
        <v>1118</v>
      </c>
      <c r="AI5" s="15">
        <f>'[2]EU Soy Complex'!BK$4</f>
        <v>1026.6666666666665</v>
      </c>
      <c r="AJ5" s="15">
        <f>'[2]EU Soy Complex'!BL$4</f>
        <v>1225</v>
      </c>
      <c r="AK5" s="15">
        <f>'[2]EU Soy Complex'!BM$4</f>
        <v>1168.8371111111046</v>
      </c>
      <c r="AL5" s="15">
        <f>'[2]EU Soy Complex'!BN$4</f>
        <v>1169.7315788359701</v>
      </c>
      <c r="AM5" s="15">
        <f>'[2]EU Soy Complex'!BO$4</f>
        <v>1154.9290347795322</v>
      </c>
      <c r="AN5" s="15">
        <f>'[2]EU Soy Complex'!BP$4</f>
        <v>1132.7857671984457</v>
      </c>
    </row>
    <row r="6" spans="1:40" s="7" customFormat="1" ht="16.5">
      <c r="A6" s="16"/>
      <c r="B6" s="17" t="s">
        <v>35</v>
      </c>
      <c r="C6" s="18">
        <f>'[3]EU Rapeseed'!B$5</f>
        <v>2997</v>
      </c>
      <c r="D6" s="18">
        <f>'[3]EU Rapeseed'!C$5</f>
        <v>3443</v>
      </c>
      <c r="E6" s="18">
        <f>'[3]EU Rapeseed'!D$5</f>
        <v>3794</v>
      </c>
      <c r="F6" s="18">
        <f>'[3]EU Rapeseed'!E$5</f>
        <v>3344</v>
      </c>
      <c r="G6" s="18">
        <f>'[3]EU Rapeseed'!F$5</f>
        <v>3559</v>
      </c>
      <c r="H6" s="18">
        <f>'[3]EU Rapeseed'!G$5</f>
        <v>4037</v>
      </c>
      <c r="I6" s="18">
        <f>'[3]EU Rapeseed'!H$5</f>
        <v>4995</v>
      </c>
      <c r="J6" s="18">
        <f>'[3]EU Rapeseed'!I$5</f>
        <v>4137</v>
      </c>
      <c r="K6" s="18">
        <f>'[3]EU Rapeseed'!J$5</f>
        <v>4169</v>
      </c>
      <c r="L6" s="18">
        <f>'[3]EU Rapeseed'!K$5</f>
        <v>4283</v>
      </c>
      <c r="M6" s="18">
        <f>'[3]EU Rapeseed'!L$5</f>
        <v>4214</v>
      </c>
      <c r="N6" s="18">
        <f>'[3]EU Rapeseed'!M$5</f>
        <v>4586</v>
      </c>
      <c r="O6" s="18">
        <f>'[3]EU Rapeseed'!N$5</f>
        <v>4866</v>
      </c>
      <c r="P6" s="18">
        <f>'[3]EU Rapeseed'!O$5</f>
        <v>5416</v>
      </c>
      <c r="Q6" s="18">
        <f>'[3]EU Rapeseed'!P$5</f>
        <v>6567</v>
      </c>
      <c r="R6" s="18">
        <f>'[3]EU Rapeseed'!Q$5</f>
        <v>6204</v>
      </c>
      <c r="S6" s="18">
        <f>'[3]EU Rapeseed'!R$5</f>
        <v>6545</v>
      </c>
      <c r="T6" s="18">
        <f>'[3]EU Rapeseed'!S$5</f>
        <v>7001</v>
      </c>
      <c r="U6" s="18">
        <f>'[3]EU Rapeseed'!T$5</f>
        <v>6749</v>
      </c>
      <c r="V6" s="18">
        <f>'[3]EU Rapeseed'!U$5</f>
        <v>6209.12</v>
      </c>
      <c r="W6" s="18">
        <f>'[3]EU Rapeseed'!V$5</f>
        <v>6713.57</v>
      </c>
      <c r="X6" s="18">
        <f>'[3]EU Rapeseed'!W$5</f>
        <v>6714.36</v>
      </c>
      <c r="Y6" s="18">
        <f>'[3]EU Rapeseed'!X$5</f>
        <v>5822.39</v>
      </c>
      <c r="Z6" s="18">
        <f>'[3]EU Rapeseed'!Y$5</f>
        <v>5955.65</v>
      </c>
      <c r="AA6" s="18">
        <f>'[3]EU Rapeseed'!Z$5</f>
        <v>6185.75</v>
      </c>
      <c r="AB6" s="18">
        <f>'[3]EU Rapeseed'!AA$5</f>
        <v>6317.62</v>
      </c>
      <c r="AC6" s="18">
        <f>'[3]EU Rapeseed'!AB$5</f>
        <v>5118.72</v>
      </c>
      <c r="AD6" s="18">
        <f>'[3]EU Rapeseed'!AC$5</f>
        <v>5321.72</v>
      </c>
      <c r="AE6" s="18">
        <f>'[3]EU Rapeseed'!AD$5</f>
        <v>5326</v>
      </c>
      <c r="AF6" s="18">
        <f>'[3]EU Rapeseed'!AE$5</f>
        <v>5886.86</v>
      </c>
      <c r="AG6" s="18">
        <f>'[3]EU Rapeseed'!AF$5</f>
        <v>6192.83</v>
      </c>
      <c r="AH6" s="18">
        <f>'[3]EU Rapeseed'!AG$5</f>
        <v>5726.51</v>
      </c>
      <c r="AI6" s="18">
        <f>'[3]EU Rapeseed'!AH$5</f>
        <v>5650</v>
      </c>
      <c r="AJ6" s="18">
        <f>'[3]EU Rapeseed'!AI$5</f>
        <v>5650</v>
      </c>
      <c r="AK6" s="18">
        <f>'[3]EU Rapeseed'!AJ$5</f>
        <v>5650</v>
      </c>
      <c r="AL6" s="18">
        <f>'[3]EU Rapeseed'!AK$5</f>
        <v>5700</v>
      </c>
      <c r="AM6" s="18">
        <f>'[3]EU Rapeseed'!AL$5</f>
        <v>5900</v>
      </c>
      <c r="AN6" s="18">
        <f>'[3]EU Rapeseed'!AM$5</f>
        <v>5850</v>
      </c>
    </row>
    <row r="7" spans="1:40" s="7" customFormat="1" ht="16.5">
      <c r="A7" s="16"/>
      <c r="B7" s="17" t="s">
        <v>36</v>
      </c>
      <c r="C7" s="18">
        <f>'[4]EU Sun Complex'!B$5</f>
        <v>4390</v>
      </c>
      <c r="D7" s="18">
        <f>'[4]EU Sun Complex'!C$5</f>
        <v>4401</v>
      </c>
      <c r="E7" s="18">
        <f>'[4]EU Sun Complex'!D$5</f>
        <v>4169</v>
      </c>
      <c r="F7" s="18">
        <f>'[4]EU Sun Complex'!E$5</f>
        <v>4279</v>
      </c>
      <c r="G7" s="18">
        <f>'[4]EU Sun Complex'!F$5</f>
        <v>4082</v>
      </c>
      <c r="H7" s="18">
        <f>'[4]EU Sun Complex'!G$5</f>
        <v>4098</v>
      </c>
      <c r="I7" s="18">
        <f>'[4]EU Sun Complex'!H$5</f>
        <v>4302</v>
      </c>
      <c r="J7" s="18">
        <f>'[4]EU Sun Complex'!I$5</f>
        <v>3583</v>
      </c>
      <c r="K7" s="18">
        <f>'[4]EU Sun Complex'!J$5</f>
        <v>3574</v>
      </c>
      <c r="L7" s="18">
        <f>'[4]EU Sun Complex'!K$5</f>
        <v>3471</v>
      </c>
      <c r="M7" s="18">
        <f>'[4]EU Sun Complex'!L$5</f>
        <v>4180</v>
      </c>
      <c r="N7" s="18">
        <f>'[4]EU Sun Complex'!M$5</f>
        <v>3682</v>
      </c>
      <c r="O7" s="18">
        <f>'[4]EU Sun Complex'!N$5</f>
        <v>3618</v>
      </c>
      <c r="P7" s="18">
        <f>'[4]EU Sun Complex'!O$5</f>
        <v>4013</v>
      </c>
      <c r="Q7" s="18">
        <f>'[4]EU Sun Complex'!P$5</f>
        <v>3504</v>
      </c>
      <c r="R7" s="18">
        <f>'[4]EU Sun Complex'!Q$5</f>
        <v>3492.49</v>
      </c>
      <c r="S7" s="18">
        <f>'[4]EU Sun Complex'!R$5</f>
        <v>3918.93</v>
      </c>
      <c r="T7" s="18">
        <f>'[4]EU Sun Complex'!S$5</f>
        <v>3782.139999999999</v>
      </c>
      <c r="U7" s="18">
        <f>'[4]EU Sun Complex'!T$5</f>
        <v>4367.57</v>
      </c>
      <c r="V7" s="18">
        <f>'[4]EU Sun Complex'!U$5</f>
        <v>4312.63</v>
      </c>
      <c r="W7" s="18">
        <f>'[4]EU Sun Complex'!V$5</f>
        <v>4623.2300000000005</v>
      </c>
      <c r="X7" s="18">
        <f>'[4]EU Sun Complex'!W$5</f>
        <v>4266.04</v>
      </c>
      <c r="Y7" s="18">
        <f>'[4]EU Sun Complex'!X$5</f>
        <v>4197.5999999999995</v>
      </c>
      <c r="Z7" s="18">
        <f>'[4]EU Sun Complex'!Y$5</f>
        <v>4133.1299999999992</v>
      </c>
      <c r="AA7" s="18">
        <f>'[4]EU Sun Complex'!Z$5</f>
        <v>4311.6400000000003</v>
      </c>
      <c r="AB7" s="18">
        <f>'[4]EU Sun Complex'!AA$5</f>
        <v>4025.6499999999996</v>
      </c>
      <c r="AC7" s="18">
        <f>'[4]EU Sun Complex'!AB$5</f>
        <v>4337.8600000000006</v>
      </c>
      <c r="AD7" s="18">
        <f>'[4]EU Sun Complex'!AC$5</f>
        <v>4395.6800000000012</v>
      </c>
      <c r="AE7" s="18">
        <f>'[4]EU Sun Complex'!AD$5</f>
        <v>4368.7699999999995</v>
      </c>
      <c r="AF7" s="18">
        <f>'[4]EU Sun Complex'!AE$5</f>
        <v>4933.76</v>
      </c>
      <c r="AG7" s="18">
        <f>'[4]EU Sun Complex'!AF$5</f>
        <v>4687.59</v>
      </c>
      <c r="AH7" s="18">
        <f>'[4]EU Sun Complex'!AG$5</f>
        <v>4876.8900000000003</v>
      </c>
      <c r="AI7" s="18">
        <f>'[4]EU Sun Complex'!AH$5</f>
        <v>4623.4866666666676</v>
      </c>
      <c r="AJ7" s="18">
        <f>'[4]EU Sun Complex'!AI$5</f>
        <v>4780</v>
      </c>
      <c r="AK7" s="18">
        <f>'[4]EU Sun Complex'!AJ$5</f>
        <v>4825</v>
      </c>
      <c r="AL7" s="18">
        <f>'[4]EU Sun Complex'!AK$5</f>
        <v>4865</v>
      </c>
      <c r="AM7" s="18">
        <f>'[4]EU Sun Complex'!AL$5</f>
        <v>4955</v>
      </c>
      <c r="AN7" s="18">
        <f>'[4]EU Sun Complex'!AM$5</f>
        <v>5010</v>
      </c>
    </row>
    <row r="8" spans="1:40" s="7" customFormat="1" ht="16.5">
      <c r="A8" s="16"/>
      <c r="B8" s="17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</row>
    <row r="9" spans="1:40" s="7" customFormat="1" ht="12" customHeight="1">
      <c r="A9" s="16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</row>
    <row r="10" spans="1:40" s="7" customFormat="1" ht="17.25" thickBot="1">
      <c r="A10" s="12" t="s">
        <v>37</v>
      </c>
      <c r="C10" s="13">
        <f>SUM(C11:C13)</f>
        <v>958.05799999999999</v>
      </c>
      <c r="D10" s="13">
        <f t="shared" ref="D10:AN10" si="1">SUM(D11:D13)</f>
        <v>968.82299999999998</v>
      </c>
      <c r="E10" s="13">
        <f t="shared" si="1"/>
        <v>1075.2190000000001</v>
      </c>
      <c r="F10" s="13">
        <f t="shared" si="1"/>
        <v>1339.9949999999999</v>
      </c>
      <c r="G10" s="13">
        <f t="shared" si="1"/>
        <v>1141.433</v>
      </c>
      <c r="H10" s="13">
        <f t="shared" si="1"/>
        <v>1022.2429999999999</v>
      </c>
      <c r="I10" s="13">
        <f t="shared" si="1"/>
        <v>984.85</v>
      </c>
      <c r="J10" s="13">
        <f t="shared" si="1"/>
        <v>1311.598</v>
      </c>
      <c r="K10" s="13">
        <f t="shared" si="1"/>
        <v>1918.492</v>
      </c>
      <c r="L10" s="13">
        <f t="shared" si="1"/>
        <v>1884.739</v>
      </c>
      <c r="M10" s="13">
        <f t="shared" si="1"/>
        <v>1746.076</v>
      </c>
      <c r="N10" s="13">
        <f t="shared" si="1"/>
        <v>1365.9939999999999</v>
      </c>
      <c r="O10" s="13">
        <f t="shared" si="1"/>
        <v>2487.1680000000001</v>
      </c>
      <c r="P10" s="13">
        <f t="shared" si="1"/>
        <v>2414.5700000000002</v>
      </c>
      <c r="Q10" s="13">
        <f t="shared" si="1"/>
        <v>2456.6019999999999</v>
      </c>
      <c r="R10" s="13">
        <f t="shared" si="1"/>
        <v>1681.279</v>
      </c>
      <c r="S10" s="13">
        <f t="shared" si="1"/>
        <v>2685.683</v>
      </c>
      <c r="T10" s="13">
        <f t="shared" si="1"/>
        <v>2744.5430000000001</v>
      </c>
      <c r="U10" s="13">
        <f t="shared" si="1"/>
        <v>3840.672</v>
      </c>
      <c r="V10" s="13">
        <f t="shared" si="1"/>
        <v>4863.4679999999998</v>
      </c>
      <c r="W10" s="13">
        <f t="shared" si="1"/>
        <v>3564.1239999999998</v>
      </c>
      <c r="X10" s="13">
        <f t="shared" si="1"/>
        <v>3321.3040000000001</v>
      </c>
      <c r="Y10" s="13">
        <f t="shared" si="1"/>
        <v>3024.0590000000002</v>
      </c>
      <c r="Z10" s="13">
        <f t="shared" si="1"/>
        <v>2956.116</v>
      </c>
      <c r="AA10" s="13">
        <f t="shared" si="1"/>
        <v>2631</v>
      </c>
      <c r="AB10" s="13">
        <f t="shared" si="1"/>
        <v>3662</v>
      </c>
      <c r="AC10" s="13">
        <f t="shared" si="1"/>
        <v>3979</v>
      </c>
      <c r="AD10" s="13">
        <f t="shared" si="1"/>
        <v>2677</v>
      </c>
      <c r="AE10" s="13">
        <f t="shared" si="1"/>
        <v>1531</v>
      </c>
      <c r="AF10" s="13">
        <f t="shared" si="1"/>
        <v>2774</v>
      </c>
      <c r="AG10" s="13">
        <f t="shared" si="1"/>
        <v>3457</v>
      </c>
      <c r="AH10" s="13">
        <f t="shared" si="1"/>
        <v>3255</v>
      </c>
      <c r="AI10" s="13">
        <f t="shared" si="1"/>
        <v>2969</v>
      </c>
      <c r="AJ10" s="13">
        <f t="shared" si="1"/>
        <v>2825</v>
      </c>
      <c r="AK10" s="13">
        <f t="shared" si="1"/>
        <v>3075</v>
      </c>
      <c r="AL10" s="13">
        <f t="shared" si="1"/>
        <v>3100</v>
      </c>
      <c r="AM10" s="13">
        <f t="shared" si="1"/>
        <v>3150</v>
      </c>
      <c r="AN10" s="13">
        <f t="shared" si="1"/>
        <v>3200</v>
      </c>
    </row>
    <row r="11" spans="1:40" s="7" customFormat="1" ht="16.5">
      <c r="A11" s="21"/>
      <c r="B11" s="22" t="s">
        <v>34</v>
      </c>
      <c r="C11" s="23">
        <f>'[2]EU Soy Complex'!AE$6</f>
        <v>676</v>
      </c>
      <c r="D11" s="23">
        <f>'[2]EU Soy Complex'!AF$6</f>
        <v>603</v>
      </c>
      <c r="E11" s="23">
        <f>'[2]EU Soy Complex'!AG$6</f>
        <v>809</v>
      </c>
      <c r="F11" s="23">
        <f>'[2]EU Soy Complex'!AH$6</f>
        <v>763</v>
      </c>
      <c r="G11" s="23">
        <f>'[2]EU Soy Complex'!AI$6</f>
        <v>769</v>
      </c>
      <c r="H11" s="23">
        <f>'[2]EU Soy Complex'!AJ$6</f>
        <v>838</v>
      </c>
      <c r="I11" s="23">
        <f>'[2]EU Soy Complex'!AK$6</f>
        <v>614</v>
      </c>
      <c r="J11" s="23">
        <f>'[2]EU Soy Complex'!AL$6</f>
        <v>667</v>
      </c>
      <c r="K11" s="23">
        <f>'[2]EU Soy Complex'!AM$6</f>
        <v>959</v>
      </c>
      <c r="L11" s="23">
        <f>'[2]EU Soy Complex'!AN$6</f>
        <v>1074</v>
      </c>
      <c r="M11" s="23">
        <f>'[2]EU Soy Complex'!AO$6</f>
        <v>876</v>
      </c>
      <c r="N11" s="23">
        <f>'[2]EU Soy Complex'!AP$6</f>
        <v>906</v>
      </c>
      <c r="O11" s="23">
        <f>'[2]EU Soy Complex'!AQ$6</f>
        <v>757</v>
      </c>
      <c r="P11" s="23">
        <f>'[2]EU Soy Complex'!AR$6</f>
        <v>733</v>
      </c>
      <c r="Q11" s="23">
        <f>'[2]EU Soy Complex'!AS$6</f>
        <v>1007</v>
      </c>
      <c r="R11" s="23">
        <f>'[2]EU Soy Complex'!AT$6</f>
        <v>707</v>
      </c>
      <c r="S11" s="23">
        <f>'[2]EU Soy Complex'!AU$6</f>
        <v>454</v>
      </c>
      <c r="T11" s="23">
        <f>'[2]EU Soy Complex'!AV$6</f>
        <v>541</v>
      </c>
      <c r="U11" s="23">
        <f>'[2]EU Soy Complex'!AW$6</f>
        <v>826</v>
      </c>
      <c r="V11" s="23">
        <f>'[2]EU Soy Complex'!AX$6</f>
        <v>1482</v>
      </c>
      <c r="W11" s="23">
        <f>'[2]EU Soy Complex'!AY$6</f>
        <v>1076</v>
      </c>
      <c r="X11" s="23">
        <f>'[2]EU Soy Complex'!AZ$6</f>
        <v>1253</v>
      </c>
      <c r="Y11" s="23">
        <f>'[2]EU Soy Complex'!BA$6</f>
        <v>863</v>
      </c>
      <c r="Z11" s="23">
        <f>'[2]EU Soy Complex'!BB$6</f>
        <v>1016</v>
      </c>
      <c r="AA11" s="23">
        <f>'[2]EU Soy Complex'!BC$6</f>
        <v>891</v>
      </c>
      <c r="AB11" s="23">
        <f>'[2]EU Soy Complex'!BD$6</f>
        <v>826</v>
      </c>
      <c r="AC11" s="23">
        <f>'[2]EU Soy Complex'!BE$6</f>
        <v>1228</v>
      </c>
      <c r="AD11" s="23">
        <f>'[2]EU Soy Complex'!BF$6</f>
        <v>665</v>
      </c>
      <c r="AE11" s="23">
        <f>'[2]EU Soy Complex'!BG$6</f>
        <v>462</v>
      </c>
      <c r="AF11" s="23">
        <f>'[2]EU Soy Complex'!BH$6</f>
        <v>1455</v>
      </c>
      <c r="AG11" s="23">
        <f>'[2]EU Soy Complex'!BI$6</f>
        <v>1447</v>
      </c>
      <c r="AH11" s="23">
        <f>'[2]EU Soy Complex'!BJ$6</f>
        <v>1084</v>
      </c>
      <c r="AI11" s="23">
        <f>'[2]EU Soy Complex'!BK$6</f>
        <v>1119</v>
      </c>
      <c r="AJ11" s="23">
        <f>'[2]EU Soy Complex'!BL$6</f>
        <v>1100</v>
      </c>
      <c r="AK11" s="23">
        <f>'[2]EU Soy Complex'!BM$6</f>
        <v>1350</v>
      </c>
      <c r="AL11" s="23">
        <f>'[2]EU Soy Complex'!BN$6</f>
        <v>1350</v>
      </c>
      <c r="AM11" s="23">
        <f>'[2]EU Soy Complex'!BO$6</f>
        <v>1350</v>
      </c>
      <c r="AN11" s="23">
        <f>'[2]EU Soy Complex'!BP$6</f>
        <v>1350</v>
      </c>
    </row>
    <row r="12" spans="1:40" s="7" customFormat="1" ht="16.5">
      <c r="A12" s="16"/>
      <c r="B12" s="17" t="s">
        <v>35</v>
      </c>
      <c r="C12" s="18">
        <f>'[3]EU Rapeseed'!B$8</f>
        <v>129</v>
      </c>
      <c r="D12" s="18">
        <f>'[3]EU Rapeseed'!C$8</f>
        <v>246</v>
      </c>
      <c r="E12" s="18">
        <f>'[3]EU Rapeseed'!D$8</f>
        <v>198</v>
      </c>
      <c r="F12" s="18">
        <f>'[3]EU Rapeseed'!E$8</f>
        <v>385</v>
      </c>
      <c r="G12" s="18">
        <f>'[3]EU Rapeseed'!F$8</f>
        <v>227</v>
      </c>
      <c r="H12" s="18">
        <f>'[3]EU Rapeseed'!G$8</f>
        <v>92</v>
      </c>
      <c r="I12" s="18">
        <f>'[3]EU Rapeseed'!H$8</f>
        <v>310</v>
      </c>
      <c r="J12" s="18">
        <f>'[3]EU Rapeseed'!I$8</f>
        <v>448</v>
      </c>
      <c r="K12" s="18">
        <f>'[3]EU Rapeseed'!J$8</f>
        <v>485</v>
      </c>
      <c r="L12" s="18">
        <f>'[3]EU Rapeseed'!K$8</f>
        <v>633</v>
      </c>
      <c r="M12" s="18">
        <f>'[3]EU Rapeseed'!L$8</f>
        <v>334</v>
      </c>
      <c r="N12" s="18">
        <f>'[3]EU Rapeseed'!M$8</f>
        <v>278</v>
      </c>
      <c r="O12" s="18">
        <f>'[3]EU Rapeseed'!N$8</f>
        <v>1691</v>
      </c>
      <c r="P12" s="18">
        <f>'[3]EU Rapeseed'!O$8</f>
        <v>1600</v>
      </c>
      <c r="Q12" s="18">
        <f>'[3]EU Rapeseed'!P$8</f>
        <v>1441</v>
      </c>
      <c r="R12" s="18">
        <f>'[3]EU Rapeseed'!Q$8</f>
        <v>959</v>
      </c>
      <c r="S12" s="18">
        <f>'[3]EU Rapeseed'!R$8</f>
        <v>1843</v>
      </c>
      <c r="T12" s="18">
        <f>'[3]EU Rapeseed'!S$8</f>
        <v>1809</v>
      </c>
      <c r="U12" s="18">
        <f>'[3]EU Rapeseed'!T$8</f>
        <v>2871</v>
      </c>
      <c r="V12" s="18">
        <f>'[3]EU Rapeseed'!U$8</f>
        <v>3184</v>
      </c>
      <c r="W12" s="18">
        <f>'[3]EU Rapeseed'!V$8</f>
        <v>2328</v>
      </c>
      <c r="X12" s="18">
        <f>'[3]EU Rapeseed'!W$8</f>
        <v>1968</v>
      </c>
      <c r="Y12" s="18">
        <f>'[3]EU Rapeseed'!X$8</f>
        <v>1984</v>
      </c>
      <c r="Z12" s="18">
        <f>'[3]EU Rapeseed'!Y$8</f>
        <v>1612</v>
      </c>
      <c r="AA12" s="18">
        <f>'[3]EU Rapeseed'!Z$8</f>
        <v>869</v>
      </c>
      <c r="AB12" s="18">
        <f>'[3]EU Rapeseed'!AA$8</f>
        <v>1899</v>
      </c>
      <c r="AC12" s="18">
        <f>'[3]EU Rapeseed'!AB$8</f>
        <v>1860</v>
      </c>
      <c r="AD12" s="18">
        <f>'[3]EU Rapeseed'!AC$8</f>
        <v>1187</v>
      </c>
      <c r="AE12" s="18">
        <f>'[3]EU Rapeseed'!AD$8</f>
        <v>668</v>
      </c>
      <c r="AF12" s="18">
        <f>'[3]EU Rapeseed'!AE$8</f>
        <v>627</v>
      </c>
      <c r="AG12" s="18">
        <f>'[3]EU Rapeseed'!AF$8</f>
        <v>1686</v>
      </c>
      <c r="AH12" s="18">
        <f>'[3]EU Rapeseed'!AG$8</f>
        <v>1493</v>
      </c>
      <c r="AI12" s="18">
        <f>'[3]EU Rapeseed'!AH$8</f>
        <v>1250</v>
      </c>
      <c r="AJ12" s="18">
        <f>'[3]EU Rapeseed'!AI$8</f>
        <v>1300</v>
      </c>
      <c r="AK12" s="18">
        <f>'[3]EU Rapeseed'!AJ$8</f>
        <v>1300</v>
      </c>
      <c r="AL12" s="18">
        <f>'[3]EU Rapeseed'!AK$8</f>
        <v>1250</v>
      </c>
      <c r="AM12" s="18">
        <f>'[3]EU Rapeseed'!AL$8</f>
        <v>1200</v>
      </c>
      <c r="AN12" s="18">
        <f>'[3]EU Rapeseed'!AM$8</f>
        <v>1225</v>
      </c>
    </row>
    <row r="13" spans="1:40" s="7" customFormat="1" ht="16.5">
      <c r="A13" s="16"/>
      <c r="B13" s="17" t="s">
        <v>36</v>
      </c>
      <c r="C13" s="18">
        <f>'[4]EU Sun Complex'!B$8</f>
        <v>153.05799999999999</v>
      </c>
      <c r="D13" s="18">
        <f>'[4]EU Sun Complex'!C$8</f>
        <v>119.82299999999999</v>
      </c>
      <c r="E13" s="18">
        <f>'[4]EU Sun Complex'!D$8</f>
        <v>68.218999999999994</v>
      </c>
      <c r="F13" s="18">
        <f>'[4]EU Sun Complex'!E$8</f>
        <v>191.995</v>
      </c>
      <c r="G13" s="18">
        <f>'[4]EU Sun Complex'!F$8</f>
        <v>145.43299999999999</v>
      </c>
      <c r="H13" s="18">
        <f>'[4]EU Sun Complex'!G$8</f>
        <v>92.242999999999995</v>
      </c>
      <c r="I13" s="18">
        <f>'[4]EU Sun Complex'!H$8</f>
        <v>60.849999999999994</v>
      </c>
      <c r="J13" s="18">
        <f>'[4]EU Sun Complex'!I$8</f>
        <v>196.59800000000001</v>
      </c>
      <c r="K13" s="18">
        <f>'[4]EU Sun Complex'!J$8</f>
        <v>474.49200000000002</v>
      </c>
      <c r="L13" s="18">
        <f>'[4]EU Sun Complex'!K$8</f>
        <v>177.739</v>
      </c>
      <c r="M13" s="18">
        <f>'[4]EU Sun Complex'!L$8</f>
        <v>536.07600000000002</v>
      </c>
      <c r="N13" s="18">
        <f>'[4]EU Sun Complex'!M$8</f>
        <v>181.994</v>
      </c>
      <c r="O13" s="18">
        <f>'[4]EU Sun Complex'!N$8</f>
        <v>39.167999999999999</v>
      </c>
      <c r="P13" s="18">
        <f>'[4]EU Sun Complex'!O$8</f>
        <v>81.569999999999993</v>
      </c>
      <c r="Q13" s="18">
        <f>'[4]EU Sun Complex'!P$8</f>
        <v>8.6020000000000003</v>
      </c>
      <c r="R13" s="18">
        <f>'[4]EU Sun Complex'!Q$8</f>
        <v>15.279</v>
      </c>
      <c r="S13" s="18">
        <f>'[4]EU Sun Complex'!R$8</f>
        <v>388.68299999999999</v>
      </c>
      <c r="T13" s="18">
        <f>'[4]EU Sun Complex'!S$8</f>
        <v>394.54300000000001</v>
      </c>
      <c r="U13" s="18">
        <f>'[4]EU Sun Complex'!T$8</f>
        <v>143.672</v>
      </c>
      <c r="V13" s="18">
        <f>'[4]EU Sun Complex'!U$8</f>
        <v>197.46799999999999</v>
      </c>
      <c r="W13" s="18">
        <f>'[4]EU Sun Complex'!V$8</f>
        <v>160.124</v>
      </c>
      <c r="X13" s="18">
        <f>'[4]EU Sun Complex'!W$8</f>
        <v>100.304</v>
      </c>
      <c r="Y13" s="18">
        <f>'[4]EU Sun Complex'!X$8</f>
        <v>177.059</v>
      </c>
      <c r="Z13" s="18">
        <f>'[4]EU Sun Complex'!Y$8</f>
        <v>328.11599999999999</v>
      </c>
      <c r="AA13" s="18">
        <f>'[4]EU Sun Complex'!Z$8</f>
        <v>871</v>
      </c>
      <c r="AB13" s="18">
        <f>'[4]EU Sun Complex'!AA$8</f>
        <v>937</v>
      </c>
      <c r="AC13" s="18">
        <f>'[4]EU Sun Complex'!AB$8</f>
        <v>891</v>
      </c>
      <c r="AD13" s="18">
        <f>'[4]EU Sun Complex'!AC$8</f>
        <v>825</v>
      </c>
      <c r="AE13" s="18">
        <f>'[4]EU Sun Complex'!AD$8</f>
        <v>401</v>
      </c>
      <c r="AF13" s="18">
        <f>'[4]EU Sun Complex'!AE$8</f>
        <v>692</v>
      </c>
      <c r="AG13" s="18">
        <f>'[4]EU Sun Complex'!AF$8</f>
        <v>324</v>
      </c>
      <c r="AH13" s="18">
        <f>'[4]EU Sun Complex'!AG$8</f>
        <v>678</v>
      </c>
      <c r="AI13" s="18">
        <f>'[4]EU Sun Complex'!AH$8</f>
        <v>600</v>
      </c>
      <c r="AJ13" s="18">
        <f>'[4]EU Sun Complex'!AI$8</f>
        <v>425</v>
      </c>
      <c r="AK13" s="18">
        <f>'[4]EU Sun Complex'!AJ$8</f>
        <v>425</v>
      </c>
      <c r="AL13" s="18">
        <f>'[4]EU Sun Complex'!AK$8</f>
        <v>500</v>
      </c>
      <c r="AM13" s="18">
        <f>'[4]EU Sun Complex'!AL$8</f>
        <v>600</v>
      </c>
      <c r="AN13" s="18">
        <f>'[4]EU Sun Complex'!AM$8</f>
        <v>625</v>
      </c>
    </row>
    <row r="14" spans="1:40" s="7" customFormat="1" ht="16.5">
      <c r="A14" s="16"/>
      <c r="B14" s="17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</row>
    <row r="15" spans="1:40" s="7" customFormat="1" ht="16.5">
      <c r="A15" s="16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</row>
    <row r="16" spans="1:40" ht="15.75">
      <c r="A16" s="24" t="s">
        <v>38</v>
      </c>
      <c r="C16" s="13">
        <f>SUM(C17:C19)</f>
        <v>14123</v>
      </c>
      <c r="D16" s="13">
        <f t="shared" ref="D16:AN16" si="2">SUM(D17:D19)</f>
        <v>15691</v>
      </c>
      <c r="E16" s="13">
        <f t="shared" si="2"/>
        <v>17290</v>
      </c>
      <c r="F16" s="13">
        <f t="shared" si="2"/>
        <v>16455</v>
      </c>
      <c r="G16" s="13">
        <f t="shared" si="2"/>
        <v>18023</v>
      </c>
      <c r="H16" s="13">
        <f t="shared" si="2"/>
        <v>19234</v>
      </c>
      <c r="I16" s="13">
        <f t="shared" si="2"/>
        <v>22054</v>
      </c>
      <c r="J16" s="13">
        <f t="shared" si="2"/>
        <v>17887</v>
      </c>
      <c r="K16" s="13">
        <f t="shared" si="2"/>
        <v>18089</v>
      </c>
      <c r="L16" s="13">
        <f t="shared" si="2"/>
        <v>18146</v>
      </c>
      <c r="M16" s="13">
        <f t="shared" si="2"/>
        <v>18346</v>
      </c>
      <c r="N16" s="13">
        <f t="shared" si="2"/>
        <v>23157</v>
      </c>
      <c r="O16" s="13">
        <f t="shared" si="2"/>
        <v>22894</v>
      </c>
      <c r="P16" s="13">
        <f t="shared" si="2"/>
        <v>24098</v>
      </c>
      <c r="Q16" s="13">
        <f t="shared" si="2"/>
        <v>24006.879999999997</v>
      </c>
      <c r="R16" s="13">
        <f t="shared" si="2"/>
        <v>26877.170000000002</v>
      </c>
      <c r="S16" s="13">
        <f t="shared" si="2"/>
        <v>29366.589999999997</v>
      </c>
      <c r="T16" s="13">
        <f t="shared" si="2"/>
        <v>26580.530000000002</v>
      </c>
      <c r="U16" s="13">
        <f t="shared" si="2"/>
        <v>26271.82</v>
      </c>
      <c r="V16" s="13">
        <f t="shared" si="2"/>
        <v>24848.65</v>
      </c>
      <c r="W16" s="13">
        <f t="shared" si="2"/>
        <v>29335.57</v>
      </c>
      <c r="X16" s="13">
        <f t="shared" si="2"/>
        <v>32962.119999999995</v>
      </c>
      <c r="Y16" s="13">
        <f t="shared" si="2"/>
        <v>29524.190000000002</v>
      </c>
      <c r="Z16" s="13">
        <f t="shared" si="2"/>
        <v>29537.82</v>
      </c>
      <c r="AA16" s="13">
        <f t="shared" si="2"/>
        <v>32927.679999999993</v>
      </c>
      <c r="AB16" s="13">
        <f t="shared" si="2"/>
        <v>30807.860000000004</v>
      </c>
      <c r="AC16" s="13">
        <f t="shared" si="2"/>
        <v>28365.3</v>
      </c>
      <c r="AD16" s="13">
        <f t="shared" si="2"/>
        <v>28305.160000000003</v>
      </c>
      <c r="AE16" s="13">
        <f t="shared" si="2"/>
        <v>30085.82</v>
      </c>
      <c r="AF16" s="13">
        <f t="shared" si="2"/>
        <v>31311.270000000004</v>
      </c>
      <c r="AG16" s="13">
        <f t="shared" si="2"/>
        <v>32328.37</v>
      </c>
      <c r="AH16" s="13">
        <f t="shared" si="2"/>
        <v>27789.436356126025</v>
      </c>
      <c r="AI16" s="13">
        <f t="shared" si="2"/>
        <v>30025</v>
      </c>
      <c r="AJ16" s="13">
        <f t="shared" si="2"/>
        <v>30900</v>
      </c>
      <c r="AK16" s="13">
        <f t="shared" si="2"/>
        <v>31075</v>
      </c>
      <c r="AL16" s="13">
        <f t="shared" si="2"/>
        <v>31450</v>
      </c>
      <c r="AM16" s="13">
        <f t="shared" si="2"/>
        <v>32350</v>
      </c>
      <c r="AN16" s="13">
        <f t="shared" si="2"/>
        <v>32375</v>
      </c>
    </row>
    <row r="17" spans="1:40">
      <c r="B17" s="26" t="s">
        <v>34</v>
      </c>
      <c r="C17" s="27">
        <f>'[2]EU Soy Complex'!AE$7</f>
        <v>976</v>
      </c>
      <c r="D17" s="27">
        <f>'[2]EU Soy Complex'!AF$7</f>
        <v>1188</v>
      </c>
      <c r="E17" s="27">
        <f>'[2]EU Soy Complex'!AG$7</f>
        <v>1101</v>
      </c>
      <c r="F17" s="27">
        <f>'[2]EU Soy Complex'!AH$7</f>
        <v>1323</v>
      </c>
      <c r="G17" s="27">
        <f>'[2]EU Soy Complex'!AI$7</f>
        <v>1760</v>
      </c>
      <c r="H17" s="27">
        <f>'[2]EU Soy Complex'!AJ$7</f>
        <v>1868</v>
      </c>
      <c r="I17" s="27">
        <f>'[2]EU Soy Complex'!AK$7</f>
        <v>1522</v>
      </c>
      <c r="J17" s="27">
        <f>'[2]EU Soy Complex'!AL$7</f>
        <v>1323</v>
      </c>
      <c r="K17" s="27">
        <f>'[2]EU Soy Complex'!AM$7</f>
        <v>1467</v>
      </c>
      <c r="L17" s="27">
        <f>'[2]EU Soy Complex'!AN$7</f>
        <v>1122</v>
      </c>
      <c r="M17" s="27">
        <f>'[2]EU Soy Complex'!AO$7</f>
        <v>908</v>
      </c>
      <c r="N17" s="27">
        <f>'[2]EU Soy Complex'!AP$7</f>
        <v>1166</v>
      </c>
      <c r="O17" s="27">
        <f>'[2]EU Soy Complex'!AQ$7</f>
        <v>1294</v>
      </c>
      <c r="P17" s="27">
        <f>'[2]EU Soy Complex'!AR$7</f>
        <v>1402</v>
      </c>
      <c r="Q17" s="27">
        <f>'[2]EU Soy Complex'!AS$7</f>
        <v>861.51</v>
      </c>
      <c r="R17" s="27">
        <f>'[2]EU Soy Complex'!AT$7</f>
        <v>764.16</v>
      </c>
      <c r="S17" s="27">
        <f>'[2]EU Soy Complex'!AU$7</f>
        <v>963.16</v>
      </c>
      <c r="T17" s="27">
        <f>'[2]EU Soy Complex'!AV$7</f>
        <v>1221.8300000000002</v>
      </c>
      <c r="U17" s="27">
        <f>'[2]EU Soy Complex'!AW$7</f>
        <v>1240.1000000000004</v>
      </c>
      <c r="V17" s="27">
        <f>'[2]EU Soy Complex'!AX$7</f>
        <v>959.15</v>
      </c>
      <c r="W17" s="27">
        <f>'[2]EU Soy Complex'!AY$7</f>
        <v>1215.68</v>
      </c>
      <c r="X17" s="27">
        <f>'[2]EU Soy Complex'!AZ$7</f>
        <v>1841.48</v>
      </c>
      <c r="Y17" s="27">
        <f>'[2]EU Soy Complex'!BA$7</f>
        <v>2341.0100000000002</v>
      </c>
      <c r="Z17" s="27">
        <f>'[2]EU Soy Complex'!BB$7</f>
        <v>2477.2999999999997</v>
      </c>
      <c r="AA17" s="27">
        <f>'[2]EU Soy Complex'!BC$7</f>
        <v>2671.79</v>
      </c>
      <c r="AB17" s="27">
        <f>'[2]EU Soy Complex'!BD$7</f>
        <v>2832.6600000000003</v>
      </c>
      <c r="AC17" s="27">
        <f>'[2]EU Soy Complex'!BE$7</f>
        <v>2741.54</v>
      </c>
      <c r="AD17" s="27">
        <f>'[2]EU Soy Complex'!BF$7</f>
        <v>2617.2100000000005</v>
      </c>
      <c r="AE17" s="27">
        <f>'[2]EU Soy Complex'!BG$7</f>
        <v>2648.8799999999997</v>
      </c>
      <c r="AF17" s="27">
        <f>'[2]EU Soy Complex'!BH$7</f>
        <v>2448.4800000000005</v>
      </c>
      <c r="AG17" s="27">
        <f>'[2]EU Soy Complex'!BI$7</f>
        <v>2792.1599999999994</v>
      </c>
      <c r="AH17" s="27">
        <f>'[2]EU Soy Complex'!BJ$7</f>
        <v>2851.15</v>
      </c>
      <c r="AI17" s="27">
        <f>'[2]EU Soy Complex'!BK$7</f>
        <v>2875</v>
      </c>
      <c r="AJ17" s="27">
        <f>'[2]EU Soy Complex'!BL$7</f>
        <v>3350</v>
      </c>
      <c r="AK17" s="27">
        <f>'[2]EU Soy Complex'!BM$7</f>
        <v>3225</v>
      </c>
      <c r="AL17" s="27">
        <f>'[2]EU Soy Complex'!BN$7</f>
        <v>3250</v>
      </c>
      <c r="AM17" s="27">
        <f>'[2]EU Soy Complex'!BO$7</f>
        <v>3250</v>
      </c>
      <c r="AN17" s="27">
        <f>'[2]EU Soy Complex'!BP$7</f>
        <v>3225</v>
      </c>
    </row>
    <row r="18" spans="1:40">
      <c r="B18" s="17" t="s">
        <v>35</v>
      </c>
      <c r="C18" s="18">
        <f>'[3]EU Rapeseed'!B$9</f>
        <v>7653</v>
      </c>
      <c r="D18" s="18">
        <f>'[3]EU Rapeseed'!C$9</f>
        <v>8331</v>
      </c>
      <c r="E18" s="18">
        <f>'[3]EU Rapeseed'!D$9</f>
        <v>10514</v>
      </c>
      <c r="F18" s="18">
        <f>'[3]EU Rapeseed'!E$9</f>
        <v>8606</v>
      </c>
      <c r="G18" s="18">
        <f>'[3]EU Rapeseed'!F$9</f>
        <v>10196</v>
      </c>
      <c r="H18" s="18">
        <f>'[3]EU Rapeseed'!G$9</f>
        <v>11584</v>
      </c>
      <c r="I18" s="18">
        <f>'[3]EU Rapeseed'!H$9</f>
        <v>14394</v>
      </c>
      <c r="J18" s="18">
        <f>'[3]EU Rapeseed'!I$9</f>
        <v>11393</v>
      </c>
      <c r="K18" s="18">
        <f>'[3]EU Rapeseed'!J$9</f>
        <v>11607</v>
      </c>
      <c r="L18" s="18">
        <f>'[3]EU Rapeseed'!K$9</f>
        <v>11778</v>
      </c>
      <c r="M18" s="18">
        <f>'[3]EU Rapeseed'!L$9</f>
        <v>11214</v>
      </c>
      <c r="N18" s="18">
        <f>'[3]EU Rapeseed'!M$9</f>
        <v>15458</v>
      </c>
      <c r="O18" s="18">
        <f>'[3]EU Rapeseed'!N$9</f>
        <v>15564</v>
      </c>
      <c r="P18" s="18">
        <f>'[3]EU Rapeseed'!O$9</f>
        <v>16112</v>
      </c>
      <c r="Q18" s="18">
        <f>'[3]EU Rapeseed'!P$9</f>
        <v>18269.52</v>
      </c>
      <c r="R18" s="18">
        <f>'[3]EU Rapeseed'!Q$9</f>
        <v>18891.400000000001</v>
      </c>
      <c r="S18" s="18">
        <f>'[3]EU Rapeseed'!R$9</f>
        <v>21356.17</v>
      </c>
      <c r="T18" s="18">
        <f>'[3]EU Rapeseed'!S$9</f>
        <v>18384.13</v>
      </c>
      <c r="U18" s="18">
        <f>'[3]EU Rapeseed'!T$9</f>
        <v>16473</v>
      </c>
      <c r="V18" s="18">
        <f>'[3]EU Rapeseed'!U$9</f>
        <v>16690.96</v>
      </c>
      <c r="W18" s="18">
        <f>'[3]EU Rapeseed'!V$9</f>
        <v>18852.98</v>
      </c>
      <c r="X18" s="18">
        <f>'[3]EU Rapeseed'!W$9</f>
        <v>21821.329999999998</v>
      </c>
      <c r="Y18" s="18">
        <f>'[3]EU Rapeseed'!X$9</f>
        <v>19299.510000000002</v>
      </c>
      <c r="Z18" s="18">
        <f>'[3]EU Rapeseed'!Y$9</f>
        <v>18331.93</v>
      </c>
      <c r="AA18" s="18">
        <f>'[3]EU Rapeseed'!Z$9</f>
        <v>19852.979999999996</v>
      </c>
      <c r="AB18" s="18">
        <f>'[3]EU Rapeseed'!AA$9</f>
        <v>18002.690000000002</v>
      </c>
      <c r="AC18" s="18">
        <f>'[3]EU Rapeseed'!AB$9</f>
        <v>15379.6</v>
      </c>
      <c r="AD18" s="18">
        <f>'[3]EU Rapeseed'!AC$9</f>
        <v>16686.72</v>
      </c>
      <c r="AE18" s="18">
        <f>'[3]EU Rapeseed'!AD$9</f>
        <v>17072.07</v>
      </c>
      <c r="AF18" s="18">
        <f>'[3]EU Rapeseed'!AE$9</f>
        <v>19561.11</v>
      </c>
      <c r="AG18" s="18">
        <f>'[3]EU Rapeseed'!AF$9</f>
        <v>19737</v>
      </c>
      <c r="AH18" s="18">
        <f>'[3]EU Rapeseed'!AG$9</f>
        <v>16890.726356126022</v>
      </c>
      <c r="AI18" s="18">
        <f>'[3]EU Rapeseed'!AH$9</f>
        <v>17300</v>
      </c>
      <c r="AJ18" s="18">
        <f>'[3]EU Rapeseed'!AI$9</f>
        <v>17400</v>
      </c>
      <c r="AK18" s="18">
        <f>'[3]EU Rapeseed'!AJ$9</f>
        <v>17500</v>
      </c>
      <c r="AL18" s="18">
        <f>'[3]EU Rapeseed'!AK$9</f>
        <v>17700</v>
      </c>
      <c r="AM18" s="18">
        <f>'[3]EU Rapeseed'!AL$9</f>
        <v>18400</v>
      </c>
      <c r="AN18" s="18">
        <f>'[3]EU Rapeseed'!AM$9</f>
        <v>18300</v>
      </c>
    </row>
    <row r="19" spans="1:40">
      <c r="B19" s="17" t="s">
        <v>36</v>
      </c>
      <c r="C19" s="18">
        <f>'[4]EU Sun Complex'!B$9</f>
        <v>5494</v>
      </c>
      <c r="D19" s="18">
        <f>'[4]EU Sun Complex'!C$9</f>
        <v>6172</v>
      </c>
      <c r="E19" s="18">
        <f>'[4]EU Sun Complex'!D$9</f>
        <v>5675</v>
      </c>
      <c r="F19" s="18">
        <f>'[4]EU Sun Complex'!E$9</f>
        <v>6526</v>
      </c>
      <c r="G19" s="18">
        <f>'[4]EU Sun Complex'!F$9</f>
        <v>6067</v>
      </c>
      <c r="H19" s="18">
        <f>'[4]EU Sun Complex'!G$9</f>
        <v>5782</v>
      </c>
      <c r="I19" s="18">
        <f>'[4]EU Sun Complex'!H$9</f>
        <v>6138</v>
      </c>
      <c r="J19" s="18">
        <f>'[4]EU Sun Complex'!I$9</f>
        <v>5171</v>
      </c>
      <c r="K19" s="18">
        <f>'[4]EU Sun Complex'!J$9</f>
        <v>5015</v>
      </c>
      <c r="L19" s="18">
        <f>'[4]EU Sun Complex'!K$9</f>
        <v>5246</v>
      </c>
      <c r="M19" s="18">
        <f>'[4]EU Sun Complex'!L$9</f>
        <v>6224</v>
      </c>
      <c r="N19" s="18">
        <f>'[4]EU Sun Complex'!M$9</f>
        <v>6533</v>
      </c>
      <c r="O19" s="18">
        <f>'[4]EU Sun Complex'!N$9</f>
        <v>6036</v>
      </c>
      <c r="P19" s="18">
        <f>'[4]EU Sun Complex'!O$9</f>
        <v>6584</v>
      </c>
      <c r="Q19" s="18">
        <f>'[4]EU Sun Complex'!P$9</f>
        <v>4875.8500000000004</v>
      </c>
      <c r="R19" s="18">
        <f>'[4]EU Sun Complex'!Q$9</f>
        <v>7221.61</v>
      </c>
      <c r="S19" s="18">
        <f>'[4]EU Sun Complex'!R$9</f>
        <v>7047.26</v>
      </c>
      <c r="T19" s="18">
        <f>'[4]EU Sun Complex'!S$9</f>
        <v>6974.57</v>
      </c>
      <c r="U19" s="18">
        <f>'[4]EU Sun Complex'!T$9</f>
        <v>8558.7199999999993</v>
      </c>
      <c r="V19" s="18">
        <f>'[4]EU Sun Complex'!U$9</f>
        <v>7198.54</v>
      </c>
      <c r="W19" s="18">
        <f>'[4]EU Sun Complex'!V$9</f>
        <v>9266.91</v>
      </c>
      <c r="X19" s="18">
        <f>'[4]EU Sun Complex'!W$9</f>
        <v>9299.3100000000013</v>
      </c>
      <c r="Y19" s="18">
        <f>'[4]EU Sun Complex'!X$9</f>
        <v>7883.6699999999992</v>
      </c>
      <c r="Z19" s="18">
        <f>'[4]EU Sun Complex'!Y$9</f>
        <v>8728.59</v>
      </c>
      <c r="AA19" s="18">
        <f>'[4]EU Sun Complex'!Z$9</f>
        <v>10402.91</v>
      </c>
      <c r="AB19" s="18">
        <f>'[4]EU Sun Complex'!AA$9</f>
        <v>9972.510000000002</v>
      </c>
      <c r="AC19" s="18">
        <f>'[4]EU Sun Complex'!AB$9</f>
        <v>10244.16</v>
      </c>
      <c r="AD19" s="18">
        <f>'[4]EU Sun Complex'!AC$9</f>
        <v>9001.2300000000014</v>
      </c>
      <c r="AE19" s="18">
        <f>'[4]EU Sun Complex'!AD$9</f>
        <v>10364.869999999999</v>
      </c>
      <c r="AF19" s="18">
        <f>'[4]EU Sun Complex'!AE$9</f>
        <v>9301.6800000000021</v>
      </c>
      <c r="AG19" s="18">
        <f>'[4]EU Sun Complex'!AF$9</f>
        <v>9799.2099999999991</v>
      </c>
      <c r="AH19" s="18">
        <f>'[4]EU Sun Complex'!AG$9</f>
        <v>8047.5599999999995</v>
      </c>
      <c r="AI19" s="18">
        <f>'[4]EU Sun Complex'!AH$9</f>
        <v>9850</v>
      </c>
      <c r="AJ19" s="18">
        <f>'[4]EU Sun Complex'!AI$9</f>
        <v>10150</v>
      </c>
      <c r="AK19" s="18">
        <f>'[4]EU Sun Complex'!AJ$9</f>
        <v>10350</v>
      </c>
      <c r="AL19" s="18">
        <f>'[4]EU Sun Complex'!AK$9</f>
        <v>10500</v>
      </c>
      <c r="AM19" s="18">
        <f>'[4]EU Sun Complex'!AL$9</f>
        <v>10700</v>
      </c>
      <c r="AN19" s="18">
        <f>'[4]EU Sun Complex'!AM$9</f>
        <v>10850</v>
      </c>
    </row>
    <row r="20" spans="1:40">
      <c r="B20" s="17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</row>
    <row r="21" spans="1:40" ht="15.75"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</row>
    <row r="22" spans="1:40" ht="15.75">
      <c r="A22" s="28" t="s">
        <v>39</v>
      </c>
      <c r="B22" s="29"/>
      <c r="C22" s="13">
        <f>SUM(C23:C25)</f>
        <v>14786.517409556289</v>
      </c>
      <c r="D22" s="13">
        <f t="shared" ref="D22:AN22" si="3">SUM(D23:D25)</f>
        <v>18100</v>
      </c>
      <c r="E22" s="13">
        <f t="shared" si="3"/>
        <v>17235</v>
      </c>
      <c r="F22" s="13">
        <f t="shared" si="3"/>
        <v>17312.282999999999</v>
      </c>
      <c r="G22" s="13">
        <f t="shared" si="3"/>
        <v>16906.603999999996</v>
      </c>
      <c r="H22" s="13">
        <f t="shared" si="3"/>
        <v>17471.842000000001</v>
      </c>
      <c r="I22" s="13">
        <f t="shared" si="3"/>
        <v>15543.368000000002</v>
      </c>
      <c r="J22" s="13">
        <f t="shared" si="3"/>
        <v>19850.877</v>
      </c>
      <c r="K22" s="13">
        <f t="shared" si="3"/>
        <v>19831.558999999997</v>
      </c>
      <c r="L22" s="13">
        <f t="shared" si="3"/>
        <v>17777.381000000001</v>
      </c>
      <c r="M22" s="13">
        <f t="shared" si="3"/>
        <v>15918.797999999999</v>
      </c>
      <c r="N22" s="13">
        <f t="shared" si="3"/>
        <v>15083.899999999998</v>
      </c>
      <c r="O22" s="13">
        <f t="shared" si="3"/>
        <v>14983.323999999999</v>
      </c>
      <c r="P22" s="13">
        <f t="shared" si="3"/>
        <v>16204.079999999998</v>
      </c>
      <c r="Q22" s="13">
        <f t="shared" si="3"/>
        <v>16123.537</v>
      </c>
      <c r="R22" s="13">
        <f t="shared" si="3"/>
        <v>17189.636999999999</v>
      </c>
      <c r="S22" s="13">
        <f t="shared" si="3"/>
        <v>15059.525</v>
      </c>
      <c r="T22" s="13">
        <f t="shared" si="3"/>
        <v>15462.466</v>
      </c>
      <c r="U22" s="13">
        <f t="shared" si="3"/>
        <v>16853.339</v>
      </c>
      <c r="V22" s="13">
        <f t="shared" si="3"/>
        <v>17367.77</v>
      </c>
      <c r="W22" s="13">
        <f t="shared" si="3"/>
        <v>18315.988000000001</v>
      </c>
      <c r="X22" s="13">
        <f t="shared" si="3"/>
        <v>17636.240000000002</v>
      </c>
      <c r="Y22" s="13">
        <f t="shared" si="3"/>
        <v>19668.169000000002</v>
      </c>
      <c r="Z22" s="13">
        <f t="shared" si="3"/>
        <v>18969.016</v>
      </c>
      <c r="AA22" s="13">
        <f t="shared" si="3"/>
        <v>20639.817000000003</v>
      </c>
      <c r="AB22" s="13">
        <f t="shared" si="3"/>
        <v>20661.746223000002</v>
      </c>
      <c r="AC22" s="13">
        <f t="shared" si="3"/>
        <v>22067.428977999996</v>
      </c>
      <c r="AD22" s="13">
        <f t="shared" si="3"/>
        <v>21643.063629999997</v>
      </c>
      <c r="AE22" s="13">
        <f t="shared" si="3"/>
        <v>21367.456147000001</v>
      </c>
      <c r="AF22" s="13">
        <f t="shared" si="3"/>
        <v>23567.717142000001</v>
      </c>
      <c r="AG22" s="13">
        <f t="shared" si="3"/>
        <v>19567.916631</v>
      </c>
      <c r="AH22" s="13">
        <f t="shared" si="3"/>
        <v>22250</v>
      </c>
      <c r="AI22" s="13">
        <f t="shared" si="3"/>
        <v>24200</v>
      </c>
      <c r="AJ22" s="13">
        <f t="shared" si="3"/>
        <v>22900</v>
      </c>
      <c r="AK22" s="13">
        <f t="shared" si="3"/>
        <v>21900</v>
      </c>
      <c r="AL22" s="13">
        <f t="shared" si="3"/>
        <v>21900</v>
      </c>
      <c r="AM22" s="13">
        <f t="shared" si="3"/>
        <v>21900</v>
      </c>
      <c r="AN22" s="13">
        <f t="shared" si="3"/>
        <v>21900</v>
      </c>
    </row>
    <row r="23" spans="1:40">
      <c r="B23" s="17" t="s">
        <v>34</v>
      </c>
      <c r="C23" s="27">
        <f>'[2]EU Soy Complex'!AE$8</f>
        <v>13269</v>
      </c>
      <c r="D23" s="27">
        <f>'[2]EU Soy Complex'!AF$8</f>
        <v>16490</v>
      </c>
      <c r="E23" s="27">
        <f>'[2]EU Soy Complex'!AG$8</f>
        <v>14717</v>
      </c>
      <c r="F23" s="27">
        <f>'[2]EU Soy Complex'!AH$8</f>
        <v>14826</v>
      </c>
      <c r="G23" s="27">
        <f>'[2]EU Soy Complex'!AI$8</f>
        <v>14971.732999999998</v>
      </c>
      <c r="H23" s="27">
        <f>'[2]EU Soy Complex'!AJ$8</f>
        <v>14683.893000000002</v>
      </c>
      <c r="I23" s="27">
        <f>'[2]EU Soy Complex'!AK$8</f>
        <v>14114.589000000002</v>
      </c>
      <c r="J23" s="27">
        <f>'[2]EU Soy Complex'!AL$8</f>
        <v>17609.252</v>
      </c>
      <c r="K23" s="27">
        <f>'[2]EU Soy Complex'!AM$8</f>
        <v>18880.496999999999</v>
      </c>
      <c r="L23" s="27">
        <f>'[2]EU Soy Complex'!AN$8</f>
        <v>16995.189000000002</v>
      </c>
      <c r="M23" s="27">
        <f>'[2]EU Soy Complex'!AO$8</f>
        <v>14745.432999999999</v>
      </c>
      <c r="N23" s="27">
        <f>'[2]EU Soy Complex'!AP$8</f>
        <v>14581.899999999998</v>
      </c>
      <c r="O23" s="27">
        <f>'[2]EU Soy Complex'!AQ$8</f>
        <v>14012.974999999999</v>
      </c>
      <c r="P23" s="27">
        <f>'[2]EU Soy Complex'!AR$8</f>
        <v>15179.682999999999</v>
      </c>
      <c r="Q23" s="27">
        <f>'[2]EU Soy Complex'!AS$8</f>
        <v>15139.055</v>
      </c>
      <c r="R23" s="27">
        <f>'[2]EU Soy Complex'!AT$8</f>
        <v>13221.061000000002</v>
      </c>
      <c r="S23" s="27">
        <f>'[2]EU Soy Complex'!AU$8</f>
        <v>12683.858</v>
      </c>
      <c r="T23" s="27">
        <f>'[2]EU Soy Complex'!AV$8</f>
        <v>12471.597</v>
      </c>
      <c r="U23" s="27">
        <f>'[2]EU Soy Complex'!AW$8</f>
        <v>12857.385999999999</v>
      </c>
      <c r="V23" s="27">
        <f>'[2]EU Soy Complex'!AX$8</f>
        <v>13797.704000000003</v>
      </c>
      <c r="W23" s="27">
        <f>'[2]EU Soy Complex'!AY$8</f>
        <v>14447.813</v>
      </c>
      <c r="X23" s="27">
        <f>'[2]EU Soy Complex'!AZ$8</f>
        <v>15066.637999999999</v>
      </c>
      <c r="Y23" s="27">
        <f>'[2]EU Soy Complex'!BA$8</f>
        <v>15732.06</v>
      </c>
      <c r="Z23" s="27">
        <f>'[2]EU Soy Complex'!BB$8</f>
        <v>13947.978999999999</v>
      </c>
      <c r="AA23" s="27">
        <f>'[2]EU Soy Complex'!BC$8</f>
        <v>15761.140000000001</v>
      </c>
      <c r="AB23" s="27">
        <f>'[2]EU Soy Complex'!BD$8</f>
        <v>15731.600223000001</v>
      </c>
      <c r="AC23" s="27">
        <f>'[2]EU Soy Complex'!BE$8</f>
        <v>15016.532448999998</v>
      </c>
      <c r="AD23" s="27">
        <f>'[2]EU Soy Complex'!BF$8</f>
        <v>15029.394109999999</v>
      </c>
      <c r="AE23" s="27">
        <f>'[2]EU Soy Complex'!BG$8</f>
        <v>14786.317026999999</v>
      </c>
      <c r="AF23" s="27">
        <f>'[2]EU Soy Complex'!BH$8</f>
        <v>14544.530868</v>
      </c>
      <c r="AG23" s="27">
        <f>'[2]EU Soy Complex'!BI$8</f>
        <v>13346.181654000002</v>
      </c>
      <c r="AH23" s="27">
        <f>'[2]EU Soy Complex'!BJ$8</f>
        <v>14750</v>
      </c>
      <c r="AI23" s="27">
        <f>'[2]EU Soy Complex'!BK$8</f>
        <v>17050</v>
      </c>
      <c r="AJ23" s="27">
        <f>'[2]EU Soy Complex'!BL$8</f>
        <v>15250</v>
      </c>
      <c r="AK23" s="27">
        <f>'[2]EU Soy Complex'!BM$8</f>
        <v>15250</v>
      </c>
      <c r="AL23" s="27">
        <f>'[2]EU Soy Complex'!BN$8</f>
        <v>15250</v>
      </c>
      <c r="AM23" s="27">
        <f>'[2]EU Soy Complex'!BO$8</f>
        <v>15250</v>
      </c>
      <c r="AN23" s="27">
        <f>'[2]EU Soy Complex'!BP$8</f>
        <v>15250</v>
      </c>
    </row>
    <row r="24" spans="1:40">
      <c r="B24" s="17" t="s">
        <v>35</v>
      </c>
      <c r="C24" s="18">
        <f>'[3]EU Rapeseed'!B$10</f>
        <v>31.51740955628933</v>
      </c>
      <c r="D24" s="18">
        <f>'[3]EU Rapeseed'!C$10</f>
        <v>0</v>
      </c>
      <c r="E24" s="18">
        <f>'[3]EU Rapeseed'!D$10</f>
        <v>0</v>
      </c>
      <c r="F24" s="18">
        <f>'[3]EU Rapeseed'!E$10</f>
        <v>89.283000000000001</v>
      </c>
      <c r="G24" s="18">
        <f>'[3]EU Rapeseed'!F$10</f>
        <v>152.21899999999999</v>
      </c>
      <c r="H24" s="18">
        <f>'[3]EU Rapeseed'!G$10</f>
        <v>580.76800000000003</v>
      </c>
      <c r="I24" s="18">
        <f>'[3]EU Rapeseed'!H$10</f>
        <v>65.046000000000006</v>
      </c>
      <c r="J24" s="18">
        <f>'[3]EU Rapeseed'!I$10</f>
        <v>480.58900000000006</v>
      </c>
      <c r="K24" s="18">
        <f>'[3]EU Rapeseed'!J$10</f>
        <v>168.40599999999998</v>
      </c>
      <c r="L24" s="18">
        <f>'[3]EU Rapeseed'!K$10</f>
        <v>47.370999999999995</v>
      </c>
      <c r="M24" s="18">
        <f>'[3]EU Rapeseed'!L$10</f>
        <v>154.72</v>
      </c>
      <c r="N24" s="18">
        <f>'[3]EU Rapeseed'!M$10</f>
        <v>66.337999999999994</v>
      </c>
      <c r="O24" s="18">
        <f>'[3]EU Rapeseed'!N$10</f>
        <v>368.58100000000002</v>
      </c>
      <c r="P24" s="18">
        <f>'[3]EU Rapeseed'!O$10</f>
        <v>431.18600000000004</v>
      </c>
      <c r="Q24" s="18">
        <f>'[3]EU Rapeseed'!P$10</f>
        <v>685.37999999999988</v>
      </c>
      <c r="R24" s="18">
        <f>'[3]EU Rapeseed'!Q$10</f>
        <v>3353.0259999999998</v>
      </c>
      <c r="S24" s="18">
        <f>'[3]EU Rapeseed'!R$10</f>
        <v>2081.7670000000003</v>
      </c>
      <c r="T24" s="18">
        <f>'[3]EU Rapeseed'!S$10</f>
        <v>2623.8010000000004</v>
      </c>
      <c r="U24" s="18">
        <f>'[3]EU Rapeseed'!T$10</f>
        <v>3751.8950000000004</v>
      </c>
      <c r="V24" s="18">
        <f>'[3]EU Rapeseed'!U$10</f>
        <v>3378.0909999999999</v>
      </c>
      <c r="W24" s="18">
        <f>'[3]EU Rapeseed'!V$10</f>
        <v>3523.7619999999997</v>
      </c>
      <c r="X24" s="18">
        <f>'[3]EU Rapeseed'!W$10</f>
        <v>2316.6150000000002</v>
      </c>
      <c r="Y24" s="18">
        <f>'[3]EU Rapeseed'!X$10</f>
        <v>3432.7629999999999</v>
      </c>
      <c r="Z24" s="18">
        <f>'[3]EU Rapeseed'!Y$10</f>
        <v>4278.7139999999999</v>
      </c>
      <c r="AA24" s="18">
        <f>'[3]EU Rapeseed'!Z$10</f>
        <v>4330.5829999999996</v>
      </c>
      <c r="AB24" s="18">
        <f>'[3]EU Rapeseed'!AA$10</f>
        <v>4398.9629999999988</v>
      </c>
      <c r="AC24" s="18">
        <f>'[3]EU Rapeseed'!AB$10</f>
        <v>6081.8675599999997</v>
      </c>
      <c r="AD24" s="18">
        <f>'[3]EU Rapeseed'!AC$10</f>
        <v>5796.5684440000005</v>
      </c>
      <c r="AE24" s="18">
        <f>'[3]EU Rapeseed'!AD$10</f>
        <v>5433.201047999999</v>
      </c>
      <c r="AF24" s="18">
        <f>'[3]EU Rapeseed'!AE$10</f>
        <v>6839.7906600000006</v>
      </c>
      <c r="AG24" s="18">
        <f>'[3]EU Rapeseed'!AF$10</f>
        <v>5456.5473410000004</v>
      </c>
      <c r="AH24" s="18">
        <f>'[3]EU Rapeseed'!AG$10</f>
        <v>6750</v>
      </c>
      <c r="AI24" s="18">
        <f>'[3]EU Rapeseed'!AH$10</f>
        <v>6500</v>
      </c>
      <c r="AJ24" s="18">
        <f>'[3]EU Rapeseed'!AI$10</f>
        <v>7000</v>
      </c>
      <c r="AK24" s="18">
        <f>'[3]EU Rapeseed'!AJ$10</f>
        <v>6000</v>
      </c>
      <c r="AL24" s="18">
        <f>'[3]EU Rapeseed'!AK$10</f>
        <v>6000</v>
      </c>
      <c r="AM24" s="18">
        <f>'[3]EU Rapeseed'!AL$10</f>
        <v>6000</v>
      </c>
      <c r="AN24" s="18">
        <f>'[3]EU Rapeseed'!AM$10</f>
        <v>6000</v>
      </c>
    </row>
    <row r="25" spans="1:40">
      <c r="B25" s="17" t="s">
        <v>36</v>
      </c>
      <c r="C25" s="18">
        <f>'[4]EU Sun Complex'!B$10</f>
        <v>1486</v>
      </c>
      <c r="D25" s="18">
        <f>'[4]EU Sun Complex'!C$10</f>
        <v>1610</v>
      </c>
      <c r="E25" s="18">
        <f>'[4]EU Sun Complex'!D$10</f>
        <v>2518</v>
      </c>
      <c r="F25" s="18">
        <f>'[4]EU Sun Complex'!E$10</f>
        <v>2397</v>
      </c>
      <c r="G25" s="18">
        <f>'[4]EU Sun Complex'!F$10</f>
        <v>1782.6519999999998</v>
      </c>
      <c r="H25" s="18">
        <f>'[4]EU Sun Complex'!G$10</f>
        <v>2207.181</v>
      </c>
      <c r="I25" s="18">
        <f>'[4]EU Sun Complex'!H$10</f>
        <v>1363.7330000000002</v>
      </c>
      <c r="J25" s="18">
        <f>'[4]EU Sun Complex'!I$10</f>
        <v>1761.0359999999998</v>
      </c>
      <c r="K25" s="18">
        <f>'[4]EU Sun Complex'!J$10</f>
        <v>782.65600000000006</v>
      </c>
      <c r="L25" s="18">
        <f>'[4]EU Sun Complex'!K$10</f>
        <v>734.82100000000003</v>
      </c>
      <c r="M25" s="18">
        <f>'[4]EU Sun Complex'!L$10</f>
        <v>1018.6450000000001</v>
      </c>
      <c r="N25" s="18">
        <f>'[4]EU Sun Complex'!M$10</f>
        <v>435.66200000000003</v>
      </c>
      <c r="O25" s="18">
        <f>'[4]EU Sun Complex'!N$10</f>
        <v>601.76800000000003</v>
      </c>
      <c r="P25" s="18">
        <f>'[4]EU Sun Complex'!O$10</f>
        <v>593.21100000000001</v>
      </c>
      <c r="Q25" s="18">
        <f>'[4]EU Sun Complex'!P$10</f>
        <v>299.10199999999998</v>
      </c>
      <c r="R25" s="18">
        <f>'[4]EU Sun Complex'!Q$10</f>
        <v>615.55000000000007</v>
      </c>
      <c r="S25" s="18">
        <f>'[4]EU Sun Complex'!R$10</f>
        <v>293.89999999999992</v>
      </c>
      <c r="T25" s="18">
        <f>'[4]EU Sun Complex'!S$10</f>
        <v>367.06799999999993</v>
      </c>
      <c r="U25" s="18">
        <f>'[4]EU Sun Complex'!T$10</f>
        <v>244.05799999999999</v>
      </c>
      <c r="V25" s="18">
        <f>'[4]EU Sun Complex'!U$10</f>
        <v>191.97500000000002</v>
      </c>
      <c r="W25" s="18">
        <f>'[4]EU Sun Complex'!V$10</f>
        <v>344.41299999999995</v>
      </c>
      <c r="X25" s="18">
        <f>'[4]EU Sun Complex'!W$10</f>
        <v>252.98699999999999</v>
      </c>
      <c r="Y25" s="18">
        <f>'[4]EU Sun Complex'!X$10</f>
        <v>503.34600000000006</v>
      </c>
      <c r="Z25" s="18">
        <f>'[4]EU Sun Complex'!Y$10</f>
        <v>742.32299999999987</v>
      </c>
      <c r="AA25" s="18">
        <f>'[4]EU Sun Complex'!Z$10</f>
        <v>548.09400000000005</v>
      </c>
      <c r="AB25" s="18">
        <f>'[4]EU Sun Complex'!AA$10</f>
        <v>531.18299999999999</v>
      </c>
      <c r="AC25" s="18">
        <f>'[4]EU Sun Complex'!AB$10</f>
        <v>969.02896899999985</v>
      </c>
      <c r="AD25" s="18">
        <f>'[4]EU Sun Complex'!AC$10</f>
        <v>817.10107599999992</v>
      </c>
      <c r="AE25" s="18">
        <f>'[4]EU Sun Complex'!AD$10</f>
        <v>1147.9380720000001</v>
      </c>
      <c r="AF25" s="18">
        <f>'[4]EU Sun Complex'!AE$10</f>
        <v>2183.3956139999996</v>
      </c>
      <c r="AG25" s="18">
        <f>'[4]EU Sun Complex'!AF$10</f>
        <v>765.187636</v>
      </c>
      <c r="AH25" s="18">
        <f>'[4]EU Sun Complex'!AG$10</f>
        <v>750</v>
      </c>
      <c r="AI25" s="18">
        <f>'[4]EU Sun Complex'!AH$10</f>
        <v>650</v>
      </c>
      <c r="AJ25" s="18">
        <f>'[4]EU Sun Complex'!AI$10</f>
        <v>650</v>
      </c>
      <c r="AK25" s="18">
        <f>'[4]EU Sun Complex'!AJ$10</f>
        <v>650</v>
      </c>
      <c r="AL25" s="18">
        <f>'[4]EU Sun Complex'!AK$10</f>
        <v>650</v>
      </c>
      <c r="AM25" s="18">
        <f>'[4]EU Sun Complex'!AL$10</f>
        <v>650</v>
      </c>
      <c r="AN25" s="18">
        <f>'[4]EU Sun Complex'!AM$10</f>
        <v>650</v>
      </c>
    </row>
    <row r="26" spans="1:40">
      <c r="B26" s="17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</row>
    <row r="27" spans="1:40" ht="12" customHeight="1">
      <c r="B27" s="30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</row>
    <row r="28" spans="1:40" ht="16.5" thickBot="1">
      <c r="A28" s="12" t="s">
        <v>40</v>
      </c>
      <c r="C28" s="13">
        <f>SUM(C29:C31)</f>
        <v>29867.575409556292</v>
      </c>
      <c r="D28" s="13">
        <f t="shared" ref="D28:AN28" si="4">SUM(D29:D31)</f>
        <v>34759.823000000004</v>
      </c>
      <c r="E28" s="13">
        <f t="shared" si="4"/>
        <v>35600.218999999997</v>
      </c>
      <c r="F28" s="13">
        <f t="shared" si="4"/>
        <v>35107.277999999998</v>
      </c>
      <c r="G28" s="13">
        <f t="shared" si="4"/>
        <v>36071.036999999997</v>
      </c>
      <c r="H28" s="13">
        <f t="shared" si="4"/>
        <v>37728.085000000006</v>
      </c>
      <c r="I28" s="13">
        <f t="shared" si="4"/>
        <v>38582.218000000001</v>
      </c>
      <c r="J28" s="13">
        <f t="shared" si="4"/>
        <v>39049.474999999999</v>
      </c>
      <c r="K28" s="13">
        <f t="shared" si="4"/>
        <v>39839.050999999999</v>
      </c>
      <c r="L28" s="13">
        <f t="shared" si="4"/>
        <v>37808.120000000003</v>
      </c>
      <c r="M28" s="13">
        <f t="shared" si="4"/>
        <v>36010.873999999996</v>
      </c>
      <c r="N28" s="13">
        <f t="shared" si="4"/>
        <v>39606.894</v>
      </c>
      <c r="O28" s="13">
        <f t="shared" si="4"/>
        <v>40364.491999999998</v>
      </c>
      <c r="P28" s="13">
        <f t="shared" si="4"/>
        <v>42716.65</v>
      </c>
      <c r="Q28" s="13">
        <f t="shared" si="4"/>
        <v>42587.019</v>
      </c>
      <c r="R28" s="13">
        <f t="shared" si="4"/>
        <v>45748.085999999996</v>
      </c>
      <c r="S28" s="13">
        <f t="shared" si="4"/>
        <v>47111.798000000003</v>
      </c>
      <c r="T28" s="13">
        <f t="shared" si="4"/>
        <v>44787.538999999997</v>
      </c>
      <c r="U28" s="13">
        <f t="shared" si="4"/>
        <v>46965.831000000006</v>
      </c>
      <c r="V28" s="13">
        <f t="shared" si="4"/>
        <v>47079.887999999999</v>
      </c>
      <c r="W28" s="13">
        <f t="shared" si="4"/>
        <v>51215.682000000001</v>
      </c>
      <c r="X28" s="13">
        <f t="shared" si="4"/>
        <v>53919.663999999997</v>
      </c>
      <c r="Y28" s="13">
        <f t="shared" si="4"/>
        <v>52216.417999999998</v>
      </c>
      <c r="Z28" s="13">
        <f t="shared" si="4"/>
        <v>51462.951999999997</v>
      </c>
      <c r="AA28" s="13">
        <f t="shared" si="4"/>
        <v>56198.496999999996</v>
      </c>
      <c r="AB28" s="13">
        <f t="shared" si="4"/>
        <v>55131.60622300001</v>
      </c>
      <c r="AC28" s="13">
        <f t="shared" si="4"/>
        <v>54411.728977999999</v>
      </c>
      <c r="AD28" s="13">
        <f t="shared" si="4"/>
        <v>52625.223630000008</v>
      </c>
      <c r="AE28" s="13">
        <f t="shared" si="4"/>
        <v>52984.276146999997</v>
      </c>
      <c r="AF28" s="13">
        <f t="shared" si="4"/>
        <v>57652.987141999998</v>
      </c>
      <c r="AG28" s="13">
        <f t="shared" si="4"/>
        <v>55353.286631000003</v>
      </c>
      <c r="AH28" s="13">
        <f t="shared" si="4"/>
        <v>53294.436356126025</v>
      </c>
      <c r="AI28" s="13">
        <f t="shared" si="4"/>
        <v>57194</v>
      </c>
      <c r="AJ28" s="13">
        <f t="shared" si="4"/>
        <v>56625</v>
      </c>
      <c r="AK28" s="13">
        <f t="shared" si="4"/>
        <v>56050</v>
      </c>
      <c r="AL28" s="13">
        <f t="shared" si="4"/>
        <v>56450</v>
      </c>
      <c r="AM28" s="13">
        <f t="shared" si="4"/>
        <v>57400</v>
      </c>
      <c r="AN28" s="13">
        <f t="shared" si="4"/>
        <v>57475</v>
      </c>
    </row>
    <row r="29" spans="1:40">
      <c r="A29" s="31"/>
      <c r="B29" s="22" t="s">
        <v>34</v>
      </c>
      <c r="C29" s="23">
        <f>'[2]EU Soy Complex'!AE$9</f>
        <v>14921</v>
      </c>
      <c r="D29" s="23">
        <f>'[2]EU Soy Complex'!AF$9</f>
        <v>18281</v>
      </c>
      <c r="E29" s="23">
        <f>'[2]EU Soy Complex'!AG$9</f>
        <v>16627</v>
      </c>
      <c r="F29" s="23">
        <f>'[2]EU Soy Complex'!AH$9</f>
        <v>16912</v>
      </c>
      <c r="G29" s="23">
        <f>'[2]EU Soy Complex'!AI$9</f>
        <v>17500.733</v>
      </c>
      <c r="H29" s="23">
        <f>'[2]EU Soy Complex'!AJ$9</f>
        <v>17389.893000000004</v>
      </c>
      <c r="I29" s="23">
        <f>'[2]EU Soy Complex'!AK$9</f>
        <v>16250.589000000002</v>
      </c>
      <c r="J29" s="23">
        <f>'[2]EU Soy Complex'!AL$9</f>
        <v>19599.252</v>
      </c>
      <c r="K29" s="23">
        <f>'[2]EU Soy Complex'!AM$9</f>
        <v>21306.496999999999</v>
      </c>
      <c r="L29" s="23">
        <f>'[2]EU Soy Complex'!AN$9</f>
        <v>19191.189000000002</v>
      </c>
      <c r="M29" s="23">
        <f>'[2]EU Soy Complex'!AO$9</f>
        <v>16529.432999999997</v>
      </c>
      <c r="N29" s="23">
        <f>'[2]EU Soy Complex'!AP$9</f>
        <v>16653.899999999998</v>
      </c>
      <c r="O29" s="23">
        <f>'[2]EU Soy Complex'!AQ$9</f>
        <v>16063.974999999999</v>
      </c>
      <c r="P29" s="23">
        <f>'[2]EU Soy Complex'!AR$9</f>
        <v>17314.682999999997</v>
      </c>
      <c r="Q29" s="23">
        <f>'[2]EU Soy Complex'!AS$9</f>
        <v>17007.564999999999</v>
      </c>
      <c r="R29" s="23">
        <f>'[2]EU Soy Complex'!AT$9</f>
        <v>14692.221000000001</v>
      </c>
      <c r="S29" s="23">
        <f>'[2]EU Soy Complex'!AU$9</f>
        <v>14101.018</v>
      </c>
      <c r="T29" s="23">
        <f>'[2]EU Soy Complex'!AV$9</f>
        <v>14234.427</v>
      </c>
      <c r="U29" s="23">
        <f>'[2]EU Soy Complex'!AW$9</f>
        <v>14923.485999999999</v>
      </c>
      <c r="V29" s="23">
        <f>'[2]EU Soy Complex'!AX$9</f>
        <v>16238.854000000003</v>
      </c>
      <c r="W29" s="23">
        <f>'[2]EU Soy Complex'!AY$9</f>
        <v>16739.493000000002</v>
      </c>
      <c r="X29" s="23">
        <f>'[2]EU Soy Complex'!AZ$9</f>
        <v>18161.117999999999</v>
      </c>
      <c r="Y29" s="23">
        <f>'[2]EU Soy Complex'!BA$9</f>
        <v>18936.07</v>
      </c>
      <c r="Z29" s="23">
        <f>'[2]EU Soy Complex'!BB$9</f>
        <v>17441.278999999999</v>
      </c>
      <c r="AA29" s="23">
        <f>'[2]EU Soy Complex'!BC$9</f>
        <v>19323.93</v>
      </c>
      <c r="AB29" s="23">
        <f>'[2]EU Soy Complex'!BD$9</f>
        <v>19390.260223000001</v>
      </c>
      <c r="AC29" s="23">
        <f>'[2]EU Soy Complex'!BE$9</f>
        <v>18986.072448999999</v>
      </c>
      <c r="AD29" s="23">
        <f>'[2]EU Soy Complex'!BF$9</f>
        <v>18311.60411</v>
      </c>
      <c r="AE29" s="23">
        <f>'[2]EU Soy Complex'!BG$9</f>
        <v>17897.197026999998</v>
      </c>
      <c r="AF29" s="23">
        <f>'[2]EU Soy Complex'!BH$9</f>
        <v>18448.010868000001</v>
      </c>
      <c r="AG29" s="23">
        <f>'[2]EU Soy Complex'!BI$9</f>
        <v>17585.341654000003</v>
      </c>
      <c r="AH29" s="23">
        <f>'[2]EU Soy Complex'!BJ$9</f>
        <v>18685.150000000001</v>
      </c>
      <c r="AI29" s="23">
        <f>'[2]EU Soy Complex'!BK$9</f>
        <v>21044</v>
      </c>
      <c r="AJ29" s="23">
        <f>'[2]EU Soy Complex'!BL$9</f>
        <v>19700</v>
      </c>
      <c r="AK29" s="23">
        <f>'[2]EU Soy Complex'!BM$9</f>
        <v>19825</v>
      </c>
      <c r="AL29" s="23">
        <f>'[2]EU Soy Complex'!BN$9</f>
        <v>19850</v>
      </c>
      <c r="AM29" s="23">
        <f>'[2]EU Soy Complex'!BO$9</f>
        <v>19850</v>
      </c>
      <c r="AN29" s="23">
        <f>'[2]EU Soy Complex'!BP$9</f>
        <v>19825</v>
      </c>
    </row>
    <row r="30" spans="1:40">
      <c r="B30" s="17" t="s">
        <v>35</v>
      </c>
      <c r="C30" s="18">
        <f>'[3]EU Rapeseed'!B$11</f>
        <v>7813.5174095562897</v>
      </c>
      <c r="D30" s="18">
        <f>'[3]EU Rapeseed'!C$11</f>
        <v>8577</v>
      </c>
      <c r="E30" s="18">
        <f>'[3]EU Rapeseed'!D$11</f>
        <v>10712</v>
      </c>
      <c r="F30" s="18">
        <f>'[3]EU Rapeseed'!E$11</f>
        <v>9080.2829999999994</v>
      </c>
      <c r="G30" s="18">
        <f>'[3]EU Rapeseed'!F$11</f>
        <v>10575.218999999999</v>
      </c>
      <c r="H30" s="18">
        <f>'[3]EU Rapeseed'!G$11</f>
        <v>12256.768</v>
      </c>
      <c r="I30" s="18">
        <f>'[3]EU Rapeseed'!H$11</f>
        <v>14769.046</v>
      </c>
      <c r="J30" s="18">
        <f>'[3]EU Rapeseed'!I$11</f>
        <v>12321.589</v>
      </c>
      <c r="K30" s="18">
        <f>'[3]EU Rapeseed'!J$11</f>
        <v>12260.406000000001</v>
      </c>
      <c r="L30" s="18">
        <f>'[3]EU Rapeseed'!K$11</f>
        <v>12458.370999999999</v>
      </c>
      <c r="M30" s="18">
        <f>'[3]EU Rapeseed'!L$11</f>
        <v>11702.72</v>
      </c>
      <c r="N30" s="18">
        <f>'[3]EU Rapeseed'!M$11</f>
        <v>15802.338</v>
      </c>
      <c r="O30" s="18">
        <f>'[3]EU Rapeseed'!N$11</f>
        <v>17623.580999999998</v>
      </c>
      <c r="P30" s="18">
        <f>'[3]EU Rapeseed'!O$11</f>
        <v>18143.186000000002</v>
      </c>
      <c r="Q30" s="18">
        <f>'[3]EU Rapeseed'!P$11</f>
        <v>20395.900000000001</v>
      </c>
      <c r="R30" s="18">
        <f>'[3]EU Rapeseed'!Q$11</f>
        <v>23203.425999999999</v>
      </c>
      <c r="S30" s="18">
        <f>'[3]EU Rapeseed'!R$11</f>
        <v>25280.936999999998</v>
      </c>
      <c r="T30" s="18">
        <f>'[3]EU Rapeseed'!S$11</f>
        <v>22816.931</v>
      </c>
      <c r="U30" s="18">
        <f>'[3]EU Rapeseed'!T$11</f>
        <v>23095.895</v>
      </c>
      <c r="V30" s="18">
        <f>'[3]EU Rapeseed'!U$11</f>
        <v>23253.050999999999</v>
      </c>
      <c r="W30" s="18">
        <f>'[3]EU Rapeseed'!V$11</f>
        <v>24704.741999999998</v>
      </c>
      <c r="X30" s="18">
        <f>'[3]EU Rapeseed'!W$11</f>
        <v>26105.945</v>
      </c>
      <c r="Y30" s="18">
        <f>'[3]EU Rapeseed'!X$11</f>
        <v>24716.273000000001</v>
      </c>
      <c r="Z30" s="18">
        <f>'[3]EU Rapeseed'!Y$11</f>
        <v>24222.644</v>
      </c>
      <c r="AA30" s="18">
        <f>'[3]EU Rapeseed'!Z$11</f>
        <v>25052.562999999995</v>
      </c>
      <c r="AB30" s="18">
        <f>'[3]EU Rapeseed'!AA$11</f>
        <v>24300.653000000002</v>
      </c>
      <c r="AC30" s="18">
        <f>'[3]EU Rapeseed'!AB$11</f>
        <v>23321.467559999997</v>
      </c>
      <c r="AD30" s="18">
        <f>'[3]EU Rapeseed'!AC$11</f>
        <v>23670.288444000002</v>
      </c>
      <c r="AE30" s="18">
        <f>'[3]EU Rapeseed'!AD$11</f>
        <v>23173.271047999999</v>
      </c>
      <c r="AF30" s="18">
        <f>'[3]EU Rapeseed'!AE$11</f>
        <v>27027.900659999999</v>
      </c>
      <c r="AG30" s="18">
        <f>'[3]EU Rapeseed'!AF$11</f>
        <v>26879.547341000001</v>
      </c>
      <c r="AH30" s="18">
        <f>'[3]EU Rapeseed'!AG$11</f>
        <v>25133.726356126022</v>
      </c>
      <c r="AI30" s="18">
        <f>'[3]EU Rapeseed'!AH$11</f>
        <v>25050</v>
      </c>
      <c r="AJ30" s="18">
        <f>'[3]EU Rapeseed'!AI$11</f>
        <v>25700</v>
      </c>
      <c r="AK30" s="18">
        <f>'[3]EU Rapeseed'!AJ$11</f>
        <v>24800</v>
      </c>
      <c r="AL30" s="18">
        <f>'[3]EU Rapeseed'!AK$11</f>
        <v>24950</v>
      </c>
      <c r="AM30" s="18">
        <f>'[3]EU Rapeseed'!AL$11</f>
        <v>25600</v>
      </c>
      <c r="AN30" s="18">
        <f>'[3]EU Rapeseed'!AM$11</f>
        <v>25525</v>
      </c>
    </row>
    <row r="31" spans="1:40">
      <c r="B31" s="17" t="s">
        <v>36</v>
      </c>
      <c r="C31" s="18">
        <f>'[4]EU Sun Complex'!B$11</f>
        <v>7133.058</v>
      </c>
      <c r="D31" s="18">
        <f>'[4]EU Sun Complex'!C$11</f>
        <v>7901.8230000000003</v>
      </c>
      <c r="E31" s="18">
        <f>'[4]EU Sun Complex'!D$11</f>
        <v>8261.219000000001</v>
      </c>
      <c r="F31" s="18">
        <f>'[4]EU Sun Complex'!E$11</f>
        <v>9114.994999999999</v>
      </c>
      <c r="G31" s="18">
        <f>'[4]EU Sun Complex'!F$11</f>
        <v>7995.085</v>
      </c>
      <c r="H31" s="18">
        <f>'[4]EU Sun Complex'!G$11</f>
        <v>8081.4240000000009</v>
      </c>
      <c r="I31" s="18">
        <f>'[4]EU Sun Complex'!H$11</f>
        <v>7562.5830000000005</v>
      </c>
      <c r="J31" s="18">
        <f>'[4]EU Sun Complex'!I$11</f>
        <v>7128.634</v>
      </c>
      <c r="K31" s="18">
        <f>'[4]EU Sun Complex'!J$11</f>
        <v>6272.1480000000001</v>
      </c>
      <c r="L31" s="18">
        <f>'[4]EU Sun Complex'!K$11</f>
        <v>6158.5599999999995</v>
      </c>
      <c r="M31" s="18">
        <f>'[4]EU Sun Complex'!L$11</f>
        <v>7778.7210000000005</v>
      </c>
      <c r="N31" s="18">
        <f>'[4]EU Sun Complex'!M$11</f>
        <v>7150.6559999999999</v>
      </c>
      <c r="O31" s="18">
        <f>'[4]EU Sun Complex'!N$11</f>
        <v>6676.9359999999997</v>
      </c>
      <c r="P31" s="18">
        <f>'[4]EU Sun Complex'!O$11</f>
        <v>7258.7809999999999</v>
      </c>
      <c r="Q31" s="18">
        <f>'[4]EU Sun Complex'!P$11</f>
        <v>5183.5540000000001</v>
      </c>
      <c r="R31" s="18">
        <f>'[4]EU Sun Complex'!Q$11</f>
        <v>7852.4390000000003</v>
      </c>
      <c r="S31" s="18">
        <f>'[4]EU Sun Complex'!R$11</f>
        <v>7729.8429999999998</v>
      </c>
      <c r="T31" s="18">
        <f>'[4]EU Sun Complex'!S$11</f>
        <v>7736.1809999999996</v>
      </c>
      <c r="U31" s="18">
        <f>'[4]EU Sun Complex'!T$11</f>
        <v>8946.4500000000007</v>
      </c>
      <c r="V31" s="18">
        <f>'[4]EU Sun Complex'!U$11</f>
        <v>7587.9830000000002</v>
      </c>
      <c r="W31" s="18">
        <f>'[4]EU Sun Complex'!V$11</f>
        <v>9771.4470000000001</v>
      </c>
      <c r="X31" s="18">
        <f>'[4]EU Sun Complex'!W$11</f>
        <v>9652.6010000000006</v>
      </c>
      <c r="Y31" s="18">
        <f>'[4]EU Sun Complex'!X$11</f>
        <v>8564.0749999999989</v>
      </c>
      <c r="Z31" s="18">
        <f>'[4]EU Sun Complex'!Y$11</f>
        <v>9799.0290000000005</v>
      </c>
      <c r="AA31" s="18">
        <f>'[4]EU Sun Complex'!Z$11</f>
        <v>11822.004000000001</v>
      </c>
      <c r="AB31" s="18">
        <f>'[4]EU Sun Complex'!AA$11</f>
        <v>11440.693000000003</v>
      </c>
      <c r="AC31" s="18">
        <f>'[4]EU Sun Complex'!AB$11</f>
        <v>12104.188968999999</v>
      </c>
      <c r="AD31" s="18">
        <f>'[4]EU Sun Complex'!AC$11</f>
        <v>10643.331076000002</v>
      </c>
      <c r="AE31" s="18">
        <f>'[4]EU Sun Complex'!AD$11</f>
        <v>11913.808072</v>
      </c>
      <c r="AF31" s="18">
        <f>'[4]EU Sun Complex'!AE$11</f>
        <v>12177.075614000001</v>
      </c>
      <c r="AG31" s="18">
        <f>'[4]EU Sun Complex'!AF$11</f>
        <v>10888.397636</v>
      </c>
      <c r="AH31" s="18">
        <f>'[4]EU Sun Complex'!AG$11</f>
        <v>9475.56</v>
      </c>
      <c r="AI31" s="18">
        <f>'[4]EU Sun Complex'!AH$11</f>
        <v>11100</v>
      </c>
      <c r="AJ31" s="18">
        <f>'[4]EU Sun Complex'!AI$11</f>
        <v>11225</v>
      </c>
      <c r="AK31" s="18">
        <f>'[4]EU Sun Complex'!AJ$11</f>
        <v>11425</v>
      </c>
      <c r="AL31" s="18">
        <f>'[4]EU Sun Complex'!AK$11</f>
        <v>11650</v>
      </c>
      <c r="AM31" s="18">
        <f>'[4]EU Sun Complex'!AL$11</f>
        <v>11950</v>
      </c>
      <c r="AN31" s="18">
        <f>'[4]EU Sun Complex'!AM$11</f>
        <v>12125</v>
      </c>
    </row>
    <row r="32" spans="1:40">
      <c r="B32" s="17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</row>
    <row r="33" spans="1:40" ht="12" customHeight="1">
      <c r="B33" s="30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</row>
    <row r="34" spans="1:40" ht="15.75">
      <c r="A34" s="24" t="s">
        <v>41</v>
      </c>
      <c r="C34" s="13">
        <f>SUM(C35:C37)</f>
        <v>443.91768358363345</v>
      </c>
      <c r="D34" s="13">
        <f t="shared" ref="D34:AN34" si="5">SUM(D35:D37)</f>
        <v>542</v>
      </c>
      <c r="E34" s="13">
        <f t="shared" si="5"/>
        <v>521</v>
      </c>
      <c r="F34" s="13">
        <f t="shared" si="5"/>
        <v>462.767</v>
      </c>
      <c r="G34" s="13">
        <f t="shared" si="5"/>
        <v>454.9380000000001</v>
      </c>
      <c r="H34" s="13">
        <f t="shared" si="5"/>
        <v>942.55199999999991</v>
      </c>
      <c r="I34" s="13">
        <f t="shared" si="5"/>
        <v>2599.864</v>
      </c>
      <c r="J34" s="13">
        <f t="shared" si="5"/>
        <v>590.38600000000008</v>
      </c>
      <c r="K34" s="13">
        <f t="shared" si="5"/>
        <v>272.29085199999997</v>
      </c>
      <c r="L34" s="13">
        <f t="shared" si="5"/>
        <v>675.54299999999989</v>
      </c>
      <c r="M34" s="13">
        <f t="shared" si="5"/>
        <v>709.31799999999998</v>
      </c>
      <c r="N34" s="13">
        <f t="shared" si="5"/>
        <v>998.72299999999996</v>
      </c>
      <c r="O34" s="13">
        <f t="shared" si="5"/>
        <v>749.43400000000008</v>
      </c>
      <c r="P34" s="13">
        <f t="shared" si="5"/>
        <v>1014.2280000000001</v>
      </c>
      <c r="Q34" s="13">
        <f t="shared" si="5"/>
        <v>974.125</v>
      </c>
      <c r="R34" s="13">
        <f t="shared" si="5"/>
        <v>601.28</v>
      </c>
      <c r="S34" s="13">
        <f t="shared" si="5"/>
        <v>1113.3680000000002</v>
      </c>
      <c r="T34" s="13">
        <f t="shared" si="5"/>
        <v>940.77400000000011</v>
      </c>
      <c r="U34" s="13">
        <f t="shared" si="5"/>
        <v>847.55200000000002</v>
      </c>
      <c r="V34" s="13">
        <f t="shared" si="5"/>
        <v>645.56899999999996</v>
      </c>
      <c r="W34" s="13">
        <f t="shared" si="5"/>
        <v>1131.5450000000001</v>
      </c>
      <c r="X34" s="13">
        <f t="shared" si="5"/>
        <v>1296.759</v>
      </c>
      <c r="Y34" s="13">
        <f t="shared" si="5"/>
        <v>929.6690000000001</v>
      </c>
      <c r="Z34" s="13">
        <f t="shared" si="5"/>
        <v>1049.6469999999999</v>
      </c>
      <c r="AA34" s="13">
        <f t="shared" si="5"/>
        <v>1240.8539999999998</v>
      </c>
      <c r="AB34" s="13">
        <f t="shared" si="5"/>
        <v>976.70537799999988</v>
      </c>
      <c r="AC34" s="13">
        <f t="shared" si="5"/>
        <v>1127.0427340000001</v>
      </c>
      <c r="AD34" s="13">
        <f t="shared" si="5"/>
        <v>1026.3989609999999</v>
      </c>
      <c r="AE34" s="13">
        <f t="shared" si="5"/>
        <v>1146.2726</v>
      </c>
      <c r="AF34" s="13">
        <f t="shared" si="5"/>
        <v>1346.7947810000001</v>
      </c>
      <c r="AG34" s="13">
        <f t="shared" si="5"/>
        <v>1316.7390110000001</v>
      </c>
      <c r="AH34" s="13">
        <f t="shared" si="5"/>
        <v>1250</v>
      </c>
      <c r="AI34" s="13">
        <f t="shared" si="5"/>
        <v>1000</v>
      </c>
      <c r="AJ34" s="13">
        <f t="shared" si="5"/>
        <v>1000</v>
      </c>
      <c r="AK34" s="13">
        <f t="shared" si="5"/>
        <v>1000</v>
      </c>
      <c r="AL34" s="13">
        <f t="shared" si="5"/>
        <v>1000</v>
      </c>
      <c r="AM34" s="13">
        <f t="shared" si="5"/>
        <v>1125</v>
      </c>
      <c r="AN34" s="13">
        <f t="shared" si="5"/>
        <v>1150</v>
      </c>
    </row>
    <row r="35" spans="1:40">
      <c r="B35" s="26" t="s">
        <v>34</v>
      </c>
      <c r="C35" s="27">
        <f>'[2]EU Soy Complex'!AE$11</f>
        <v>61</v>
      </c>
      <c r="D35" s="27">
        <f>'[2]EU Soy Complex'!AF$11</f>
        <v>49</v>
      </c>
      <c r="E35" s="27">
        <f>'[2]EU Soy Complex'!AG$11</f>
        <v>34</v>
      </c>
      <c r="F35" s="27">
        <f>'[2]EU Soy Complex'!AH$11</f>
        <v>31</v>
      </c>
      <c r="G35" s="27">
        <f>'[2]EU Soy Complex'!AI$11</f>
        <v>39.33</v>
      </c>
      <c r="H35" s="27">
        <f>'[2]EU Soy Complex'!AJ$11</f>
        <v>35.985000000000007</v>
      </c>
      <c r="I35" s="27">
        <f>'[2]EU Soy Complex'!AK$11</f>
        <v>65.388000000000005</v>
      </c>
      <c r="J35" s="27">
        <f>'[2]EU Soy Complex'!AL$11</f>
        <v>24.795999999999999</v>
      </c>
      <c r="K35" s="27">
        <f>'[2]EU Soy Complex'!AM$11</f>
        <v>40.167000000000002</v>
      </c>
      <c r="L35" s="27">
        <f>'[2]EU Soy Complex'!AN$11</f>
        <v>24.228000000000002</v>
      </c>
      <c r="M35" s="27">
        <f>'[2]EU Soy Complex'!AO$11</f>
        <v>39.65</v>
      </c>
      <c r="N35" s="27">
        <f>'[2]EU Soy Complex'!AP$11</f>
        <v>44.526999999999994</v>
      </c>
      <c r="O35" s="27">
        <f>'[2]EU Soy Complex'!AQ$11</f>
        <v>76.617000000000004</v>
      </c>
      <c r="P35" s="27">
        <f>'[2]EU Soy Complex'!AR$11</f>
        <v>59.464999999999996</v>
      </c>
      <c r="Q35" s="27">
        <f>'[2]EU Soy Complex'!AS$11</f>
        <v>44.384999999999998</v>
      </c>
      <c r="R35" s="27">
        <f>'[2]EU Soy Complex'!AT$11</f>
        <v>35.553999999999995</v>
      </c>
      <c r="S35" s="27">
        <f>'[2]EU Soy Complex'!AU$11</f>
        <v>60.379999999999995</v>
      </c>
      <c r="T35" s="27">
        <f>'[2]EU Soy Complex'!AV$11</f>
        <v>94.859000000000009</v>
      </c>
      <c r="U35" s="27">
        <f>'[2]EU Soy Complex'!AW$11</f>
        <v>54.457000000000001</v>
      </c>
      <c r="V35" s="27">
        <f>'[2]EU Soy Complex'!AX$11</f>
        <v>91.518999999999991</v>
      </c>
      <c r="W35" s="27">
        <f>'[2]EU Soy Complex'!AY$11</f>
        <v>56.74199999999999</v>
      </c>
      <c r="X35" s="27">
        <f>'[2]EU Soy Complex'!AZ$11</f>
        <v>115.607</v>
      </c>
      <c r="Y35" s="27">
        <f>'[2]EU Soy Complex'!BA$11</f>
        <v>144.03800000000001</v>
      </c>
      <c r="Z35" s="27">
        <f>'[2]EU Soy Complex'!BB$11</f>
        <v>220.43700000000001</v>
      </c>
      <c r="AA35" s="27">
        <f>'[2]EU Soy Complex'!BC$11</f>
        <v>276.39499999999992</v>
      </c>
      <c r="AB35" s="27">
        <f>'[2]EU Soy Complex'!BD$11</f>
        <v>183.11429899999999</v>
      </c>
      <c r="AC35" s="27">
        <f>'[2]EU Soy Complex'!BE$11</f>
        <v>228.746555</v>
      </c>
      <c r="AD35" s="27">
        <f>'[2]EU Soy Complex'!BF$11</f>
        <v>187.10960699999995</v>
      </c>
      <c r="AE35" s="27">
        <f>'[2]EU Soy Complex'!BG$11</f>
        <v>291.31144800000004</v>
      </c>
      <c r="AF35" s="27">
        <f>'[2]EU Soy Complex'!BH$11</f>
        <v>230.44781100000003</v>
      </c>
      <c r="AG35" s="27">
        <f>'[2]EU Soy Complex'!BI$11</f>
        <v>253.07401300000004</v>
      </c>
      <c r="AH35" s="27">
        <f>'[2]EU Soy Complex'!BJ$11</f>
        <v>500</v>
      </c>
      <c r="AI35" s="27">
        <f>'[2]EU Soy Complex'!BK$11</f>
        <v>200</v>
      </c>
      <c r="AJ35" s="27">
        <f>'[2]EU Soy Complex'!BL$11</f>
        <v>200</v>
      </c>
      <c r="AK35" s="27">
        <f>'[2]EU Soy Complex'!BM$11</f>
        <v>200</v>
      </c>
      <c r="AL35" s="27">
        <f>'[2]EU Soy Complex'!BN$11</f>
        <v>200</v>
      </c>
      <c r="AM35" s="27">
        <f>'[2]EU Soy Complex'!BO$11</f>
        <v>200</v>
      </c>
      <c r="AN35" s="27">
        <f>'[2]EU Soy Complex'!BP$11</f>
        <v>200</v>
      </c>
    </row>
    <row r="36" spans="1:40">
      <c r="B36" s="17" t="s">
        <v>35</v>
      </c>
      <c r="C36" s="18">
        <f>'[3]EU Rapeseed'!B$13</f>
        <v>42.917683583633476</v>
      </c>
      <c r="D36" s="18">
        <f>'[3]EU Rapeseed'!C$13</f>
        <v>0</v>
      </c>
      <c r="E36" s="18">
        <f>'[3]EU Rapeseed'!D$13</f>
        <v>0</v>
      </c>
      <c r="F36" s="18">
        <f>'[3]EU Rapeseed'!E$13</f>
        <v>10.766999999999999</v>
      </c>
      <c r="G36" s="18">
        <f>'[3]EU Rapeseed'!F$13</f>
        <v>318.33500000000009</v>
      </c>
      <c r="H36" s="18">
        <f>'[3]EU Rapeseed'!G$13</f>
        <v>802.82299999999987</v>
      </c>
      <c r="I36" s="18">
        <f>'[3]EU Rapeseed'!H$13</f>
        <v>2356.748</v>
      </c>
      <c r="J36" s="18">
        <f>'[3]EU Rapeseed'!I$13</f>
        <v>503.38900000000001</v>
      </c>
      <c r="K36" s="18">
        <f>'[3]EU Rapeseed'!J$13</f>
        <v>86.079852000000017</v>
      </c>
      <c r="L36" s="18">
        <f>'[3]EU Rapeseed'!K$13</f>
        <v>534.79999999999995</v>
      </c>
      <c r="M36" s="18">
        <f>'[3]EU Rapeseed'!L$13</f>
        <v>283.36900000000009</v>
      </c>
      <c r="N36" s="18">
        <f>'[3]EU Rapeseed'!M$13</f>
        <v>352.858</v>
      </c>
      <c r="O36" s="18">
        <f>'[3]EU Rapeseed'!N$13</f>
        <v>349.72600000000006</v>
      </c>
      <c r="P36" s="18">
        <f>'[3]EU Rapeseed'!O$13</f>
        <v>161.405</v>
      </c>
      <c r="Q36" s="18">
        <f>'[3]EU Rapeseed'!P$13</f>
        <v>432.24599999999998</v>
      </c>
      <c r="R36" s="18">
        <f>'[3]EU Rapeseed'!Q$13</f>
        <v>218.91899999999998</v>
      </c>
      <c r="S36" s="18">
        <f>'[3]EU Rapeseed'!R$13</f>
        <v>345.18800000000005</v>
      </c>
      <c r="T36" s="18">
        <f>'[3]EU Rapeseed'!S$13</f>
        <v>325.95800000000008</v>
      </c>
      <c r="U36" s="18">
        <f>'[3]EU Rapeseed'!T$13</f>
        <v>140.21799999999999</v>
      </c>
      <c r="V36" s="18">
        <f>'[3]EU Rapeseed'!U$13</f>
        <v>110.337</v>
      </c>
      <c r="W36" s="18">
        <f>'[3]EU Rapeseed'!V$13</f>
        <v>332.935</v>
      </c>
      <c r="X36" s="18">
        <f>'[3]EU Rapeseed'!W$13</f>
        <v>613.77900000000011</v>
      </c>
      <c r="Y36" s="18">
        <f>'[3]EU Rapeseed'!X$13</f>
        <v>390.96900000000011</v>
      </c>
      <c r="Z36" s="18">
        <f>'[3]EU Rapeseed'!Y$13</f>
        <v>418.55399999999997</v>
      </c>
      <c r="AA36" s="18">
        <f>'[3]EU Rapeseed'!Z$13</f>
        <v>311.38200000000006</v>
      </c>
      <c r="AB36" s="18">
        <f>'[3]EU Rapeseed'!AA$13</f>
        <v>291.00199999999995</v>
      </c>
      <c r="AC36" s="18">
        <f>'[3]EU Rapeseed'!AB$13</f>
        <v>331.44428299999993</v>
      </c>
      <c r="AD36" s="18">
        <f>'[3]EU Rapeseed'!AC$13</f>
        <v>173.02448100000001</v>
      </c>
      <c r="AE36" s="18">
        <f>'[3]EU Rapeseed'!AD$13</f>
        <v>451.683087</v>
      </c>
      <c r="AF36" s="18">
        <f>'[3]EU Rapeseed'!AE$13</f>
        <v>543.99905700000011</v>
      </c>
      <c r="AG36" s="18">
        <f>'[3]EU Rapeseed'!AF$13</f>
        <v>534.06355499999995</v>
      </c>
      <c r="AH36" s="18">
        <f>'[3]EU Rapeseed'!AG$13</f>
        <v>350</v>
      </c>
      <c r="AI36" s="18">
        <f>'[3]EU Rapeseed'!AH$13</f>
        <v>250</v>
      </c>
      <c r="AJ36" s="18">
        <f>'[3]EU Rapeseed'!AI$13</f>
        <v>250</v>
      </c>
      <c r="AK36" s="18">
        <f>'[3]EU Rapeseed'!AJ$13</f>
        <v>250</v>
      </c>
      <c r="AL36" s="18">
        <f>'[3]EU Rapeseed'!AK$13</f>
        <v>250</v>
      </c>
      <c r="AM36" s="18">
        <f>'[3]EU Rapeseed'!AL$13</f>
        <v>250</v>
      </c>
      <c r="AN36" s="18">
        <f>'[3]EU Rapeseed'!AM$13</f>
        <v>250</v>
      </c>
    </row>
    <row r="37" spans="1:40">
      <c r="B37" s="17" t="s">
        <v>36</v>
      </c>
      <c r="C37" s="18">
        <f>'[4]EU Sun Complex'!B$13</f>
        <v>340</v>
      </c>
      <c r="D37" s="18">
        <f>'[4]EU Sun Complex'!C$13</f>
        <v>493</v>
      </c>
      <c r="E37" s="18">
        <f>'[4]EU Sun Complex'!D$13</f>
        <v>487</v>
      </c>
      <c r="F37" s="18">
        <f>'[4]EU Sun Complex'!E$13</f>
        <v>421</v>
      </c>
      <c r="G37" s="18">
        <f>'[4]EU Sun Complex'!F$13</f>
        <v>97.27300000000001</v>
      </c>
      <c r="H37" s="18">
        <f>'[4]EU Sun Complex'!G$13</f>
        <v>103.744</v>
      </c>
      <c r="I37" s="18">
        <f>'[4]EU Sun Complex'!H$13</f>
        <v>177.72800000000001</v>
      </c>
      <c r="J37" s="18">
        <f>'[4]EU Sun Complex'!I$13</f>
        <v>62.201000000000001</v>
      </c>
      <c r="K37" s="18">
        <f>'[4]EU Sun Complex'!J$13</f>
        <v>146.04399999999998</v>
      </c>
      <c r="L37" s="18">
        <f>'[4]EU Sun Complex'!K$13</f>
        <v>116.515</v>
      </c>
      <c r="M37" s="18">
        <f>'[4]EU Sun Complex'!L$13</f>
        <v>386.29899999999998</v>
      </c>
      <c r="N37" s="18">
        <f>'[4]EU Sun Complex'!M$13</f>
        <v>601.33799999999997</v>
      </c>
      <c r="O37" s="18">
        <f>'[4]EU Sun Complex'!N$13</f>
        <v>323.09100000000001</v>
      </c>
      <c r="P37" s="18">
        <f>'[4]EU Sun Complex'!O$13</f>
        <v>793.35800000000006</v>
      </c>
      <c r="Q37" s="18">
        <f>'[4]EU Sun Complex'!P$13</f>
        <v>497.49399999999997</v>
      </c>
      <c r="R37" s="18">
        <f>'[4]EU Sun Complex'!Q$13</f>
        <v>346.80699999999996</v>
      </c>
      <c r="S37" s="18">
        <f>'[4]EU Sun Complex'!R$13</f>
        <v>707.80000000000007</v>
      </c>
      <c r="T37" s="18">
        <f>'[4]EU Sun Complex'!S$13</f>
        <v>519.95699999999999</v>
      </c>
      <c r="U37" s="18">
        <f>'[4]EU Sun Complex'!T$13</f>
        <v>652.87700000000007</v>
      </c>
      <c r="V37" s="18">
        <f>'[4]EU Sun Complex'!U$13</f>
        <v>443.71300000000002</v>
      </c>
      <c r="W37" s="18">
        <f>'[4]EU Sun Complex'!V$13</f>
        <v>741.86799999999994</v>
      </c>
      <c r="X37" s="18">
        <f>'[4]EU Sun Complex'!W$13</f>
        <v>567.37300000000005</v>
      </c>
      <c r="Y37" s="18">
        <f>'[4]EU Sun Complex'!X$13</f>
        <v>394.66200000000003</v>
      </c>
      <c r="Z37" s="18">
        <f>'[4]EU Sun Complex'!Y$13</f>
        <v>410.65600000000001</v>
      </c>
      <c r="AA37" s="18">
        <f>'[4]EU Sun Complex'!Z$13</f>
        <v>653.07699999999988</v>
      </c>
      <c r="AB37" s="18">
        <f>'[4]EU Sun Complex'!AA$13</f>
        <v>502.58907900000003</v>
      </c>
      <c r="AC37" s="18">
        <f>'[4]EU Sun Complex'!AB$13</f>
        <v>566.85189600000001</v>
      </c>
      <c r="AD37" s="18">
        <f>'[4]EU Sun Complex'!AC$13</f>
        <v>666.26487299999997</v>
      </c>
      <c r="AE37" s="18">
        <f>'[4]EU Sun Complex'!AD$13</f>
        <v>403.27806500000003</v>
      </c>
      <c r="AF37" s="18">
        <f>'[4]EU Sun Complex'!AE$13</f>
        <v>572.34791299999995</v>
      </c>
      <c r="AG37" s="18">
        <f>'[4]EU Sun Complex'!AF$13</f>
        <v>529.60144300000002</v>
      </c>
      <c r="AH37" s="18">
        <f>'[4]EU Sun Complex'!AG$13</f>
        <v>400</v>
      </c>
      <c r="AI37" s="18">
        <f>'[4]EU Sun Complex'!AH$13</f>
        <v>550</v>
      </c>
      <c r="AJ37" s="18">
        <f>'[4]EU Sun Complex'!AI$13</f>
        <v>550</v>
      </c>
      <c r="AK37" s="18">
        <f>'[4]EU Sun Complex'!AJ$13</f>
        <v>550</v>
      </c>
      <c r="AL37" s="18">
        <f>'[4]EU Sun Complex'!AK$13</f>
        <v>550</v>
      </c>
      <c r="AM37" s="18">
        <f>'[4]EU Sun Complex'!AL$13</f>
        <v>675</v>
      </c>
      <c r="AN37" s="18">
        <f>'[4]EU Sun Complex'!AM$13</f>
        <v>700</v>
      </c>
    </row>
    <row r="38" spans="1:40">
      <c r="B38" s="17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</row>
    <row r="39" spans="1:40" ht="15.75">
      <c r="B39" s="30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</row>
    <row r="40" spans="1:40" ht="15.75">
      <c r="A40" s="24" t="s">
        <v>42</v>
      </c>
      <c r="C40" s="13">
        <f>SUM(C41:C43)</f>
        <v>28454.834725972658</v>
      </c>
      <c r="D40" s="13">
        <f t="shared" ref="D40:AN40" si="6">SUM(D41:D43)</f>
        <v>33142.603999999999</v>
      </c>
      <c r="E40" s="13">
        <f t="shared" si="6"/>
        <v>33739.224000000002</v>
      </c>
      <c r="F40" s="13">
        <f t="shared" si="6"/>
        <v>33503.077999999994</v>
      </c>
      <c r="G40" s="13">
        <f t="shared" si="6"/>
        <v>34593.856</v>
      </c>
      <c r="H40" s="13">
        <f t="shared" si="6"/>
        <v>35800.683000000005</v>
      </c>
      <c r="I40" s="13">
        <f t="shared" si="6"/>
        <v>34670.756000000001</v>
      </c>
      <c r="J40" s="13">
        <f t="shared" si="6"/>
        <v>36540.597000000002</v>
      </c>
      <c r="K40" s="13">
        <f t="shared" si="6"/>
        <v>37682.021148</v>
      </c>
      <c r="L40" s="13">
        <f t="shared" si="6"/>
        <v>35386.501000000004</v>
      </c>
      <c r="M40" s="13">
        <f t="shared" si="6"/>
        <v>33935.561999999998</v>
      </c>
      <c r="N40" s="13">
        <f t="shared" si="6"/>
        <v>36121.002999999997</v>
      </c>
      <c r="O40" s="13">
        <f t="shared" si="6"/>
        <v>37200.487999999998</v>
      </c>
      <c r="P40" s="13">
        <f t="shared" si="6"/>
        <v>39245.819999999992</v>
      </c>
      <c r="Q40" s="13">
        <f t="shared" si="6"/>
        <v>39931.615000000005</v>
      </c>
      <c r="R40" s="13">
        <f t="shared" si="6"/>
        <v>42461.123</v>
      </c>
      <c r="S40" s="13">
        <f t="shared" si="6"/>
        <v>43253.887000000002</v>
      </c>
      <c r="T40" s="13">
        <f t="shared" si="6"/>
        <v>40006.092999999993</v>
      </c>
      <c r="U40" s="13">
        <f t="shared" si="6"/>
        <v>41254.811000000002</v>
      </c>
      <c r="V40" s="13">
        <f t="shared" si="6"/>
        <v>42870.195</v>
      </c>
      <c r="W40" s="13">
        <f t="shared" si="6"/>
        <v>46762.832999999999</v>
      </c>
      <c r="X40" s="13">
        <f t="shared" si="6"/>
        <v>49598.845999999998</v>
      </c>
      <c r="Y40" s="13">
        <f t="shared" si="6"/>
        <v>48330.632999999994</v>
      </c>
      <c r="Z40" s="13">
        <f t="shared" si="6"/>
        <v>47782.305</v>
      </c>
      <c r="AA40" s="13">
        <f t="shared" si="6"/>
        <v>51295.642999999996</v>
      </c>
      <c r="AB40" s="13">
        <f t="shared" si="6"/>
        <v>50175.900845000004</v>
      </c>
      <c r="AC40" s="13">
        <f t="shared" si="6"/>
        <v>50607.686243999997</v>
      </c>
      <c r="AD40" s="13">
        <f t="shared" si="6"/>
        <v>50067.824669000001</v>
      </c>
      <c r="AE40" s="13">
        <f t="shared" si="6"/>
        <v>49924.003546999993</v>
      </c>
      <c r="AF40" s="13">
        <f t="shared" si="6"/>
        <v>53886.192361000001</v>
      </c>
      <c r="AG40" s="13">
        <f t="shared" si="6"/>
        <v>51057.547620000005</v>
      </c>
      <c r="AH40" s="13">
        <f t="shared" si="6"/>
        <v>49194.436356126025</v>
      </c>
      <c r="AI40" s="13">
        <f t="shared" si="6"/>
        <v>53369</v>
      </c>
      <c r="AJ40" s="13">
        <f t="shared" si="6"/>
        <v>52550</v>
      </c>
      <c r="AK40" s="13">
        <f t="shared" si="6"/>
        <v>51950</v>
      </c>
      <c r="AL40" s="13">
        <f t="shared" si="6"/>
        <v>52300</v>
      </c>
      <c r="AM40" s="13">
        <f t="shared" si="6"/>
        <v>53075</v>
      </c>
      <c r="AN40" s="13">
        <f t="shared" si="6"/>
        <v>53075</v>
      </c>
    </row>
    <row r="41" spans="1:40">
      <c r="B41" s="26" t="s">
        <v>34</v>
      </c>
      <c r="C41" s="27">
        <f>C47+C53</f>
        <v>14257</v>
      </c>
      <c r="D41" s="27">
        <f t="shared" ref="D41:AN43" si="7">D47+D53</f>
        <v>17423</v>
      </c>
      <c r="E41" s="27">
        <f t="shared" si="7"/>
        <v>15830</v>
      </c>
      <c r="F41" s="27">
        <f t="shared" si="7"/>
        <v>16112</v>
      </c>
      <c r="G41" s="27">
        <f t="shared" si="7"/>
        <v>16623.402999999998</v>
      </c>
      <c r="H41" s="27">
        <f t="shared" si="7"/>
        <v>16739.908000000003</v>
      </c>
      <c r="I41" s="27">
        <f t="shared" si="7"/>
        <v>15518.201000000001</v>
      </c>
      <c r="J41" s="27">
        <f t="shared" si="7"/>
        <v>18615.456000000002</v>
      </c>
      <c r="K41" s="27">
        <f t="shared" si="7"/>
        <v>20192.329999999998</v>
      </c>
      <c r="L41" s="27">
        <f t="shared" si="7"/>
        <v>18290.961000000003</v>
      </c>
      <c r="M41" s="27">
        <f t="shared" si="7"/>
        <v>15583.782999999998</v>
      </c>
      <c r="N41" s="27">
        <f t="shared" si="7"/>
        <v>15852.372999999998</v>
      </c>
      <c r="O41" s="27">
        <f t="shared" si="7"/>
        <v>15254.357999999998</v>
      </c>
      <c r="P41" s="27">
        <f t="shared" si="7"/>
        <v>16248.217999999997</v>
      </c>
      <c r="Q41" s="27">
        <f t="shared" si="7"/>
        <v>16256.179999999998</v>
      </c>
      <c r="R41" s="27">
        <f t="shared" si="7"/>
        <v>14202.667000000001</v>
      </c>
      <c r="S41" s="27">
        <f t="shared" si="7"/>
        <v>13499.638000000001</v>
      </c>
      <c r="T41" s="27">
        <f t="shared" si="7"/>
        <v>13313.567999999999</v>
      </c>
      <c r="U41" s="27">
        <f t="shared" si="7"/>
        <v>13387.028999999999</v>
      </c>
      <c r="V41" s="27">
        <f t="shared" si="7"/>
        <v>15071.335000000003</v>
      </c>
      <c r="W41" s="27">
        <f t="shared" si="7"/>
        <v>15429.751000000002</v>
      </c>
      <c r="X41" s="27">
        <f t="shared" si="7"/>
        <v>17182.510999999999</v>
      </c>
      <c r="Y41" s="27">
        <f t="shared" si="7"/>
        <v>17776.031999999999</v>
      </c>
      <c r="Z41" s="27">
        <f t="shared" si="7"/>
        <v>16329.841999999999</v>
      </c>
      <c r="AA41" s="27">
        <f t="shared" si="7"/>
        <v>18221.535</v>
      </c>
      <c r="AB41" s="27">
        <f t="shared" si="7"/>
        <v>17979.145924</v>
      </c>
      <c r="AC41" s="27">
        <f t="shared" si="7"/>
        <v>18092.325894000001</v>
      </c>
      <c r="AD41" s="27">
        <f t="shared" si="7"/>
        <v>17662.494503000002</v>
      </c>
      <c r="AE41" s="27">
        <f t="shared" si="7"/>
        <v>17010.885578999998</v>
      </c>
      <c r="AF41" s="27">
        <f t="shared" si="7"/>
        <v>17807.563056999999</v>
      </c>
      <c r="AG41" s="27">
        <f t="shared" si="7"/>
        <v>16524.267641000002</v>
      </c>
      <c r="AH41" s="27">
        <f t="shared" si="7"/>
        <v>17185.150000000001</v>
      </c>
      <c r="AI41" s="27">
        <f t="shared" si="7"/>
        <v>19744</v>
      </c>
      <c r="AJ41" s="27">
        <f t="shared" si="7"/>
        <v>18150</v>
      </c>
      <c r="AK41" s="27">
        <f t="shared" si="7"/>
        <v>18275</v>
      </c>
      <c r="AL41" s="27">
        <f t="shared" si="7"/>
        <v>18300</v>
      </c>
      <c r="AM41" s="27">
        <f t="shared" si="7"/>
        <v>18300</v>
      </c>
      <c r="AN41" s="27">
        <f t="shared" si="7"/>
        <v>18275</v>
      </c>
    </row>
    <row r="42" spans="1:40">
      <c r="B42" s="17" t="s">
        <v>35</v>
      </c>
      <c r="C42" s="18">
        <f>C48+C54</f>
        <v>7524.5997259726564</v>
      </c>
      <c r="D42" s="18">
        <f t="shared" si="7"/>
        <v>8379</v>
      </c>
      <c r="E42" s="18">
        <f t="shared" si="7"/>
        <v>10327</v>
      </c>
      <c r="F42" s="18">
        <f t="shared" si="7"/>
        <v>8842.5159999999996</v>
      </c>
      <c r="G42" s="18">
        <f t="shared" si="7"/>
        <v>10164.883999999998</v>
      </c>
      <c r="H42" s="18">
        <f t="shared" si="7"/>
        <v>11143.945</v>
      </c>
      <c r="I42" s="18">
        <f t="shared" si="7"/>
        <v>11964.298000000001</v>
      </c>
      <c r="J42" s="18">
        <f t="shared" si="7"/>
        <v>11333.2</v>
      </c>
      <c r="K42" s="18">
        <f t="shared" si="7"/>
        <v>11541.326148</v>
      </c>
      <c r="L42" s="18">
        <f t="shared" si="7"/>
        <v>11589.571</v>
      </c>
      <c r="M42" s="18">
        <f t="shared" si="7"/>
        <v>11141.350999999999</v>
      </c>
      <c r="N42" s="18">
        <f t="shared" si="7"/>
        <v>13758.48</v>
      </c>
      <c r="O42" s="18">
        <f t="shared" si="7"/>
        <v>15673.854999999998</v>
      </c>
      <c r="P42" s="18">
        <f t="shared" si="7"/>
        <v>16540.781000000003</v>
      </c>
      <c r="Q42" s="18">
        <f t="shared" si="7"/>
        <v>19004.654000000002</v>
      </c>
      <c r="R42" s="18">
        <f t="shared" si="7"/>
        <v>21141.506999999998</v>
      </c>
      <c r="S42" s="18">
        <f t="shared" si="7"/>
        <v>23126.749</v>
      </c>
      <c r="T42" s="18">
        <f t="shared" si="7"/>
        <v>19619.973000000002</v>
      </c>
      <c r="U42" s="18">
        <f t="shared" si="7"/>
        <v>19771.677</v>
      </c>
      <c r="V42" s="18">
        <f t="shared" si="7"/>
        <v>20814.714</v>
      </c>
      <c r="W42" s="18">
        <f t="shared" si="7"/>
        <v>22403.806999999997</v>
      </c>
      <c r="X42" s="18">
        <f t="shared" si="7"/>
        <v>23508.166000000001</v>
      </c>
      <c r="Y42" s="18">
        <f t="shared" si="7"/>
        <v>22713.304</v>
      </c>
      <c r="Z42" s="18">
        <f t="shared" si="7"/>
        <v>22935.09</v>
      </c>
      <c r="AA42" s="18">
        <f t="shared" si="7"/>
        <v>22842.180999999993</v>
      </c>
      <c r="AB42" s="18">
        <f t="shared" si="7"/>
        <v>22149.651000000002</v>
      </c>
      <c r="AC42" s="18">
        <f t="shared" si="7"/>
        <v>21803.023276999997</v>
      </c>
      <c r="AD42" s="18">
        <f t="shared" si="7"/>
        <v>22829.263963000001</v>
      </c>
      <c r="AE42" s="18">
        <f t="shared" si="7"/>
        <v>22094.587960999997</v>
      </c>
      <c r="AF42" s="18">
        <f t="shared" si="7"/>
        <v>24797.901602999998</v>
      </c>
      <c r="AG42" s="18">
        <f t="shared" si="7"/>
        <v>24852.483786000001</v>
      </c>
      <c r="AH42" s="18">
        <f t="shared" si="7"/>
        <v>23533.726356126022</v>
      </c>
      <c r="AI42" s="18">
        <f t="shared" si="7"/>
        <v>23500</v>
      </c>
      <c r="AJ42" s="18">
        <f t="shared" si="7"/>
        <v>24150</v>
      </c>
      <c r="AK42" s="18">
        <f t="shared" si="7"/>
        <v>23300</v>
      </c>
      <c r="AL42" s="18">
        <f t="shared" si="7"/>
        <v>23500</v>
      </c>
      <c r="AM42" s="18">
        <f t="shared" si="7"/>
        <v>24125</v>
      </c>
      <c r="AN42" s="18">
        <f t="shared" si="7"/>
        <v>24025</v>
      </c>
    </row>
    <row r="43" spans="1:40">
      <c r="B43" s="17" t="s">
        <v>36</v>
      </c>
      <c r="C43" s="18">
        <f>C49+C55</f>
        <v>6673.2349999999997</v>
      </c>
      <c r="D43" s="18">
        <f t="shared" si="7"/>
        <v>7340.6040000000003</v>
      </c>
      <c r="E43" s="18">
        <f t="shared" si="7"/>
        <v>7582.2240000000011</v>
      </c>
      <c r="F43" s="18">
        <f t="shared" si="7"/>
        <v>8548.5619999999981</v>
      </c>
      <c r="G43" s="18">
        <f t="shared" si="7"/>
        <v>7805.5689999999995</v>
      </c>
      <c r="H43" s="18">
        <f t="shared" si="7"/>
        <v>7916.8300000000008</v>
      </c>
      <c r="I43" s="18">
        <f t="shared" si="7"/>
        <v>7188.2570000000005</v>
      </c>
      <c r="J43" s="18">
        <f t="shared" si="7"/>
        <v>6591.9409999999998</v>
      </c>
      <c r="K43" s="18">
        <f t="shared" si="7"/>
        <v>5948.3650000000007</v>
      </c>
      <c r="L43" s="18">
        <f t="shared" si="7"/>
        <v>5505.9689999999991</v>
      </c>
      <c r="M43" s="18">
        <f t="shared" si="7"/>
        <v>7210.4280000000008</v>
      </c>
      <c r="N43" s="18">
        <f t="shared" si="7"/>
        <v>6510.1500000000005</v>
      </c>
      <c r="O43" s="18">
        <f t="shared" si="7"/>
        <v>6272.2749999999996</v>
      </c>
      <c r="P43" s="18">
        <f t="shared" si="7"/>
        <v>6456.8209999999999</v>
      </c>
      <c r="Q43" s="18">
        <f t="shared" si="7"/>
        <v>4670.7809999999999</v>
      </c>
      <c r="R43" s="18">
        <f t="shared" si="7"/>
        <v>7116.9490000000005</v>
      </c>
      <c r="S43" s="18">
        <f t="shared" si="7"/>
        <v>6627.5</v>
      </c>
      <c r="T43" s="18">
        <f t="shared" si="7"/>
        <v>7072.5519999999997</v>
      </c>
      <c r="U43" s="18">
        <f t="shared" si="7"/>
        <v>8096.1049999999996</v>
      </c>
      <c r="V43" s="18">
        <f t="shared" si="7"/>
        <v>6984.1460000000006</v>
      </c>
      <c r="W43" s="18">
        <f t="shared" si="7"/>
        <v>8929.2749999999996</v>
      </c>
      <c r="X43" s="18">
        <f t="shared" si="7"/>
        <v>8908.1690000000017</v>
      </c>
      <c r="Y43" s="18">
        <f t="shared" si="7"/>
        <v>7841.2969999999987</v>
      </c>
      <c r="Z43" s="18">
        <f t="shared" si="7"/>
        <v>8517.3729999999996</v>
      </c>
      <c r="AA43" s="18">
        <f t="shared" si="7"/>
        <v>10231.927000000001</v>
      </c>
      <c r="AB43" s="18">
        <f t="shared" si="7"/>
        <v>10047.103921000004</v>
      </c>
      <c r="AC43" s="18">
        <f t="shared" si="7"/>
        <v>10712.337072999999</v>
      </c>
      <c r="AD43" s="18">
        <f t="shared" si="7"/>
        <v>9576.0662030000021</v>
      </c>
      <c r="AE43" s="18">
        <f t="shared" si="7"/>
        <v>10818.530006999999</v>
      </c>
      <c r="AF43" s="18">
        <f t="shared" si="7"/>
        <v>11280.727701000002</v>
      </c>
      <c r="AG43" s="18">
        <f t="shared" si="7"/>
        <v>9680.7961930000001</v>
      </c>
      <c r="AH43" s="18">
        <f t="shared" si="7"/>
        <v>8475.56</v>
      </c>
      <c r="AI43" s="18">
        <f t="shared" si="7"/>
        <v>10125</v>
      </c>
      <c r="AJ43" s="18">
        <f t="shared" si="7"/>
        <v>10250</v>
      </c>
      <c r="AK43" s="18">
        <f t="shared" si="7"/>
        <v>10375</v>
      </c>
      <c r="AL43" s="18">
        <f t="shared" si="7"/>
        <v>10500</v>
      </c>
      <c r="AM43" s="18">
        <f t="shared" si="7"/>
        <v>10650</v>
      </c>
      <c r="AN43" s="18">
        <f t="shared" si="7"/>
        <v>10775</v>
      </c>
    </row>
    <row r="44" spans="1:40">
      <c r="B44" s="17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</row>
    <row r="45" spans="1:40" ht="15.75">
      <c r="B45" s="30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</row>
    <row r="46" spans="1:40" ht="15.75">
      <c r="A46" s="24" t="s">
        <v>43</v>
      </c>
      <c r="C46" s="13">
        <f>SUM(C47:C49)</f>
        <v>26236</v>
      </c>
      <c r="D46" s="13">
        <f t="shared" ref="D46:AN46" si="8">SUM(D47:D49)</f>
        <v>30744</v>
      </c>
      <c r="E46" s="13">
        <f t="shared" si="8"/>
        <v>30909</v>
      </c>
      <c r="F46" s="13">
        <f t="shared" si="8"/>
        <v>30898</v>
      </c>
      <c r="G46" s="13">
        <f t="shared" si="8"/>
        <v>32482</v>
      </c>
      <c r="H46" s="13">
        <f t="shared" si="8"/>
        <v>33248</v>
      </c>
      <c r="I46" s="13">
        <f t="shared" si="8"/>
        <v>32167</v>
      </c>
      <c r="J46" s="13">
        <f t="shared" si="8"/>
        <v>33605</v>
      </c>
      <c r="K46" s="13">
        <f t="shared" si="8"/>
        <v>33426</v>
      </c>
      <c r="L46" s="13">
        <f t="shared" si="8"/>
        <v>32182</v>
      </c>
      <c r="M46" s="13">
        <f t="shared" si="8"/>
        <v>30762</v>
      </c>
      <c r="N46" s="13">
        <f t="shared" si="8"/>
        <v>33118</v>
      </c>
      <c r="O46" s="13">
        <f t="shared" si="8"/>
        <v>33648</v>
      </c>
      <c r="P46" s="13">
        <f t="shared" si="8"/>
        <v>35800</v>
      </c>
      <c r="Q46" s="13">
        <f t="shared" si="8"/>
        <v>37522</v>
      </c>
      <c r="R46" s="13">
        <f t="shared" si="8"/>
        <v>39150</v>
      </c>
      <c r="S46" s="13">
        <f t="shared" si="8"/>
        <v>41591</v>
      </c>
      <c r="T46" s="13">
        <f t="shared" si="8"/>
        <v>40753</v>
      </c>
      <c r="U46" s="13">
        <f t="shared" si="8"/>
        <v>40652</v>
      </c>
      <c r="V46" s="13">
        <f t="shared" si="8"/>
        <v>42100</v>
      </c>
      <c r="W46" s="13">
        <f t="shared" si="8"/>
        <v>45241</v>
      </c>
      <c r="X46" s="13">
        <f t="shared" si="8"/>
        <v>47487</v>
      </c>
      <c r="Y46" s="13">
        <f t="shared" si="8"/>
        <v>23877.764505574149</v>
      </c>
      <c r="Z46" s="13">
        <f t="shared" si="8"/>
        <v>46469</v>
      </c>
      <c r="AA46" s="13">
        <f t="shared" si="8"/>
        <v>45921</v>
      </c>
      <c r="AB46" s="13">
        <f t="shared" si="8"/>
        <v>48040.419075319849</v>
      </c>
      <c r="AC46" s="13">
        <f t="shared" si="8"/>
        <v>47816</v>
      </c>
      <c r="AD46" s="13">
        <f t="shared" si="8"/>
        <v>48388</v>
      </c>
      <c r="AE46" s="13">
        <f t="shared" si="8"/>
        <v>48561</v>
      </c>
      <c r="AF46" s="13">
        <f t="shared" si="8"/>
        <v>49197</v>
      </c>
      <c r="AG46" s="13">
        <f t="shared" si="8"/>
        <v>50018</v>
      </c>
      <c r="AH46" s="13">
        <f t="shared" si="8"/>
        <v>49750</v>
      </c>
      <c r="AI46" s="13">
        <f t="shared" si="8"/>
        <v>52750</v>
      </c>
      <c r="AJ46" s="13">
        <f t="shared" si="8"/>
        <v>53700</v>
      </c>
      <c r="AK46" s="13">
        <f t="shared" si="8"/>
        <v>54800</v>
      </c>
      <c r="AL46" s="13">
        <f t="shared" si="8"/>
        <v>55900</v>
      </c>
      <c r="AM46" s="13">
        <f t="shared" si="8"/>
        <v>57000</v>
      </c>
      <c r="AN46" s="13">
        <f t="shared" si="8"/>
        <v>58200</v>
      </c>
    </row>
    <row r="47" spans="1:40">
      <c r="B47" s="26" t="s">
        <v>34</v>
      </c>
      <c r="C47" s="27">
        <f>'[2]EU Soy Complex'!AE$10</f>
        <v>12729</v>
      </c>
      <c r="D47" s="27">
        <f>'[2]EU Soy Complex'!AF$10</f>
        <v>15457</v>
      </c>
      <c r="E47" s="27">
        <f>'[2]EU Soy Complex'!AG$10</f>
        <v>14406</v>
      </c>
      <c r="F47" s="27">
        <f>'[2]EU Soy Complex'!AH$10</f>
        <v>14764</v>
      </c>
      <c r="G47" s="27">
        <f>'[2]EU Soy Complex'!AI$10</f>
        <v>15583</v>
      </c>
      <c r="H47" s="27">
        <f>'[2]EU Soy Complex'!AJ$10</f>
        <v>15589</v>
      </c>
      <c r="I47" s="27">
        <f>'[2]EU Soy Complex'!AK$10</f>
        <v>14259</v>
      </c>
      <c r="J47" s="27">
        <f>'[2]EU Soy Complex'!AL$10</f>
        <v>16848</v>
      </c>
      <c r="K47" s="27">
        <f>'[2]EU Soy Complex'!AM$10</f>
        <v>18029</v>
      </c>
      <c r="L47" s="27">
        <f>'[2]EU Soy Complex'!AN$10</f>
        <v>16612</v>
      </c>
      <c r="M47" s="27">
        <f>'[2]EU Soy Complex'!AO$10</f>
        <v>14106</v>
      </c>
      <c r="N47" s="27">
        <f>'[2]EU Soy Complex'!AP$10</f>
        <v>14349</v>
      </c>
      <c r="O47" s="27">
        <f>'[2]EU Soy Complex'!AQ$10</f>
        <v>13664</v>
      </c>
      <c r="P47" s="27">
        <f>'[2]EU Soy Complex'!AR$10</f>
        <v>14588</v>
      </c>
      <c r="Q47" s="27">
        <f>'[2]EU Soy Complex'!AS$10</f>
        <v>14757</v>
      </c>
      <c r="R47" s="27">
        <f>'[2]EU Soy Complex'!AT$10</f>
        <v>12802</v>
      </c>
      <c r="S47" s="27">
        <f>'[2]EU Soy Complex'!AU$10</f>
        <v>12659</v>
      </c>
      <c r="T47" s="27">
        <f>'[2]EU Soy Complex'!AV$10</f>
        <v>12420</v>
      </c>
      <c r="U47" s="27">
        <f>'[2]EU Soy Complex'!AW$10</f>
        <v>12511</v>
      </c>
      <c r="V47" s="27">
        <f>'[2]EU Soy Complex'!AX$10</f>
        <v>13116</v>
      </c>
      <c r="W47" s="27">
        <f>'[2]EU Soy Complex'!AY$10</f>
        <v>13364</v>
      </c>
      <c r="X47" s="27">
        <f>'[2]EU Soy Complex'!AZ$10</f>
        <v>14090</v>
      </c>
      <c r="Y47" s="27">
        <f>'[2]EU Soy Complex'!BA$10</f>
        <v>15047</v>
      </c>
      <c r="Z47" s="27">
        <f>'[2]EU Soy Complex'!BB$10</f>
        <v>14465</v>
      </c>
      <c r="AA47" s="27">
        <f>'[2]EU Soy Complex'!BC$10</f>
        <v>14965</v>
      </c>
      <c r="AB47" s="27">
        <f>'[2]EU Soy Complex'!BD$10</f>
        <v>15404</v>
      </c>
      <c r="AC47" s="27">
        <f>'[2]EU Soy Complex'!BE$10</f>
        <v>15695</v>
      </c>
      <c r="AD47" s="27">
        <f>'[2]EU Soy Complex'!BF$10</f>
        <v>15633</v>
      </c>
      <c r="AE47" s="27">
        <f>'[2]EU Soy Complex'!BG$10</f>
        <v>15400</v>
      </c>
      <c r="AF47" s="27">
        <f>'[2]EU Soy Complex'!BH$10</f>
        <v>14300</v>
      </c>
      <c r="AG47" s="27">
        <f>'[2]EU Soy Complex'!BI$10</f>
        <v>14500</v>
      </c>
      <c r="AH47" s="27">
        <f>'[2]EU Soy Complex'!BJ$10</f>
        <v>15200</v>
      </c>
      <c r="AI47" s="27">
        <f>'[2]EU Soy Complex'!BK$10</f>
        <v>15750</v>
      </c>
      <c r="AJ47" s="27">
        <f>'[2]EU Soy Complex'!BL$10</f>
        <v>15700</v>
      </c>
      <c r="AK47" s="27">
        <f>'[2]EU Soy Complex'!BM$10</f>
        <v>15700</v>
      </c>
      <c r="AL47" s="27">
        <f>'[2]EU Soy Complex'!BN$10</f>
        <v>15700</v>
      </c>
      <c r="AM47" s="27">
        <f>'[2]EU Soy Complex'!BO$10</f>
        <v>15700</v>
      </c>
      <c r="AN47" s="27">
        <f>'[2]EU Soy Complex'!BP$10</f>
        <v>15700</v>
      </c>
    </row>
    <row r="48" spans="1:40">
      <c r="B48" s="17" t="s">
        <v>35</v>
      </c>
      <c r="C48" s="18">
        <f>'[3]EU Rapeseed'!B$12</f>
        <v>7511</v>
      </c>
      <c r="D48" s="18">
        <f>'[3]EU Rapeseed'!C$12</f>
        <v>8561</v>
      </c>
      <c r="E48" s="18">
        <f>'[3]EU Rapeseed'!D$12</f>
        <v>9372</v>
      </c>
      <c r="F48" s="18">
        <f>'[3]EU Rapeseed'!E$12</f>
        <v>8310</v>
      </c>
      <c r="G48" s="18">
        <f>'[3]EU Rapeseed'!F$12</f>
        <v>9607</v>
      </c>
      <c r="H48" s="18">
        <f>'[3]EU Rapeseed'!G$12</f>
        <v>10403</v>
      </c>
      <c r="I48" s="18">
        <f>'[3]EU Rapeseed'!H$12</f>
        <v>11119</v>
      </c>
      <c r="J48" s="18">
        <f>'[3]EU Rapeseed'!I$12</f>
        <v>10520</v>
      </c>
      <c r="K48" s="18">
        <f>'[3]EU Rapeseed'!J$12</f>
        <v>10377</v>
      </c>
      <c r="L48" s="18">
        <f>'[3]EU Rapeseed'!K$12</f>
        <v>10515</v>
      </c>
      <c r="M48" s="18">
        <f>'[3]EU Rapeseed'!L$12</f>
        <v>10422</v>
      </c>
      <c r="N48" s="18">
        <f>'[3]EU Rapeseed'!M$12</f>
        <v>13249</v>
      </c>
      <c r="O48" s="18">
        <f>'[3]EU Rapeseed'!N$12</f>
        <v>14693</v>
      </c>
      <c r="P48" s="18">
        <f>'[3]EU Rapeseed'!O$12</f>
        <v>15730</v>
      </c>
      <c r="Q48" s="18">
        <f>'[3]EU Rapeseed'!P$12</f>
        <v>18476</v>
      </c>
      <c r="R48" s="18">
        <f>'[3]EU Rapeseed'!Q$12</f>
        <v>20458</v>
      </c>
      <c r="S48" s="18">
        <f>'[3]EU Rapeseed'!R$12</f>
        <v>23027</v>
      </c>
      <c r="T48" s="18">
        <f>'[3]EU Rapeseed'!S$12</f>
        <v>22401</v>
      </c>
      <c r="U48" s="18">
        <f>'[3]EU Rapeseed'!T$12</f>
        <v>21289</v>
      </c>
      <c r="V48" s="18">
        <f>'[3]EU Rapeseed'!U$12</f>
        <v>22951</v>
      </c>
      <c r="W48" s="18">
        <f>'[3]EU Rapeseed'!V$12</f>
        <v>24185</v>
      </c>
      <c r="X48" s="18">
        <f>'[3]EU Rapeseed'!W$12</f>
        <v>25797</v>
      </c>
      <c r="Y48" s="18">
        <f>'[3]EU Rapeseed'!X$12</f>
        <v>1836</v>
      </c>
      <c r="Z48" s="18">
        <f>'[3]EU Rapeseed'!Y$12</f>
        <v>24100</v>
      </c>
      <c r="AA48" s="18">
        <f>'[3]EU Rapeseed'!Z$12</f>
        <v>22050</v>
      </c>
      <c r="AB48" s="18">
        <f>'[3]EU Rapeseed'!AA$12</f>
        <v>23735</v>
      </c>
      <c r="AC48" s="18">
        <f>'[3]EU Rapeseed'!AB$12</f>
        <v>23385</v>
      </c>
      <c r="AD48" s="18">
        <f>'[3]EU Rapeseed'!AC$12</f>
        <v>24699</v>
      </c>
      <c r="AE48" s="18">
        <f>'[3]EU Rapeseed'!AD$12</f>
        <v>23679</v>
      </c>
      <c r="AF48" s="18">
        <f>'[3]EU Rapeseed'!AE$12</f>
        <v>25397</v>
      </c>
      <c r="AG48" s="18">
        <f>'[3]EU Rapeseed'!AF$12</f>
        <v>26318</v>
      </c>
      <c r="AH48" s="18">
        <f>'[3]EU Rapeseed'!AG$12</f>
        <v>26500</v>
      </c>
      <c r="AI48" s="18">
        <f>'[3]EU Rapeseed'!AH$12</f>
        <v>27500</v>
      </c>
      <c r="AJ48" s="18">
        <f>'[3]EU Rapeseed'!AI$12</f>
        <v>28500</v>
      </c>
      <c r="AK48" s="18">
        <f>'[3]EU Rapeseed'!AJ$12</f>
        <v>29500</v>
      </c>
      <c r="AL48" s="18">
        <f>'[3]EU Rapeseed'!AK$12</f>
        <v>30500</v>
      </c>
      <c r="AM48" s="18">
        <f>'[3]EU Rapeseed'!AL$12</f>
        <v>31500</v>
      </c>
      <c r="AN48" s="18">
        <f>'[3]EU Rapeseed'!AM$12</f>
        <v>32500</v>
      </c>
    </row>
    <row r="49" spans="1:40">
      <c r="B49" s="17" t="s">
        <v>36</v>
      </c>
      <c r="C49" s="18">
        <f>'[4]EU Sun Complex'!B$12</f>
        <v>5995.9999999999991</v>
      </c>
      <c r="D49" s="18">
        <f>'[4]EU Sun Complex'!C$12</f>
        <v>6726</v>
      </c>
      <c r="E49" s="18">
        <f>'[4]EU Sun Complex'!D$12</f>
        <v>7131.0000000000009</v>
      </c>
      <c r="F49" s="18">
        <f>'[4]EU Sun Complex'!E$12</f>
        <v>7824</v>
      </c>
      <c r="G49" s="18">
        <f>'[4]EU Sun Complex'!F$12</f>
        <v>7292.0000000000009</v>
      </c>
      <c r="H49" s="18">
        <f>'[4]EU Sun Complex'!G$12</f>
        <v>7256.0000000000009</v>
      </c>
      <c r="I49" s="18">
        <f>'[4]EU Sun Complex'!H$12</f>
        <v>6789</v>
      </c>
      <c r="J49" s="18">
        <f>'[4]EU Sun Complex'!I$12</f>
        <v>6237</v>
      </c>
      <c r="K49" s="18">
        <f>'[4]EU Sun Complex'!J$12</f>
        <v>5019.9999999999991</v>
      </c>
      <c r="L49" s="18">
        <f>'[4]EU Sun Complex'!K$12</f>
        <v>5055</v>
      </c>
      <c r="M49" s="18">
        <f>'[4]EU Sun Complex'!L$12</f>
        <v>6234</v>
      </c>
      <c r="N49" s="18">
        <f>'[4]EU Sun Complex'!M$12</f>
        <v>5520</v>
      </c>
      <c r="O49" s="18">
        <f>'[4]EU Sun Complex'!N$12</f>
        <v>5291</v>
      </c>
      <c r="P49" s="18">
        <f>'[4]EU Sun Complex'!O$12</f>
        <v>5482</v>
      </c>
      <c r="Q49" s="18">
        <f>'[4]EU Sun Complex'!P$12</f>
        <v>4289</v>
      </c>
      <c r="R49" s="18">
        <f>'[4]EU Sun Complex'!Q$12</f>
        <v>5890</v>
      </c>
      <c r="S49" s="18">
        <f>'[4]EU Sun Complex'!R$12</f>
        <v>5905</v>
      </c>
      <c r="T49" s="18">
        <f>'[4]EU Sun Complex'!S$12</f>
        <v>5932</v>
      </c>
      <c r="U49" s="18">
        <f>'[4]EU Sun Complex'!T$12</f>
        <v>6852</v>
      </c>
      <c r="V49" s="18">
        <f>'[4]EU Sun Complex'!U$12</f>
        <v>6033</v>
      </c>
      <c r="W49" s="18">
        <f>'[4]EU Sun Complex'!V$12</f>
        <v>7692</v>
      </c>
      <c r="X49" s="18">
        <f>'[4]EU Sun Complex'!W$12</f>
        <v>7600</v>
      </c>
      <c r="Y49" s="18">
        <f>'[4]EU Sun Complex'!X$12</f>
        <v>6994.7645055741496</v>
      </c>
      <c r="Z49" s="18">
        <f>'[4]EU Sun Complex'!Y$12</f>
        <v>7904</v>
      </c>
      <c r="AA49" s="18">
        <f>'[4]EU Sun Complex'!Z$12</f>
        <v>8906</v>
      </c>
      <c r="AB49" s="18">
        <f>'[4]EU Sun Complex'!AA$12</f>
        <v>8901.4190753198527</v>
      </c>
      <c r="AC49" s="18">
        <f>'[4]EU Sun Complex'!AB$12</f>
        <v>8736</v>
      </c>
      <c r="AD49" s="18">
        <f>'[4]EU Sun Complex'!AC$12</f>
        <v>8056</v>
      </c>
      <c r="AE49" s="18">
        <f>'[4]EU Sun Complex'!AD$12</f>
        <v>9482</v>
      </c>
      <c r="AF49" s="18">
        <f>'[4]EU Sun Complex'!AE$12</f>
        <v>9500</v>
      </c>
      <c r="AG49" s="18">
        <f>'[4]EU Sun Complex'!AF$12</f>
        <v>9200</v>
      </c>
      <c r="AH49" s="18">
        <f>'[4]EU Sun Complex'!AG$12</f>
        <v>8050</v>
      </c>
      <c r="AI49" s="18">
        <f>'[4]EU Sun Complex'!AH$12</f>
        <v>9500</v>
      </c>
      <c r="AJ49" s="18">
        <f>'[4]EU Sun Complex'!AI$12</f>
        <v>9500</v>
      </c>
      <c r="AK49" s="18">
        <f>'[4]EU Sun Complex'!AJ$12</f>
        <v>9600</v>
      </c>
      <c r="AL49" s="18">
        <f>'[4]EU Sun Complex'!AK$12</f>
        <v>9700</v>
      </c>
      <c r="AM49" s="18">
        <f>'[4]EU Sun Complex'!AL$12</f>
        <v>9800</v>
      </c>
      <c r="AN49" s="18">
        <f>'[4]EU Sun Complex'!AM$12</f>
        <v>10000</v>
      </c>
    </row>
    <row r="50" spans="1:40">
      <c r="B50" s="17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1:40" ht="15.75">
      <c r="B51" s="30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</row>
    <row r="52" spans="1:40" ht="15.75">
      <c r="A52" s="24" t="s">
        <v>44</v>
      </c>
      <c r="C52" s="13">
        <f>SUM(C53:C55)</f>
        <v>2218.834725972657</v>
      </c>
      <c r="D52" s="13">
        <f t="shared" ref="D52:AN52" si="9">SUM(D53:D55)</f>
        <v>2398.6040000000003</v>
      </c>
      <c r="E52" s="13">
        <f t="shared" si="9"/>
        <v>2830.2240000000002</v>
      </c>
      <c r="F52" s="13">
        <f t="shared" si="9"/>
        <v>2605.0779999999977</v>
      </c>
      <c r="G52" s="13">
        <f t="shared" si="9"/>
        <v>2111.855999999997</v>
      </c>
      <c r="H52" s="13">
        <f t="shared" si="9"/>
        <v>2552.6830000000027</v>
      </c>
      <c r="I52" s="13">
        <f t="shared" si="9"/>
        <v>2503.7560000000021</v>
      </c>
      <c r="J52" s="13">
        <f t="shared" si="9"/>
        <v>2935.5970000000025</v>
      </c>
      <c r="K52" s="13">
        <f t="shared" si="9"/>
        <v>4256.0211479999998</v>
      </c>
      <c r="L52" s="13">
        <f t="shared" si="9"/>
        <v>3204.501000000002</v>
      </c>
      <c r="M52" s="13">
        <f t="shared" si="9"/>
        <v>3173.5619999999972</v>
      </c>
      <c r="N52" s="13">
        <f t="shared" si="9"/>
        <v>3003.0029999999979</v>
      </c>
      <c r="O52" s="13">
        <f t="shared" si="9"/>
        <v>3552.4879999999957</v>
      </c>
      <c r="P52" s="13">
        <f t="shared" si="9"/>
        <v>3445.8199999999979</v>
      </c>
      <c r="Q52" s="13">
        <f t="shared" si="9"/>
        <v>2409.6150000000007</v>
      </c>
      <c r="R52" s="13">
        <f t="shared" si="9"/>
        <v>3311.1229999999996</v>
      </c>
      <c r="S52" s="13">
        <f t="shared" si="9"/>
        <v>1662.8870000000006</v>
      </c>
      <c r="T52" s="13">
        <f t="shared" si="9"/>
        <v>-746.90699999999924</v>
      </c>
      <c r="U52" s="13">
        <f t="shared" si="9"/>
        <v>602.81099999999788</v>
      </c>
      <c r="V52" s="13">
        <f t="shared" si="9"/>
        <v>770.19500000000335</v>
      </c>
      <c r="W52" s="13">
        <f t="shared" si="9"/>
        <v>1521.8329999999987</v>
      </c>
      <c r="X52" s="13">
        <f t="shared" si="9"/>
        <v>2111.8460000000014</v>
      </c>
      <c r="Y52" s="13">
        <f t="shared" si="9"/>
        <v>24452.868494425849</v>
      </c>
      <c r="Z52" s="13">
        <f t="shared" si="9"/>
        <v>1313.3049999999985</v>
      </c>
      <c r="AA52" s="13">
        <f t="shared" si="9"/>
        <v>5374.6429999999946</v>
      </c>
      <c r="AB52" s="13">
        <f t="shared" si="9"/>
        <v>2135.4817696801529</v>
      </c>
      <c r="AC52" s="13">
        <f t="shared" si="9"/>
        <v>2791.686243999995</v>
      </c>
      <c r="AD52" s="13">
        <f t="shared" si="9"/>
        <v>1679.8246690000037</v>
      </c>
      <c r="AE52" s="13">
        <f t="shared" si="9"/>
        <v>1363.0035469999953</v>
      </c>
      <c r="AF52" s="13">
        <f t="shared" si="9"/>
        <v>4689.1923610000013</v>
      </c>
      <c r="AG52" s="13">
        <f t="shared" si="9"/>
        <v>1039.5476200000044</v>
      </c>
      <c r="AH52" s="13">
        <f t="shared" si="9"/>
        <v>-555.56364387397662</v>
      </c>
      <c r="AI52" s="13">
        <f t="shared" si="9"/>
        <v>619</v>
      </c>
      <c r="AJ52" s="13">
        <f t="shared" si="9"/>
        <v>-1150</v>
      </c>
      <c r="AK52" s="13">
        <f t="shared" si="9"/>
        <v>-2850</v>
      </c>
      <c r="AL52" s="13">
        <f t="shared" si="9"/>
        <v>-3600</v>
      </c>
      <c r="AM52" s="13">
        <f t="shared" si="9"/>
        <v>-3925</v>
      </c>
      <c r="AN52" s="13">
        <f t="shared" si="9"/>
        <v>-5125</v>
      </c>
    </row>
    <row r="53" spans="1:40">
      <c r="B53" s="26" t="s">
        <v>34</v>
      </c>
      <c r="C53" s="27">
        <f>'[2]EU Soy Complex'!AE$12+'[2]EU Soy Complex'!AE$13</f>
        <v>1528</v>
      </c>
      <c r="D53" s="27">
        <f>'[2]EU Soy Complex'!AF$12+'[2]EU Soy Complex'!AF$13</f>
        <v>1966</v>
      </c>
      <c r="E53" s="27">
        <f>'[2]EU Soy Complex'!AG$12+'[2]EU Soy Complex'!AG$13</f>
        <v>1424</v>
      </c>
      <c r="F53" s="27">
        <f>'[2]EU Soy Complex'!AH$12+'[2]EU Soy Complex'!AH$13</f>
        <v>1348</v>
      </c>
      <c r="G53" s="27">
        <f>'[2]EU Soy Complex'!AI$12+'[2]EU Soy Complex'!AI$13</f>
        <v>1040.4030000000002</v>
      </c>
      <c r="H53" s="27">
        <f>'[2]EU Soy Complex'!AJ$12+'[2]EU Soy Complex'!AJ$13</f>
        <v>1150.9080000000031</v>
      </c>
      <c r="I53" s="27">
        <f>'[2]EU Soy Complex'!AK$12+'[2]EU Soy Complex'!AK$13</f>
        <v>1259.2010000000009</v>
      </c>
      <c r="J53" s="27">
        <f>'[2]EU Soy Complex'!AL$12+'[2]EU Soy Complex'!AL$13</f>
        <v>1767.4560000000019</v>
      </c>
      <c r="K53" s="27">
        <f>'[2]EU Soy Complex'!AM$12+'[2]EU Soy Complex'!AM$13</f>
        <v>2163.3299999999981</v>
      </c>
      <c r="L53" s="27">
        <f>'[2]EU Soy Complex'!AN$12+'[2]EU Soy Complex'!AN$13</f>
        <v>1678.961000000003</v>
      </c>
      <c r="M53" s="27">
        <f>'[2]EU Soy Complex'!AO$12+'[2]EU Soy Complex'!AO$13</f>
        <v>1477.7829999999976</v>
      </c>
      <c r="N53" s="27">
        <f>'[2]EU Soy Complex'!AP$12+'[2]EU Soy Complex'!AP$13</f>
        <v>1503.3729999999978</v>
      </c>
      <c r="O53" s="27">
        <f>'[2]EU Soy Complex'!AQ$12+'[2]EU Soy Complex'!AQ$13</f>
        <v>1590.3579999999984</v>
      </c>
      <c r="P53" s="27">
        <f>'[2]EU Soy Complex'!AR$12+'[2]EU Soy Complex'!AR$13</f>
        <v>1660.2179999999971</v>
      </c>
      <c r="Q53" s="27">
        <f>'[2]EU Soy Complex'!AS$12+'[2]EU Soy Complex'!AS$13</f>
        <v>1499.1799999999985</v>
      </c>
      <c r="R53" s="27">
        <f>'[2]EU Soy Complex'!AT$12+'[2]EU Soy Complex'!AT$13</f>
        <v>1400.6670000000013</v>
      </c>
      <c r="S53" s="27">
        <f>'[2]EU Soy Complex'!AU$12+'[2]EU Soy Complex'!AU$13</f>
        <v>840.63800000000083</v>
      </c>
      <c r="T53" s="27">
        <f>'[2]EU Soy Complex'!AV$12+'[2]EU Soy Complex'!AV$13</f>
        <v>893.5679999999993</v>
      </c>
      <c r="U53" s="27">
        <f>'[2]EU Soy Complex'!AW$12+'[2]EU Soy Complex'!AW$13</f>
        <v>876.02899999999863</v>
      </c>
      <c r="V53" s="27">
        <f>'[2]EU Soy Complex'!AX$12+'[2]EU Soy Complex'!AX$13</f>
        <v>1955.3350000000028</v>
      </c>
      <c r="W53" s="27">
        <f>'[2]EU Soy Complex'!AY$12+'[2]EU Soy Complex'!AY$13</f>
        <v>2065.751000000002</v>
      </c>
      <c r="X53" s="27">
        <f>'[2]EU Soy Complex'!AZ$12+'[2]EU Soy Complex'!AZ$13</f>
        <v>3092.5109999999986</v>
      </c>
      <c r="Y53" s="27">
        <f>'[2]EU Soy Complex'!BA$12+'[2]EU Soy Complex'!BA$13</f>
        <v>2729.0319999999992</v>
      </c>
      <c r="Z53" s="27">
        <f>'[2]EU Soy Complex'!BB$12+'[2]EU Soy Complex'!BB$13</f>
        <v>1864.8419999999987</v>
      </c>
      <c r="AA53" s="27">
        <f>'[2]EU Soy Complex'!BC$12+'[2]EU Soy Complex'!BC$13</f>
        <v>3256.5349999999999</v>
      </c>
      <c r="AB53" s="27">
        <f>'[2]EU Soy Complex'!BD$12+'[2]EU Soy Complex'!BD$13</f>
        <v>2575.1459240000004</v>
      </c>
      <c r="AC53" s="27">
        <f>'[2]EU Soy Complex'!BE$12+'[2]EU Soy Complex'!BE$13</f>
        <v>2397.3258939999996</v>
      </c>
      <c r="AD53" s="27">
        <f>'[2]EU Soy Complex'!BF$12+'[2]EU Soy Complex'!BF$13</f>
        <v>2029.4945030000003</v>
      </c>
      <c r="AE53" s="27">
        <f>'[2]EU Soy Complex'!BG$12+'[2]EU Soy Complex'!BG$13</f>
        <v>1610.8855789999984</v>
      </c>
      <c r="AF53" s="27">
        <f>'[2]EU Soy Complex'!BH$12+'[2]EU Soy Complex'!BH$13</f>
        <v>3507.5630570000012</v>
      </c>
      <c r="AG53" s="27">
        <f>'[2]EU Soy Complex'!BI$12+'[2]EU Soy Complex'!BI$13</f>
        <v>2024.2676410000036</v>
      </c>
      <c r="AH53" s="27">
        <f>'[2]EU Soy Complex'!BJ$12+'[2]EU Soy Complex'!BJ$13</f>
        <v>1985.1500000000015</v>
      </c>
      <c r="AI53" s="27">
        <f>'[2]EU Soy Complex'!BK$12+'[2]EU Soy Complex'!BK$13</f>
        <v>3994</v>
      </c>
      <c r="AJ53" s="27">
        <f>'[2]EU Soy Complex'!BL$12+'[2]EU Soy Complex'!BL$13</f>
        <v>2450</v>
      </c>
      <c r="AK53" s="27">
        <f>'[2]EU Soy Complex'!BM$12+'[2]EU Soy Complex'!BM$13</f>
        <v>2575</v>
      </c>
      <c r="AL53" s="27">
        <f>'[2]EU Soy Complex'!BN$12+'[2]EU Soy Complex'!BN$13</f>
        <v>2600</v>
      </c>
      <c r="AM53" s="27">
        <f>'[2]EU Soy Complex'!BO$12+'[2]EU Soy Complex'!BO$13</f>
        <v>2600</v>
      </c>
      <c r="AN53" s="27">
        <f>'[2]EU Soy Complex'!BP$12+'[2]EU Soy Complex'!BP$13</f>
        <v>2575</v>
      </c>
    </row>
    <row r="54" spans="1:40">
      <c r="B54" s="17" t="s">
        <v>35</v>
      </c>
      <c r="C54" s="18">
        <f>'[3]EU Rapeseed'!B$14+'[3]EU Rapeseed'!B$15</f>
        <v>13.599725972656415</v>
      </c>
      <c r="D54" s="18">
        <f>'[3]EU Rapeseed'!C$14+'[3]EU Rapeseed'!C$15</f>
        <v>-182</v>
      </c>
      <c r="E54" s="18">
        <f>'[3]EU Rapeseed'!D$14+'[3]EU Rapeseed'!D$15</f>
        <v>955</v>
      </c>
      <c r="F54" s="18">
        <f>'[3]EU Rapeseed'!E$14+'[3]EU Rapeseed'!E$15</f>
        <v>532.51599999999962</v>
      </c>
      <c r="G54" s="18">
        <f>'[3]EU Rapeseed'!F$14+'[3]EU Rapeseed'!F$15</f>
        <v>557.8839999999982</v>
      </c>
      <c r="H54" s="18">
        <f>'[3]EU Rapeseed'!G$14+'[3]EU Rapeseed'!G$15</f>
        <v>740.94499999999971</v>
      </c>
      <c r="I54" s="18">
        <f>'[3]EU Rapeseed'!H$14+'[3]EU Rapeseed'!H$15</f>
        <v>845.29800000000068</v>
      </c>
      <c r="J54" s="18">
        <f>'[3]EU Rapeseed'!I$14+'[3]EU Rapeseed'!I$15</f>
        <v>813.20000000000073</v>
      </c>
      <c r="K54" s="18">
        <f>'[3]EU Rapeseed'!J$14+'[3]EU Rapeseed'!J$15</f>
        <v>1164.3261480000001</v>
      </c>
      <c r="L54" s="18">
        <f>'[3]EU Rapeseed'!K$14+'[3]EU Rapeseed'!K$15</f>
        <v>1074.5709999999999</v>
      </c>
      <c r="M54" s="18">
        <f>'[3]EU Rapeseed'!L$14+'[3]EU Rapeseed'!L$15</f>
        <v>719.35099999999875</v>
      </c>
      <c r="N54" s="18">
        <f>'[3]EU Rapeseed'!M$14+'[3]EU Rapeseed'!M$15</f>
        <v>509.47999999999956</v>
      </c>
      <c r="O54" s="18">
        <f>'[3]EU Rapeseed'!N$14+'[3]EU Rapeseed'!N$15</f>
        <v>980.85499999999774</v>
      </c>
      <c r="P54" s="18">
        <f>'[3]EU Rapeseed'!O$14+'[3]EU Rapeseed'!O$15</f>
        <v>810.78100000000086</v>
      </c>
      <c r="Q54" s="18">
        <f>'[3]EU Rapeseed'!P$14+'[3]EU Rapeseed'!P$15</f>
        <v>528.65400000000227</v>
      </c>
      <c r="R54" s="18">
        <f>'[3]EU Rapeseed'!Q$14+'[3]EU Rapeseed'!Q$15</f>
        <v>683.50699999999779</v>
      </c>
      <c r="S54" s="18">
        <f>'[3]EU Rapeseed'!R$14+'[3]EU Rapeseed'!R$15</f>
        <v>99.748999999999796</v>
      </c>
      <c r="T54" s="18">
        <f>'[3]EU Rapeseed'!S$14+'[3]EU Rapeseed'!S$15</f>
        <v>-2781.0269999999982</v>
      </c>
      <c r="U54" s="18">
        <f>'[3]EU Rapeseed'!T$14+'[3]EU Rapeseed'!T$15</f>
        <v>-1517.3230000000003</v>
      </c>
      <c r="V54" s="18">
        <f>'[3]EU Rapeseed'!U$14+'[3]EU Rapeseed'!U$15</f>
        <v>-2136.2860000000001</v>
      </c>
      <c r="W54" s="18">
        <f>'[3]EU Rapeseed'!V$14+'[3]EU Rapeseed'!V$15</f>
        <v>-1781.1930000000029</v>
      </c>
      <c r="X54" s="18">
        <f>'[3]EU Rapeseed'!W$14+'[3]EU Rapeseed'!W$15</f>
        <v>-2288.8339999999989</v>
      </c>
      <c r="Y54" s="18">
        <f>'[3]EU Rapeseed'!X$14+'[3]EU Rapeseed'!X$15</f>
        <v>20877.304</v>
      </c>
      <c r="Z54" s="18">
        <f>'[3]EU Rapeseed'!Y$14+'[3]EU Rapeseed'!Y$15</f>
        <v>-1164.9099999999999</v>
      </c>
      <c r="AA54" s="18">
        <f>'[3]EU Rapeseed'!Z$14+'[3]EU Rapeseed'!Z$15</f>
        <v>792.18099999999322</v>
      </c>
      <c r="AB54" s="18">
        <f>'[3]EU Rapeseed'!AA$14+'[3]EU Rapeseed'!AA$15</f>
        <v>-1585.3489999999983</v>
      </c>
      <c r="AC54" s="18">
        <f>'[3]EU Rapeseed'!AB$14+'[3]EU Rapeseed'!AB$15</f>
        <v>-1581.9767230000034</v>
      </c>
      <c r="AD54" s="18">
        <f>'[3]EU Rapeseed'!AC$14+'[3]EU Rapeseed'!AC$15</f>
        <v>-1869.7360369999988</v>
      </c>
      <c r="AE54" s="18">
        <f>'[3]EU Rapeseed'!AD$14+'[3]EU Rapeseed'!AD$15</f>
        <v>-1584.4120390000026</v>
      </c>
      <c r="AF54" s="18">
        <f>'[3]EU Rapeseed'!AE$14+'[3]EU Rapeseed'!AE$15</f>
        <v>-599.09839700000157</v>
      </c>
      <c r="AG54" s="18">
        <f>'[3]EU Rapeseed'!AF$14+'[3]EU Rapeseed'!AF$15</f>
        <v>-1465.5162139999993</v>
      </c>
      <c r="AH54" s="18">
        <f>'[3]EU Rapeseed'!AG$14+'[3]EU Rapeseed'!AG$15</f>
        <v>-2966.2736438739776</v>
      </c>
      <c r="AI54" s="18">
        <f>'[3]EU Rapeseed'!AH$14+'[3]EU Rapeseed'!AH$15</f>
        <v>-4000</v>
      </c>
      <c r="AJ54" s="18">
        <f>'[3]EU Rapeseed'!AI$14+'[3]EU Rapeseed'!AI$15</f>
        <v>-4350</v>
      </c>
      <c r="AK54" s="18">
        <f>'[3]EU Rapeseed'!AJ$14+'[3]EU Rapeseed'!AJ$15</f>
        <v>-6200</v>
      </c>
      <c r="AL54" s="18">
        <f>'[3]EU Rapeseed'!AK$14+'[3]EU Rapeseed'!AK$15</f>
        <v>-7000</v>
      </c>
      <c r="AM54" s="18">
        <f>'[3]EU Rapeseed'!AL$14+'[3]EU Rapeseed'!AL$15</f>
        <v>-7375</v>
      </c>
      <c r="AN54" s="18">
        <f>'[3]EU Rapeseed'!AM$14+'[3]EU Rapeseed'!AM$15</f>
        <v>-8475</v>
      </c>
    </row>
    <row r="55" spans="1:40">
      <c r="B55" s="17" t="s">
        <v>36</v>
      </c>
      <c r="C55" s="18">
        <f>'[4]EU Sun Complex'!B$14+'[4]EU Sun Complex'!B$15</f>
        <v>677.23500000000058</v>
      </c>
      <c r="D55" s="18">
        <f>'[4]EU Sun Complex'!C$14+'[4]EU Sun Complex'!C$15</f>
        <v>614.60400000000027</v>
      </c>
      <c r="E55" s="18">
        <f>'[4]EU Sun Complex'!D$14+'[4]EU Sun Complex'!D$15</f>
        <v>451.22400000000016</v>
      </c>
      <c r="F55" s="18">
        <f>'[4]EU Sun Complex'!E$14+'[4]EU Sun Complex'!E$15</f>
        <v>724.56199999999808</v>
      </c>
      <c r="G55" s="18">
        <f>'[4]EU Sun Complex'!F$14+'[4]EU Sun Complex'!F$15</f>
        <v>513.5689999999986</v>
      </c>
      <c r="H55" s="18">
        <f>'[4]EU Sun Complex'!G$14+'[4]EU Sun Complex'!G$15</f>
        <v>660.82999999999993</v>
      </c>
      <c r="I55" s="18">
        <f>'[4]EU Sun Complex'!H$14+'[4]EU Sun Complex'!H$15</f>
        <v>399.25700000000052</v>
      </c>
      <c r="J55" s="18">
        <f>'[4]EU Sun Complex'!I$14+'[4]EU Sun Complex'!I$15</f>
        <v>354.9409999999998</v>
      </c>
      <c r="K55" s="18">
        <f>'[4]EU Sun Complex'!J$14+'[4]EU Sun Complex'!J$15</f>
        <v>928.3650000000016</v>
      </c>
      <c r="L55" s="18">
        <f>'[4]EU Sun Complex'!K$14+'[4]EU Sun Complex'!K$15</f>
        <v>450.96899999999914</v>
      </c>
      <c r="M55" s="18">
        <f>'[4]EU Sun Complex'!L$14+'[4]EU Sun Complex'!L$15</f>
        <v>976.42800000000079</v>
      </c>
      <c r="N55" s="18">
        <f>'[4]EU Sun Complex'!M$14+'[4]EU Sun Complex'!M$15</f>
        <v>990.15000000000055</v>
      </c>
      <c r="O55" s="18">
        <f>'[4]EU Sun Complex'!N$14+'[4]EU Sun Complex'!N$15</f>
        <v>981.27499999999964</v>
      </c>
      <c r="P55" s="18">
        <f>'[4]EU Sun Complex'!O$14+'[4]EU Sun Complex'!O$15</f>
        <v>974.82099999999991</v>
      </c>
      <c r="Q55" s="18">
        <f>'[4]EU Sun Complex'!P$14+'[4]EU Sun Complex'!P$15</f>
        <v>381.78099999999995</v>
      </c>
      <c r="R55" s="18">
        <f>'[4]EU Sun Complex'!Q$14+'[4]EU Sun Complex'!Q$15</f>
        <v>1226.9490000000005</v>
      </c>
      <c r="S55" s="18">
        <f>'[4]EU Sun Complex'!R$14+'[4]EU Sun Complex'!R$15</f>
        <v>722.5</v>
      </c>
      <c r="T55" s="18">
        <f>'[4]EU Sun Complex'!S$14+'[4]EU Sun Complex'!S$15</f>
        <v>1140.5519999999997</v>
      </c>
      <c r="U55" s="18">
        <f>'[4]EU Sun Complex'!T$14+'[4]EU Sun Complex'!T$15</f>
        <v>1244.1049999999996</v>
      </c>
      <c r="V55" s="18">
        <f>'[4]EU Sun Complex'!U$14+'[4]EU Sun Complex'!U$15</f>
        <v>951.14600000000064</v>
      </c>
      <c r="W55" s="18">
        <f>'[4]EU Sun Complex'!V$14+'[4]EU Sun Complex'!V$15</f>
        <v>1237.2749999999996</v>
      </c>
      <c r="X55" s="18">
        <f>'[4]EU Sun Complex'!W$14+'[4]EU Sun Complex'!W$15</f>
        <v>1308.1690000000017</v>
      </c>
      <c r="Y55" s="18">
        <f>'[4]EU Sun Complex'!X$14+'[4]EU Sun Complex'!X$15</f>
        <v>846.53249442584911</v>
      </c>
      <c r="Z55" s="18">
        <f>'[4]EU Sun Complex'!Y$14+'[4]EU Sun Complex'!Y$15</f>
        <v>613.37299999999959</v>
      </c>
      <c r="AA55" s="18">
        <f>'[4]EU Sun Complex'!Z$14+'[4]EU Sun Complex'!Z$15</f>
        <v>1325.9270000000015</v>
      </c>
      <c r="AB55" s="18">
        <f>'[4]EU Sun Complex'!AA$14+'[4]EU Sun Complex'!AA$15</f>
        <v>1145.6848456801508</v>
      </c>
      <c r="AC55" s="18">
        <f>'[4]EU Sun Complex'!AB$14+'[4]EU Sun Complex'!AB$15</f>
        <v>1976.3370729999988</v>
      </c>
      <c r="AD55" s="18">
        <f>'[4]EU Sun Complex'!AC$14+'[4]EU Sun Complex'!AC$15</f>
        <v>1520.0662030000021</v>
      </c>
      <c r="AE55" s="18">
        <f>'[4]EU Sun Complex'!AD$14+'[4]EU Sun Complex'!AD$15</f>
        <v>1336.5300069999994</v>
      </c>
      <c r="AF55" s="18">
        <f>'[4]EU Sun Complex'!AE$14+'[4]EU Sun Complex'!AE$15</f>
        <v>1780.7277010000016</v>
      </c>
      <c r="AG55" s="18">
        <f>'[4]EU Sun Complex'!AF$14+'[4]EU Sun Complex'!AF$15</f>
        <v>480.79619300000013</v>
      </c>
      <c r="AH55" s="18">
        <f>'[4]EU Sun Complex'!AG$14+'[4]EU Sun Complex'!AG$15</f>
        <v>425.55999999999949</v>
      </c>
      <c r="AI55" s="18">
        <f>'[4]EU Sun Complex'!AH$14+'[4]EU Sun Complex'!AH$15</f>
        <v>625</v>
      </c>
      <c r="AJ55" s="18">
        <f>'[4]EU Sun Complex'!AI$14+'[4]EU Sun Complex'!AI$15</f>
        <v>750</v>
      </c>
      <c r="AK55" s="18">
        <f>'[4]EU Sun Complex'!AJ$14+'[4]EU Sun Complex'!AJ$15</f>
        <v>775</v>
      </c>
      <c r="AL55" s="18">
        <f>'[4]EU Sun Complex'!AK$14+'[4]EU Sun Complex'!AK$15</f>
        <v>800</v>
      </c>
      <c r="AM55" s="18">
        <f>'[4]EU Sun Complex'!AL$14+'[4]EU Sun Complex'!AL$15</f>
        <v>850</v>
      </c>
      <c r="AN55" s="18">
        <f>'[4]EU Sun Complex'!AM$14+'[4]EU Sun Complex'!AM$15</f>
        <v>775</v>
      </c>
    </row>
    <row r="56" spans="1:40">
      <c r="B56" s="17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</row>
    <row r="57" spans="1:40" ht="12" customHeight="1">
      <c r="B57" s="30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</row>
    <row r="58" spans="1:40" ht="16.5" thickBot="1">
      <c r="A58" s="12" t="s">
        <v>45</v>
      </c>
      <c r="C58" s="13">
        <f>SUM(C59:C61)</f>
        <v>41566.752409556291</v>
      </c>
      <c r="D58" s="13">
        <f t="shared" ref="D58:AN58" si="10">SUM(D59:D61)</f>
        <v>49092.603999999999</v>
      </c>
      <c r="E58" s="13">
        <f t="shared" si="10"/>
        <v>48632.224000000002</v>
      </c>
      <c r="F58" s="13">
        <f t="shared" si="10"/>
        <v>48698.844999999994</v>
      </c>
      <c r="G58" s="13">
        <f t="shared" si="10"/>
        <v>50592.463999999993</v>
      </c>
      <c r="H58" s="13">
        <f t="shared" si="10"/>
        <v>52296.250000000007</v>
      </c>
      <c r="I58" s="13">
        <f t="shared" si="10"/>
        <v>51464.232000000004</v>
      </c>
      <c r="J58" s="13">
        <f t="shared" si="10"/>
        <v>53954.187000000005</v>
      </c>
      <c r="K58" s="13">
        <f t="shared" si="10"/>
        <v>55943.145000000004</v>
      </c>
      <c r="L58" s="13">
        <f t="shared" si="10"/>
        <v>52649.815999999999</v>
      </c>
      <c r="M58" s="13">
        <f t="shared" si="10"/>
        <v>48711.229999999996</v>
      </c>
      <c r="N58" s="13">
        <f t="shared" si="10"/>
        <v>51424.198999999993</v>
      </c>
      <c r="O58" s="13">
        <f t="shared" si="10"/>
        <v>51537.305</v>
      </c>
      <c r="P58" s="13">
        <f t="shared" si="10"/>
        <v>54788.582999999999</v>
      </c>
      <c r="Q58" s="13">
        <f t="shared" si="10"/>
        <v>55618.355000000003</v>
      </c>
      <c r="R58" s="13">
        <f t="shared" si="10"/>
        <v>55828.849000000002</v>
      </c>
      <c r="S58" s="13">
        <f t="shared" si="10"/>
        <v>56965.875</v>
      </c>
      <c r="T58" s="13">
        <f t="shared" si="10"/>
        <v>53272.007999999994</v>
      </c>
      <c r="U58" s="13">
        <f t="shared" si="10"/>
        <v>54558.906000000003</v>
      </c>
      <c r="V58" s="13">
        <f t="shared" si="10"/>
        <v>56540.244999999995</v>
      </c>
      <c r="W58" s="13">
        <f t="shared" si="10"/>
        <v>61201.635999999999</v>
      </c>
      <c r="X58" s="13">
        <f t="shared" si="10"/>
        <v>64869.998</v>
      </c>
      <c r="Y58" s="13">
        <f t="shared" si="10"/>
        <v>64163.263999999996</v>
      </c>
      <c r="Z58" s="13">
        <f t="shared" si="10"/>
        <v>63076.514999999999</v>
      </c>
      <c r="AA58" s="13">
        <f t="shared" si="10"/>
        <v>67225.101999999999</v>
      </c>
      <c r="AB58" s="13">
        <f t="shared" si="10"/>
        <v>66373.491924000002</v>
      </c>
      <c r="AC58" s="13">
        <f t="shared" si="10"/>
        <v>67200.982422999994</v>
      </c>
      <c r="AD58" s="13">
        <f t="shared" si="10"/>
        <v>66540.114023000002</v>
      </c>
      <c r="AE58" s="13">
        <f t="shared" si="10"/>
        <v>66178.964699000004</v>
      </c>
      <c r="AF58" s="13">
        <f t="shared" si="10"/>
        <v>69302.539331000007</v>
      </c>
      <c r="AG58" s="13">
        <f t="shared" si="10"/>
        <v>66621.212618000005</v>
      </c>
      <c r="AH58" s="13">
        <f t="shared" si="10"/>
        <v>65144.436356126025</v>
      </c>
      <c r="AI58" s="13">
        <f t="shared" si="10"/>
        <v>69919</v>
      </c>
      <c r="AJ58" s="13">
        <f t="shared" si="10"/>
        <v>69050</v>
      </c>
      <c r="AK58" s="13">
        <f t="shared" si="10"/>
        <v>68450</v>
      </c>
      <c r="AL58" s="13">
        <f t="shared" si="10"/>
        <v>68800</v>
      </c>
      <c r="AM58" s="13">
        <f t="shared" si="10"/>
        <v>69700</v>
      </c>
      <c r="AN58" s="13">
        <f t="shared" si="10"/>
        <v>69725</v>
      </c>
    </row>
    <row r="59" spans="1:40">
      <c r="A59" s="31"/>
      <c r="B59" s="22" t="s">
        <v>34</v>
      </c>
      <c r="C59" s="23">
        <f>C41+C47</f>
        <v>26986</v>
      </c>
      <c r="D59" s="23">
        <f t="shared" ref="D59:AN59" si="11">D41+D47</f>
        <v>32880</v>
      </c>
      <c r="E59" s="23">
        <f t="shared" si="11"/>
        <v>30236</v>
      </c>
      <c r="F59" s="23">
        <f t="shared" si="11"/>
        <v>30876</v>
      </c>
      <c r="G59" s="23">
        <f t="shared" si="11"/>
        <v>32206.402999999998</v>
      </c>
      <c r="H59" s="23">
        <f t="shared" si="11"/>
        <v>32328.908000000003</v>
      </c>
      <c r="I59" s="23">
        <f t="shared" si="11"/>
        <v>29777.201000000001</v>
      </c>
      <c r="J59" s="23">
        <f t="shared" si="11"/>
        <v>35463.456000000006</v>
      </c>
      <c r="K59" s="23">
        <f t="shared" si="11"/>
        <v>38221.33</v>
      </c>
      <c r="L59" s="23">
        <f t="shared" si="11"/>
        <v>34902.961000000003</v>
      </c>
      <c r="M59" s="23">
        <f t="shared" si="11"/>
        <v>29689.782999999996</v>
      </c>
      <c r="N59" s="23">
        <f t="shared" si="11"/>
        <v>30201.373</v>
      </c>
      <c r="O59" s="23">
        <f t="shared" si="11"/>
        <v>28918.358</v>
      </c>
      <c r="P59" s="23">
        <f t="shared" si="11"/>
        <v>30836.217999999997</v>
      </c>
      <c r="Q59" s="23">
        <f t="shared" si="11"/>
        <v>31013.18</v>
      </c>
      <c r="R59" s="23">
        <f t="shared" si="11"/>
        <v>27004.667000000001</v>
      </c>
      <c r="S59" s="23">
        <f t="shared" si="11"/>
        <v>26158.637999999999</v>
      </c>
      <c r="T59" s="23">
        <f t="shared" si="11"/>
        <v>25733.567999999999</v>
      </c>
      <c r="U59" s="23">
        <f t="shared" si="11"/>
        <v>25898.028999999999</v>
      </c>
      <c r="V59" s="23">
        <f t="shared" si="11"/>
        <v>28187.335000000003</v>
      </c>
      <c r="W59" s="23">
        <f t="shared" si="11"/>
        <v>28793.751000000004</v>
      </c>
      <c r="X59" s="23">
        <f t="shared" si="11"/>
        <v>31272.510999999999</v>
      </c>
      <c r="Y59" s="23">
        <f t="shared" si="11"/>
        <v>32823.031999999999</v>
      </c>
      <c r="Z59" s="23">
        <f t="shared" si="11"/>
        <v>30794.841999999997</v>
      </c>
      <c r="AA59" s="23">
        <f t="shared" si="11"/>
        <v>33186.535000000003</v>
      </c>
      <c r="AB59" s="23">
        <f t="shared" si="11"/>
        <v>33383.145923999997</v>
      </c>
      <c r="AC59" s="23">
        <f t="shared" si="11"/>
        <v>33787.325894000001</v>
      </c>
      <c r="AD59" s="23">
        <f t="shared" si="11"/>
        <v>33295.494503000002</v>
      </c>
      <c r="AE59" s="23">
        <f t="shared" si="11"/>
        <v>32410.885578999998</v>
      </c>
      <c r="AF59" s="23">
        <f t="shared" si="11"/>
        <v>32107.563056999999</v>
      </c>
      <c r="AG59" s="23">
        <f t="shared" si="11"/>
        <v>31024.267641000002</v>
      </c>
      <c r="AH59" s="23">
        <f t="shared" si="11"/>
        <v>32385.15</v>
      </c>
      <c r="AI59" s="23">
        <f t="shared" si="11"/>
        <v>35494</v>
      </c>
      <c r="AJ59" s="23">
        <f t="shared" si="11"/>
        <v>33850</v>
      </c>
      <c r="AK59" s="23">
        <f t="shared" si="11"/>
        <v>33975</v>
      </c>
      <c r="AL59" s="23">
        <f t="shared" si="11"/>
        <v>34000</v>
      </c>
      <c r="AM59" s="23">
        <f t="shared" si="11"/>
        <v>34000</v>
      </c>
      <c r="AN59" s="23">
        <f t="shared" si="11"/>
        <v>33975</v>
      </c>
    </row>
    <row r="60" spans="1:40">
      <c r="B60" s="17" t="s">
        <v>35</v>
      </c>
      <c r="C60" s="18">
        <f>C36+C42</f>
        <v>7567.5174095562897</v>
      </c>
      <c r="D60" s="18">
        <f t="shared" ref="D60:AN61" si="12">D36+D42</f>
        <v>8379</v>
      </c>
      <c r="E60" s="18">
        <f t="shared" si="12"/>
        <v>10327</v>
      </c>
      <c r="F60" s="18">
        <f t="shared" si="12"/>
        <v>8853.2829999999994</v>
      </c>
      <c r="G60" s="18">
        <f t="shared" si="12"/>
        <v>10483.218999999999</v>
      </c>
      <c r="H60" s="18">
        <f t="shared" si="12"/>
        <v>11946.768</v>
      </c>
      <c r="I60" s="18">
        <f t="shared" si="12"/>
        <v>14321.046</v>
      </c>
      <c r="J60" s="18">
        <f t="shared" si="12"/>
        <v>11836.589</v>
      </c>
      <c r="K60" s="18">
        <f t="shared" si="12"/>
        <v>11627.406000000001</v>
      </c>
      <c r="L60" s="18">
        <f t="shared" si="12"/>
        <v>12124.370999999999</v>
      </c>
      <c r="M60" s="18">
        <f t="shared" si="12"/>
        <v>11424.72</v>
      </c>
      <c r="N60" s="18">
        <f t="shared" si="12"/>
        <v>14111.338</v>
      </c>
      <c r="O60" s="18">
        <f t="shared" si="12"/>
        <v>16023.580999999998</v>
      </c>
      <c r="P60" s="18">
        <f t="shared" si="12"/>
        <v>16702.186000000002</v>
      </c>
      <c r="Q60" s="18">
        <f t="shared" si="12"/>
        <v>19436.900000000001</v>
      </c>
      <c r="R60" s="18">
        <f t="shared" si="12"/>
        <v>21360.425999999999</v>
      </c>
      <c r="S60" s="18">
        <f t="shared" si="12"/>
        <v>23471.936999999998</v>
      </c>
      <c r="T60" s="18">
        <f t="shared" si="12"/>
        <v>19945.931</v>
      </c>
      <c r="U60" s="18">
        <f t="shared" si="12"/>
        <v>19911.895</v>
      </c>
      <c r="V60" s="18">
        <f t="shared" si="12"/>
        <v>20925.050999999999</v>
      </c>
      <c r="W60" s="18">
        <f t="shared" si="12"/>
        <v>22736.741999999998</v>
      </c>
      <c r="X60" s="18">
        <f t="shared" si="12"/>
        <v>24121.945</v>
      </c>
      <c r="Y60" s="18">
        <f t="shared" si="12"/>
        <v>23104.273000000001</v>
      </c>
      <c r="Z60" s="18">
        <f t="shared" si="12"/>
        <v>23353.644</v>
      </c>
      <c r="AA60" s="18">
        <f t="shared" si="12"/>
        <v>23153.562999999995</v>
      </c>
      <c r="AB60" s="18">
        <f t="shared" si="12"/>
        <v>22440.653000000002</v>
      </c>
      <c r="AC60" s="18">
        <f t="shared" si="12"/>
        <v>22134.467559999997</v>
      </c>
      <c r="AD60" s="18">
        <f t="shared" si="12"/>
        <v>23002.288444000002</v>
      </c>
      <c r="AE60" s="18">
        <f t="shared" si="12"/>
        <v>22546.271047999999</v>
      </c>
      <c r="AF60" s="18">
        <f t="shared" si="12"/>
        <v>25341.900659999999</v>
      </c>
      <c r="AG60" s="18">
        <f t="shared" si="12"/>
        <v>25386.547341000001</v>
      </c>
      <c r="AH60" s="18">
        <f t="shared" si="12"/>
        <v>23883.726356126022</v>
      </c>
      <c r="AI60" s="18">
        <f t="shared" si="12"/>
        <v>23750</v>
      </c>
      <c r="AJ60" s="18">
        <f t="shared" si="12"/>
        <v>24400</v>
      </c>
      <c r="AK60" s="18">
        <f t="shared" si="12"/>
        <v>23550</v>
      </c>
      <c r="AL60" s="18">
        <f t="shared" si="12"/>
        <v>23750</v>
      </c>
      <c r="AM60" s="18">
        <f t="shared" si="12"/>
        <v>24375</v>
      </c>
      <c r="AN60" s="18">
        <f t="shared" si="12"/>
        <v>24275</v>
      </c>
    </row>
    <row r="61" spans="1:40">
      <c r="B61" s="17" t="s">
        <v>36</v>
      </c>
      <c r="C61" s="18">
        <f>C37+C43</f>
        <v>7013.2349999999997</v>
      </c>
      <c r="D61" s="18">
        <f t="shared" si="12"/>
        <v>7833.6040000000003</v>
      </c>
      <c r="E61" s="18">
        <f t="shared" si="12"/>
        <v>8069.2240000000011</v>
      </c>
      <c r="F61" s="18">
        <f t="shared" si="12"/>
        <v>8969.5619999999981</v>
      </c>
      <c r="G61" s="18">
        <f t="shared" si="12"/>
        <v>7902.8419999999996</v>
      </c>
      <c r="H61" s="18">
        <f t="shared" si="12"/>
        <v>8020.5740000000005</v>
      </c>
      <c r="I61" s="18">
        <f t="shared" si="12"/>
        <v>7365.9850000000006</v>
      </c>
      <c r="J61" s="18">
        <f t="shared" si="12"/>
        <v>6654.1419999999998</v>
      </c>
      <c r="K61" s="18">
        <f t="shared" si="12"/>
        <v>6094.4090000000006</v>
      </c>
      <c r="L61" s="18">
        <f t="shared" si="12"/>
        <v>5622.4839999999995</v>
      </c>
      <c r="M61" s="18">
        <f t="shared" si="12"/>
        <v>7596.7270000000008</v>
      </c>
      <c r="N61" s="18">
        <f t="shared" si="12"/>
        <v>7111.4880000000003</v>
      </c>
      <c r="O61" s="18">
        <f t="shared" si="12"/>
        <v>6595.366</v>
      </c>
      <c r="P61" s="18">
        <f t="shared" si="12"/>
        <v>7250.1790000000001</v>
      </c>
      <c r="Q61" s="18">
        <f t="shared" si="12"/>
        <v>5168.2749999999996</v>
      </c>
      <c r="R61" s="18">
        <f t="shared" si="12"/>
        <v>7463.7560000000003</v>
      </c>
      <c r="S61" s="18">
        <f t="shared" si="12"/>
        <v>7335.3</v>
      </c>
      <c r="T61" s="18">
        <f t="shared" si="12"/>
        <v>7592.509</v>
      </c>
      <c r="U61" s="18">
        <f t="shared" si="12"/>
        <v>8748.982</v>
      </c>
      <c r="V61" s="18">
        <f t="shared" si="12"/>
        <v>7427.8590000000004</v>
      </c>
      <c r="W61" s="18">
        <f t="shared" si="12"/>
        <v>9671.143</v>
      </c>
      <c r="X61" s="18">
        <f t="shared" si="12"/>
        <v>9475.5420000000013</v>
      </c>
      <c r="Y61" s="18">
        <f t="shared" si="12"/>
        <v>8235.9589999999989</v>
      </c>
      <c r="Z61" s="18">
        <f t="shared" si="12"/>
        <v>8928.0290000000005</v>
      </c>
      <c r="AA61" s="18">
        <f t="shared" si="12"/>
        <v>10885.004000000001</v>
      </c>
      <c r="AB61" s="18">
        <f t="shared" si="12"/>
        <v>10549.693000000003</v>
      </c>
      <c r="AC61" s="18">
        <f t="shared" si="12"/>
        <v>11279.188968999999</v>
      </c>
      <c r="AD61" s="18">
        <f t="shared" si="12"/>
        <v>10242.331076000002</v>
      </c>
      <c r="AE61" s="18">
        <f t="shared" si="12"/>
        <v>11221.808072</v>
      </c>
      <c r="AF61" s="18">
        <f t="shared" si="12"/>
        <v>11853.075614000001</v>
      </c>
      <c r="AG61" s="18">
        <f t="shared" si="12"/>
        <v>10210.397636</v>
      </c>
      <c r="AH61" s="18">
        <f t="shared" si="12"/>
        <v>8875.56</v>
      </c>
      <c r="AI61" s="18">
        <f t="shared" si="12"/>
        <v>10675</v>
      </c>
      <c r="AJ61" s="18">
        <f t="shared" si="12"/>
        <v>10800</v>
      </c>
      <c r="AK61" s="18">
        <f t="shared" si="12"/>
        <v>10925</v>
      </c>
      <c r="AL61" s="18">
        <f t="shared" si="12"/>
        <v>11050</v>
      </c>
      <c r="AM61" s="18">
        <f t="shared" si="12"/>
        <v>11325</v>
      </c>
      <c r="AN61" s="18">
        <f t="shared" si="12"/>
        <v>11475</v>
      </c>
    </row>
    <row r="62" spans="1:40">
      <c r="B62" s="17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</row>
    <row r="63" spans="1:40" ht="12" customHeight="1">
      <c r="B63" s="30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</row>
    <row r="64" spans="1:40" ht="16.5" thickBot="1">
      <c r="A64" s="12" t="s">
        <v>46</v>
      </c>
      <c r="C64" s="13">
        <f>SUM(C65:C67)</f>
        <v>968.82299999999998</v>
      </c>
      <c r="D64" s="13">
        <f t="shared" ref="D64:AN64" si="13">SUM(D65:D67)</f>
        <v>1075.2190000000001</v>
      </c>
      <c r="E64" s="13">
        <f t="shared" si="13"/>
        <v>1339.9949999999999</v>
      </c>
      <c r="F64" s="13">
        <f t="shared" si="13"/>
        <v>1141.433</v>
      </c>
      <c r="G64" s="13">
        <f t="shared" si="13"/>
        <v>1022.2429999999999</v>
      </c>
      <c r="H64" s="13">
        <f t="shared" si="13"/>
        <v>984.85</v>
      </c>
      <c r="I64" s="13">
        <f t="shared" si="13"/>
        <v>1311.598</v>
      </c>
      <c r="J64" s="13">
        <f t="shared" si="13"/>
        <v>1918.492</v>
      </c>
      <c r="K64" s="13">
        <f t="shared" si="13"/>
        <v>1884.739</v>
      </c>
      <c r="L64" s="13">
        <f t="shared" si="13"/>
        <v>1746.076</v>
      </c>
      <c r="M64" s="13">
        <f t="shared" si="13"/>
        <v>1365.9939999999999</v>
      </c>
      <c r="N64" s="13">
        <f t="shared" si="13"/>
        <v>2487.1680000000001</v>
      </c>
      <c r="O64" s="13">
        <f t="shared" si="13"/>
        <v>2414.5700000000002</v>
      </c>
      <c r="P64" s="13">
        <f t="shared" si="13"/>
        <v>2456.6019999999999</v>
      </c>
      <c r="Q64" s="13">
        <f t="shared" si="13"/>
        <v>1681.279</v>
      </c>
      <c r="R64" s="13">
        <f t="shared" si="13"/>
        <v>2685.683</v>
      </c>
      <c r="S64" s="13">
        <f t="shared" si="13"/>
        <v>2744.5430000000001</v>
      </c>
      <c r="T64" s="13">
        <f t="shared" si="13"/>
        <v>3840.672</v>
      </c>
      <c r="U64" s="13">
        <f t="shared" si="13"/>
        <v>4863.4679999999998</v>
      </c>
      <c r="V64" s="13">
        <f t="shared" si="13"/>
        <v>3564.1239999999998</v>
      </c>
      <c r="W64" s="13">
        <f t="shared" si="13"/>
        <v>3321.3040000000001</v>
      </c>
      <c r="X64" s="13">
        <f t="shared" si="13"/>
        <v>3024.0590000000002</v>
      </c>
      <c r="Y64" s="13">
        <f t="shared" si="13"/>
        <v>2956.116</v>
      </c>
      <c r="Z64" s="13">
        <f t="shared" si="13"/>
        <v>2631</v>
      </c>
      <c r="AA64" s="13">
        <f t="shared" si="13"/>
        <v>3662</v>
      </c>
      <c r="AB64" s="13">
        <f t="shared" si="13"/>
        <v>3979</v>
      </c>
      <c r="AC64" s="13">
        <f t="shared" si="13"/>
        <v>2677</v>
      </c>
      <c r="AD64" s="13">
        <f t="shared" si="13"/>
        <v>1531</v>
      </c>
      <c r="AE64" s="13">
        <f t="shared" si="13"/>
        <v>1914</v>
      </c>
      <c r="AF64" s="13">
        <f t="shared" si="13"/>
        <v>2420</v>
      </c>
      <c r="AG64" s="13">
        <f t="shared" si="13"/>
        <v>2979</v>
      </c>
      <c r="AH64" s="13">
        <f t="shared" si="13"/>
        <v>2850</v>
      </c>
      <c r="AI64" s="13">
        <f t="shared" si="13"/>
        <v>2825</v>
      </c>
      <c r="AJ64" s="13">
        <f t="shared" si="13"/>
        <v>3075</v>
      </c>
      <c r="AK64" s="13">
        <f t="shared" si="13"/>
        <v>3100</v>
      </c>
      <c r="AL64" s="13">
        <f t="shared" si="13"/>
        <v>3150</v>
      </c>
      <c r="AM64" s="13">
        <f t="shared" si="13"/>
        <v>3200</v>
      </c>
      <c r="AN64" s="13">
        <f t="shared" si="13"/>
        <v>3250</v>
      </c>
    </row>
    <row r="65" spans="1:40">
      <c r="A65" s="33"/>
      <c r="B65" s="14" t="s">
        <v>34</v>
      </c>
      <c r="C65" s="15">
        <f>'[2]EU Soy Complex'!AE$15</f>
        <v>603</v>
      </c>
      <c r="D65" s="15">
        <f>'[2]EU Soy Complex'!AF$15</f>
        <v>809</v>
      </c>
      <c r="E65" s="15">
        <f>'[2]EU Soy Complex'!AG$15</f>
        <v>763</v>
      </c>
      <c r="F65" s="15">
        <f>'[2]EU Soy Complex'!AH$15</f>
        <v>769</v>
      </c>
      <c r="G65" s="15">
        <f>'[2]EU Soy Complex'!AI$15</f>
        <v>838</v>
      </c>
      <c r="H65" s="15">
        <f>'[2]EU Soy Complex'!AJ$15</f>
        <v>614</v>
      </c>
      <c r="I65" s="15">
        <f>'[2]EU Soy Complex'!AK$15</f>
        <v>667</v>
      </c>
      <c r="J65" s="15">
        <f>'[2]EU Soy Complex'!AL$15</f>
        <v>959</v>
      </c>
      <c r="K65" s="15">
        <f>'[2]EU Soy Complex'!AM$15</f>
        <v>1074</v>
      </c>
      <c r="L65" s="15">
        <f>'[2]EU Soy Complex'!AN$15</f>
        <v>876</v>
      </c>
      <c r="M65" s="15">
        <f>'[2]EU Soy Complex'!AO$15</f>
        <v>906</v>
      </c>
      <c r="N65" s="15">
        <f>'[2]EU Soy Complex'!AP$15</f>
        <v>757</v>
      </c>
      <c r="O65" s="15">
        <f>'[2]EU Soy Complex'!AQ$15</f>
        <v>733</v>
      </c>
      <c r="P65" s="15">
        <f>'[2]EU Soy Complex'!AR$15</f>
        <v>1007</v>
      </c>
      <c r="Q65" s="15">
        <f>'[2]EU Soy Complex'!AS$15</f>
        <v>707</v>
      </c>
      <c r="R65" s="15">
        <f>'[2]EU Soy Complex'!AT$15</f>
        <v>454</v>
      </c>
      <c r="S65" s="15">
        <f>'[2]EU Soy Complex'!AU$15</f>
        <v>541</v>
      </c>
      <c r="T65" s="15">
        <f>'[2]EU Soy Complex'!AV$15</f>
        <v>826</v>
      </c>
      <c r="U65" s="15">
        <f>'[2]EU Soy Complex'!AW$15</f>
        <v>1482</v>
      </c>
      <c r="V65" s="15">
        <f>'[2]EU Soy Complex'!AX$15</f>
        <v>1076</v>
      </c>
      <c r="W65" s="15">
        <f>'[2]EU Soy Complex'!AY$15</f>
        <v>1253</v>
      </c>
      <c r="X65" s="15">
        <f>'[2]EU Soy Complex'!AZ$15</f>
        <v>863</v>
      </c>
      <c r="Y65" s="15">
        <f>'[2]EU Soy Complex'!BA$15</f>
        <v>1016</v>
      </c>
      <c r="Z65" s="15">
        <f>'[2]EU Soy Complex'!BB$15</f>
        <v>891</v>
      </c>
      <c r="AA65" s="15">
        <f>'[2]EU Soy Complex'!BC$15</f>
        <v>826</v>
      </c>
      <c r="AB65" s="15">
        <f>'[2]EU Soy Complex'!BD$15</f>
        <v>1228</v>
      </c>
      <c r="AC65" s="15">
        <f>'[2]EU Soy Complex'!BE$15</f>
        <v>665</v>
      </c>
      <c r="AD65" s="15">
        <f>'[2]EU Soy Complex'!BF$15</f>
        <v>462</v>
      </c>
      <c r="AE65" s="15">
        <f>'[2]EU Soy Complex'!BG$15</f>
        <v>595</v>
      </c>
      <c r="AF65" s="15">
        <f>'[2]EU Soy Complex'!BH$15</f>
        <v>410</v>
      </c>
      <c r="AG65" s="15">
        <f>'[2]EU Soy Complex'!BI$15</f>
        <v>808</v>
      </c>
      <c r="AH65" s="15">
        <f>'[2]EU Soy Complex'!BJ$15</f>
        <v>1000</v>
      </c>
      <c r="AI65" s="15">
        <f>'[2]EU Soy Complex'!BK$15</f>
        <v>1100</v>
      </c>
      <c r="AJ65" s="15">
        <f>'[2]EU Soy Complex'!BL$15</f>
        <v>1350</v>
      </c>
      <c r="AK65" s="15">
        <f>'[2]EU Soy Complex'!BM$15</f>
        <v>1350</v>
      </c>
      <c r="AL65" s="15">
        <f>'[2]EU Soy Complex'!BN$15</f>
        <v>1350</v>
      </c>
      <c r="AM65" s="15">
        <f>'[2]EU Soy Complex'!BO$15</f>
        <v>1350</v>
      </c>
      <c r="AN65" s="15">
        <f>'[2]EU Soy Complex'!BP$15</f>
        <v>1350</v>
      </c>
    </row>
    <row r="66" spans="1:40">
      <c r="B66" s="17" t="s">
        <v>35</v>
      </c>
      <c r="C66" s="18">
        <f>'[3]EU Rapeseed'!B$17</f>
        <v>246</v>
      </c>
      <c r="D66" s="18">
        <f>'[3]EU Rapeseed'!C$17</f>
        <v>198</v>
      </c>
      <c r="E66" s="18">
        <f>'[3]EU Rapeseed'!D$17</f>
        <v>385</v>
      </c>
      <c r="F66" s="18">
        <f>'[3]EU Rapeseed'!E$17</f>
        <v>227</v>
      </c>
      <c r="G66" s="18">
        <f>'[3]EU Rapeseed'!F$17</f>
        <v>92</v>
      </c>
      <c r="H66" s="18">
        <f>'[3]EU Rapeseed'!G$17</f>
        <v>310</v>
      </c>
      <c r="I66" s="18">
        <f>'[3]EU Rapeseed'!H$17</f>
        <v>448</v>
      </c>
      <c r="J66" s="18">
        <f>'[3]EU Rapeseed'!I$17</f>
        <v>485</v>
      </c>
      <c r="K66" s="18">
        <f>'[3]EU Rapeseed'!J$17</f>
        <v>633</v>
      </c>
      <c r="L66" s="18">
        <f>'[3]EU Rapeseed'!K$17</f>
        <v>334</v>
      </c>
      <c r="M66" s="18">
        <f>'[3]EU Rapeseed'!L$17</f>
        <v>278</v>
      </c>
      <c r="N66" s="18">
        <f>'[3]EU Rapeseed'!M$17</f>
        <v>1691</v>
      </c>
      <c r="O66" s="18">
        <f>'[3]EU Rapeseed'!N$17</f>
        <v>1600</v>
      </c>
      <c r="P66" s="18">
        <f>'[3]EU Rapeseed'!O$17</f>
        <v>1441</v>
      </c>
      <c r="Q66" s="18">
        <f>'[3]EU Rapeseed'!P$17</f>
        <v>959</v>
      </c>
      <c r="R66" s="18">
        <f>'[3]EU Rapeseed'!Q$17</f>
        <v>1843</v>
      </c>
      <c r="S66" s="18">
        <f>'[3]EU Rapeseed'!R$17</f>
        <v>1809</v>
      </c>
      <c r="T66" s="18">
        <f>'[3]EU Rapeseed'!S$17</f>
        <v>2871</v>
      </c>
      <c r="U66" s="18">
        <f>'[3]EU Rapeseed'!T$17</f>
        <v>3184</v>
      </c>
      <c r="V66" s="18">
        <f>'[3]EU Rapeseed'!U$17</f>
        <v>2328</v>
      </c>
      <c r="W66" s="18">
        <f>'[3]EU Rapeseed'!V$17</f>
        <v>1968</v>
      </c>
      <c r="X66" s="18">
        <f>'[3]EU Rapeseed'!W$17</f>
        <v>1984</v>
      </c>
      <c r="Y66" s="18">
        <f>'[3]EU Rapeseed'!X$17</f>
        <v>1612</v>
      </c>
      <c r="Z66" s="18">
        <f>'[3]EU Rapeseed'!Y$17</f>
        <v>869</v>
      </c>
      <c r="AA66" s="18">
        <f>'[3]EU Rapeseed'!Z$17</f>
        <v>1899</v>
      </c>
      <c r="AB66" s="18">
        <f>'[3]EU Rapeseed'!AA$17</f>
        <v>1860</v>
      </c>
      <c r="AC66" s="18">
        <f>'[3]EU Rapeseed'!AB$17</f>
        <v>1187</v>
      </c>
      <c r="AD66" s="18">
        <f>'[3]EU Rapeseed'!AC$17</f>
        <v>668</v>
      </c>
      <c r="AE66" s="18">
        <f>'[3]EU Rapeseed'!AD$17</f>
        <v>627</v>
      </c>
      <c r="AF66" s="18">
        <f>'[3]EU Rapeseed'!AE$17</f>
        <v>1686</v>
      </c>
      <c r="AG66" s="18">
        <f>'[3]EU Rapeseed'!AF$17</f>
        <v>1493</v>
      </c>
      <c r="AH66" s="18">
        <f>'[3]EU Rapeseed'!AG$17</f>
        <v>1250</v>
      </c>
      <c r="AI66" s="18">
        <f>'[3]EU Rapeseed'!AH$17</f>
        <v>1300</v>
      </c>
      <c r="AJ66" s="18">
        <f>'[3]EU Rapeseed'!AI$17</f>
        <v>1300</v>
      </c>
      <c r="AK66" s="18">
        <f>'[3]EU Rapeseed'!AJ$17</f>
        <v>1250</v>
      </c>
      <c r="AL66" s="18">
        <f>'[3]EU Rapeseed'!AK$17</f>
        <v>1200</v>
      </c>
      <c r="AM66" s="18">
        <f>'[3]EU Rapeseed'!AL$17</f>
        <v>1225</v>
      </c>
      <c r="AN66" s="18">
        <f>'[3]EU Rapeseed'!AM$17</f>
        <v>1250</v>
      </c>
    </row>
    <row r="67" spans="1:40" ht="15.75" thickBot="1">
      <c r="B67" s="17" t="s">
        <v>36</v>
      </c>
      <c r="C67" s="18">
        <f>'[4]EU Sun Complex'!B$17</f>
        <v>119.82299999999999</v>
      </c>
      <c r="D67" s="18">
        <f>'[4]EU Sun Complex'!C$17</f>
        <v>68.218999999999994</v>
      </c>
      <c r="E67" s="18">
        <f>'[4]EU Sun Complex'!D$17</f>
        <v>191.995</v>
      </c>
      <c r="F67" s="18">
        <f>'[4]EU Sun Complex'!E$17</f>
        <v>145.43299999999999</v>
      </c>
      <c r="G67" s="18">
        <f>'[4]EU Sun Complex'!F$17</f>
        <v>92.242999999999995</v>
      </c>
      <c r="H67" s="18">
        <f>'[4]EU Sun Complex'!G$17</f>
        <v>60.849999999999994</v>
      </c>
      <c r="I67" s="18">
        <f>'[4]EU Sun Complex'!H$17</f>
        <v>196.59800000000001</v>
      </c>
      <c r="J67" s="18">
        <f>'[4]EU Sun Complex'!I$17</f>
        <v>474.49200000000002</v>
      </c>
      <c r="K67" s="18">
        <f>'[4]EU Sun Complex'!J$17</f>
        <v>177.739</v>
      </c>
      <c r="L67" s="18">
        <f>'[4]EU Sun Complex'!K$17</f>
        <v>536.07600000000002</v>
      </c>
      <c r="M67" s="18">
        <f>'[4]EU Sun Complex'!L$17</f>
        <v>181.994</v>
      </c>
      <c r="N67" s="18">
        <f>'[4]EU Sun Complex'!M$17</f>
        <v>39.167999999999999</v>
      </c>
      <c r="O67" s="18">
        <f>'[4]EU Sun Complex'!N$17</f>
        <v>81.569999999999993</v>
      </c>
      <c r="P67" s="18">
        <f>'[4]EU Sun Complex'!O$17</f>
        <v>8.6020000000000003</v>
      </c>
      <c r="Q67" s="18">
        <f>'[4]EU Sun Complex'!P$17</f>
        <v>15.279</v>
      </c>
      <c r="R67" s="18">
        <f>'[4]EU Sun Complex'!Q$17</f>
        <v>388.68299999999999</v>
      </c>
      <c r="S67" s="18">
        <f>'[4]EU Sun Complex'!R$17</f>
        <v>394.54300000000001</v>
      </c>
      <c r="T67" s="18">
        <f>'[4]EU Sun Complex'!S$17</f>
        <v>143.672</v>
      </c>
      <c r="U67" s="18">
        <f>'[4]EU Sun Complex'!T$17</f>
        <v>197.46799999999999</v>
      </c>
      <c r="V67" s="18">
        <f>'[4]EU Sun Complex'!U$17</f>
        <v>160.124</v>
      </c>
      <c r="W67" s="18">
        <f>'[4]EU Sun Complex'!V$17</f>
        <v>100.304</v>
      </c>
      <c r="X67" s="18">
        <f>'[4]EU Sun Complex'!W$17</f>
        <v>177.059</v>
      </c>
      <c r="Y67" s="18">
        <f>'[4]EU Sun Complex'!X$17</f>
        <v>328.11599999999999</v>
      </c>
      <c r="Z67" s="18">
        <f>'[4]EU Sun Complex'!Y$17</f>
        <v>871</v>
      </c>
      <c r="AA67" s="18">
        <f>'[4]EU Sun Complex'!Z$17</f>
        <v>937</v>
      </c>
      <c r="AB67" s="18">
        <f>'[4]EU Sun Complex'!AA$17</f>
        <v>891</v>
      </c>
      <c r="AC67" s="18">
        <f>'[4]EU Sun Complex'!AB$17</f>
        <v>825</v>
      </c>
      <c r="AD67" s="18">
        <f>'[4]EU Sun Complex'!AC$17</f>
        <v>401</v>
      </c>
      <c r="AE67" s="18">
        <f>'[4]EU Sun Complex'!AD$17</f>
        <v>692</v>
      </c>
      <c r="AF67" s="18">
        <f>'[4]EU Sun Complex'!AE$17</f>
        <v>324</v>
      </c>
      <c r="AG67" s="18">
        <f>'[4]EU Sun Complex'!AF$17</f>
        <v>678</v>
      </c>
      <c r="AH67" s="18">
        <f>'[4]EU Sun Complex'!AG$17</f>
        <v>600</v>
      </c>
      <c r="AI67" s="18">
        <f>'[4]EU Sun Complex'!AH$17</f>
        <v>425</v>
      </c>
      <c r="AJ67" s="18">
        <f>'[4]EU Sun Complex'!AI$17</f>
        <v>425</v>
      </c>
      <c r="AK67" s="18">
        <f>'[4]EU Sun Complex'!AJ$17</f>
        <v>500</v>
      </c>
      <c r="AL67" s="18">
        <f>'[4]EU Sun Complex'!AK$17</f>
        <v>600</v>
      </c>
      <c r="AM67" s="18">
        <f>'[4]EU Sun Complex'!AL$17</f>
        <v>625</v>
      </c>
      <c r="AN67" s="18">
        <f>'[4]EU Sun Complex'!AM$17</f>
        <v>650</v>
      </c>
    </row>
    <row r="68" spans="1:40">
      <c r="A68" s="34"/>
      <c r="B68" s="22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</row>
    <row r="69" spans="1:40" ht="20.25">
      <c r="A69" s="36"/>
      <c r="B69" s="36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</row>
    <row r="70" spans="1:40" ht="16.5">
      <c r="A70" s="16"/>
      <c r="B70" s="38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</row>
    <row r="71" spans="1:40" ht="16.5">
      <c r="A71" s="16"/>
      <c r="B71" s="38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39">
        <v>2015</v>
      </c>
      <c r="Y71" s="39">
        <v>2016</v>
      </c>
      <c r="Z71" s="39">
        <v>2017</v>
      </c>
      <c r="AA71" s="39">
        <v>2018</v>
      </c>
      <c r="AB71" s="39">
        <v>2019</v>
      </c>
      <c r="AC71" s="39">
        <v>2020</v>
      </c>
      <c r="AD71" s="39">
        <v>2021</v>
      </c>
      <c r="AE71" s="39">
        <v>2022</v>
      </c>
      <c r="AF71" s="39">
        <v>2023</v>
      </c>
      <c r="AG71" s="39">
        <v>2024</v>
      </c>
      <c r="AH71" s="39">
        <v>2025</v>
      </c>
      <c r="AI71" s="39">
        <v>2026</v>
      </c>
      <c r="AJ71" s="39">
        <v>2027</v>
      </c>
      <c r="AK71" s="39">
        <v>2028</v>
      </c>
      <c r="AL71" s="39">
        <v>2029</v>
      </c>
      <c r="AM71" s="39">
        <v>2030</v>
      </c>
      <c r="AN71" s="11"/>
    </row>
    <row r="72" spans="1:40" ht="16.5">
      <c r="A72" s="12"/>
      <c r="B72" s="7" t="s">
        <v>47</v>
      </c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>
        <v>443449.42499999999</v>
      </c>
      <c r="Y72" s="13">
        <v>444320.23200000002</v>
      </c>
      <c r="Z72" s="13">
        <v>444971.27</v>
      </c>
      <c r="AA72" s="13">
        <v>445982.75699999998</v>
      </c>
      <c r="AB72" s="13">
        <v>446575.61499999999</v>
      </c>
      <c r="AC72" s="13">
        <v>446547.54200000002</v>
      </c>
      <c r="AD72" s="13">
        <v>445854.95799999998</v>
      </c>
      <c r="AE72" s="13">
        <v>446833.68699999998</v>
      </c>
      <c r="AF72" s="13">
        <v>448500.76699999999</v>
      </c>
      <c r="AG72" s="13">
        <v>453168.04</v>
      </c>
      <c r="AH72" s="13">
        <f>FORECAST(AH71,X72:AG72,X71:AG71)</f>
        <v>450808.15913333325</v>
      </c>
      <c r="AI72" s="13">
        <f t="shared" ref="AI72:AL72" si="14">FORECAST(AI71,Y72:AH72,Y71:AH71)</f>
        <v>451637.64992000023</v>
      </c>
      <c r="AJ72" s="13">
        <f t="shared" si="14"/>
        <v>452540.56994577777</v>
      </c>
      <c r="AK72" s="13">
        <f t="shared" si="14"/>
        <v>453490.4402538666</v>
      </c>
      <c r="AL72" s="13">
        <f t="shared" si="14"/>
        <v>454585.3685554727</v>
      </c>
      <c r="AM72" s="13">
        <v>452700.10100000002</v>
      </c>
      <c r="AN72" s="13"/>
    </row>
    <row r="73" spans="1:40" ht="15.75" thickBot="1">
      <c r="B73" s="40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X73" s="3">
        <f>X40/X$72*2204.622</f>
        <v>246.58213744715533</v>
      </c>
      <c r="Y73" s="3">
        <f t="shared" ref="Y73:AM73" si="15">Y40/Y$72*2204.622</f>
        <v>239.80626834414772</v>
      </c>
      <c r="Z73" s="3">
        <f t="shared" si="15"/>
        <v>236.738701835087</v>
      </c>
      <c r="AA73" s="3">
        <f t="shared" si="15"/>
        <v>253.56922725590039</v>
      </c>
      <c r="AB73" s="3">
        <f>AB40/AB$72*2204.622</f>
        <v>247.70473612336758</v>
      </c>
      <c r="AC73" s="3">
        <f t="shared" si="15"/>
        <v>249.85204926426343</v>
      </c>
      <c r="AD73" s="3">
        <f t="shared" si="15"/>
        <v>247.57070831411528</v>
      </c>
      <c r="AE73" s="3">
        <f t="shared" si="15"/>
        <v>246.31884244616995</v>
      </c>
      <c r="AF73" s="3">
        <f t="shared" si="15"/>
        <v>264.87955855668037</v>
      </c>
      <c r="AG73" s="3">
        <f t="shared" si="15"/>
        <v>248.39040447137367</v>
      </c>
      <c r="AH73" s="3">
        <f t="shared" si="15"/>
        <v>240.57935614301522</v>
      </c>
      <c r="AI73" s="3">
        <f t="shared" si="15"/>
        <v>260.51519739074263</v>
      </c>
      <c r="AJ73" s="3">
        <f t="shared" si="15"/>
        <v>256.00552479500607</v>
      </c>
      <c r="AK73" s="3">
        <f t="shared" si="15"/>
        <v>252.55243051184357</v>
      </c>
      <c r="AL73" s="3">
        <f t="shared" si="15"/>
        <v>253.64153484832147</v>
      </c>
      <c r="AM73" s="3">
        <f t="shared" si="15"/>
        <v>258.47202682643092</v>
      </c>
    </row>
    <row r="74" spans="1:40">
      <c r="B74" s="40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2" t="s">
        <v>34</v>
      </c>
      <c r="X74" s="3">
        <f t="shared" ref="X74:AM77" si="16">X41/X$72*2204.622</f>
        <v>85.423364267169802</v>
      </c>
      <c r="Y74" s="3">
        <f t="shared" si="16"/>
        <v>88.20087044765495</v>
      </c>
      <c r="Z74" s="3">
        <f t="shared" si="16"/>
        <v>80.906636803144593</v>
      </c>
      <c r="AA74" s="3">
        <f t="shared" si="16"/>
        <v>90.074327547981852</v>
      </c>
      <c r="AB74" s="3">
        <f t="shared" si="16"/>
        <v>88.758139302480117</v>
      </c>
      <c r="AC74" s="3">
        <f t="shared" si="16"/>
        <v>89.322493005866932</v>
      </c>
      <c r="AD74" s="3">
        <f t="shared" si="16"/>
        <v>87.335854984913894</v>
      </c>
      <c r="AE74" s="3">
        <f t="shared" si="16"/>
        <v>83.929599934004372</v>
      </c>
      <c r="AF74" s="3">
        <f t="shared" si="16"/>
        <v>87.533730531723819</v>
      </c>
      <c r="AG74" s="3">
        <f t="shared" si="16"/>
        <v>80.389084753718976</v>
      </c>
      <c r="AH74" s="3">
        <f t="shared" si="16"/>
        <v>84.041867911477681</v>
      </c>
      <c r="AI74" s="3">
        <f t="shared" si="16"/>
        <v>96.378273103914694</v>
      </c>
      <c r="AJ74" s="3">
        <f t="shared" si="16"/>
        <v>88.420557089045857</v>
      </c>
      <c r="AK74" s="3">
        <f t="shared" si="16"/>
        <v>88.84303498756384</v>
      </c>
      <c r="AL74" s="3">
        <f t="shared" si="16"/>
        <v>88.750288484211922</v>
      </c>
      <c r="AM74" s="3">
        <f t="shared" si="16"/>
        <v>89.119888665542831</v>
      </c>
    </row>
    <row r="75" spans="1:40"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3" t="s">
        <v>35</v>
      </c>
      <c r="X75" s="3">
        <f t="shared" si="16"/>
        <v>116.87154615941152</v>
      </c>
      <c r="Y75" s="3">
        <f t="shared" si="16"/>
        <v>112.69855857270078</v>
      </c>
      <c r="Z75" s="3">
        <f t="shared" si="16"/>
        <v>113.63251381595938</v>
      </c>
      <c r="AA75" s="3">
        <f t="shared" si="16"/>
        <v>112.91551964772931</v>
      </c>
      <c r="AB75" s="3">
        <f t="shared" si="16"/>
        <v>109.34678528500039</v>
      </c>
      <c r="AC75" s="3">
        <f t="shared" si="16"/>
        <v>107.64234546606525</v>
      </c>
      <c r="AD75" s="3">
        <f t="shared" si="16"/>
        <v>112.88401457371926</v>
      </c>
      <c r="AE75" s="3">
        <f t="shared" si="16"/>
        <v>109.01195705899349</v>
      </c>
      <c r="AF75" s="3">
        <f t="shared" si="16"/>
        <v>121.89499650913432</v>
      </c>
      <c r="AG75" s="3">
        <f t="shared" si="16"/>
        <v>120.90511173131028</v>
      </c>
      <c r="AH75" s="3">
        <f t="shared" si="16"/>
        <v>115.08880177865214</v>
      </c>
      <c r="AI75" s="3">
        <f t="shared" si="16"/>
        <v>114.71279466886119</v>
      </c>
      <c r="AJ75" s="3">
        <f t="shared" si="16"/>
        <v>117.65049331682962</v>
      </c>
      <c r="AK75" s="3">
        <f t="shared" si="16"/>
        <v>113.27183120165458</v>
      </c>
      <c r="AL75" s="3">
        <f t="shared" si="16"/>
        <v>113.96894969284043</v>
      </c>
      <c r="AM75" s="3">
        <f t="shared" si="16"/>
        <v>117.48728492110496</v>
      </c>
    </row>
    <row r="76" spans="1:40"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3" t="s">
        <v>36</v>
      </c>
      <c r="X76" s="3">
        <f t="shared" si="16"/>
        <v>44.287227020574001</v>
      </c>
      <c r="Y76" s="3">
        <f t="shared" si="16"/>
        <v>38.906839323792028</v>
      </c>
      <c r="Z76" s="3">
        <f t="shared" si="16"/>
        <v>42.199551215982993</v>
      </c>
      <c r="AA76" s="3">
        <f t="shared" si="16"/>
        <v>50.579380060189195</v>
      </c>
      <c r="AB76" s="3">
        <f t="shared" si="16"/>
        <v>49.599811535887085</v>
      </c>
      <c r="AC76" s="3">
        <f t="shared" si="16"/>
        <v>52.887210792331274</v>
      </c>
      <c r="AD76" s="3">
        <f t="shared" si="16"/>
        <v>47.350838755482158</v>
      </c>
      <c r="AE76" s="3">
        <f t="shared" si="16"/>
        <v>53.377285453172092</v>
      </c>
      <c r="AF76" s="3">
        <f t="shared" si="16"/>
        <v>55.450831515822195</v>
      </c>
      <c r="AG76" s="3">
        <f t="shared" si="16"/>
        <v>47.096207986344417</v>
      </c>
      <c r="AH76" s="3">
        <f t="shared" si="16"/>
        <v>41.448686452885404</v>
      </c>
      <c r="AI76" s="3">
        <f t="shared" si="16"/>
        <v>49.424129617966784</v>
      </c>
      <c r="AJ76" s="3">
        <f t="shared" si="16"/>
        <v>49.934474389130585</v>
      </c>
      <c r="AK76" s="3">
        <f t="shared" si="16"/>
        <v>50.437564322625164</v>
      </c>
      <c r="AL76" s="3">
        <f t="shared" si="16"/>
        <v>50.92229667126913</v>
      </c>
      <c r="AM76" s="3">
        <f t="shared" si="16"/>
        <v>51.864853239783123</v>
      </c>
    </row>
    <row r="77" spans="1:40"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3">
        <f t="shared" si="16"/>
        <v>0</v>
      </c>
      <c r="Y77" s="3">
        <f t="shared" si="16"/>
        <v>0</v>
      </c>
      <c r="Z77" s="3">
        <f t="shared" si="16"/>
        <v>0</v>
      </c>
      <c r="AA77" s="3">
        <f t="shared" si="16"/>
        <v>0</v>
      </c>
      <c r="AB77" s="3">
        <f t="shared" si="16"/>
        <v>0</v>
      </c>
      <c r="AC77" s="3">
        <f t="shared" si="16"/>
        <v>0</v>
      </c>
      <c r="AD77" s="3">
        <f t="shared" si="16"/>
        <v>0</v>
      </c>
      <c r="AE77" s="3">
        <f t="shared" si="16"/>
        <v>0</v>
      </c>
      <c r="AF77" s="3">
        <f t="shared" si="16"/>
        <v>0</v>
      </c>
      <c r="AG77" s="3">
        <f t="shared" si="16"/>
        <v>0</v>
      </c>
      <c r="AH77" s="3">
        <f t="shared" si="16"/>
        <v>0</v>
      </c>
      <c r="AI77" s="3">
        <f t="shared" si="16"/>
        <v>0</v>
      </c>
      <c r="AJ77" s="3">
        <f t="shared" si="16"/>
        <v>0</v>
      </c>
      <c r="AK77" s="3">
        <f t="shared" si="16"/>
        <v>0</v>
      </c>
      <c r="AL77" s="3">
        <f t="shared" si="16"/>
        <v>0</v>
      </c>
      <c r="AM77" s="3">
        <f t="shared" si="16"/>
        <v>0</v>
      </c>
    </row>
    <row r="78" spans="1:40"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</row>
    <row r="79" spans="1:40"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</row>
  </sheetData>
  <mergeCells count="1">
    <mergeCell ref="A1:B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C5AD2-CE84-456E-974D-FDEEC38D9F34}">
  <dimension ref="A1:AG54"/>
  <sheetViews>
    <sheetView zoomScale="85" zoomScaleNormal="85" workbookViewId="0">
      <pane xSplit="2" ySplit="3" topLeftCell="AA9" activePane="bottomRight" state="frozen"/>
      <selection activeCell="X71" sqref="X71:AM72"/>
      <selection pane="topRight" activeCell="X71" sqref="X71:AM72"/>
      <selection pane="bottomLeft" activeCell="X71" sqref="X71:AM72"/>
      <selection pane="bottomRight" activeCell="X71" sqref="X71:AM72"/>
    </sheetView>
  </sheetViews>
  <sheetFormatPr defaultColWidth="8.875" defaultRowHeight="15"/>
  <cols>
    <col min="1" max="1" width="10.875" style="3" customWidth="1"/>
    <col min="2" max="2" width="34.875" style="3" customWidth="1"/>
    <col min="3" max="16384" width="8.875" style="3"/>
  </cols>
  <sheetData>
    <row r="1" spans="1:33" ht="20.25">
      <c r="A1" s="44" t="s">
        <v>48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7"/>
    </row>
    <row r="2" spans="1:33" ht="15.75" thickBot="1">
      <c r="A2" s="48"/>
      <c r="B2" s="49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1"/>
    </row>
    <row r="3" spans="1:33" ht="15.75" thickBot="1">
      <c r="A3" s="37"/>
      <c r="B3" s="52" t="s">
        <v>49</v>
      </c>
      <c r="C3" s="53" t="s">
        <v>2</v>
      </c>
      <c r="D3" s="53" t="s">
        <v>3</v>
      </c>
      <c r="E3" s="53" t="s">
        <v>4</v>
      </c>
      <c r="F3" s="53" t="s">
        <v>5</v>
      </c>
      <c r="G3" s="53" t="s">
        <v>6</v>
      </c>
      <c r="H3" s="53" t="s">
        <v>7</v>
      </c>
      <c r="I3" s="53" t="s">
        <v>8</v>
      </c>
      <c r="J3" s="53" t="s">
        <v>9</v>
      </c>
      <c r="K3" s="53" t="s">
        <v>10</v>
      </c>
      <c r="L3" s="53" t="s">
        <v>11</v>
      </c>
      <c r="M3" s="53" t="s">
        <v>12</v>
      </c>
      <c r="N3" s="53" t="s">
        <v>13</v>
      </c>
      <c r="O3" s="53" t="s">
        <v>14</v>
      </c>
      <c r="P3" s="53" t="s">
        <v>15</v>
      </c>
      <c r="Q3" s="53" t="s">
        <v>16</v>
      </c>
      <c r="R3" s="53" t="s">
        <v>17</v>
      </c>
      <c r="S3" s="53" t="s">
        <v>18</v>
      </c>
      <c r="T3" s="53" t="s">
        <v>19</v>
      </c>
      <c r="U3" s="53" t="s">
        <v>20</v>
      </c>
      <c r="V3" s="53" t="s">
        <v>21</v>
      </c>
      <c r="W3" s="53" t="s">
        <v>22</v>
      </c>
      <c r="X3" s="53" t="s">
        <v>23</v>
      </c>
      <c r="Y3" s="53" t="s">
        <v>24</v>
      </c>
      <c r="Z3" s="53" t="s">
        <v>25</v>
      </c>
      <c r="AA3" s="53" t="s">
        <v>26</v>
      </c>
      <c r="AB3" s="53" t="s">
        <v>27</v>
      </c>
      <c r="AC3" s="53" t="s">
        <v>28</v>
      </c>
      <c r="AD3" s="53" t="s">
        <v>29</v>
      </c>
      <c r="AE3" s="53" t="s">
        <v>30</v>
      </c>
      <c r="AF3" s="53" t="s">
        <v>31</v>
      </c>
      <c r="AG3" s="53" t="s">
        <v>32</v>
      </c>
    </row>
    <row r="4" spans="1:33">
      <c r="A4" s="37"/>
      <c r="B4" s="38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</row>
    <row r="5" spans="1:33" ht="15.75">
      <c r="A5" s="55" t="s">
        <v>50</v>
      </c>
      <c r="B5" s="56"/>
      <c r="C5" s="57">
        <f t="shared" ref="C5:AG5" si="0">SUM(C6:C8)</f>
        <v>1309</v>
      </c>
      <c r="D5" s="57">
        <f t="shared" si="0"/>
        <v>1095</v>
      </c>
      <c r="E5" s="57">
        <f t="shared" si="0"/>
        <v>1417</v>
      </c>
      <c r="F5" s="57">
        <f t="shared" si="0"/>
        <v>1537</v>
      </c>
      <c r="G5" s="57">
        <f t="shared" si="0"/>
        <v>1193</v>
      </c>
      <c r="H5" s="57">
        <f t="shared" si="0"/>
        <v>1156</v>
      </c>
      <c r="I5" s="57">
        <f t="shared" si="0"/>
        <v>1405</v>
      </c>
      <c r="J5" s="57">
        <f t="shared" si="0"/>
        <v>1354</v>
      </c>
      <c r="K5" s="57">
        <f t="shared" si="0"/>
        <v>1173</v>
      </c>
      <c r="L5" s="57">
        <f t="shared" si="0"/>
        <v>1408</v>
      </c>
      <c r="M5" s="57">
        <f t="shared" si="0"/>
        <v>1129</v>
      </c>
      <c r="N5" s="57">
        <f t="shared" si="0"/>
        <v>1096</v>
      </c>
      <c r="O5" s="57">
        <f t="shared" si="0"/>
        <v>1053</v>
      </c>
      <c r="P5" s="57">
        <f t="shared" si="0"/>
        <v>1073</v>
      </c>
      <c r="Q5" s="57">
        <f t="shared" si="0"/>
        <v>1034</v>
      </c>
      <c r="R5" s="57">
        <f t="shared" si="0"/>
        <v>1592</v>
      </c>
      <c r="S5" s="57">
        <f t="shared" si="0"/>
        <v>917</v>
      </c>
      <c r="T5" s="57">
        <f t="shared" si="0"/>
        <v>803</v>
      </c>
      <c r="U5" s="57">
        <f t="shared" si="0"/>
        <v>1137</v>
      </c>
      <c r="V5" s="57">
        <f t="shared" si="0"/>
        <v>1411</v>
      </c>
      <c r="W5" s="57">
        <f t="shared" si="0"/>
        <v>444</v>
      </c>
      <c r="X5" s="57">
        <f t="shared" si="0"/>
        <v>742</v>
      </c>
      <c r="Y5" s="57">
        <f t="shared" si="0"/>
        <v>1755</v>
      </c>
      <c r="Z5" s="57">
        <f t="shared" si="0"/>
        <v>2561</v>
      </c>
      <c r="AA5" s="57">
        <f t="shared" si="0"/>
        <v>1794</v>
      </c>
      <c r="AB5" s="57">
        <f t="shared" si="0"/>
        <v>1865</v>
      </c>
      <c r="AC5" s="57">
        <f t="shared" si="0"/>
        <v>2324</v>
      </c>
      <c r="AD5" s="57">
        <f t="shared" si="0"/>
        <v>2300</v>
      </c>
      <c r="AE5" s="57">
        <f t="shared" si="0"/>
        <v>2102</v>
      </c>
      <c r="AF5" s="57">
        <f t="shared" si="0"/>
        <v>2120</v>
      </c>
      <c r="AG5" s="57">
        <f t="shared" si="0"/>
        <v>1826</v>
      </c>
    </row>
    <row r="6" spans="1:33">
      <c r="A6" s="37"/>
      <c r="B6" s="17" t="s">
        <v>51</v>
      </c>
      <c r="C6" s="18">
        <f>'[2]EU Soy Complex'!AE$21</f>
        <v>1182</v>
      </c>
      <c r="D6" s="18">
        <f>'[2]EU Soy Complex'!AF$21</f>
        <v>947</v>
      </c>
      <c r="E6" s="18">
        <f>'[2]EU Soy Complex'!AG$21</f>
        <v>1172</v>
      </c>
      <c r="F6" s="18">
        <f>'[2]EU Soy Complex'!AH$21</f>
        <v>1123</v>
      </c>
      <c r="G6" s="18">
        <f>'[2]EU Soy Complex'!AI$21</f>
        <v>851</v>
      </c>
      <c r="H6" s="18">
        <f>'[2]EU Soy Complex'!AJ$21</f>
        <v>861</v>
      </c>
      <c r="I6" s="18">
        <f>'[2]EU Soy Complex'!AK$21</f>
        <v>1063</v>
      </c>
      <c r="J6" s="18">
        <f>'[2]EU Soy Complex'!AL$21</f>
        <v>886</v>
      </c>
      <c r="K6" s="18">
        <f>'[2]EU Soy Complex'!AM$21</f>
        <v>809</v>
      </c>
      <c r="L6" s="18">
        <f>'[2]EU Soy Complex'!AN$21</f>
        <v>1074</v>
      </c>
      <c r="M6" s="18">
        <f>'[2]EU Soy Complex'!AO$21</f>
        <v>890</v>
      </c>
      <c r="N6" s="18">
        <f>'[2]EU Soy Complex'!AP$21</f>
        <v>858</v>
      </c>
      <c r="O6" s="18">
        <f>'[2]EU Soy Complex'!AQ$21</f>
        <v>859</v>
      </c>
      <c r="P6" s="18">
        <f>'[2]EU Soy Complex'!AR$21</f>
        <v>870</v>
      </c>
      <c r="Q6" s="18">
        <f>'[2]EU Soy Complex'!AS$21</f>
        <v>856</v>
      </c>
      <c r="R6" s="18">
        <f>'[2]EU Soy Complex'!AT$21</f>
        <v>1429</v>
      </c>
      <c r="S6" s="18">
        <f>'[2]EU Soy Complex'!AU$21</f>
        <v>505</v>
      </c>
      <c r="T6" s="18">
        <f>'[2]EU Soy Complex'!AV$21</f>
        <v>504</v>
      </c>
      <c r="U6" s="18">
        <f>'[2]EU Soy Complex'!AW$21</f>
        <v>671</v>
      </c>
      <c r="V6" s="18">
        <f>'[2]EU Soy Complex'!AX$21</f>
        <v>481</v>
      </c>
      <c r="W6" s="18">
        <f>'[2]EU Soy Complex'!AY$21</f>
        <v>177</v>
      </c>
      <c r="X6" s="18">
        <f>'[2]EU Soy Complex'!AZ$21</f>
        <v>225</v>
      </c>
      <c r="Y6" s="18">
        <f>'[2]EU Soy Complex'!BA$21</f>
        <v>857</v>
      </c>
      <c r="Z6" s="18">
        <f>'[2]EU Soy Complex'!BB$21</f>
        <v>1559</v>
      </c>
      <c r="AA6" s="18">
        <f>'[2]EU Soy Complex'!BC$21</f>
        <v>974</v>
      </c>
      <c r="AB6" s="18">
        <f>'[2]EU Soy Complex'!BD$21</f>
        <v>1111</v>
      </c>
      <c r="AC6" s="18">
        <f>'[2]EU Soy Complex'!BE$21</f>
        <v>1347</v>
      </c>
      <c r="AD6" s="18">
        <f>'[2]EU Soy Complex'!BF$21</f>
        <v>1626</v>
      </c>
      <c r="AE6" s="18">
        <f>'[2]EU Soy Complex'!BG$21</f>
        <v>1455</v>
      </c>
      <c r="AF6" s="18">
        <f>'[2]EU Soy Complex'!BH$21</f>
        <v>1447</v>
      </c>
      <c r="AG6" s="18">
        <f>'[2]EU Soy Complex'!BI$21</f>
        <v>1084</v>
      </c>
    </row>
    <row r="7" spans="1:33">
      <c r="A7" s="37"/>
      <c r="B7" s="17" t="s">
        <v>52</v>
      </c>
      <c r="C7" s="18">
        <f>'[3]EU Rapeseed'!B$22</f>
        <v>58</v>
      </c>
      <c r="D7" s="18">
        <f>'[3]EU Rapeseed'!C$22</f>
        <v>78</v>
      </c>
      <c r="E7" s="18">
        <f>'[3]EU Rapeseed'!D$22</f>
        <v>97</v>
      </c>
      <c r="F7" s="18">
        <f>'[3]EU Rapeseed'!E$22</f>
        <v>223</v>
      </c>
      <c r="G7" s="18">
        <f>'[3]EU Rapeseed'!F$22</f>
        <v>179</v>
      </c>
      <c r="H7" s="18">
        <f>'[3]EU Rapeseed'!G$22</f>
        <v>155</v>
      </c>
      <c r="I7" s="18">
        <f>'[3]EU Rapeseed'!H$22</f>
        <v>159</v>
      </c>
      <c r="J7" s="18">
        <f>'[3]EU Rapeseed'!I$22</f>
        <v>217</v>
      </c>
      <c r="K7" s="18">
        <f>'[3]EU Rapeseed'!J$22</f>
        <v>152</v>
      </c>
      <c r="L7" s="18">
        <f>'[3]EU Rapeseed'!K$22</f>
        <v>163</v>
      </c>
      <c r="M7" s="18">
        <f>'[3]EU Rapeseed'!L$22</f>
        <v>137</v>
      </c>
      <c r="N7" s="18">
        <f>'[3]EU Rapeseed'!M$22</f>
        <v>108</v>
      </c>
      <c r="O7" s="18">
        <f>'[3]EU Rapeseed'!N$22</f>
        <v>96</v>
      </c>
      <c r="P7" s="18">
        <f>'[3]EU Rapeseed'!O$22</f>
        <v>95</v>
      </c>
      <c r="Q7" s="18">
        <f>'[3]EU Rapeseed'!P$22</f>
        <v>87</v>
      </c>
      <c r="R7" s="18">
        <f>'[3]EU Rapeseed'!Q$22</f>
        <v>95</v>
      </c>
      <c r="S7" s="18">
        <f>'[3]EU Rapeseed'!R$22</f>
        <v>95</v>
      </c>
      <c r="T7" s="18">
        <f>'[3]EU Rapeseed'!S$22</f>
        <v>75</v>
      </c>
      <c r="U7" s="18">
        <f>'[3]EU Rapeseed'!T$22</f>
        <v>170</v>
      </c>
      <c r="V7" s="18">
        <f>'[3]EU Rapeseed'!U$22</f>
        <v>271</v>
      </c>
      <c r="W7" s="18">
        <f>'[3]EU Rapeseed'!V$22</f>
        <v>182</v>
      </c>
      <c r="X7" s="18">
        <f>'[3]EU Rapeseed'!W$22</f>
        <v>229</v>
      </c>
      <c r="Y7" s="18">
        <f>'[3]EU Rapeseed'!X$22</f>
        <v>518</v>
      </c>
      <c r="Z7" s="18">
        <f>'[3]EU Rapeseed'!Y$22</f>
        <v>508</v>
      </c>
      <c r="AA7" s="18">
        <f>'[3]EU Rapeseed'!Z$22</f>
        <v>470</v>
      </c>
      <c r="AB7" s="18">
        <f>'[3]EU Rapeseed'!AA$22</f>
        <v>488</v>
      </c>
      <c r="AC7" s="18">
        <f>'[3]EU Rapeseed'!AB$22</f>
        <v>581</v>
      </c>
      <c r="AD7" s="18">
        <f>'[3]EU Rapeseed'!AC$22</f>
        <v>460</v>
      </c>
      <c r="AE7" s="18">
        <f>'[3]EU Rapeseed'!AD$22</f>
        <v>387</v>
      </c>
      <c r="AF7" s="18">
        <f>'[3]EU Rapeseed'!AE$22</f>
        <v>386</v>
      </c>
      <c r="AG7" s="18">
        <f>'[3]EU Rapeseed'!AF$22</f>
        <v>431</v>
      </c>
    </row>
    <row r="8" spans="1:33">
      <c r="A8" s="37"/>
      <c r="B8" s="17" t="s">
        <v>53</v>
      </c>
      <c r="C8" s="18">
        <f>'[4]EU Sun Complex'!B$22</f>
        <v>69</v>
      </c>
      <c r="D8" s="18">
        <f>'[4]EU Sun Complex'!C$22</f>
        <v>70</v>
      </c>
      <c r="E8" s="18">
        <f>'[4]EU Sun Complex'!D$22</f>
        <v>148</v>
      </c>
      <c r="F8" s="18">
        <f>'[4]EU Sun Complex'!E$22</f>
        <v>191</v>
      </c>
      <c r="G8" s="18">
        <f>'[4]EU Sun Complex'!F$22</f>
        <v>163</v>
      </c>
      <c r="H8" s="18">
        <f>'[4]EU Sun Complex'!G$22</f>
        <v>140</v>
      </c>
      <c r="I8" s="18">
        <f>'[4]EU Sun Complex'!H$22</f>
        <v>183</v>
      </c>
      <c r="J8" s="18">
        <f>'[4]EU Sun Complex'!I$22</f>
        <v>251</v>
      </c>
      <c r="K8" s="18">
        <f>'[4]EU Sun Complex'!J$22</f>
        <v>212</v>
      </c>
      <c r="L8" s="18">
        <f>'[4]EU Sun Complex'!K$22</f>
        <v>171</v>
      </c>
      <c r="M8" s="18">
        <f>'[4]EU Sun Complex'!L$22</f>
        <v>102</v>
      </c>
      <c r="N8" s="18">
        <f>'[4]EU Sun Complex'!M$22</f>
        <v>130</v>
      </c>
      <c r="O8" s="18">
        <f>'[4]EU Sun Complex'!N$22</f>
        <v>98</v>
      </c>
      <c r="P8" s="18">
        <f>'[4]EU Sun Complex'!O$22</f>
        <v>108</v>
      </c>
      <c r="Q8" s="18">
        <f>'[4]EU Sun Complex'!P$22</f>
        <v>91</v>
      </c>
      <c r="R8" s="18">
        <f>'[4]EU Sun Complex'!Q$22</f>
        <v>68</v>
      </c>
      <c r="S8" s="18">
        <f>'[4]EU Sun Complex'!R$22</f>
        <v>317</v>
      </c>
      <c r="T8" s="18">
        <f>'[4]EU Sun Complex'!S$22</f>
        <v>224</v>
      </c>
      <c r="U8" s="18">
        <f>'[4]EU Sun Complex'!T$22</f>
        <v>296</v>
      </c>
      <c r="V8" s="18">
        <f>'[4]EU Sun Complex'!U$22</f>
        <v>659</v>
      </c>
      <c r="W8" s="18">
        <f>'[4]EU Sun Complex'!V$22</f>
        <v>85</v>
      </c>
      <c r="X8" s="18">
        <f>'[4]EU Sun Complex'!W$22</f>
        <v>288</v>
      </c>
      <c r="Y8" s="18">
        <f>'[4]EU Sun Complex'!X$22</f>
        <v>380</v>
      </c>
      <c r="Z8" s="18">
        <f>'[4]EU Sun Complex'!Y$22</f>
        <v>494</v>
      </c>
      <c r="AA8" s="18">
        <f>'[4]EU Sun Complex'!Z$22</f>
        <v>350</v>
      </c>
      <c r="AB8" s="18">
        <f>'[4]EU Sun Complex'!AA$22</f>
        <v>266</v>
      </c>
      <c r="AC8" s="18">
        <f>'[4]EU Sun Complex'!AB$22</f>
        <v>396</v>
      </c>
      <c r="AD8" s="18">
        <f>'[4]EU Sun Complex'!AC$22</f>
        <v>214</v>
      </c>
      <c r="AE8" s="18">
        <f>'[4]EU Sun Complex'!AD$22</f>
        <v>260</v>
      </c>
      <c r="AF8" s="18">
        <f>'[4]EU Sun Complex'!AE$22</f>
        <v>287</v>
      </c>
      <c r="AG8" s="18">
        <f>'[4]EU Sun Complex'!AF$22</f>
        <v>311</v>
      </c>
    </row>
    <row r="9" spans="1:33">
      <c r="A9" s="37"/>
      <c r="B9" s="17" t="s">
        <v>54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spans="1:33">
      <c r="A10" s="37"/>
      <c r="B10" s="37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</row>
    <row r="11" spans="1:33" ht="15.75">
      <c r="A11" s="59" t="s">
        <v>38</v>
      </c>
      <c r="B11" s="60"/>
      <c r="C11" s="57">
        <f t="shared" ref="C11:AG11" si="1">SUM(C12:C14)</f>
        <v>17893.878767546867</v>
      </c>
      <c r="D11" s="57">
        <f t="shared" si="1"/>
        <v>20871.869804613169</v>
      </c>
      <c r="E11" s="57">
        <f t="shared" si="1"/>
        <v>20634.612952773372</v>
      </c>
      <c r="F11" s="57">
        <f t="shared" si="1"/>
        <v>21075.303761647545</v>
      </c>
      <c r="G11" s="57">
        <f t="shared" si="1"/>
        <v>22075.406289863815</v>
      </c>
      <c r="H11" s="57">
        <f t="shared" si="1"/>
        <v>22446.854698660885</v>
      </c>
      <c r="I11" s="57">
        <f t="shared" si="1"/>
        <v>21514.662283276019</v>
      </c>
      <c r="J11" s="57">
        <f t="shared" si="1"/>
        <v>22660.981131598663</v>
      </c>
      <c r="K11" s="57">
        <f t="shared" si="1"/>
        <v>22774.669274504151</v>
      </c>
      <c r="L11" s="57">
        <f t="shared" si="1"/>
        <v>21936.393869470707</v>
      </c>
      <c r="M11" s="57">
        <f t="shared" si="1"/>
        <v>20441.399210088461</v>
      </c>
      <c r="N11" s="57">
        <f t="shared" si="1"/>
        <v>21687.629383017247</v>
      </c>
      <c r="O11" s="57">
        <f t="shared" si="1"/>
        <v>22042.798858906241</v>
      </c>
      <c r="P11" s="57">
        <f t="shared" si="1"/>
        <v>23437.59320164545</v>
      </c>
      <c r="Q11" s="57">
        <f t="shared" si="1"/>
        <v>24403.499711186305</v>
      </c>
      <c r="R11" s="57">
        <f t="shared" si="1"/>
        <v>25073.141419607608</v>
      </c>
      <c r="S11" s="57">
        <f t="shared" si="1"/>
        <v>25974.202878151722</v>
      </c>
      <c r="T11" s="57">
        <f t="shared" si="1"/>
        <v>25238.642021713793</v>
      </c>
      <c r="U11" s="57">
        <f t="shared" si="1"/>
        <v>25948.718430345652</v>
      </c>
      <c r="V11" s="57">
        <f t="shared" si="1"/>
        <v>26647.64</v>
      </c>
      <c r="W11" s="57">
        <f t="shared" si="1"/>
        <v>28301.355241242567</v>
      </c>
      <c r="X11" s="57">
        <f t="shared" si="1"/>
        <v>29695.847543252596</v>
      </c>
      <c r="Y11" s="57">
        <f t="shared" si="1"/>
        <v>29349.073244147159</v>
      </c>
      <c r="Z11" s="57">
        <f t="shared" si="1"/>
        <v>29520.994003056599</v>
      </c>
      <c r="AA11" s="57">
        <f t="shared" si="1"/>
        <v>29551.104517470962</v>
      </c>
      <c r="AB11" s="57">
        <f t="shared" si="1"/>
        <v>28926.672777421423</v>
      </c>
      <c r="AC11" s="57">
        <f t="shared" si="1"/>
        <v>29099.89400921659</v>
      </c>
      <c r="AD11" s="57">
        <f t="shared" si="1"/>
        <v>29441.55</v>
      </c>
      <c r="AE11" s="57">
        <f t="shared" si="1"/>
        <v>30528.166424274656</v>
      </c>
      <c r="AF11" s="57">
        <f t="shared" si="1"/>
        <v>30669.374142093217</v>
      </c>
      <c r="AG11" s="57">
        <f t="shared" si="1"/>
        <v>31039.847187227882</v>
      </c>
    </row>
    <row r="12" spans="1:33">
      <c r="A12" s="37"/>
      <c r="B12" s="17" t="s">
        <v>51</v>
      </c>
      <c r="C12" s="18">
        <f>'[2]EU Soy Complex'!AE$22</f>
        <v>10236.524594022125</v>
      </c>
      <c r="D12" s="18">
        <f>'[2]EU Soy Complex'!AF$22</f>
        <v>12280.849346954608</v>
      </c>
      <c r="E12" s="18">
        <f>'[2]EU Soy Complex'!AG$22</f>
        <v>11462.334418508</v>
      </c>
      <c r="F12" s="18">
        <f>'[2]EU Soy Complex'!AH$22</f>
        <v>11763.641875888208</v>
      </c>
      <c r="G12" s="18">
        <f>'[2]EU Soy Complex'!AI$22</f>
        <v>12406.606730830519</v>
      </c>
      <c r="H12" s="18">
        <f>'[2]EU Soy Complex'!AJ$22</f>
        <v>12586.466905875572</v>
      </c>
      <c r="I12" s="18">
        <f>'[2]EU Soy Complex'!AK$22</f>
        <v>11407</v>
      </c>
      <c r="J12" s="18">
        <f>'[2]EU Soy Complex'!AL$22</f>
        <v>13309.999999999998</v>
      </c>
      <c r="K12" s="18">
        <f>'[2]EU Soy Complex'!AM$22</f>
        <v>14243</v>
      </c>
      <c r="L12" s="18">
        <f>'[2]EU Soy Complex'!AN$22</f>
        <v>13123</v>
      </c>
      <c r="M12" s="18">
        <f>'[2]EU Soy Complex'!AO$22</f>
        <v>11143.581103914388</v>
      </c>
      <c r="N12" s="18">
        <f>'[2]EU Soy Complex'!AP$22</f>
        <v>11335.322484592476</v>
      </c>
      <c r="O12" s="18">
        <f>'[2]EU Soy Complex'!AQ$22</f>
        <v>10794.975800608607</v>
      </c>
      <c r="P12" s="18">
        <f>'[2]EU Soy Complex'!AR$22</f>
        <v>11524.726977906896</v>
      </c>
      <c r="Q12" s="18">
        <f>'[2]EU Soy Complex'!AS$22</f>
        <v>11657.901652505519</v>
      </c>
      <c r="R12" s="18">
        <f>'[2]EU Soy Complex'!AT$22</f>
        <v>10113.975734157648</v>
      </c>
      <c r="S12" s="18">
        <f>'[2]EU Soy Complex'!AU$22</f>
        <v>10000.559745930925</v>
      </c>
      <c r="T12" s="18">
        <f>'[2]EU Soy Complex'!AV$22</f>
        <v>9812.1021897810224</v>
      </c>
      <c r="U12" s="18">
        <f>'[2]EU Soy Complex'!AW$22</f>
        <v>9883.6899999999987</v>
      </c>
      <c r="V12" s="18">
        <f>'[2]EU Soy Complex'!AX$22</f>
        <v>10361.64</v>
      </c>
      <c r="W12" s="18">
        <f>'[2]EU Soy Complex'!AY$22</f>
        <v>10557.560000000001</v>
      </c>
      <c r="X12" s="18">
        <f>'[2]EU Soy Complex'!AZ$22</f>
        <v>11131.587543252594</v>
      </c>
      <c r="Y12" s="18">
        <f>'[2]EU Soy Complex'!BA$22</f>
        <v>11887.633244147159</v>
      </c>
      <c r="Z12" s="18">
        <f>'[2]EU Soy Complex'!BB$22</f>
        <v>11420</v>
      </c>
      <c r="AA12" s="18">
        <f>'[2]EU Soy Complex'!BC$22</f>
        <v>12021.509687962613</v>
      </c>
      <c r="AB12" s="18">
        <f>'[2]EU Soy Complex'!BD$22</f>
        <v>12163.132777421421</v>
      </c>
      <c r="AC12" s="18">
        <f>'[2]EU Soy Complex'!BE$22</f>
        <v>12391.094009216591</v>
      </c>
      <c r="AD12" s="18">
        <f>'[2]EU Soy Complex'!BF$22</f>
        <v>12350.07</v>
      </c>
      <c r="AE12" s="18">
        <f>'[2]EU Soy Complex'!BG$22</f>
        <v>11966.905263157898</v>
      </c>
      <c r="AF12" s="18">
        <f>'[2]EU Soy Complex'!BH$22</f>
        <v>11297</v>
      </c>
      <c r="AG12" s="18">
        <f>'[2]EU Soy Complex'!BI$22</f>
        <v>11454.491228070181</v>
      </c>
    </row>
    <row r="13" spans="1:33">
      <c r="A13" s="37"/>
      <c r="B13" s="17" t="s">
        <v>52</v>
      </c>
      <c r="C13" s="18">
        <f>'[3]EU Rapeseed'!B$23</f>
        <v>4549.7357902293534</v>
      </c>
      <c r="D13" s="18">
        <f>'[3]EU Rapeseed'!C$23</f>
        <v>5046.18325113421</v>
      </c>
      <c r="E13" s="18">
        <f>'[3]EU Rapeseed'!D$23</f>
        <v>5334.6152393400716</v>
      </c>
      <c r="F13" s="18">
        <f>'[3]EU Rapeseed'!E$23</f>
        <v>5233.2534340801485</v>
      </c>
      <c r="G13" s="18">
        <f>'[3]EU Rapeseed'!F$23</f>
        <v>5943.9413089947529</v>
      </c>
      <c r="H13" s="18">
        <f>'[3]EU Rapeseed'!G$23</f>
        <v>6029.4955742512348</v>
      </c>
      <c r="I13" s="18">
        <f>'[3]EU Rapeseed'!H$23</f>
        <v>6338</v>
      </c>
      <c r="J13" s="18">
        <f>'[3]EU Rapeseed'!I$23</f>
        <v>5996</v>
      </c>
      <c r="K13" s="18">
        <f>'[3]EU Rapeseed'!J$23</f>
        <v>5915</v>
      </c>
      <c r="L13" s="18">
        <f>'[3]EU Rapeseed'!K$23</f>
        <v>5994</v>
      </c>
      <c r="M13" s="18">
        <f>'[3]EU Rapeseed'!L$23</f>
        <v>5974</v>
      </c>
      <c r="N13" s="18">
        <f>'[3]EU Rapeseed'!M$23</f>
        <v>7381</v>
      </c>
      <c r="O13" s="18">
        <f>'[3]EU Rapeseed'!N$23</f>
        <v>8373</v>
      </c>
      <c r="P13" s="18">
        <f>'[3]EU Rapeseed'!O$23</f>
        <v>8960</v>
      </c>
      <c r="Q13" s="18">
        <f>'[3]EU Rapeseed'!P$23</f>
        <v>10402</v>
      </c>
      <c r="R13" s="18">
        <f>'[3]EU Rapeseed'!Q$23</f>
        <v>11628</v>
      </c>
      <c r="S13" s="18">
        <f>'[3]EU Rapeseed'!R$23</f>
        <v>12853</v>
      </c>
      <c r="T13" s="18">
        <f>'[3]EU Rapeseed'!S$23</f>
        <v>12113</v>
      </c>
      <c r="U13" s="18">
        <f>'[3]EU Rapeseed'!T$23</f>
        <v>12341</v>
      </c>
      <c r="V13" s="18">
        <f>'[3]EU Rapeseed'!U$23</f>
        <v>12968</v>
      </c>
      <c r="W13" s="18">
        <f>'[3]EU Rapeseed'!V$23</f>
        <v>13651</v>
      </c>
      <c r="X13" s="18">
        <f>'[3]EU Rapeseed'!W$23</f>
        <v>14450</v>
      </c>
      <c r="Y13" s="18">
        <f>'[3]EU Rapeseed'!X$23</f>
        <v>13851</v>
      </c>
      <c r="Z13" s="18">
        <f>'[3]EU Rapeseed'!Y$23</f>
        <v>13737</v>
      </c>
      <c r="AA13" s="18">
        <f>'[3]EU Rapeseed'!Z$23</f>
        <v>12582</v>
      </c>
      <c r="AB13" s="18">
        <f>'[3]EU Rapeseed'!AA$23</f>
        <v>12227</v>
      </c>
      <c r="AC13" s="18">
        <f>'[3]EU Rapeseed'!AB$23</f>
        <v>12027</v>
      </c>
      <c r="AD13" s="18">
        <f>'[3]EU Rapeseed'!AC$23</f>
        <v>12711</v>
      </c>
      <c r="AE13" s="18">
        <f>'[3]EU Rapeseed'!AD$23</f>
        <v>13263.321161116757</v>
      </c>
      <c r="AF13" s="18">
        <f>'[3]EU Rapeseed'!AE$23</f>
        <v>14397.271366409463</v>
      </c>
      <c r="AG13" s="18">
        <f>'[3]EU Rapeseed'!AF$23</f>
        <v>14674</v>
      </c>
    </row>
    <row r="14" spans="1:33">
      <c r="A14" s="37"/>
      <c r="B14" s="17" t="s">
        <v>53</v>
      </c>
      <c r="C14" s="18">
        <f>'[4]EU Sun Complex'!B$23</f>
        <v>3107.6183832953893</v>
      </c>
      <c r="D14" s="18">
        <f>'[4]EU Sun Complex'!C$23</f>
        <v>3544.8372065243475</v>
      </c>
      <c r="E14" s="18">
        <f>'[4]EU Sun Complex'!D$23</f>
        <v>3837.663294925298</v>
      </c>
      <c r="F14" s="18">
        <f>'[4]EU Sun Complex'!E$23</f>
        <v>4078.4084516791881</v>
      </c>
      <c r="G14" s="18">
        <f>'[4]EU Sun Complex'!F$23</f>
        <v>3724.8582500385419</v>
      </c>
      <c r="H14" s="18">
        <f>'[4]EU Sun Complex'!G$23</f>
        <v>3830.8922185340789</v>
      </c>
      <c r="I14" s="18">
        <f>'[4]EU Sun Complex'!H$23</f>
        <v>3769.6622832760186</v>
      </c>
      <c r="J14" s="18">
        <f>'[4]EU Sun Complex'!I$23</f>
        <v>3354.981131598664</v>
      </c>
      <c r="K14" s="18">
        <f>'[4]EU Sun Complex'!J$23</f>
        <v>2616.6692745041491</v>
      </c>
      <c r="L14" s="18">
        <f>'[4]EU Sun Complex'!K$23</f>
        <v>2819.3938694707058</v>
      </c>
      <c r="M14" s="18">
        <f>'[4]EU Sun Complex'!L$23</f>
        <v>3323.818106174072</v>
      </c>
      <c r="N14" s="18">
        <f>'[4]EU Sun Complex'!M$23</f>
        <v>2971.3068984247693</v>
      </c>
      <c r="O14" s="18">
        <f>'[4]EU Sun Complex'!N$23</f>
        <v>2874.8230582976348</v>
      </c>
      <c r="P14" s="18">
        <f>'[4]EU Sun Complex'!O$23</f>
        <v>2952.8662237385533</v>
      </c>
      <c r="Q14" s="18">
        <f>'[4]EU Sun Complex'!P$23</f>
        <v>2343.598058680785</v>
      </c>
      <c r="R14" s="18">
        <f>'[4]EU Sun Complex'!Q$23</f>
        <v>3331.1656854499579</v>
      </c>
      <c r="S14" s="18">
        <f>'[4]EU Sun Complex'!R$23</f>
        <v>3120.6431322207955</v>
      </c>
      <c r="T14" s="18">
        <f>'[4]EU Sun Complex'!S$23</f>
        <v>3313.5398319327733</v>
      </c>
      <c r="U14" s="18">
        <f>'[4]EU Sun Complex'!T$23</f>
        <v>3724.0284303456529</v>
      </c>
      <c r="V14" s="18">
        <f>'[4]EU Sun Complex'!U$23</f>
        <v>3317.9999999999995</v>
      </c>
      <c r="W14" s="18">
        <f>'[4]EU Sun Complex'!V$23</f>
        <v>4092.7952412425648</v>
      </c>
      <c r="X14" s="18">
        <f>'[4]EU Sun Complex'!W$23</f>
        <v>4114.26</v>
      </c>
      <c r="Y14" s="18">
        <f>'[4]EU Sun Complex'!X$23</f>
        <v>3610.44</v>
      </c>
      <c r="Z14" s="18">
        <f>'[4]EU Sun Complex'!Y$23</f>
        <v>4363.9940030566004</v>
      </c>
      <c r="AA14" s="18">
        <f>'[4]EU Sun Complex'!Z$23</f>
        <v>4947.5948295083472</v>
      </c>
      <c r="AB14" s="18">
        <f>'[4]EU Sun Complex'!AA$23</f>
        <v>4536.5400000000009</v>
      </c>
      <c r="AC14" s="18">
        <f>'[4]EU Sun Complex'!AB$23</f>
        <v>4681.8</v>
      </c>
      <c r="AD14" s="18">
        <f>'[4]EU Sun Complex'!AC$23</f>
        <v>4380.4800000000005</v>
      </c>
      <c r="AE14" s="18">
        <f>'[4]EU Sun Complex'!AD$23</f>
        <v>5297.9400000000005</v>
      </c>
      <c r="AF14" s="18">
        <f>'[4]EU Sun Complex'!AE$23</f>
        <v>4975.1027756837539</v>
      </c>
      <c r="AG14" s="18">
        <f>'[4]EU Sun Complex'!AF$23</f>
        <v>4911.3559591576995</v>
      </c>
    </row>
    <row r="15" spans="1:33">
      <c r="A15" s="37"/>
      <c r="B15" s="17" t="s">
        <v>54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spans="1:33">
      <c r="A16" s="37"/>
      <c r="B16" s="37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</row>
    <row r="17" spans="1:33" ht="15.75">
      <c r="A17" s="59" t="s">
        <v>39</v>
      </c>
      <c r="B17" s="60"/>
      <c r="C17" s="57">
        <f t="shared" ref="C17:AG17" si="2">SUM(C18:C20)</f>
        <v>17118</v>
      </c>
      <c r="D17" s="57">
        <f t="shared" si="2"/>
        <v>18409</v>
      </c>
      <c r="E17" s="57">
        <f t="shared" si="2"/>
        <v>17043</v>
      </c>
      <c r="F17" s="57">
        <f t="shared" si="2"/>
        <v>15921.402</v>
      </c>
      <c r="G17" s="57">
        <f t="shared" si="2"/>
        <v>13901.199000000001</v>
      </c>
      <c r="H17" s="57">
        <f t="shared" si="2"/>
        <v>17671.541000000001</v>
      </c>
      <c r="I17" s="57">
        <f t="shared" si="2"/>
        <v>18191.972000000002</v>
      </c>
      <c r="J17" s="57">
        <f t="shared" si="2"/>
        <v>19421.759000000002</v>
      </c>
      <c r="K17" s="57">
        <f t="shared" si="2"/>
        <v>21455.83</v>
      </c>
      <c r="L17" s="57">
        <f t="shared" si="2"/>
        <v>22325.333999999999</v>
      </c>
      <c r="M17" s="57">
        <f t="shared" si="2"/>
        <v>24039.851999999999</v>
      </c>
      <c r="N17" s="57">
        <f t="shared" si="2"/>
        <v>23736.240000000002</v>
      </c>
      <c r="O17" s="57">
        <f t="shared" si="2"/>
        <v>24944.957999999999</v>
      </c>
      <c r="P17" s="57">
        <f t="shared" si="2"/>
        <v>24234.773000000001</v>
      </c>
      <c r="Q17" s="57">
        <f t="shared" si="2"/>
        <v>26303.269</v>
      </c>
      <c r="R17" s="57">
        <f t="shared" si="2"/>
        <v>23833.008000000002</v>
      </c>
      <c r="S17" s="57">
        <f t="shared" si="2"/>
        <v>23036.425999999992</v>
      </c>
      <c r="T17" s="57">
        <f t="shared" si="2"/>
        <v>24366.945</v>
      </c>
      <c r="U17" s="57">
        <f t="shared" si="2"/>
        <v>24961.091999999997</v>
      </c>
      <c r="V17" s="57">
        <f t="shared" si="2"/>
        <v>20450.435000000001</v>
      </c>
      <c r="W17" s="57">
        <f t="shared" si="2"/>
        <v>22001.154999999999</v>
      </c>
      <c r="X17" s="57">
        <f t="shared" si="2"/>
        <v>22911.432999999997</v>
      </c>
      <c r="Y17" s="57">
        <f t="shared" si="2"/>
        <v>22925.047999999999</v>
      </c>
      <c r="Z17" s="57">
        <f t="shared" si="2"/>
        <v>23341.043999999994</v>
      </c>
      <c r="AA17" s="57">
        <f t="shared" si="2"/>
        <v>22758.942999999996</v>
      </c>
      <c r="AB17" s="57">
        <f t="shared" si="2"/>
        <v>22805.976442999996</v>
      </c>
      <c r="AC17" s="57">
        <f t="shared" si="2"/>
        <v>19613.986566000003</v>
      </c>
      <c r="AD17" s="57">
        <f t="shared" si="2"/>
        <v>19590.444124000001</v>
      </c>
      <c r="AE17" s="57">
        <f t="shared" si="2"/>
        <v>19281.206171000002</v>
      </c>
      <c r="AF17" s="57">
        <f t="shared" si="2"/>
        <v>19556.612426</v>
      </c>
      <c r="AG17" s="57">
        <f t="shared" si="2"/>
        <v>20154.521272000002</v>
      </c>
    </row>
    <row r="18" spans="1:33">
      <c r="A18" s="37"/>
      <c r="B18" s="17" t="s">
        <v>51</v>
      </c>
      <c r="C18" s="18">
        <f>'[2]EU Soy Complex'!AE$23</f>
        <v>15713</v>
      </c>
      <c r="D18" s="18">
        <f>'[2]EU Soy Complex'!AF$23</f>
        <v>16685</v>
      </c>
      <c r="E18" s="18">
        <f>'[2]EU Soy Complex'!AG$23</f>
        <v>15219</v>
      </c>
      <c r="F18" s="18">
        <f>'[2]EU Soy Complex'!AH$23</f>
        <v>13606</v>
      </c>
      <c r="G18" s="18">
        <f>'[2]EU Soy Complex'!AI$23</f>
        <v>11815.602000000001</v>
      </c>
      <c r="H18" s="18">
        <f>'[2]EU Soy Complex'!AJ$23</f>
        <v>15559.901000000002</v>
      </c>
      <c r="I18" s="18">
        <f>'[2]EU Soy Complex'!AK$23</f>
        <v>16014.205000000002</v>
      </c>
      <c r="J18" s="18">
        <f>'[2]EU Soy Complex'!AL$23</f>
        <v>17606.181</v>
      </c>
      <c r="K18" s="18">
        <f>'[2]EU Soy Complex'!AM$23</f>
        <v>19892.092000000001</v>
      </c>
      <c r="L18" s="18">
        <f>'[2]EU Soy Complex'!AN$23</f>
        <v>20612.596999999998</v>
      </c>
      <c r="M18" s="18">
        <f>'[2]EU Soy Complex'!AO$23</f>
        <v>22158.249</v>
      </c>
      <c r="N18" s="18">
        <f>'[2]EU Soy Complex'!AP$23</f>
        <v>22017.631000000001</v>
      </c>
      <c r="O18" s="18">
        <f>'[2]EU Soy Complex'!AQ$23</f>
        <v>22945.977999999999</v>
      </c>
      <c r="P18" s="18">
        <f>'[2]EU Soy Complex'!AR$23</f>
        <v>22361.5</v>
      </c>
      <c r="Q18" s="18">
        <f>'[2]EU Soy Complex'!AS$23</f>
        <v>24618.351999999999</v>
      </c>
      <c r="R18" s="18">
        <f>'[2]EU Soy Complex'!AT$23</f>
        <v>21152.889000000003</v>
      </c>
      <c r="S18" s="18">
        <f>'[2]EU Soy Complex'!AU$23</f>
        <v>20879.491999999995</v>
      </c>
      <c r="T18" s="18">
        <f>'[2]EU Soy Complex'!AV$23</f>
        <v>21876.598000000002</v>
      </c>
      <c r="U18" s="18">
        <f>'[2]EU Soy Complex'!AW$23</f>
        <v>20872.091999999997</v>
      </c>
      <c r="V18" s="18">
        <f>'[2]EU Soy Complex'!AX$23</f>
        <v>16941.228999999999</v>
      </c>
      <c r="W18" s="18">
        <f>'[2]EU Soy Complex'!AY$23</f>
        <v>18136.614000000001</v>
      </c>
      <c r="X18" s="18">
        <f>'[2]EU Soy Complex'!AZ$23</f>
        <v>19252.917999999998</v>
      </c>
      <c r="Y18" s="18">
        <f>'[2]EU Soy Complex'!BA$23</f>
        <v>19302.017</v>
      </c>
      <c r="Z18" s="18">
        <f>'[2]EU Soy Complex'!BB$23</f>
        <v>19373.445999999996</v>
      </c>
      <c r="AA18" s="18">
        <f>'[2]EU Soy Complex'!BC$23</f>
        <v>18910.700999999997</v>
      </c>
      <c r="AB18" s="18">
        <f>'[2]EU Soy Complex'!BD$23</f>
        <v>18642.004268999997</v>
      </c>
      <c r="AC18" s="18">
        <f>'[2]EU Soy Complex'!BE$23</f>
        <v>16276.349400000003</v>
      </c>
      <c r="AD18" s="18">
        <f>'[2]EU Soy Complex'!BF$23</f>
        <v>16459.131240999999</v>
      </c>
      <c r="AE18" s="18">
        <f>'[2]EU Soy Complex'!BG$23</f>
        <v>16222.242372999999</v>
      </c>
      <c r="AF18" s="18">
        <f>'[2]EU Soy Complex'!BH$23</f>
        <v>15956.446799000001</v>
      </c>
      <c r="AG18" s="18">
        <f>'[2]EU Soy Complex'!BI$23</f>
        <v>16498.197167000002</v>
      </c>
    </row>
    <row r="19" spans="1:33">
      <c r="A19" s="37"/>
      <c r="B19" s="17" t="s">
        <v>52</v>
      </c>
      <c r="C19" s="18">
        <f>'[3]EU Rapeseed'!B$24</f>
        <v>0</v>
      </c>
      <c r="D19" s="18">
        <f>'[3]EU Rapeseed'!C$24</f>
        <v>0</v>
      </c>
      <c r="E19" s="18">
        <f>'[3]EU Rapeseed'!D$24</f>
        <v>0</v>
      </c>
      <c r="F19" s="18">
        <f>'[3]EU Rapeseed'!E$24</f>
        <v>405.4020000000001</v>
      </c>
      <c r="G19" s="18">
        <f>'[3]EU Rapeseed'!F$24</f>
        <v>274.56799999999998</v>
      </c>
      <c r="H19" s="18">
        <f>'[3]EU Rapeseed'!G$24</f>
        <v>134.86299999999997</v>
      </c>
      <c r="I19" s="18">
        <f>'[3]EU Rapeseed'!H$24</f>
        <v>437.56299999999993</v>
      </c>
      <c r="J19" s="18">
        <f>'[3]EU Rapeseed'!I$24</f>
        <v>96.75800000000001</v>
      </c>
      <c r="K19" s="18">
        <f>'[3]EU Rapeseed'!J$24</f>
        <v>93.793999999999983</v>
      </c>
      <c r="L19" s="18">
        <f>'[3]EU Rapeseed'!K$24</f>
        <v>57.042000000000002</v>
      </c>
      <c r="M19" s="18">
        <f>'[3]EU Rapeseed'!L$24</f>
        <v>121.44999999999999</v>
      </c>
      <c r="N19" s="18">
        <f>'[3]EU Rapeseed'!M$24</f>
        <v>87.257000000000005</v>
      </c>
      <c r="O19" s="18">
        <f>'[3]EU Rapeseed'!N$24</f>
        <v>91.710000000000008</v>
      </c>
      <c r="P19" s="18">
        <f>'[3]EU Rapeseed'!O$24</f>
        <v>101.988</v>
      </c>
      <c r="Q19" s="18">
        <f>'[3]EU Rapeseed'!P$24</f>
        <v>133.35399999999998</v>
      </c>
      <c r="R19" s="18">
        <f>'[3]EU Rapeseed'!Q$24</f>
        <v>168.697</v>
      </c>
      <c r="S19" s="18">
        <f>'[3]EU Rapeseed'!R$24</f>
        <v>132.83500000000001</v>
      </c>
      <c r="T19" s="18">
        <f>'[3]EU Rapeseed'!S$24</f>
        <v>217.95599999999999</v>
      </c>
      <c r="U19" s="18">
        <f>'[3]EU Rapeseed'!T$24</f>
        <v>232.72200000000001</v>
      </c>
      <c r="V19" s="18">
        <f>'[3]EU Rapeseed'!U$24</f>
        <v>478.39800000000002</v>
      </c>
      <c r="W19" s="18">
        <f>'[3]EU Rapeseed'!V$24</f>
        <v>496.08499999999992</v>
      </c>
      <c r="X19" s="18">
        <f>'[3]EU Rapeseed'!W$24</f>
        <v>448.82299999999998</v>
      </c>
      <c r="Y19" s="18">
        <f>'[3]EU Rapeseed'!X$24</f>
        <v>326.87299999999999</v>
      </c>
      <c r="Z19" s="18">
        <f>'[3]EU Rapeseed'!Y$24</f>
        <v>199.571</v>
      </c>
      <c r="AA19" s="18">
        <f>'[3]EU Rapeseed'!Z$24</f>
        <v>334.23</v>
      </c>
      <c r="AB19" s="18">
        <f>'[3]EU Rapeseed'!AA$24</f>
        <v>518.6937630000001</v>
      </c>
      <c r="AC19" s="18">
        <f>'[3]EU Rapeseed'!AB$24</f>
        <v>448.13444400000003</v>
      </c>
      <c r="AD19" s="18">
        <f>'[3]EU Rapeseed'!AC$24</f>
        <v>559.88421199999993</v>
      </c>
      <c r="AE19" s="18">
        <f>'[3]EU Rapeseed'!AD$24</f>
        <v>495.80696500000005</v>
      </c>
      <c r="AF19" s="18">
        <f>'[3]EU Rapeseed'!AE$24</f>
        <v>850</v>
      </c>
      <c r="AG19" s="18">
        <f>'[3]EU Rapeseed'!AF$24</f>
        <v>500</v>
      </c>
    </row>
    <row r="20" spans="1:33">
      <c r="A20" s="37"/>
      <c r="B20" s="17" t="s">
        <v>53</v>
      </c>
      <c r="C20" s="18">
        <f>'[4]EU Sun Complex'!B$24</f>
        <v>1405</v>
      </c>
      <c r="D20" s="18">
        <f>'[4]EU Sun Complex'!C$24</f>
        <v>1724</v>
      </c>
      <c r="E20" s="18">
        <f>'[4]EU Sun Complex'!D$24</f>
        <v>1824</v>
      </c>
      <c r="F20" s="18">
        <f>'[4]EU Sun Complex'!E$24</f>
        <v>1910</v>
      </c>
      <c r="G20" s="18">
        <f>'[4]EU Sun Complex'!F$24</f>
        <v>1811.029</v>
      </c>
      <c r="H20" s="18">
        <f>'[4]EU Sun Complex'!G$24</f>
        <v>1976.7769999999998</v>
      </c>
      <c r="I20" s="18">
        <f>'[4]EU Sun Complex'!H$24</f>
        <v>1740.2040000000002</v>
      </c>
      <c r="J20" s="18">
        <f>'[4]EU Sun Complex'!I$24</f>
        <v>1718.8200000000004</v>
      </c>
      <c r="K20" s="18">
        <f>'[4]EU Sun Complex'!J$24</f>
        <v>1469.9440000000002</v>
      </c>
      <c r="L20" s="18">
        <f>'[4]EU Sun Complex'!K$24</f>
        <v>1655.6949999999999</v>
      </c>
      <c r="M20" s="18">
        <f>'[4]EU Sun Complex'!L$24</f>
        <v>1760.153</v>
      </c>
      <c r="N20" s="18">
        <f>'[4]EU Sun Complex'!M$24</f>
        <v>1631.3519999999999</v>
      </c>
      <c r="O20" s="18">
        <f>'[4]EU Sun Complex'!N$24</f>
        <v>1907.27</v>
      </c>
      <c r="P20" s="18">
        <f>'[4]EU Sun Complex'!O$24</f>
        <v>1771.2850000000001</v>
      </c>
      <c r="Q20" s="18">
        <f>'[4]EU Sun Complex'!P$24</f>
        <v>1551.5630000000001</v>
      </c>
      <c r="R20" s="18">
        <f>'[4]EU Sun Complex'!Q$24</f>
        <v>2511.422</v>
      </c>
      <c r="S20" s="18">
        <f>'[4]EU Sun Complex'!R$24</f>
        <v>2024.0990000000002</v>
      </c>
      <c r="T20" s="18">
        <f>'[4]EU Sun Complex'!S$24</f>
        <v>2272.3910000000001</v>
      </c>
      <c r="U20" s="18">
        <f>'[4]EU Sun Complex'!T$24</f>
        <v>3856.2780000000002</v>
      </c>
      <c r="V20" s="18">
        <f>'[4]EU Sun Complex'!U$24</f>
        <v>3030.808</v>
      </c>
      <c r="W20" s="18">
        <f>'[4]EU Sun Complex'!V$24</f>
        <v>3368.4560000000001</v>
      </c>
      <c r="X20" s="18">
        <f>'[4]EU Sun Complex'!W$24</f>
        <v>3209.6919999999996</v>
      </c>
      <c r="Y20" s="18">
        <f>'[4]EU Sun Complex'!X$24</f>
        <v>3296.1579999999999</v>
      </c>
      <c r="Z20" s="18">
        <f>'[4]EU Sun Complex'!Y$24</f>
        <v>3768.027</v>
      </c>
      <c r="AA20" s="18">
        <f>'[4]EU Sun Complex'!Z$24</f>
        <v>3514.0119999999997</v>
      </c>
      <c r="AB20" s="18">
        <f>'[4]EU Sun Complex'!AA$24</f>
        <v>3645.2784109999998</v>
      </c>
      <c r="AC20" s="18">
        <f>'[4]EU Sun Complex'!AB$24</f>
        <v>2889.5027220000002</v>
      </c>
      <c r="AD20" s="18">
        <f>'[4]EU Sun Complex'!AC$24</f>
        <v>2571.4286710000001</v>
      </c>
      <c r="AE20" s="18">
        <f>'[4]EU Sun Complex'!AD$24</f>
        <v>2563.156833</v>
      </c>
      <c r="AF20" s="18">
        <f>'[4]EU Sun Complex'!AE$24</f>
        <v>2750.1656270000003</v>
      </c>
      <c r="AG20" s="18">
        <f>'[4]EU Sun Complex'!AF$24</f>
        <v>3156.3241049999992</v>
      </c>
    </row>
    <row r="21" spans="1:33">
      <c r="A21" s="37"/>
      <c r="B21" s="17" t="s">
        <v>54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spans="1:33">
      <c r="A22" s="37"/>
      <c r="B22" s="37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</row>
    <row r="23" spans="1:33" ht="15.75">
      <c r="A23" s="59" t="s">
        <v>40</v>
      </c>
      <c r="B23" s="60"/>
      <c r="C23" s="57">
        <f t="shared" ref="C23:AG23" si="3">SUM(C24:C26)</f>
        <v>36320.87876754687</v>
      </c>
      <c r="D23" s="57">
        <f t="shared" si="3"/>
        <v>40375.869804613161</v>
      </c>
      <c r="E23" s="57">
        <f t="shared" si="3"/>
        <v>39094.612952773365</v>
      </c>
      <c r="F23" s="57">
        <f t="shared" si="3"/>
        <v>38533.705761647543</v>
      </c>
      <c r="G23" s="57">
        <f t="shared" si="3"/>
        <v>37169.605289863815</v>
      </c>
      <c r="H23" s="57">
        <f t="shared" si="3"/>
        <v>41274.39569866089</v>
      </c>
      <c r="I23" s="57">
        <f t="shared" si="3"/>
        <v>41111.63428327602</v>
      </c>
      <c r="J23" s="57">
        <f t="shared" si="3"/>
        <v>43436.740131598664</v>
      </c>
      <c r="K23" s="57">
        <f t="shared" si="3"/>
        <v>45403.499274504153</v>
      </c>
      <c r="L23" s="57">
        <f t="shared" si="3"/>
        <v>45669.727869470698</v>
      </c>
      <c r="M23" s="57">
        <f t="shared" si="3"/>
        <v>45610.251210088456</v>
      </c>
      <c r="N23" s="57">
        <f t="shared" si="3"/>
        <v>46519.869383017249</v>
      </c>
      <c r="O23" s="57">
        <f t="shared" si="3"/>
        <v>48040.756858906243</v>
      </c>
      <c r="P23" s="57">
        <f t="shared" si="3"/>
        <v>48745.366201645447</v>
      </c>
      <c r="Q23" s="57">
        <f t="shared" si="3"/>
        <v>51740.768711186305</v>
      </c>
      <c r="R23" s="57">
        <f t="shared" si="3"/>
        <v>50498.149419607609</v>
      </c>
      <c r="S23" s="57">
        <f t="shared" si="3"/>
        <v>49927.628878151714</v>
      </c>
      <c r="T23" s="57">
        <f t="shared" si="3"/>
        <v>50408.5870217138</v>
      </c>
      <c r="U23" s="57">
        <f t="shared" si="3"/>
        <v>52046.810430345649</v>
      </c>
      <c r="V23" s="57">
        <f t="shared" si="3"/>
        <v>48509.074999999997</v>
      </c>
      <c r="W23" s="57">
        <f t="shared" si="3"/>
        <v>50746.510241242569</v>
      </c>
      <c r="X23" s="57">
        <f t="shared" si="3"/>
        <v>53349.280543252586</v>
      </c>
      <c r="Y23" s="57">
        <f t="shared" si="3"/>
        <v>54029.121244147158</v>
      </c>
      <c r="Z23" s="57">
        <f t="shared" si="3"/>
        <v>55423.038003056594</v>
      </c>
      <c r="AA23" s="57">
        <f t="shared" si="3"/>
        <v>54104.04751747095</v>
      </c>
      <c r="AB23" s="57">
        <f t="shared" si="3"/>
        <v>53597.649220421416</v>
      </c>
      <c r="AC23" s="57">
        <f t="shared" si="3"/>
        <v>51037.880575216594</v>
      </c>
      <c r="AD23" s="57">
        <f t="shared" si="3"/>
        <v>51331.994124000004</v>
      </c>
      <c r="AE23" s="57">
        <f t="shared" si="3"/>
        <v>51911.372595274661</v>
      </c>
      <c r="AF23" s="57">
        <f t="shared" si="3"/>
        <v>52345.986568093213</v>
      </c>
      <c r="AG23" s="57">
        <f t="shared" si="3"/>
        <v>53020.368459227881</v>
      </c>
    </row>
    <row r="24" spans="1:33">
      <c r="A24" s="37"/>
      <c r="B24" s="17" t="s">
        <v>51</v>
      </c>
      <c r="C24" s="18">
        <f>'[2]EU Soy Complex'!AE$24</f>
        <v>27131.524594022125</v>
      </c>
      <c r="D24" s="18">
        <f>'[2]EU Soy Complex'!AF$24</f>
        <v>29912.849346954608</v>
      </c>
      <c r="E24" s="18">
        <f>'[2]EU Soy Complex'!AG$24</f>
        <v>27853.334418507999</v>
      </c>
      <c r="F24" s="18">
        <f>'[2]EU Soy Complex'!AH$24</f>
        <v>26492.641875888206</v>
      </c>
      <c r="G24" s="18">
        <f>'[2]EU Soy Complex'!AI$24</f>
        <v>25073.20873083052</v>
      </c>
      <c r="H24" s="18">
        <f>'[2]EU Soy Complex'!AJ$24</f>
        <v>29007.367905875573</v>
      </c>
      <c r="I24" s="18">
        <f>'[2]EU Soy Complex'!AK$24</f>
        <v>28484.205000000002</v>
      </c>
      <c r="J24" s="18">
        <f>'[2]EU Soy Complex'!AL$24</f>
        <v>31802.180999999997</v>
      </c>
      <c r="K24" s="18">
        <f>'[2]EU Soy Complex'!AM$24</f>
        <v>34944.092000000004</v>
      </c>
      <c r="L24" s="18">
        <f>'[2]EU Soy Complex'!AN$24</f>
        <v>34809.596999999994</v>
      </c>
      <c r="M24" s="18">
        <f>'[2]EU Soy Complex'!AO$24</f>
        <v>34191.830103914384</v>
      </c>
      <c r="N24" s="18">
        <f>'[2]EU Soy Complex'!AP$24</f>
        <v>34210.953484592479</v>
      </c>
      <c r="O24" s="18">
        <f>'[2]EU Soy Complex'!AQ$24</f>
        <v>34599.953800608608</v>
      </c>
      <c r="P24" s="18">
        <f>'[2]EU Soy Complex'!AR$24</f>
        <v>34756.226977906896</v>
      </c>
      <c r="Q24" s="18">
        <f>'[2]EU Soy Complex'!AS$24</f>
        <v>37132.253652505518</v>
      </c>
      <c r="R24" s="18">
        <f>'[2]EU Soy Complex'!AT$24</f>
        <v>32695.864734157651</v>
      </c>
      <c r="S24" s="18">
        <f>'[2]EU Soy Complex'!AU$24</f>
        <v>31385.051745930919</v>
      </c>
      <c r="T24" s="18">
        <f>'[2]EU Soy Complex'!AV$24</f>
        <v>32192.700189781026</v>
      </c>
      <c r="U24" s="18">
        <f>'[2]EU Soy Complex'!AW$24</f>
        <v>31426.781999999996</v>
      </c>
      <c r="V24" s="18">
        <f>'[2]EU Soy Complex'!AX$24</f>
        <v>27783.868999999999</v>
      </c>
      <c r="W24" s="18">
        <f>'[2]EU Soy Complex'!AY$24</f>
        <v>28871.174000000003</v>
      </c>
      <c r="X24" s="18">
        <f>'[2]EU Soy Complex'!AZ$24</f>
        <v>30609.505543252591</v>
      </c>
      <c r="Y24" s="18">
        <f>'[2]EU Soy Complex'!BA$24</f>
        <v>32046.65024414716</v>
      </c>
      <c r="Z24" s="18">
        <f>'[2]EU Soy Complex'!BB$24</f>
        <v>32352.445999999996</v>
      </c>
      <c r="AA24" s="18">
        <f>'[2]EU Soy Complex'!BC$24</f>
        <v>31906.210687962608</v>
      </c>
      <c r="AB24" s="18">
        <f>'[2]EU Soy Complex'!BD$24</f>
        <v>31916.13704642142</v>
      </c>
      <c r="AC24" s="18">
        <f>'[2]EU Soy Complex'!BE$24</f>
        <v>30014.443409216594</v>
      </c>
      <c r="AD24" s="18">
        <f>'[2]EU Soy Complex'!BF$24</f>
        <v>30435.201240999999</v>
      </c>
      <c r="AE24" s="18">
        <f>'[2]EU Soy Complex'!BG$24</f>
        <v>29644.147636157897</v>
      </c>
      <c r="AF24" s="18">
        <f>'[2]EU Soy Complex'!BH$24</f>
        <v>28700.446799000001</v>
      </c>
      <c r="AG24" s="18">
        <f>'[2]EU Soy Complex'!BI$24</f>
        <v>29036.688395070181</v>
      </c>
    </row>
    <row r="25" spans="1:33">
      <c r="A25" s="37"/>
      <c r="B25" s="17" t="s">
        <v>52</v>
      </c>
      <c r="C25" s="18">
        <f>'[3]EU Rapeseed'!B$25</f>
        <v>4607.7357902293534</v>
      </c>
      <c r="D25" s="18">
        <f>'[3]EU Rapeseed'!C$25</f>
        <v>5124.18325113421</v>
      </c>
      <c r="E25" s="18">
        <f>'[3]EU Rapeseed'!D$25</f>
        <v>5431.6152393400716</v>
      </c>
      <c r="F25" s="18">
        <f>'[3]EU Rapeseed'!E$25</f>
        <v>5861.6554340801486</v>
      </c>
      <c r="G25" s="18">
        <f>'[3]EU Rapeseed'!F$25</f>
        <v>6397.5093089947532</v>
      </c>
      <c r="H25" s="18">
        <f>'[3]EU Rapeseed'!G$25</f>
        <v>6319.358574251235</v>
      </c>
      <c r="I25" s="18">
        <f>'[3]EU Rapeseed'!H$25</f>
        <v>6934.5630000000001</v>
      </c>
      <c r="J25" s="18">
        <f>'[3]EU Rapeseed'!I$25</f>
        <v>6309.7579999999998</v>
      </c>
      <c r="K25" s="18">
        <f>'[3]EU Rapeseed'!J$25</f>
        <v>6160.7939999999999</v>
      </c>
      <c r="L25" s="18">
        <f>'[3]EU Rapeseed'!K$25</f>
        <v>6214.0420000000004</v>
      </c>
      <c r="M25" s="18">
        <f>'[3]EU Rapeseed'!L$25</f>
        <v>6232.45</v>
      </c>
      <c r="N25" s="18">
        <f>'[3]EU Rapeseed'!M$25</f>
        <v>7576.2569999999996</v>
      </c>
      <c r="O25" s="18">
        <f>'[3]EU Rapeseed'!N$25</f>
        <v>8560.7099999999991</v>
      </c>
      <c r="P25" s="18">
        <f>'[3]EU Rapeseed'!O$25</f>
        <v>9156.9879999999994</v>
      </c>
      <c r="Q25" s="18">
        <f>'[3]EU Rapeseed'!P$25</f>
        <v>10622.353999999999</v>
      </c>
      <c r="R25" s="18">
        <f>'[3]EU Rapeseed'!Q$25</f>
        <v>11891.697</v>
      </c>
      <c r="S25" s="18">
        <f>'[3]EU Rapeseed'!R$25</f>
        <v>13080.834999999999</v>
      </c>
      <c r="T25" s="18">
        <f>'[3]EU Rapeseed'!S$25</f>
        <v>12405.956</v>
      </c>
      <c r="U25" s="18">
        <f>'[3]EU Rapeseed'!T$25</f>
        <v>12743.722</v>
      </c>
      <c r="V25" s="18">
        <f>'[3]EU Rapeseed'!U$25</f>
        <v>13717.397999999999</v>
      </c>
      <c r="W25" s="18">
        <f>'[3]EU Rapeseed'!V$25</f>
        <v>14329.084999999999</v>
      </c>
      <c r="X25" s="18">
        <f>'[3]EU Rapeseed'!W$25</f>
        <v>15127.823</v>
      </c>
      <c r="Y25" s="18">
        <f>'[3]EU Rapeseed'!X$25</f>
        <v>14695.873</v>
      </c>
      <c r="Z25" s="18">
        <f>'[3]EU Rapeseed'!Y$25</f>
        <v>14444.571</v>
      </c>
      <c r="AA25" s="18">
        <f>'[3]EU Rapeseed'!Z$25</f>
        <v>13386.23</v>
      </c>
      <c r="AB25" s="18">
        <f>'[3]EU Rapeseed'!AA$25</f>
        <v>13233.693762999999</v>
      </c>
      <c r="AC25" s="18">
        <f>'[3]EU Rapeseed'!AB$25</f>
        <v>13056.134443999999</v>
      </c>
      <c r="AD25" s="18">
        <f>'[3]EU Rapeseed'!AC$25</f>
        <v>13730.884212000001</v>
      </c>
      <c r="AE25" s="18">
        <f>'[3]EU Rapeseed'!AD$25</f>
        <v>14146.128126116757</v>
      </c>
      <c r="AF25" s="18">
        <f>'[3]EU Rapeseed'!AE$25</f>
        <v>15633.271366409463</v>
      </c>
      <c r="AG25" s="18">
        <f>'[3]EU Rapeseed'!AF$25</f>
        <v>15605</v>
      </c>
    </row>
    <row r="26" spans="1:33">
      <c r="A26" s="37"/>
      <c r="B26" s="17" t="s">
        <v>53</v>
      </c>
      <c r="C26" s="18">
        <f>'[4]EU Sun Complex'!B$25</f>
        <v>4581.6183832953893</v>
      </c>
      <c r="D26" s="18">
        <f>'[4]EU Sun Complex'!C$25</f>
        <v>5338.8372065243475</v>
      </c>
      <c r="E26" s="18">
        <f>'[4]EU Sun Complex'!D$25</f>
        <v>5809.663294925298</v>
      </c>
      <c r="F26" s="18">
        <f>'[4]EU Sun Complex'!E$25</f>
        <v>6179.4084516791881</v>
      </c>
      <c r="G26" s="18">
        <f>'[4]EU Sun Complex'!F$25</f>
        <v>5698.8872500385423</v>
      </c>
      <c r="H26" s="18">
        <f>'[4]EU Sun Complex'!G$25</f>
        <v>5947.6692185340789</v>
      </c>
      <c r="I26" s="18">
        <f>'[4]EU Sun Complex'!H$25</f>
        <v>5692.8662832760183</v>
      </c>
      <c r="J26" s="18">
        <f>'[4]EU Sun Complex'!I$25</f>
        <v>5324.8011315986641</v>
      </c>
      <c r="K26" s="18">
        <f>'[4]EU Sun Complex'!J$25</f>
        <v>4298.6132745041496</v>
      </c>
      <c r="L26" s="18">
        <f>'[4]EU Sun Complex'!K$25</f>
        <v>4646.0888694707055</v>
      </c>
      <c r="M26" s="18">
        <f>'[4]EU Sun Complex'!L$25</f>
        <v>5185.9711061740718</v>
      </c>
      <c r="N26" s="18">
        <f>'[4]EU Sun Complex'!M$25</f>
        <v>4732.6588984247692</v>
      </c>
      <c r="O26" s="18">
        <f>'[4]EU Sun Complex'!N$25</f>
        <v>4880.0930582976343</v>
      </c>
      <c r="P26" s="18">
        <f>'[4]EU Sun Complex'!O$25</f>
        <v>4832.1512237385532</v>
      </c>
      <c r="Q26" s="18">
        <f>'[4]EU Sun Complex'!P$25</f>
        <v>3986.1610586807851</v>
      </c>
      <c r="R26" s="18">
        <f>'[4]EU Sun Complex'!Q$25</f>
        <v>5910.5876854499584</v>
      </c>
      <c r="S26" s="18">
        <f>'[4]EU Sun Complex'!R$25</f>
        <v>5461.7421322207956</v>
      </c>
      <c r="T26" s="18">
        <f>'[4]EU Sun Complex'!S$25</f>
        <v>5809.9308319327738</v>
      </c>
      <c r="U26" s="18">
        <f>'[4]EU Sun Complex'!T$25</f>
        <v>7876.3064303456531</v>
      </c>
      <c r="V26" s="18">
        <f>'[4]EU Sun Complex'!U$25</f>
        <v>7007.8079999999991</v>
      </c>
      <c r="W26" s="18">
        <f>'[4]EU Sun Complex'!V$25</f>
        <v>7546.2512412425649</v>
      </c>
      <c r="X26" s="18">
        <f>'[4]EU Sun Complex'!W$25</f>
        <v>7611.9519999999993</v>
      </c>
      <c r="Y26" s="18">
        <f>'[4]EU Sun Complex'!X$25</f>
        <v>7286.598</v>
      </c>
      <c r="Z26" s="18">
        <f>'[4]EU Sun Complex'!Y$25</f>
        <v>8626.0210030566013</v>
      </c>
      <c r="AA26" s="18">
        <f>'[4]EU Sun Complex'!Z$25</f>
        <v>8811.606829508346</v>
      </c>
      <c r="AB26" s="18">
        <f>'[4]EU Sun Complex'!AA$25</f>
        <v>8447.8184110000002</v>
      </c>
      <c r="AC26" s="18">
        <f>'[4]EU Sun Complex'!AB$25</f>
        <v>7967.3027220000004</v>
      </c>
      <c r="AD26" s="18">
        <f>'[4]EU Sun Complex'!AC$25</f>
        <v>7165.908671000001</v>
      </c>
      <c r="AE26" s="18">
        <f>'[4]EU Sun Complex'!AD$25</f>
        <v>8121.0968330000005</v>
      </c>
      <c r="AF26" s="18">
        <f>'[4]EU Sun Complex'!AE$25</f>
        <v>8012.2684026837542</v>
      </c>
      <c r="AG26" s="18">
        <f>'[4]EU Sun Complex'!AF$25</f>
        <v>8378.6800641576992</v>
      </c>
    </row>
    <row r="27" spans="1:33">
      <c r="A27" s="37"/>
      <c r="B27" s="17" t="s">
        <v>54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spans="1:33">
      <c r="A28" s="37"/>
      <c r="B28" s="37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</row>
    <row r="29" spans="1:33" ht="15.75">
      <c r="A29" s="59" t="s">
        <v>55</v>
      </c>
      <c r="B29" s="60"/>
      <c r="C29" s="57">
        <f t="shared" ref="C29:AG29" si="4">SUM(C30:C32)</f>
        <v>34578.87876754687</v>
      </c>
      <c r="D29" s="57">
        <f t="shared" si="4"/>
        <v>38077.869804613161</v>
      </c>
      <c r="E29" s="57">
        <f t="shared" si="4"/>
        <v>36909.612952773365</v>
      </c>
      <c r="F29" s="57">
        <f t="shared" si="4"/>
        <v>36422.208761647547</v>
      </c>
      <c r="G29" s="57">
        <f t="shared" si="4"/>
        <v>34701.095289863821</v>
      </c>
      <c r="H29" s="57">
        <f t="shared" si="4"/>
        <v>38462.851698660888</v>
      </c>
      <c r="I29" s="57">
        <f t="shared" si="4"/>
        <v>39433.446283276018</v>
      </c>
      <c r="J29" s="57">
        <f t="shared" si="4"/>
        <v>41891.127131598667</v>
      </c>
      <c r="K29" s="57">
        <f t="shared" si="4"/>
        <v>43578.838274504153</v>
      </c>
      <c r="L29" s="57">
        <f t="shared" si="4"/>
        <v>44110.372869470702</v>
      </c>
      <c r="M29" s="57">
        <f t="shared" si="4"/>
        <v>43991.319210088463</v>
      </c>
      <c r="N29" s="57">
        <f t="shared" si="4"/>
        <v>44727.491383017252</v>
      </c>
      <c r="O29" s="57">
        <f t="shared" si="4"/>
        <v>46031.856858906234</v>
      </c>
      <c r="P29" s="57">
        <f t="shared" si="4"/>
        <v>46953.30620164545</v>
      </c>
      <c r="Q29" s="57">
        <f t="shared" si="4"/>
        <v>49488.323711186298</v>
      </c>
      <c r="R29" s="57">
        <f t="shared" si="4"/>
        <v>48884.552419607608</v>
      </c>
      <c r="S29" s="57">
        <f t="shared" si="4"/>
        <v>48341.457878151712</v>
      </c>
      <c r="T29" s="57">
        <f t="shared" si="4"/>
        <v>48276.014021713796</v>
      </c>
      <c r="U29" s="57">
        <f t="shared" si="4"/>
        <v>49365.076430345653</v>
      </c>
      <c r="V29" s="57">
        <f t="shared" si="4"/>
        <v>47112.531000000003</v>
      </c>
      <c r="W29" s="57">
        <f t="shared" si="4"/>
        <v>49152.431241242564</v>
      </c>
      <c r="X29" s="57">
        <f t="shared" si="4"/>
        <v>50498.56754325259</v>
      </c>
      <c r="Y29" s="57">
        <f t="shared" si="4"/>
        <v>50441.734244147163</v>
      </c>
      <c r="Z29" s="57">
        <f t="shared" si="4"/>
        <v>52582.096003056598</v>
      </c>
      <c r="AA29" s="57">
        <f t="shared" si="4"/>
        <v>50985.627517470959</v>
      </c>
      <c r="AB29" s="57">
        <f t="shared" si="4"/>
        <v>49932.499308421422</v>
      </c>
      <c r="AC29" s="57">
        <f t="shared" si="4"/>
        <v>46627.329580216589</v>
      </c>
      <c r="AD29" s="57">
        <f t="shared" si="4"/>
        <v>47044.936604000002</v>
      </c>
      <c r="AE29" s="57">
        <f t="shared" si="4"/>
        <v>47409.700449274656</v>
      </c>
      <c r="AF29" s="57">
        <f t="shared" si="4"/>
        <v>48066.228715093224</v>
      </c>
      <c r="AG29" s="57">
        <f t="shared" si="4"/>
        <v>48743.131950227886</v>
      </c>
    </row>
    <row r="30" spans="1:33">
      <c r="A30" s="37"/>
      <c r="B30" s="17" t="s">
        <v>51</v>
      </c>
      <c r="C30" s="18">
        <f>'[2]EU Soy Complex'!AE$25</f>
        <v>25586.524594022125</v>
      </c>
      <c r="D30" s="18">
        <f>'[2]EU Soy Complex'!AF$25</f>
        <v>27915.849346954608</v>
      </c>
      <c r="E30" s="18">
        <f>'[2]EU Soy Complex'!AG$25</f>
        <v>26116.334418507999</v>
      </c>
      <c r="F30" s="18">
        <f>'[2]EU Soy Complex'!AH$25</f>
        <v>24792.641875888206</v>
      </c>
      <c r="G30" s="18">
        <f>'[2]EU Soy Complex'!AI$25</f>
        <v>22914.20873083052</v>
      </c>
      <c r="H30" s="18">
        <f>'[2]EU Soy Complex'!AJ$25</f>
        <v>26659.367905875573</v>
      </c>
      <c r="I30" s="18">
        <f>'[2]EU Soy Complex'!AK$25</f>
        <v>27397.47</v>
      </c>
      <c r="J30" s="18">
        <f>'[2]EU Soy Complex'!AL$25</f>
        <v>30742.736999999997</v>
      </c>
      <c r="K30" s="18">
        <f>'[2]EU Soy Complex'!AM$25</f>
        <v>33535.698000000004</v>
      </c>
      <c r="L30" s="18">
        <f>'[2]EU Soy Complex'!AN$25</f>
        <v>33582.578999999998</v>
      </c>
      <c r="M30" s="18">
        <f>'[2]EU Soy Complex'!AO$25</f>
        <v>32951.853103914385</v>
      </c>
      <c r="N30" s="18">
        <f>'[2]EU Soy Complex'!AP$25</f>
        <v>32825.398484592479</v>
      </c>
      <c r="O30" s="18">
        <f>'[2]EU Soy Complex'!AQ$25</f>
        <v>33031.193800608606</v>
      </c>
      <c r="P30" s="18">
        <f>'[2]EU Soy Complex'!AR$25</f>
        <v>33356.134977906899</v>
      </c>
      <c r="Q30" s="18">
        <f>'[2]EU Soy Complex'!AS$25</f>
        <v>35280.755652505519</v>
      </c>
      <c r="R30" s="18">
        <f>'[2]EU Soy Complex'!AT$25</f>
        <v>31726.821734157649</v>
      </c>
      <c r="S30" s="18">
        <f>'[2]EU Soy Complex'!AU$25</f>
        <v>30409.25074593092</v>
      </c>
      <c r="T30" s="18">
        <f>'[2]EU Soy Complex'!AV$25</f>
        <v>30912.318189781025</v>
      </c>
      <c r="U30" s="18">
        <f>'[2]EU Soy Complex'!AW$25</f>
        <v>30061.318999999996</v>
      </c>
      <c r="V30" s="18">
        <f>'[2]EU Soy Complex'!AX$25</f>
        <v>27070.605</v>
      </c>
      <c r="W30" s="18">
        <f>'[2]EU Soy Complex'!AY$25</f>
        <v>28349.814000000002</v>
      </c>
      <c r="X30" s="18">
        <f>'[2]EU Soy Complex'!AZ$25</f>
        <v>29390.985543252591</v>
      </c>
      <c r="Y30" s="18">
        <f>'[2]EU Soy Complex'!BA$25</f>
        <v>30185.532244147162</v>
      </c>
      <c r="Z30" s="18">
        <f>'[2]EU Soy Complex'!BB$25</f>
        <v>31045.241999999995</v>
      </c>
      <c r="AA30" s="18">
        <f>'[2]EU Soy Complex'!BC$25</f>
        <v>30400.312687962607</v>
      </c>
      <c r="AB30" s="18">
        <f>'[2]EU Soy Complex'!BD$25</f>
        <v>30096.94378842142</v>
      </c>
      <c r="AC30" s="18">
        <f>'[2]EU Soy Complex'!BE$25</f>
        <v>27557.220781216594</v>
      </c>
      <c r="AD30" s="18">
        <f>'[2]EU Soy Complex'!BF$25</f>
        <v>28175.242568999998</v>
      </c>
      <c r="AE30" s="18">
        <f>'[2]EU Soy Complex'!BG$25</f>
        <v>27515.593071157899</v>
      </c>
      <c r="AF30" s="18">
        <f>'[2]EU Soy Complex'!BH$25</f>
        <v>27007.758871000002</v>
      </c>
      <c r="AG30" s="18">
        <f>'[2]EU Soy Complex'!BI$25</f>
        <v>27386.315718070182</v>
      </c>
    </row>
    <row r="31" spans="1:33">
      <c r="A31" s="37"/>
      <c r="B31" s="17" t="s">
        <v>52</v>
      </c>
      <c r="C31" s="18">
        <f>'[3]EU Rapeseed'!B$26</f>
        <v>4529.7357902293534</v>
      </c>
      <c r="D31" s="18">
        <f>'[3]EU Rapeseed'!C$26</f>
        <v>5027.18325113421</v>
      </c>
      <c r="E31" s="18">
        <f>'[3]EU Rapeseed'!D$26</f>
        <v>5208.6152393400716</v>
      </c>
      <c r="F31" s="18">
        <f>'[3]EU Rapeseed'!E$26</f>
        <v>5671.1584340801483</v>
      </c>
      <c r="G31" s="18">
        <f>'[3]EU Rapeseed'!F$26</f>
        <v>6232.2953089947532</v>
      </c>
      <c r="H31" s="18">
        <f>'[3]EU Rapeseed'!G$26</f>
        <v>6144.3675742512351</v>
      </c>
      <c r="I31" s="18">
        <f>'[3]EU Rapeseed'!H$26</f>
        <v>6703.3630000000003</v>
      </c>
      <c r="J31" s="18">
        <f>'[3]EU Rapeseed'!I$26</f>
        <v>6131.5259999999998</v>
      </c>
      <c r="K31" s="18">
        <f>'[3]EU Rapeseed'!J$26</f>
        <v>5956.6530000000002</v>
      </c>
      <c r="L31" s="18">
        <f>'[3]EU Rapeseed'!K$26</f>
        <v>6029.826</v>
      </c>
      <c r="M31" s="18">
        <f>'[3]EU Rapeseed'!L$26</f>
        <v>6063.0419999999995</v>
      </c>
      <c r="N31" s="18">
        <f>'[3]EU Rapeseed'!M$26</f>
        <v>7421.0709999999999</v>
      </c>
      <c r="O31" s="18">
        <f>'[3]EU Rapeseed'!N$26</f>
        <v>8418.1749999999993</v>
      </c>
      <c r="P31" s="18">
        <f>'[3]EU Rapeseed'!O$26</f>
        <v>8990.2119999999995</v>
      </c>
      <c r="Q31" s="18">
        <f>'[3]EU Rapeseed'!P$26</f>
        <v>10328.314999999999</v>
      </c>
      <c r="R31" s="18">
        <f>'[3]EU Rapeseed'!Q$26</f>
        <v>11637.073</v>
      </c>
      <c r="S31" s="18">
        <f>'[3]EU Rapeseed'!R$26</f>
        <v>12771.334999999999</v>
      </c>
      <c r="T31" s="18">
        <f>'[3]EU Rapeseed'!S$26</f>
        <v>11975.05</v>
      </c>
      <c r="U31" s="18">
        <f>'[3]EU Rapeseed'!T$26</f>
        <v>12208.244999999999</v>
      </c>
      <c r="V31" s="18">
        <f>'[3]EU Rapeseed'!U$26</f>
        <v>13242.043</v>
      </c>
      <c r="W31" s="18">
        <f>'[3]EU Rapeseed'!V$26</f>
        <v>13717.449999999999</v>
      </c>
      <c r="X31" s="18">
        <f>'[3]EU Rapeseed'!W$26</f>
        <v>14178.018</v>
      </c>
      <c r="Y31" s="18">
        <f>'[3]EU Rapeseed'!X$26</f>
        <v>13678.735999999999</v>
      </c>
      <c r="Z31" s="18">
        <f>'[3]EU Rapeseed'!Y$26</f>
        <v>13535.625</v>
      </c>
      <c r="AA31" s="18">
        <f>'[3]EU Rapeseed'!Z$26</f>
        <v>12445.582</v>
      </c>
      <c r="AB31" s="18">
        <f>'[3]EU Rapeseed'!AA$26</f>
        <v>12178.248152</v>
      </c>
      <c r="AC31" s="18">
        <f>'[3]EU Rapeseed'!AB$26</f>
        <v>11891.981609999999</v>
      </c>
      <c r="AD31" s="18">
        <f>'[3]EU Rapeseed'!AC$26</f>
        <v>12660.795487000001</v>
      </c>
      <c r="AE31" s="18">
        <f>'[3]EU Rapeseed'!AD$26</f>
        <v>13056.665938116757</v>
      </c>
      <c r="AF31" s="18">
        <f>'[3]EU Rapeseed'!AE$26</f>
        <v>14361.087215409463</v>
      </c>
      <c r="AG31" s="18">
        <f>'[3]EU Rapeseed'!AF$26</f>
        <v>14357.696964000001</v>
      </c>
    </row>
    <row r="32" spans="1:33">
      <c r="A32" s="37"/>
      <c r="B32" s="17" t="s">
        <v>53</v>
      </c>
      <c r="C32" s="18">
        <f>'[4]EU Sun Complex'!B$26</f>
        <v>4462.6183832953893</v>
      </c>
      <c r="D32" s="18">
        <f>'[4]EU Sun Complex'!C$26</f>
        <v>5134.8372065243475</v>
      </c>
      <c r="E32" s="18">
        <f>'[4]EU Sun Complex'!D$26</f>
        <v>5584.663294925298</v>
      </c>
      <c r="F32" s="18">
        <f>'[4]EU Sun Complex'!E$26</f>
        <v>5958.4084516791881</v>
      </c>
      <c r="G32" s="18">
        <f>'[4]EU Sun Complex'!F$26</f>
        <v>5554.5912500385421</v>
      </c>
      <c r="H32" s="18">
        <f>'[4]EU Sun Complex'!G$26</f>
        <v>5659.1162185340791</v>
      </c>
      <c r="I32" s="18">
        <f>'[4]EU Sun Complex'!H$26</f>
        <v>5332.6132832760186</v>
      </c>
      <c r="J32" s="18">
        <f>'[4]EU Sun Complex'!I$26</f>
        <v>5016.8641315986642</v>
      </c>
      <c r="K32" s="18">
        <f>'[4]EU Sun Complex'!J$26</f>
        <v>4086.4872745041494</v>
      </c>
      <c r="L32" s="18">
        <f>'[4]EU Sun Complex'!K$26</f>
        <v>4497.9678694707054</v>
      </c>
      <c r="M32" s="18">
        <f>'[4]EU Sun Complex'!L$26</f>
        <v>4976.4241061740722</v>
      </c>
      <c r="N32" s="18">
        <f>'[4]EU Sun Complex'!M$26</f>
        <v>4481.0218984247695</v>
      </c>
      <c r="O32" s="18">
        <f>'[4]EU Sun Complex'!N$26</f>
        <v>4582.4880582976348</v>
      </c>
      <c r="P32" s="18">
        <f>'[4]EU Sun Complex'!O$26</f>
        <v>4606.9592237385532</v>
      </c>
      <c r="Q32" s="18">
        <f>'[4]EU Sun Complex'!P$26</f>
        <v>3879.2530586807852</v>
      </c>
      <c r="R32" s="18">
        <f>'[4]EU Sun Complex'!Q$26</f>
        <v>5520.6576854499581</v>
      </c>
      <c r="S32" s="18">
        <f>'[4]EU Sun Complex'!R$26</f>
        <v>5160.8721322207957</v>
      </c>
      <c r="T32" s="18">
        <f>'[4]EU Sun Complex'!S$26</f>
        <v>5388.6458319327739</v>
      </c>
      <c r="U32" s="18">
        <f>'[4]EU Sun Complex'!T$26</f>
        <v>7095.5124303456532</v>
      </c>
      <c r="V32" s="18">
        <f>'[4]EU Sun Complex'!U$26</f>
        <v>6799.8829999999989</v>
      </c>
      <c r="W32" s="18">
        <f>'[4]EU Sun Complex'!V$26</f>
        <v>7085.1672412425651</v>
      </c>
      <c r="X32" s="18">
        <f>'[4]EU Sun Complex'!W$26</f>
        <v>6929.5639999999994</v>
      </c>
      <c r="Y32" s="18">
        <f>'[4]EU Sun Complex'!X$26</f>
        <v>6577.4660000000003</v>
      </c>
      <c r="Z32" s="18">
        <f>'[4]EU Sun Complex'!Y$26</f>
        <v>8001.229003056601</v>
      </c>
      <c r="AA32" s="18">
        <f>'[4]EU Sun Complex'!Z$26</f>
        <v>8139.7328295083462</v>
      </c>
      <c r="AB32" s="18">
        <f>'[4]EU Sun Complex'!AA$26</f>
        <v>7657.3073679999998</v>
      </c>
      <c r="AC32" s="18">
        <f>'[4]EU Sun Complex'!AB$26</f>
        <v>7178.1271890000007</v>
      </c>
      <c r="AD32" s="18">
        <f>'[4]EU Sun Complex'!AC$26</f>
        <v>6208.898548000001</v>
      </c>
      <c r="AE32" s="18">
        <f>'[4]EU Sun Complex'!AD$26</f>
        <v>6837.4414400000005</v>
      </c>
      <c r="AF32" s="18">
        <f>'[4]EU Sun Complex'!AE$26</f>
        <v>6697.3826286837539</v>
      </c>
      <c r="AG32" s="18">
        <f>'[4]EU Sun Complex'!AF$26</f>
        <v>6999.1192681576995</v>
      </c>
    </row>
    <row r="33" spans="1:33">
      <c r="A33" s="37"/>
      <c r="B33" s="17" t="s">
        <v>54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spans="1:33">
      <c r="A34" s="37"/>
      <c r="B34" s="37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</row>
    <row r="35" spans="1:33" ht="15.75">
      <c r="A35" s="59" t="s">
        <v>41</v>
      </c>
      <c r="B35" s="60"/>
      <c r="C35" s="57">
        <f t="shared" ref="C35:AG35" si="5">SUM(C36:C38)</f>
        <v>647</v>
      </c>
      <c r="D35" s="57">
        <f t="shared" si="5"/>
        <v>881</v>
      </c>
      <c r="E35" s="57">
        <f t="shared" si="5"/>
        <v>648</v>
      </c>
      <c r="F35" s="57">
        <f t="shared" si="5"/>
        <v>918.49699999999996</v>
      </c>
      <c r="G35" s="57">
        <f t="shared" si="5"/>
        <v>1312.51</v>
      </c>
      <c r="H35" s="57">
        <f t="shared" si="5"/>
        <v>1406.5439999999999</v>
      </c>
      <c r="I35" s="57">
        <f t="shared" si="5"/>
        <v>324.18799999999999</v>
      </c>
      <c r="J35" s="57">
        <f t="shared" si="5"/>
        <v>372.613</v>
      </c>
      <c r="K35" s="57">
        <f t="shared" si="5"/>
        <v>416.661</v>
      </c>
      <c r="L35" s="57">
        <f t="shared" si="5"/>
        <v>430.35499999999996</v>
      </c>
      <c r="M35" s="57">
        <f t="shared" si="5"/>
        <v>522.93200000000002</v>
      </c>
      <c r="N35" s="57">
        <f t="shared" si="5"/>
        <v>739.37800000000004</v>
      </c>
      <c r="O35" s="57">
        <f t="shared" si="5"/>
        <v>935.89999999999986</v>
      </c>
      <c r="P35" s="57">
        <f t="shared" si="5"/>
        <v>758.06</v>
      </c>
      <c r="Q35" s="57">
        <f t="shared" si="5"/>
        <v>660.44500000000005</v>
      </c>
      <c r="R35" s="57">
        <f t="shared" si="5"/>
        <v>696.59699999999998</v>
      </c>
      <c r="S35" s="57">
        <f t="shared" si="5"/>
        <v>783.17099999999994</v>
      </c>
      <c r="T35" s="57">
        <f t="shared" si="5"/>
        <v>995.57299999999998</v>
      </c>
      <c r="U35" s="57">
        <f t="shared" si="5"/>
        <v>1270.7340000000002</v>
      </c>
      <c r="V35" s="57">
        <f t="shared" si="5"/>
        <v>952.5440000000001</v>
      </c>
      <c r="W35" s="57">
        <f t="shared" si="5"/>
        <v>852.07899999999995</v>
      </c>
      <c r="X35" s="57">
        <f t="shared" si="5"/>
        <v>1095.713</v>
      </c>
      <c r="Y35" s="57">
        <f t="shared" si="5"/>
        <v>1026.3869999999999</v>
      </c>
      <c r="Z35" s="57">
        <f t="shared" si="5"/>
        <v>1046.942</v>
      </c>
      <c r="AA35" s="57">
        <f t="shared" si="5"/>
        <v>1253.42</v>
      </c>
      <c r="AB35" s="57">
        <f t="shared" si="5"/>
        <v>1341.1499120000001</v>
      </c>
      <c r="AC35" s="57">
        <f t="shared" si="5"/>
        <v>2110.5509949999996</v>
      </c>
      <c r="AD35" s="57">
        <f t="shared" si="5"/>
        <v>2185.0575199999998</v>
      </c>
      <c r="AE35" s="57">
        <f t="shared" si="5"/>
        <v>2381.6721459999999</v>
      </c>
      <c r="AF35" s="57">
        <f t="shared" si="5"/>
        <v>2453.7578530000001</v>
      </c>
      <c r="AG35" s="57">
        <f t="shared" si="5"/>
        <v>2341.2365090000003</v>
      </c>
    </row>
    <row r="36" spans="1:33">
      <c r="A36" s="37"/>
      <c r="B36" s="17" t="s">
        <v>51</v>
      </c>
      <c r="C36" s="18">
        <f>'[2]EU Soy Complex'!AE$26</f>
        <v>598</v>
      </c>
      <c r="D36" s="18">
        <f>'[2]EU Soy Complex'!AF$26</f>
        <v>825</v>
      </c>
      <c r="E36" s="18">
        <f>'[2]EU Soy Complex'!AG$26</f>
        <v>614</v>
      </c>
      <c r="F36" s="18">
        <f>'[2]EU Soy Complex'!AH$26</f>
        <v>849</v>
      </c>
      <c r="G36" s="18">
        <f>'[2]EU Soy Complex'!AI$26</f>
        <v>1298</v>
      </c>
      <c r="H36" s="18">
        <f>'[2]EU Soy Complex'!AJ$26</f>
        <v>1285</v>
      </c>
      <c r="I36" s="18">
        <f>'[2]EU Soy Complex'!AK$26</f>
        <v>200.73500000000001</v>
      </c>
      <c r="J36" s="18">
        <f>'[2]EU Soy Complex'!AL$26</f>
        <v>250.44399999999996</v>
      </c>
      <c r="K36" s="18">
        <f>'[2]EU Soy Complex'!AM$26</f>
        <v>334.39400000000001</v>
      </c>
      <c r="L36" s="18">
        <f>'[2]EU Soy Complex'!AN$26</f>
        <v>337.01799999999997</v>
      </c>
      <c r="M36" s="18">
        <f>'[2]EU Soy Complex'!AO$26</f>
        <v>381.97699999999998</v>
      </c>
      <c r="N36" s="18">
        <f>'[2]EU Soy Complex'!AP$26</f>
        <v>526.55499999999995</v>
      </c>
      <c r="O36" s="18">
        <f>'[2]EU Soy Complex'!AQ$26</f>
        <v>698.75999999999988</v>
      </c>
      <c r="P36" s="18">
        <f>'[2]EU Soy Complex'!AR$26</f>
        <v>544.09199999999998</v>
      </c>
      <c r="Q36" s="18">
        <f>'[2]EU Soy Complex'!AS$26</f>
        <v>422.49799999999999</v>
      </c>
      <c r="R36" s="18">
        <f>'[2]EU Soy Complex'!AT$26</f>
        <v>464.04300000000001</v>
      </c>
      <c r="S36" s="18">
        <f>'[2]EU Soy Complex'!AU$26</f>
        <v>471.80099999999999</v>
      </c>
      <c r="T36" s="18">
        <f>'[2]EU Soy Complex'!AV$26</f>
        <v>609.38200000000006</v>
      </c>
      <c r="U36" s="18">
        <f>'[2]EU Soy Complex'!AW$26</f>
        <v>884.46300000000008</v>
      </c>
      <c r="V36" s="18">
        <f>'[2]EU Soy Complex'!AX$26</f>
        <v>536.26400000000001</v>
      </c>
      <c r="W36" s="18">
        <f>'[2]EU Soy Complex'!AY$26</f>
        <v>296.35999999999996</v>
      </c>
      <c r="X36" s="18">
        <f>'[2]EU Soy Complex'!AZ$26</f>
        <v>361.52</v>
      </c>
      <c r="Y36" s="18">
        <f>'[2]EU Soy Complex'!BA$26</f>
        <v>302.11799999999999</v>
      </c>
      <c r="Z36" s="18">
        <f>'[2]EU Soy Complex'!BB$26</f>
        <v>333.20400000000001</v>
      </c>
      <c r="AA36" s="18">
        <f>'[2]EU Soy Complex'!BC$26</f>
        <v>394.89800000000002</v>
      </c>
      <c r="AB36" s="18">
        <f>'[2]EU Soy Complex'!BD$26</f>
        <v>472.19325800000001</v>
      </c>
      <c r="AC36" s="18">
        <f>'[2]EU Soy Complex'!BE$26</f>
        <v>831.22262799999999</v>
      </c>
      <c r="AD36" s="18">
        <f>'[2]EU Soy Complex'!BF$26</f>
        <v>804.95867199999998</v>
      </c>
      <c r="AE36" s="18">
        <f>'[2]EU Soy Complex'!BG$26</f>
        <v>681.55456499999991</v>
      </c>
      <c r="AF36" s="18">
        <f>'[2]EU Soy Complex'!BH$26</f>
        <v>608.68792800000006</v>
      </c>
      <c r="AG36" s="18">
        <f>'[2]EU Soy Complex'!BI$26</f>
        <v>531.37267699999995</v>
      </c>
    </row>
    <row r="37" spans="1:33">
      <c r="A37" s="37"/>
      <c r="B37" s="17" t="s">
        <v>52</v>
      </c>
      <c r="C37" s="18">
        <f>'[3]EU Rapeseed'!B$27</f>
        <v>0</v>
      </c>
      <c r="D37" s="18">
        <f>'[3]EU Rapeseed'!C$27</f>
        <v>0</v>
      </c>
      <c r="E37" s="18">
        <f>'[3]EU Rapeseed'!D$27</f>
        <v>0</v>
      </c>
      <c r="F37" s="18">
        <f>'[3]EU Rapeseed'!E$27</f>
        <v>11.496999999999998</v>
      </c>
      <c r="G37" s="18">
        <f>'[3]EU Rapeseed'!F$27</f>
        <v>10.213999999999999</v>
      </c>
      <c r="H37" s="18">
        <f>'[3]EU Rapeseed'!G$27</f>
        <v>15.991000000000001</v>
      </c>
      <c r="I37" s="18">
        <f>'[3]EU Rapeseed'!H$27</f>
        <v>14.2</v>
      </c>
      <c r="J37" s="18">
        <f>'[3]EU Rapeseed'!I$27</f>
        <v>26.232000000000003</v>
      </c>
      <c r="K37" s="18">
        <f>'[3]EU Rapeseed'!J$27</f>
        <v>41.141000000000005</v>
      </c>
      <c r="L37" s="18">
        <f>'[3]EU Rapeseed'!K$27</f>
        <v>47.216000000000001</v>
      </c>
      <c r="M37" s="18">
        <f>'[3]EU Rapeseed'!L$27</f>
        <v>61.408000000000001</v>
      </c>
      <c r="N37" s="18">
        <f>'[3]EU Rapeseed'!M$27</f>
        <v>59.186000000000007</v>
      </c>
      <c r="O37" s="18">
        <f>'[3]EU Rapeseed'!N$27</f>
        <v>47.534999999999997</v>
      </c>
      <c r="P37" s="18">
        <f>'[3]EU Rapeseed'!O$27</f>
        <v>79.775999999999996</v>
      </c>
      <c r="Q37" s="18">
        <f>'[3]EU Rapeseed'!P$27</f>
        <v>199.03899999999999</v>
      </c>
      <c r="R37" s="18">
        <f>'[3]EU Rapeseed'!Q$27</f>
        <v>159.624</v>
      </c>
      <c r="S37" s="18">
        <f>'[3]EU Rapeseed'!R$27</f>
        <v>234.5</v>
      </c>
      <c r="T37" s="18">
        <f>'[3]EU Rapeseed'!S$27</f>
        <v>260.90600000000001</v>
      </c>
      <c r="U37" s="18">
        <f>'[3]EU Rapeseed'!T$27</f>
        <v>264.47700000000003</v>
      </c>
      <c r="V37" s="18">
        <f>'[3]EU Rapeseed'!U$27</f>
        <v>293.35500000000002</v>
      </c>
      <c r="W37" s="18">
        <f>'[3]EU Rapeseed'!V$27</f>
        <v>382.63499999999999</v>
      </c>
      <c r="X37" s="18">
        <f>'[3]EU Rapeseed'!W$27</f>
        <v>431.80500000000006</v>
      </c>
      <c r="Y37" s="18">
        <f>'[3]EU Rapeseed'!X$27</f>
        <v>509.137</v>
      </c>
      <c r="Z37" s="18">
        <f>'[3]EU Rapeseed'!Y$27</f>
        <v>438.94600000000003</v>
      </c>
      <c r="AA37" s="18">
        <f>'[3]EU Rapeseed'!Z$27</f>
        <v>452.64800000000002</v>
      </c>
      <c r="AB37" s="18">
        <f>'[3]EU Rapeseed'!AA$27</f>
        <v>474.44561100000004</v>
      </c>
      <c r="AC37" s="18">
        <f>'[3]EU Rapeseed'!AB$27</f>
        <v>704.15283399999987</v>
      </c>
      <c r="AD37" s="18">
        <f>'[3]EU Rapeseed'!AC$27</f>
        <v>683.08872499999995</v>
      </c>
      <c r="AE37" s="18">
        <f>'[3]EU Rapeseed'!AD$27</f>
        <v>703.46218799999986</v>
      </c>
      <c r="AF37" s="18">
        <f>'[3]EU Rapeseed'!AE$27</f>
        <v>841.18415100000016</v>
      </c>
      <c r="AG37" s="18">
        <f>'[3]EU Rapeseed'!AF$27</f>
        <v>854.30303600000002</v>
      </c>
    </row>
    <row r="38" spans="1:33">
      <c r="A38" s="37"/>
      <c r="B38" s="17" t="s">
        <v>53</v>
      </c>
      <c r="C38" s="18">
        <f>'[4]EU Sun Complex'!B$27</f>
        <v>49</v>
      </c>
      <c r="D38" s="18">
        <f>'[4]EU Sun Complex'!C$27</f>
        <v>56</v>
      </c>
      <c r="E38" s="18">
        <f>'[4]EU Sun Complex'!D$27</f>
        <v>34</v>
      </c>
      <c r="F38" s="18">
        <f>'[4]EU Sun Complex'!E$27</f>
        <v>58</v>
      </c>
      <c r="G38" s="18">
        <f>'[4]EU Sun Complex'!F$27</f>
        <v>4.2960000000000003</v>
      </c>
      <c r="H38" s="18">
        <f>'[4]EU Sun Complex'!G$27</f>
        <v>105.553</v>
      </c>
      <c r="I38" s="18">
        <f>'[4]EU Sun Complex'!H$27</f>
        <v>109.25299999999999</v>
      </c>
      <c r="J38" s="18">
        <f>'[4]EU Sun Complex'!I$27</f>
        <v>95.937000000000012</v>
      </c>
      <c r="K38" s="18">
        <f>'[4]EU Sun Complex'!J$27</f>
        <v>41.125999999999998</v>
      </c>
      <c r="L38" s="18">
        <f>'[4]EU Sun Complex'!K$27</f>
        <v>46.121000000000002</v>
      </c>
      <c r="M38" s="18">
        <f>'[4]EU Sun Complex'!L$27</f>
        <v>79.546999999999997</v>
      </c>
      <c r="N38" s="18">
        <f>'[4]EU Sun Complex'!M$27</f>
        <v>153.63700000000003</v>
      </c>
      <c r="O38" s="18">
        <f>'[4]EU Sun Complex'!N$27</f>
        <v>189.60499999999999</v>
      </c>
      <c r="P38" s="18">
        <f>'[4]EU Sun Complex'!O$27</f>
        <v>134.19199999999998</v>
      </c>
      <c r="Q38" s="18">
        <f>'[4]EU Sun Complex'!P$27</f>
        <v>38.908000000000008</v>
      </c>
      <c r="R38" s="18">
        <f>'[4]EU Sun Complex'!Q$27</f>
        <v>72.930000000000007</v>
      </c>
      <c r="S38" s="18">
        <f>'[4]EU Sun Complex'!R$27</f>
        <v>76.86999999999999</v>
      </c>
      <c r="T38" s="18">
        <f>'[4]EU Sun Complex'!S$27</f>
        <v>125.28500000000001</v>
      </c>
      <c r="U38" s="18">
        <f>'[4]EU Sun Complex'!T$27</f>
        <v>121.79400000000001</v>
      </c>
      <c r="V38" s="18">
        <f>'[4]EU Sun Complex'!U$27</f>
        <v>122.92500000000001</v>
      </c>
      <c r="W38" s="18">
        <f>'[4]EU Sun Complex'!V$27</f>
        <v>173.08400000000003</v>
      </c>
      <c r="X38" s="18">
        <f>'[4]EU Sun Complex'!W$27</f>
        <v>302.38799999999998</v>
      </c>
      <c r="Y38" s="18">
        <f>'[4]EU Sun Complex'!X$27</f>
        <v>215.13200000000003</v>
      </c>
      <c r="Z38" s="18">
        <f>'[4]EU Sun Complex'!Y$27</f>
        <v>274.79199999999997</v>
      </c>
      <c r="AA38" s="18">
        <f>'[4]EU Sun Complex'!Z$27</f>
        <v>405.87399999999991</v>
      </c>
      <c r="AB38" s="18">
        <f>'[4]EU Sun Complex'!AA$27</f>
        <v>394.51104300000003</v>
      </c>
      <c r="AC38" s="18">
        <f>'[4]EU Sun Complex'!AB$27</f>
        <v>575.17553299999986</v>
      </c>
      <c r="AD38" s="18">
        <f>'[4]EU Sun Complex'!AC$27</f>
        <v>697.01012300000002</v>
      </c>
      <c r="AE38" s="18">
        <f>'[4]EU Sun Complex'!AD$27</f>
        <v>996.655393</v>
      </c>
      <c r="AF38" s="18">
        <f>'[4]EU Sun Complex'!AE$27</f>
        <v>1003.885774</v>
      </c>
      <c r="AG38" s="18">
        <f>'[4]EU Sun Complex'!AF$27</f>
        <v>955.56079599999998</v>
      </c>
    </row>
    <row r="39" spans="1:33">
      <c r="A39" s="37"/>
      <c r="B39" s="17" t="s">
        <v>54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spans="1:33">
      <c r="A40" s="37"/>
      <c r="B40" s="37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</row>
    <row r="41" spans="1:33" ht="15.75">
      <c r="A41" s="59" t="s">
        <v>56</v>
      </c>
      <c r="B41" s="60"/>
      <c r="C41" s="57">
        <f t="shared" ref="C41:AG41" si="6">SUM(C42:C44)</f>
        <v>35225.87876754687</v>
      </c>
      <c r="D41" s="57">
        <f t="shared" si="6"/>
        <v>38958.869804613161</v>
      </c>
      <c r="E41" s="57">
        <f t="shared" si="6"/>
        <v>37557.612952773365</v>
      </c>
      <c r="F41" s="57">
        <f t="shared" si="6"/>
        <v>37340.705761647543</v>
      </c>
      <c r="G41" s="57">
        <f t="shared" si="6"/>
        <v>36013.605289863815</v>
      </c>
      <c r="H41" s="57">
        <f t="shared" si="6"/>
        <v>39869.39569866089</v>
      </c>
      <c r="I41" s="57">
        <f t="shared" si="6"/>
        <v>39757.63428327602</v>
      </c>
      <c r="J41" s="57">
        <f t="shared" si="6"/>
        <v>42263.740131598664</v>
      </c>
      <c r="K41" s="57">
        <f t="shared" si="6"/>
        <v>43995.499274504153</v>
      </c>
      <c r="L41" s="57">
        <f t="shared" si="6"/>
        <v>44540.727869470698</v>
      </c>
      <c r="M41" s="57">
        <f t="shared" si="6"/>
        <v>44514.251210088456</v>
      </c>
      <c r="N41" s="57">
        <f t="shared" si="6"/>
        <v>45466.869383017249</v>
      </c>
      <c r="O41" s="57">
        <f t="shared" si="6"/>
        <v>46967.756858906243</v>
      </c>
      <c r="P41" s="57">
        <f t="shared" si="6"/>
        <v>47711.366201645447</v>
      </c>
      <c r="Q41" s="57">
        <f t="shared" si="6"/>
        <v>50148.768711186305</v>
      </c>
      <c r="R41" s="57">
        <f t="shared" si="6"/>
        <v>49581.149419607609</v>
      </c>
      <c r="S41" s="57">
        <f t="shared" si="6"/>
        <v>49124.628878151714</v>
      </c>
      <c r="T41" s="57">
        <f t="shared" si="6"/>
        <v>49271.5870217138</v>
      </c>
      <c r="U41" s="57">
        <f t="shared" si="6"/>
        <v>50635.810430345649</v>
      </c>
      <c r="V41" s="57">
        <f t="shared" si="6"/>
        <v>48065.074999999997</v>
      </c>
      <c r="W41" s="57">
        <f t="shared" si="6"/>
        <v>50004.510241242569</v>
      </c>
      <c r="X41" s="57">
        <f t="shared" si="6"/>
        <v>51594.280543252586</v>
      </c>
      <c r="Y41" s="57">
        <f t="shared" si="6"/>
        <v>51468.121244147158</v>
      </c>
      <c r="Z41" s="57">
        <f t="shared" si="6"/>
        <v>53629.038003056594</v>
      </c>
      <c r="AA41" s="57">
        <f t="shared" si="6"/>
        <v>52239.04751747095</v>
      </c>
      <c r="AB41" s="57">
        <f t="shared" si="6"/>
        <v>51273.649220421416</v>
      </c>
      <c r="AC41" s="57">
        <f t="shared" si="6"/>
        <v>48737.880575216594</v>
      </c>
      <c r="AD41" s="57">
        <f t="shared" si="6"/>
        <v>49229.994124000004</v>
      </c>
      <c r="AE41" s="57">
        <f t="shared" si="6"/>
        <v>49791.372595274661</v>
      </c>
      <c r="AF41" s="57">
        <f t="shared" si="6"/>
        <v>50519.986568093213</v>
      </c>
      <c r="AG41" s="57">
        <f t="shared" si="6"/>
        <v>51084.368459227881</v>
      </c>
    </row>
    <row r="42" spans="1:33">
      <c r="A42" s="37"/>
      <c r="B42" s="17" t="s">
        <v>51</v>
      </c>
      <c r="C42" s="18">
        <f>'[2]EU Soy Complex'!AE$27</f>
        <v>26184.524594022125</v>
      </c>
      <c r="D42" s="18">
        <f>'[2]EU Soy Complex'!AF$27</f>
        <v>28740.849346954608</v>
      </c>
      <c r="E42" s="18">
        <f>'[2]EU Soy Complex'!AG$27</f>
        <v>26730.334418507999</v>
      </c>
      <c r="F42" s="18">
        <f>'[2]EU Soy Complex'!AH$27</f>
        <v>25641.641875888206</v>
      </c>
      <c r="G42" s="18">
        <f>'[2]EU Soy Complex'!AI$27</f>
        <v>24212.20873083052</v>
      </c>
      <c r="H42" s="18">
        <f>'[2]EU Soy Complex'!AJ$27</f>
        <v>27944.367905875573</v>
      </c>
      <c r="I42" s="18">
        <f>'[2]EU Soy Complex'!AK$27</f>
        <v>27598.205000000002</v>
      </c>
      <c r="J42" s="18">
        <f>'[2]EU Soy Complex'!AL$27</f>
        <v>30993.180999999997</v>
      </c>
      <c r="K42" s="18">
        <f>'[2]EU Soy Complex'!AM$27</f>
        <v>33870.092000000004</v>
      </c>
      <c r="L42" s="18">
        <f>'[2]EU Soy Complex'!AN$27</f>
        <v>33919.596999999994</v>
      </c>
      <c r="M42" s="18">
        <f>'[2]EU Soy Complex'!AO$27</f>
        <v>33333.830103914384</v>
      </c>
      <c r="N42" s="18">
        <f>'[2]EU Soy Complex'!AP$27</f>
        <v>33351.953484592479</v>
      </c>
      <c r="O42" s="18">
        <f>'[2]EU Soy Complex'!AQ$27</f>
        <v>33729.953800608608</v>
      </c>
      <c r="P42" s="18">
        <f>'[2]EU Soy Complex'!AR$27</f>
        <v>33900.226977906896</v>
      </c>
      <c r="Q42" s="18">
        <f>'[2]EU Soy Complex'!AS$27</f>
        <v>35703.253652505518</v>
      </c>
      <c r="R42" s="18">
        <f>'[2]EU Soy Complex'!AT$27</f>
        <v>32190.864734157651</v>
      </c>
      <c r="S42" s="18">
        <f>'[2]EU Soy Complex'!AU$27</f>
        <v>30881.051745930919</v>
      </c>
      <c r="T42" s="18">
        <f>'[2]EU Soy Complex'!AV$27</f>
        <v>31521.700189781026</v>
      </c>
      <c r="U42" s="18">
        <f>'[2]EU Soy Complex'!AW$27</f>
        <v>30945.781999999996</v>
      </c>
      <c r="V42" s="18">
        <f>'[2]EU Soy Complex'!AX$27</f>
        <v>27606.868999999999</v>
      </c>
      <c r="W42" s="18">
        <f>'[2]EU Soy Complex'!AY$27</f>
        <v>28646.174000000003</v>
      </c>
      <c r="X42" s="18">
        <f>'[2]EU Soy Complex'!AZ$27</f>
        <v>29752.505543252591</v>
      </c>
      <c r="Y42" s="18">
        <f>'[2]EU Soy Complex'!BA$27</f>
        <v>30487.65024414716</v>
      </c>
      <c r="Z42" s="18">
        <f>'[2]EU Soy Complex'!BB$27</f>
        <v>31378.445999999996</v>
      </c>
      <c r="AA42" s="18">
        <f>'[2]EU Soy Complex'!BC$27</f>
        <v>30795.210687962608</v>
      </c>
      <c r="AB42" s="18">
        <f>'[2]EU Soy Complex'!BD$27</f>
        <v>30569.13704642142</v>
      </c>
      <c r="AC42" s="18">
        <f>'[2]EU Soy Complex'!BE$27</f>
        <v>28388.443409216594</v>
      </c>
      <c r="AD42" s="18">
        <f>'[2]EU Soy Complex'!BF$27</f>
        <v>28980.201240999999</v>
      </c>
      <c r="AE42" s="18">
        <f>'[2]EU Soy Complex'!BG$27</f>
        <v>28197.147636157897</v>
      </c>
      <c r="AF42" s="18">
        <f>'[2]EU Soy Complex'!BH$27</f>
        <v>27616.446799000001</v>
      </c>
      <c r="AG42" s="18">
        <f>'[2]EU Soy Complex'!BI$27</f>
        <v>27917.688395070181</v>
      </c>
    </row>
    <row r="43" spans="1:33">
      <c r="A43" s="37"/>
      <c r="B43" s="17" t="s">
        <v>52</v>
      </c>
      <c r="C43" s="18">
        <f>'[3]EU Rapeseed'!B$28</f>
        <v>4529.7357902293534</v>
      </c>
      <c r="D43" s="18">
        <f>'[3]EU Rapeseed'!C$28</f>
        <v>5027.18325113421</v>
      </c>
      <c r="E43" s="18">
        <f>'[3]EU Rapeseed'!D$28</f>
        <v>5208.6152393400716</v>
      </c>
      <c r="F43" s="18">
        <f>'[3]EU Rapeseed'!E$28</f>
        <v>5682.6554340801486</v>
      </c>
      <c r="G43" s="18">
        <f>'[3]EU Rapeseed'!F$28</f>
        <v>6242.5093089947532</v>
      </c>
      <c r="H43" s="18">
        <f>'[3]EU Rapeseed'!G$28</f>
        <v>6160.358574251235</v>
      </c>
      <c r="I43" s="18">
        <f>'[3]EU Rapeseed'!H$28</f>
        <v>6717.5630000000001</v>
      </c>
      <c r="J43" s="18">
        <f>'[3]EU Rapeseed'!I$28</f>
        <v>6157.7579999999998</v>
      </c>
      <c r="K43" s="18">
        <f>'[3]EU Rapeseed'!J$28</f>
        <v>5997.7939999999999</v>
      </c>
      <c r="L43" s="18">
        <f>'[3]EU Rapeseed'!K$28</f>
        <v>6077.0420000000004</v>
      </c>
      <c r="M43" s="18">
        <f>'[3]EU Rapeseed'!L$28</f>
        <v>6124.45</v>
      </c>
      <c r="N43" s="18">
        <f>'[3]EU Rapeseed'!M$28</f>
        <v>7480.2569999999996</v>
      </c>
      <c r="O43" s="18">
        <f>'[3]EU Rapeseed'!N$28</f>
        <v>8465.7099999999991</v>
      </c>
      <c r="P43" s="18">
        <f>'[3]EU Rapeseed'!O$28</f>
        <v>9069.9879999999994</v>
      </c>
      <c r="Q43" s="18">
        <f>'[3]EU Rapeseed'!P$28</f>
        <v>10527.353999999999</v>
      </c>
      <c r="R43" s="18">
        <f>'[3]EU Rapeseed'!Q$28</f>
        <v>11796.697</v>
      </c>
      <c r="S43" s="18">
        <f>'[3]EU Rapeseed'!R$28</f>
        <v>13005.834999999999</v>
      </c>
      <c r="T43" s="18">
        <f>'[3]EU Rapeseed'!S$28</f>
        <v>12235.956</v>
      </c>
      <c r="U43" s="18">
        <f>'[3]EU Rapeseed'!T$28</f>
        <v>12472.722</v>
      </c>
      <c r="V43" s="18">
        <f>'[3]EU Rapeseed'!U$28</f>
        <v>13535.397999999999</v>
      </c>
      <c r="W43" s="18">
        <f>'[3]EU Rapeseed'!V$28</f>
        <v>14100.084999999999</v>
      </c>
      <c r="X43" s="18">
        <f>'[3]EU Rapeseed'!W$28</f>
        <v>14609.823</v>
      </c>
      <c r="Y43" s="18">
        <f>'[3]EU Rapeseed'!X$28</f>
        <v>14187.873</v>
      </c>
      <c r="Z43" s="18">
        <f>'[3]EU Rapeseed'!Y$28</f>
        <v>13974.571</v>
      </c>
      <c r="AA43" s="18">
        <f>'[3]EU Rapeseed'!Z$28</f>
        <v>12898.23</v>
      </c>
      <c r="AB43" s="18">
        <f>'[3]EU Rapeseed'!AA$28</f>
        <v>12652.693762999999</v>
      </c>
      <c r="AC43" s="18">
        <f>'[3]EU Rapeseed'!AB$28</f>
        <v>12596.134443999999</v>
      </c>
      <c r="AD43" s="18">
        <f>'[3]EU Rapeseed'!AC$28</f>
        <v>13343.884212000001</v>
      </c>
      <c r="AE43" s="18">
        <f>'[3]EU Rapeseed'!AD$28</f>
        <v>13760.128126116757</v>
      </c>
      <c r="AF43" s="18">
        <f>'[3]EU Rapeseed'!AE$28</f>
        <v>15202.271366409463</v>
      </c>
      <c r="AG43" s="18">
        <f>'[3]EU Rapeseed'!AF$28</f>
        <v>15212</v>
      </c>
    </row>
    <row r="44" spans="1:33">
      <c r="A44" s="37"/>
      <c r="B44" s="17" t="s">
        <v>53</v>
      </c>
      <c r="C44" s="18">
        <f>'[4]EU Sun Complex'!B$28</f>
        <v>4511.6183832953893</v>
      </c>
      <c r="D44" s="18">
        <f>'[4]EU Sun Complex'!C$28</f>
        <v>5190.8372065243475</v>
      </c>
      <c r="E44" s="18">
        <f>'[4]EU Sun Complex'!D$28</f>
        <v>5618.663294925298</v>
      </c>
      <c r="F44" s="18">
        <f>'[4]EU Sun Complex'!E$28</f>
        <v>6016.4084516791881</v>
      </c>
      <c r="G44" s="18">
        <f>'[4]EU Sun Complex'!F$28</f>
        <v>5558.8872500385423</v>
      </c>
      <c r="H44" s="18">
        <f>'[4]EU Sun Complex'!G$28</f>
        <v>5764.6692185340789</v>
      </c>
      <c r="I44" s="18">
        <f>'[4]EU Sun Complex'!H$28</f>
        <v>5441.8662832760183</v>
      </c>
      <c r="J44" s="18">
        <f>'[4]EU Sun Complex'!I$28</f>
        <v>5112.8011315986641</v>
      </c>
      <c r="K44" s="18">
        <f>'[4]EU Sun Complex'!J$28</f>
        <v>4127.6132745041496</v>
      </c>
      <c r="L44" s="18">
        <f>'[4]EU Sun Complex'!K$28</f>
        <v>4544.0888694707055</v>
      </c>
      <c r="M44" s="18">
        <f>'[4]EU Sun Complex'!L$28</f>
        <v>5055.9711061740718</v>
      </c>
      <c r="N44" s="18">
        <f>'[4]EU Sun Complex'!M$28</f>
        <v>4634.6588984247692</v>
      </c>
      <c r="O44" s="18">
        <f>'[4]EU Sun Complex'!N$28</f>
        <v>4772.0930582976343</v>
      </c>
      <c r="P44" s="18">
        <f>'[4]EU Sun Complex'!O$28</f>
        <v>4741.1512237385532</v>
      </c>
      <c r="Q44" s="18">
        <f>'[4]EU Sun Complex'!P$28</f>
        <v>3918.1610586807851</v>
      </c>
      <c r="R44" s="18">
        <f>'[4]EU Sun Complex'!Q$28</f>
        <v>5593.5876854499584</v>
      </c>
      <c r="S44" s="18">
        <f>'[4]EU Sun Complex'!R$28</f>
        <v>5237.7421322207956</v>
      </c>
      <c r="T44" s="18">
        <f>'[4]EU Sun Complex'!S$28</f>
        <v>5513.9308319327738</v>
      </c>
      <c r="U44" s="18">
        <f>'[4]EU Sun Complex'!T$28</f>
        <v>7217.3064303456531</v>
      </c>
      <c r="V44" s="18">
        <f>'[4]EU Sun Complex'!U$28</f>
        <v>6922.8079999999991</v>
      </c>
      <c r="W44" s="18">
        <f>'[4]EU Sun Complex'!V$28</f>
        <v>7258.2512412425649</v>
      </c>
      <c r="X44" s="18">
        <f>'[4]EU Sun Complex'!W$28</f>
        <v>7231.9519999999993</v>
      </c>
      <c r="Y44" s="18">
        <f>'[4]EU Sun Complex'!X$28</f>
        <v>6792.598</v>
      </c>
      <c r="Z44" s="18">
        <f>'[4]EU Sun Complex'!Y$28</f>
        <v>8276.0210030566013</v>
      </c>
      <c r="AA44" s="18">
        <f>'[4]EU Sun Complex'!Z$28</f>
        <v>8545.606829508346</v>
      </c>
      <c r="AB44" s="18">
        <f>'[4]EU Sun Complex'!AA$28</f>
        <v>8051.8184110000002</v>
      </c>
      <c r="AC44" s="18">
        <f>'[4]EU Sun Complex'!AB$28</f>
        <v>7753.3027220000004</v>
      </c>
      <c r="AD44" s="18">
        <f>'[4]EU Sun Complex'!AC$28</f>
        <v>6905.908671000001</v>
      </c>
      <c r="AE44" s="18">
        <f>'[4]EU Sun Complex'!AD$28</f>
        <v>7834.0968330000005</v>
      </c>
      <c r="AF44" s="18">
        <f>'[4]EU Sun Complex'!AE$28</f>
        <v>7701.2684026837542</v>
      </c>
      <c r="AG44" s="18">
        <f>'[4]EU Sun Complex'!AF$28</f>
        <v>7954.6800641576992</v>
      </c>
    </row>
    <row r="45" spans="1:33">
      <c r="A45" s="37"/>
      <c r="B45" s="17" t="s">
        <v>54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spans="1:33">
      <c r="A46" s="37"/>
      <c r="B46" s="37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</row>
    <row r="47" spans="1:33" ht="15.75">
      <c r="A47" s="59" t="s">
        <v>57</v>
      </c>
      <c r="B47" s="60"/>
      <c r="C47" s="57">
        <f t="shared" ref="C47:AG47" si="7">SUM(C48:C50)</f>
        <v>1095</v>
      </c>
      <c r="D47" s="57">
        <f t="shared" si="7"/>
        <v>1417</v>
      </c>
      <c r="E47" s="57">
        <f t="shared" si="7"/>
        <v>1537</v>
      </c>
      <c r="F47" s="57">
        <f t="shared" si="7"/>
        <v>1193</v>
      </c>
      <c r="G47" s="57">
        <f t="shared" si="7"/>
        <v>1156</v>
      </c>
      <c r="H47" s="57">
        <f t="shared" si="7"/>
        <v>1405</v>
      </c>
      <c r="I47" s="57">
        <f t="shared" si="7"/>
        <v>1354</v>
      </c>
      <c r="J47" s="57">
        <f t="shared" si="7"/>
        <v>1173</v>
      </c>
      <c r="K47" s="57">
        <f t="shared" si="7"/>
        <v>1408</v>
      </c>
      <c r="L47" s="57">
        <f t="shared" si="7"/>
        <v>1129</v>
      </c>
      <c r="M47" s="57">
        <f t="shared" si="7"/>
        <v>1096</v>
      </c>
      <c r="N47" s="57">
        <f t="shared" si="7"/>
        <v>1053</v>
      </c>
      <c r="O47" s="57">
        <f t="shared" si="7"/>
        <v>1073</v>
      </c>
      <c r="P47" s="57">
        <f t="shared" si="7"/>
        <v>1034</v>
      </c>
      <c r="Q47" s="57">
        <f t="shared" si="7"/>
        <v>1592</v>
      </c>
      <c r="R47" s="57">
        <f t="shared" si="7"/>
        <v>917</v>
      </c>
      <c r="S47" s="57">
        <f t="shared" si="7"/>
        <v>803</v>
      </c>
      <c r="T47" s="57">
        <f t="shared" si="7"/>
        <v>1137</v>
      </c>
      <c r="U47" s="57">
        <f t="shared" si="7"/>
        <v>1411</v>
      </c>
      <c r="V47" s="57">
        <f t="shared" si="7"/>
        <v>444</v>
      </c>
      <c r="W47" s="57">
        <f t="shared" si="7"/>
        <v>742</v>
      </c>
      <c r="X47" s="57">
        <f t="shared" si="7"/>
        <v>1755</v>
      </c>
      <c r="Y47" s="57">
        <f t="shared" si="7"/>
        <v>2561</v>
      </c>
      <c r="Z47" s="57">
        <f t="shared" si="7"/>
        <v>1794</v>
      </c>
      <c r="AA47" s="57">
        <f t="shared" si="7"/>
        <v>1865</v>
      </c>
      <c r="AB47" s="57">
        <f t="shared" si="7"/>
        <v>2324</v>
      </c>
      <c r="AC47" s="57">
        <f t="shared" si="7"/>
        <v>2300</v>
      </c>
      <c r="AD47" s="57">
        <f t="shared" si="7"/>
        <v>2102</v>
      </c>
      <c r="AE47" s="57">
        <f t="shared" si="7"/>
        <v>2120</v>
      </c>
      <c r="AF47" s="57">
        <f t="shared" si="7"/>
        <v>1826</v>
      </c>
      <c r="AG47" s="57">
        <f t="shared" si="7"/>
        <v>1936</v>
      </c>
    </row>
    <row r="48" spans="1:33">
      <c r="A48" s="37"/>
      <c r="B48" s="17" t="s">
        <v>51</v>
      </c>
      <c r="C48" s="18">
        <f>'[2]EU Soy Complex'!AE$28</f>
        <v>947</v>
      </c>
      <c r="D48" s="18">
        <f>'[2]EU Soy Complex'!AF$28</f>
        <v>1172</v>
      </c>
      <c r="E48" s="18">
        <f>'[2]EU Soy Complex'!AG$28</f>
        <v>1123</v>
      </c>
      <c r="F48" s="18">
        <f>'[2]EU Soy Complex'!AH$28</f>
        <v>851</v>
      </c>
      <c r="G48" s="18">
        <f>'[2]EU Soy Complex'!AI$28</f>
        <v>861</v>
      </c>
      <c r="H48" s="18">
        <f>'[2]EU Soy Complex'!AJ$28</f>
        <v>1063</v>
      </c>
      <c r="I48" s="18">
        <f>'[2]EU Soy Complex'!AK$28</f>
        <v>886</v>
      </c>
      <c r="J48" s="18">
        <f>'[2]EU Soy Complex'!AL$28</f>
        <v>809</v>
      </c>
      <c r="K48" s="18">
        <f>'[2]EU Soy Complex'!AM$28</f>
        <v>1074</v>
      </c>
      <c r="L48" s="18">
        <f>'[2]EU Soy Complex'!AN$28</f>
        <v>890</v>
      </c>
      <c r="M48" s="18">
        <f>'[2]EU Soy Complex'!AO$28</f>
        <v>858</v>
      </c>
      <c r="N48" s="18">
        <f>'[2]EU Soy Complex'!AP$28</f>
        <v>859</v>
      </c>
      <c r="O48" s="18">
        <f>'[2]EU Soy Complex'!AQ$28</f>
        <v>870</v>
      </c>
      <c r="P48" s="18">
        <f>'[2]EU Soy Complex'!AR$28</f>
        <v>856</v>
      </c>
      <c r="Q48" s="18">
        <f>'[2]EU Soy Complex'!AS$28</f>
        <v>1429</v>
      </c>
      <c r="R48" s="18">
        <f>'[2]EU Soy Complex'!AT$28</f>
        <v>505</v>
      </c>
      <c r="S48" s="18">
        <f>'[2]EU Soy Complex'!AU$28</f>
        <v>504</v>
      </c>
      <c r="T48" s="18">
        <f>'[2]EU Soy Complex'!AV$28</f>
        <v>671</v>
      </c>
      <c r="U48" s="18">
        <f>'[2]EU Soy Complex'!AW$28</f>
        <v>481</v>
      </c>
      <c r="V48" s="18">
        <f>'[2]EU Soy Complex'!AX$28</f>
        <v>177</v>
      </c>
      <c r="W48" s="18">
        <f>'[2]EU Soy Complex'!AY$28</f>
        <v>225</v>
      </c>
      <c r="X48" s="18">
        <f>'[2]EU Soy Complex'!AZ$28</f>
        <v>857</v>
      </c>
      <c r="Y48" s="18">
        <f>'[2]EU Soy Complex'!BA$28</f>
        <v>1559</v>
      </c>
      <c r="Z48" s="18">
        <f>'[2]EU Soy Complex'!BB$28</f>
        <v>974</v>
      </c>
      <c r="AA48" s="18">
        <f>'[2]EU Soy Complex'!BC$28</f>
        <v>1111</v>
      </c>
      <c r="AB48" s="18">
        <f>'[2]EU Soy Complex'!BD$28</f>
        <v>1347</v>
      </c>
      <c r="AC48" s="18">
        <f>'[2]EU Soy Complex'!BE$28</f>
        <v>1626</v>
      </c>
      <c r="AD48" s="18">
        <f>'[2]EU Soy Complex'!BF$28</f>
        <v>1455</v>
      </c>
      <c r="AE48" s="18">
        <f>'[2]EU Soy Complex'!BG$28</f>
        <v>1447</v>
      </c>
      <c r="AF48" s="18">
        <f>'[2]EU Soy Complex'!BH$28</f>
        <v>1084</v>
      </c>
      <c r="AG48" s="18">
        <f>'[2]EU Soy Complex'!BI$28</f>
        <v>1119</v>
      </c>
    </row>
    <row r="49" spans="1:33">
      <c r="A49" s="37"/>
      <c r="B49" s="17" t="s">
        <v>52</v>
      </c>
      <c r="C49" s="18">
        <f>'[3]EU Rapeseed'!B$29</f>
        <v>78</v>
      </c>
      <c r="D49" s="18">
        <f>'[3]EU Rapeseed'!C$29</f>
        <v>97</v>
      </c>
      <c r="E49" s="18">
        <f>'[3]EU Rapeseed'!D$29</f>
        <v>223</v>
      </c>
      <c r="F49" s="18">
        <f>'[3]EU Rapeseed'!E$29</f>
        <v>179</v>
      </c>
      <c r="G49" s="18">
        <f>'[3]EU Rapeseed'!F$29</f>
        <v>155</v>
      </c>
      <c r="H49" s="18">
        <f>'[3]EU Rapeseed'!G$29</f>
        <v>159</v>
      </c>
      <c r="I49" s="18">
        <f>'[3]EU Rapeseed'!H$29</f>
        <v>217</v>
      </c>
      <c r="J49" s="18">
        <f>'[3]EU Rapeseed'!I$29</f>
        <v>152</v>
      </c>
      <c r="K49" s="18">
        <f>'[3]EU Rapeseed'!J$29</f>
        <v>163</v>
      </c>
      <c r="L49" s="18">
        <f>'[3]EU Rapeseed'!K$29</f>
        <v>137</v>
      </c>
      <c r="M49" s="18">
        <f>'[3]EU Rapeseed'!L$29</f>
        <v>108</v>
      </c>
      <c r="N49" s="18">
        <f>'[3]EU Rapeseed'!M$29</f>
        <v>96</v>
      </c>
      <c r="O49" s="18">
        <f>'[3]EU Rapeseed'!N$29</f>
        <v>95</v>
      </c>
      <c r="P49" s="18">
        <f>'[3]EU Rapeseed'!O$29</f>
        <v>87</v>
      </c>
      <c r="Q49" s="18">
        <f>'[3]EU Rapeseed'!P$29</f>
        <v>95</v>
      </c>
      <c r="R49" s="18">
        <f>'[3]EU Rapeseed'!Q$29</f>
        <v>95</v>
      </c>
      <c r="S49" s="18">
        <f>'[3]EU Rapeseed'!R$29</f>
        <v>75</v>
      </c>
      <c r="T49" s="18">
        <f>'[3]EU Rapeseed'!S$29</f>
        <v>170</v>
      </c>
      <c r="U49" s="18">
        <f>'[3]EU Rapeseed'!T$29</f>
        <v>271</v>
      </c>
      <c r="V49" s="18">
        <f>'[3]EU Rapeseed'!U$29</f>
        <v>182</v>
      </c>
      <c r="W49" s="18">
        <f>'[3]EU Rapeseed'!V$29</f>
        <v>229</v>
      </c>
      <c r="X49" s="18">
        <f>'[3]EU Rapeseed'!W$29</f>
        <v>518</v>
      </c>
      <c r="Y49" s="18">
        <f>'[3]EU Rapeseed'!X$29</f>
        <v>508</v>
      </c>
      <c r="Z49" s="18">
        <f>'[3]EU Rapeseed'!Y$29</f>
        <v>470</v>
      </c>
      <c r="AA49" s="18">
        <f>'[3]EU Rapeseed'!Z$29</f>
        <v>488</v>
      </c>
      <c r="AB49" s="18">
        <f>'[3]EU Rapeseed'!AA$29</f>
        <v>581</v>
      </c>
      <c r="AC49" s="18">
        <f>'[3]EU Rapeseed'!AB$29</f>
        <v>460</v>
      </c>
      <c r="AD49" s="18">
        <f>'[3]EU Rapeseed'!AC$29</f>
        <v>387</v>
      </c>
      <c r="AE49" s="18">
        <f>'[3]EU Rapeseed'!AD$29</f>
        <v>386</v>
      </c>
      <c r="AF49" s="18">
        <f>'[3]EU Rapeseed'!AE$29</f>
        <v>431</v>
      </c>
      <c r="AG49" s="18">
        <f>'[3]EU Rapeseed'!AF$29</f>
        <v>393</v>
      </c>
    </row>
    <row r="50" spans="1:33">
      <c r="A50" s="37"/>
      <c r="B50" s="17" t="s">
        <v>53</v>
      </c>
      <c r="C50" s="18">
        <f>'[4]EU Sun Complex'!B$29</f>
        <v>70</v>
      </c>
      <c r="D50" s="18">
        <f>'[4]EU Sun Complex'!C$29</f>
        <v>148</v>
      </c>
      <c r="E50" s="18">
        <f>'[4]EU Sun Complex'!D$29</f>
        <v>191</v>
      </c>
      <c r="F50" s="18">
        <f>'[4]EU Sun Complex'!E$29</f>
        <v>163</v>
      </c>
      <c r="G50" s="18">
        <f>'[4]EU Sun Complex'!F$29</f>
        <v>140</v>
      </c>
      <c r="H50" s="18">
        <f>'[4]EU Sun Complex'!G$29</f>
        <v>183</v>
      </c>
      <c r="I50" s="18">
        <f>'[4]EU Sun Complex'!H$29</f>
        <v>251</v>
      </c>
      <c r="J50" s="18">
        <f>'[4]EU Sun Complex'!I$29</f>
        <v>212</v>
      </c>
      <c r="K50" s="18">
        <f>'[4]EU Sun Complex'!J$29</f>
        <v>171</v>
      </c>
      <c r="L50" s="18">
        <f>'[4]EU Sun Complex'!K$29</f>
        <v>102</v>
      </c>
      <c r="M50" s="18">
        <f>'[4]EU Sun Complex'!L$29</f>
        <v>130</v>
      </c>
      <c r="N50" s="18">
        <f>'[4]EU Sun Complex'!M$29</f>
        <v>98</v>
      </c>
      <c r="O50" s="18">
        <f>'[4]EU Sun Complex'!N$29</f>
        <v>108</v>
      </c>
      <c r="P50" s="18">
        <f>'[4]EU Sun Complex'!O$29</f>
        <v>91</v>
      </c>
      <c r="Q50" s="18">
        <f>'[4]EU Sun Complex'!P$29</f>
        <v>68</v>
      </c>
      <c r="R50" s="18">
        <f>'[4]EU Sun Complex'!Q$29</f>
        <v>317</v>
      </c>
      <c r="S50" s="18">
        <f>'[4]EU Sun Complex'!R$29</f>
        <v>224</v>
      </c>
      <c r="T50" s="18">
        <f>'[4]EU Sun Complex'!S$29</f>
        <v>296</v>
      </c>
      <c r="U50" s="18">
        <f>'[4]EU Sun Complex'!T$29</f>
        <v>659</v>
      </c>
      <c r="V50" s="18">
        <f>'[4]EU Sun Complex'!U$29</f>
        <v>85</v>
      </c>
      <c r="W50" s="18">
        <f>'[4]EU Sun Complex'!V$29</f>
        <v>288</v>
      </c>
      <c r="X50" s="18">
        <f>'[4]EU Sun Complex'!W$29</f>
        <v>380</v>
      </c>
      <c r="Y50" s="18">
        <f>'[4]EU Sun Complex'!X$29</f>
        <v>494</v>
      </c>
      <c r="Z50" s="18">
        <f>'[4]EU Sun Complex'!Y$29</f>
        <v>350</v>
      </c>
      <c r="AA50" s="18">
        <f>'[4]EU Sun Complex'!Z$29</f>
        <v>266</v>
      </c>
      <c r="AB50" s="18">
        <f>'[4]EU Sun Complex'!AA$29</f>
        <v>396</v>
      </c>
      <c r="AC50" s="18">
        <f>'[4]EU Sun Complex'!AB$29</f>
        <v>214</v>
      </c>
      <c r="AD50" s="18">
        <f>'[4]EU Sun Complex'!AC$29</f>
        <v>260</v>
      </c>
      <c r="AE50" s="18">
        <f>'[4]EU Sun Complex'!AD$29</f>
        <v>287</v>
      </c>
      <c r="AF50" s="18">
        <f>'[4]EU Sun Complex'!AE$29</f>
        <v>311</v>
      </c>
      <c r="AG50" s="18">
        <f>'[4]EU Sun Complex'!AF$29</f>
        <v>424</v>
      </c>
    </row>
    <row r="51" spans="1:33">
      <c r="A51" s="37"/>
      <c r="B51" s="17" t="s">
        <v>54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3" spans="1:33"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</row>
    <row r="54" spans="1:33">
      <c r="C54" s="41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85A57-5C00-4344-9913-FCD3894F4A9E}">
  <dimension ref="A1:AR132"/>
  <sheetViews>
    <sheetView zoomScale="129" zoomScaleNormal="85" workbookViewId="0">
      <pane xSplit="2" ySplit="3" topLeftCell="AM16" activePane="bottomRight" state="frozen"/>
      <selection activeCell="X71" sqref="X71:AM72"/>
      <selection pane="topRight" activeCell="X71" sqref="X71:AM72"/>
      <selection pane="bottomLeft" activeCell="X71" sqref="X71:AM72"/>
      <selection pane="bottomRight" activeCell="X71" sqref="X71:AM72"/>
    </sheetView>
  </sheetViews>
  <sheetFormatPr defaultColWidth="8.875" defaultRowHeight="11.25"/>
  <cols>
    <col min="1" max="1" width="8.875" style="64"/>
    <col min="2" max="2" width="29.875" style="64" customWidth="1"/>
    <col min="3" max="32" width="8.875" style="64" customWidth="1"/>
    <col min="33" max="40" width="8.875" style="80" customWidth="1"/>
    <col min="41" max="41" width="9.125" style="64" bestFit="1" customWidth="1"/>
    <col min="42" max="42" width="8.875" style="64"/>
    <col min="43" max="43" width="13.375" style="64" bestFit="1" customWidth="1"/>
    <col min="44" max="44" width="11.75" style="64" bestFit="1" customWidth="1"/>
    <col min="45" max="16384" width="8.875" style="64"/>
  </cols>
  <sheetData>
    <row r="1" spans="1:41">
      <c r="A1" s="61" t="s">
        <v>58</v>
      </c>
      <c r="B1" s="61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3"/>
      <c r="AH1" s="63"/>
      <c r="AI1" s="63"/>
      <c r="AJ1" s="63"/>
      <c r="AK1" s="63"/>
      <c r="AL1" s="63"/>
      <c r="AM1" s="63"/>
      <c r="AN1" s="63"/>
      <c r="AO1" s="63"/>
    </row>
    <row r="2" spans="1:41" ht="12" thickBot="1">
      <c r="A2" s="62"/>
      <c r="B2" s="62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1"/>
      <c r="AH2" s="61"/>
      <c r="AI2" s="61"/>
      <c r="AJ2" s="61"/>
      <c r="AK2" s="61"/>
      <c r="AL2" s="61"/>
      <c r="AM2" s="61"/>
      <c r="AN2" s="61"/>
      <c r="AO2" s="61"/>
    </row>
    <row r="3" spans="1:41" ht="12" thickBot="1">
      <c r="A3" s="66"/>
      <c r="B3" s="66" t="s">
        <v>59</v>
      </c>
      <c r="C3" s="67" t="s">
        <v>2</v>
      </c>
      <c r="D3" s="67" t="s">
        <v>3</v>
      </c>
      <c r="E3" s="67" t="s">
        <v>4</v>
      </c>
      <c r="F3" s="67" t="s">
        <v>5</v>
      </c>
      <c r="G3" s="67" t="s">
        <v>6</v>
      </c>
      <c r="H3" s="67" t="s">
        <v>7</v>
      </c>
      <c r="I3" s="67" t="s">
        <v>8</v>
      </c>
      <c r="J3" s="67" t="s">
        <v>9</v>
      </c>
      <c r="K3" s="67" t="s">
        <v>10</v>
      </c>
      <c r="L3" s="67" t="s">
        <v>11</v>
      </c>
      <c r="M3" s="67" t="s">
        <v>12</v>
      </c>
      <c r="N3" s="67" t="s">
        <v>13</v>
      </c>
      <c r="O3" s="67" t="s">
        <v>14</v>
      </c>
      <c r="P3" s="67" t="s">
        <v>15</v>
      </c>
      <c r="Q3" s="67" t="s">
        <v>16</v>
      </c>
      <c r="R3" s="67" t="s">
        <v>17</v>
      </c>
      <c r="S3" s="67" t="s">
        <v>18</v>
      </c>
      <c r="T3" s="67" t="s">
        <v>19</v>
      </c>
      <c r="U3" s="67" t="s">
        <v>20</v>
      </c>
      <c r="V3" s="67" t="s">
        <v>21</v>
      </c>
      <c r="W3" s="67" t="s">
        <v>22</v>
      </c>
      <c r="X3" s="67" t="s">
        <v>23</v>
      </c>
      <c r="Y3" s="67" t="s">
        <v>24</v>
      </c>
      <c r="Z3" s="67" t="s">
        <v>25</v>
      </c>
      <c r="AA3" s="67" t="s">
        <v>26</v>
      </c>
      <c r="AB3" s="67" t="s">
        <v>27</v>
      </c>
      <c r="AC3" s="67" t="s">
        <v>60</v>
      </c>
      <c r="AD3" s="67" t="s">
        <v>61</v>
      </c>
      <c r="AE3" s="67" t="s">
        <v>62</v>
      </c>
      <c r="AF3" s="67" t="s">
        <v>63</v>
      </c>
      <c r="AG3" s="67" t="s">
        <v>64</v>
      </c>
      <c r="AH3" s="67" t="s">
        <v>65</v>
      </c>
      <c r="AI3" s="67" t="s">
        <v>66</v>
      </c>
      <c r="AJ3" s="67" t="s">
        <v>67</v>
      </c>
      <c r="AK3" s="67" t="s">
        <v>68</v>
      </c>
      <c r="AL3" s="67" t="s">
        <v>69</v>
      </c>
      <c r="AM3" s="67" t="s">
        <v>70</v>
      </c>
      <c r="AN3" s="67" t="s">
        <v>71</v>
      </c>
      <c r="AO3" s="67" t="s">
        <v>72</v>
      </c>
    </row>
    <row r="4" spans="1:41">
      <c r="A4" s="68"/>
      <c r="B4" s="68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</row>
    <row r="5" spans="1:41">
      <c r="A5" s="70" t="s">
        <v>50</v>
      </c>
      <c r="B5" s="71"/>
      <c r="C5" s="72">
        <f>SUM(C6:C10)</f>
        <v>794</v>
      </c>
      <c r="D5" s="72">
        <f t="shared" ref="D5:AO5" si="0">SUM(D6:D10)</f>
        <v>790</v>
      </c>
      <c r="E5" s="72">
        <f t="shared" si="0"/>
        <v>899</v>
      </c>
      <c r="F5" s="72">
        <f t="shared" si="0"/>
        <v>1034</v>
      </c>
      <c r="G5" s="72">
        <f t="shared" si="0"/>
        <v>854</v>
      </c>
      <c r="H5" s="72">
        <f t="shared" si="0"/>
        <v>847</v>
      </c>
      <c r="I5" s="72">
        <f t="shared" si="0"/>
        <v>935</v>
      </c>
      <c r="J5" s="72">
        <f t="shared" si="0"/>
        <v>1005</v>
      </c>
      <c r="K5" s="72">
        <f t="shared" si="0"/>
        <v>1162</v>
      </c>
      <c r="L5" s="72">
        <f t="shared" si="0"/>
        <v>1185</v>
      </c>
      <c r="M5" s="72">
        <f t="shared" si="0"/>
        <v>1181</v>
      </c>
      <c r="N5" s="72">
        <f t="shared" si="0"/>
        <v>983</v>
      </c>
      <c r="O5" s="72">
        <f t="shared" si="0"/>
        <v>1095</v>
      </c>
      <c r="P5" s="72">
        <f t="shared" si="0"/>
        <v>1210</v>
      </c>
      <c r="Q5" s="72">
        <f t="shared" si="0"/>
        <v>1232</v>
      </c>
      <c r="R5" s="72">
        <f t="shared" si="0"/>
        <v>1622</v>
      </c>
      <c r="S5" s="72">
        <f t="shared" si="0"/>
        <v>1905</v>
      </c>
      <c r="T5" s="72">
        <f t="shared" si="0"/>
        <v>1617</v>
      </c>
      <c r="U5" s="72">
        <f t="shared" si="0"/>
        <v>1702</v>
      </c>
      <c r="V5" s="72">
        <f t="shared" si="0"/>
        <v>1770</v>
      </c>
      <c r="W5" s="72">
        <f t="shared" si="0"/>
        <v>1265</v>
      </c>
      <c r="X5" s="72">
        <f t="shared" si="0"/>
        <v>1715</v>
      </c>
      <c r="Y5" s="72">
        <f t="shared" si="0"/>
        <v>1301</v>
      </c>
      <c r="Z5" s="72">
        <f t="shared" si="0"/>
        <v>1173</v>
      </c>
      <c r="AA5" s="72">
        <f t="shared" si="0"/>
        <v>1439</v>
      </c>
      <c r="AB5" s="72">
        <f t="shared" si="0"/>
        <v>1570</v>
      </c>
      <c r="AC5" s="72">
        <f t="shared" si="0"/>
        <v>2200</v>
      </c>
      <c r="AD5" s="72">
        <f t="shared" si="0"/>
        <v>2877</v>
      </c>
      <c r="AE5" s="72">
        <f t="shared" si="0"/>
        <v>1552</v>
      </c>
      <c r="AF5" s="72">
        <f t="shared" si="0"/>
        <v>1940</v>
      </c>
      <c r="AG5" s="72">
        <f t="shared" si="0"/>
        <v>1899</v>
      </c>
      <c r="AH5" s="72">
        <f t="shared" si="0"/>
        <v>2337</v>
      </c>
      <c r="AI5" s="72">
        <f t="shared" si="0"/>
        <v>1901</v>
      </c>
      <c r="AJ5" s="72">
        <f t="shared" si="0"/>
        <v>1915</v>
      </c>
      <c r="AK5" s="72">
        <f t="shared" si="0"/>
        <v>2031</v>
      </c>
      <c r="AL5" s="72">
        <f t="shared" si="0"/>
        <v>1995</v>
      </c>
      <c r="AM5" s="72">
        <f t="shared" si="0"/>
        <v>2240</v>
      </c>
      <c r="AN5" s="72">
        <f t="shared" si="0"/>
        <v>2190</v>
      </c>
      <c r="AO5" s="72">
        <f t="shared" si="0"/>
        <v>1150</v>
      </c>
    </row>
    <row r="6" spans="1:41">
      <c r="A6" s="68"/>
      <c r="B6" s="68" t="s">
        <v>51</v>
      </c>
      <c r="C6" s="73">
        <f>'[2]EU Soy Complex'!AE$31</f>
        <v>263</v>
      </c>
      <c r="D6" s="73">
        <f>'[2]EU Soy Complex'!AF$31</f>
        <v>246</v>
      </c>
      <c r="E6" s="73">
        <f>'[2]EU Soy Complex'!AG$31</f>
        <v>280</v>
      </c>
      <c r="F6" s="73">
        <f>'[2]EU Soy Complex'!AH$31</f>
        <v>228</v>
      </c>
      <c r="G6" s="73">
        <f>'[2]EU Soy Complex'!AI$31</f>
        <v>184</v>
      </c>
      <c r="H6" s="73">
        <f>'[2]EU Soy Complex'!AJ$31</f>
        <v>199</v>
      </c>
      <c r="I6" s="73">
        <f>'[2]EU Soy Complex'!AK$31</f>
        <v>232</v>
      </c>
      <c r="J6" s="73">
        <f>'[2]EU Soy Complex'!AL$31</f>
        <v>227</v>
      </c>
      <c r="K6" s="73">
        <f>'[2]EU Soy Complex'!AM$31</f>
        <v>214</v>
      </c>
      <c r="L6" s="73">
        <f>'[2]EU Soy Complex'!AN$31</f>
        <v>291</v>
      </c>
      <c r="M6" s="73">
        <f>'[2]EU Soy Complex'!AO$31</f>
        <v>255</v>
      </c>
      <c r="N6" s="73">
        <f>'[2]EU Soy Complex'!AP$31</f>
        <v>180</v>
      </c>
      <c r="O6" s="73">
        <f>'[2]EU Soy Complex'!AQ$31</f>
        <v>221</v>
      </c>
      <c r="P6" s="73">
        <f>'[2]EU Soy Complex'!AR$31</f>
        <v>254</v>
      </c>
      <c r="Q6" s="73">
        <f>'[2]EU Soy Complex'!AS$31</f>
        <v>270</v>
      </c>
      <c r="R6" s="73">
        <f>'[2]EU Soy Complex'!AT$31</f>
        <v>488</v>
      </c>
      <c r="S6" s="73">
        <f>'[2]EU Soy Complex'!AU$31</f>
        <v>438</v>
      </c>
      <c r="T6" s="73">
        <f>'[2]EU Soy Complex'!AV$31</f>
        <v>129</v>
      </c>
      <c r="U6" s="73">
        <f>'[2]EU Soy Complex'!AW$31</f>
        <v>515</v>
      </c>
      <c r="V6" s="73">
        <f>'[2]EU Soy Complex'!AX$31</f>
        <v>313</v>
      </c>
      <c r="W6" s="73">
        <f>'[2]EU Soy Complex'!AY$31</f>
        <v>187</v>
      </c>
      <c r="X6" s="73">
        <f>'[2]EU Soy Complex'!AZ$31</f>
        <v>249</v>
      </c>
      <c r="Y6" s="73">
        <f>'[2]EU Soy Complex'!BA$31</f>
        <v>198</v>
      </c>
      <c r="Z6" s="73">
        <f>'[2]EU Soy Complex'!BB$31</f>
        <v>164</v>
      </c>
      <c r="AA6" s="73">
        <f>'[2]EU Soy Complex'!BC$31</f>
        <v>211</v>
      </c>
      <c r="AB6" s="73">
        <f>'[2]EU Soy Complex'!BD$31</f>
        <v>245</v>
      </c>
      <c r="AC6" s="73">
        <f>'[2]EU Soy Complex'!BE$31</f>
        <v>282</v>
      </c>
      <c r="AD6" s="73">
        <f>'[2]EU Soy Complex'!BF$31</f>
        <v>439</v>
      </c>
      <c r="AE6" s="73">
        <f>'[2]EU Soy Complex'!BG$31</f>
        <v>443</v>
      </c>
      <c r="AF6" s="73">
        <f>'[2]EU Soy Complex'!BH$31</f>
        <v>563</v>
      </c>
      <c r="AG6" s="73">
        <f>'[2]EU Soy Complex'!BI$31</f>
        <v>601</v>
      </c>
      <c r="AH6" s="74">
        <f>'[2]EU Soy Complex'!BJ$31</f>
        <v>655</v>
      </c>
      <c r="AI6" s="74">
        <f>'[2]EU Soy Complex'!BK$31</f>
        <v>650</v>
      </c>
      <c r="AJ6" s="74">
        <f>'[2]EU Soy Complex'!BL$31</f>
        <v>650</v>
      </c>
      <c r="AK6" s="74">
        <f>'[2]EU Soy Complex'!BM$31</f>
        <v>650</v>
      </c>
      <c r="AL6" s="74">
        <f>'[2]EU Soy Complex'!BN$31</f>
        <v>650</v>
      </c>
      <c r="AM6" s="74">
        <f>'[2]EU Soy Complex'!BO$31</f>
        <v>650</v>
      </c>
      <c r="AN6" s="74">
        <f>'[2]EU Soy Complex'!BP$31</f>
        <v>650</v>
      </c>
      <c r="AO6" s="74">
        <f>'[2]EU Soy Complex'!BQ$31</f>
        <v>650</v>
      </c>
    </row>
    <row r="7" spans="1:41">
      <c r="A7" s="68"/>
      <c r="B7" s="68" t="s">
        <v>52</v>
      </c>
      <c r="C7" s="73">
        <f>'[3]EU Rapeseed'!B$32</f>
        <v>201</v>
      </c>
      <c r="D7" s="73">
        <f>'[3]EU Rapeseed'!C$32</f>
        <v>196</v>
      </c>
      <c r="E7" s="73">
        <f>'[3]EU Rapeseed'!D$32</f>
        <v>185</v>
      </c>
      <c r="F7" s="73">
        <f>'[3]EU Rapeseed'!E$32</f>
        <v>279</v>
      </c>
      <c r="G7" s="73">
        <f>'[3]EU Rapeseed'!F$32</f>
        <v>204</v>
      </c>
      <c r="H7" s="73">
        <f>'[3]EU Rapeseed'!G$32</f>
        <v>233</v>
      </c>
      <c r="I7" s="73">
        <f>'[3]EU Rapeseed'!H$32</f>
        <v>207</v>
      </c>
      <c r="J7" s="73">
        <f>'[3]EU Rapeseed'!I$32</f>
        <v>257</v>
      </c>
      <c r="K7" s="73">
        <f>'[3]EU Rapeseed'!J$32</f>
        <v>348</v>
      </c>
      <c r="L7" s="73">
        <f>'[3]EU Rapeseed'!K$32</f>
        <v>320</v>
      </c>
      <c r="M7" s="73">
        <f>'[3]EU Rapeseed'!L$32</f>
        <v>317</v>
      </c>
      <c r="N7" s="73">
        <f>'[3]EU Rapeseed'!M$32</f>
        <v>156</v>
      </c>
      <c r="O7" s="73">
        <f>'[3]EU Rapeseed'!N$32</f>
        <v>214</v>
      </c>
      <c r="P7" s="73">
        <f>'[3]EU Rapeseed'!O$32</f>
        <v>208</v>
      </c>
      <c r="Q7" s="73">
        <f>'[3]EU Rapeseed'!P$32</f>
        <v>201</v>
      </c>
      <c r="R7" s="73">
        <f>'[3]EU Rapeseed'!Q$32</f>
        <v>305</v>
      </c>
      <c r="S7" s="73">
        <f>'[3]EU Rapeseed'!R$32</f>
        <v>280</v>
      </c>
      <c r="T7" s="73">
        <f>'[3]EU Rapeseed'!S$32</f>
        <v>318</v>
      </c>
      <c r="U7" s="73">
        <f>'[3]EU Rapeseed'!T$32</f>
        <v>194</v>
      </c>
      <c r="V7" s="73">
        <f>'[3]EU Rapeseed'!U$32</f>
        <v>281</v>
      </c>
      <c r="W7" s="73">
        <f>'[3]EU Rapeseed'!V$32</f>
        <v>220</v>
      </c>
      <c r="X7" s="73">
        <f>'[3]EU Rapeseed'!W$32</f>
        <v>408</v>
      </c>
      <c r="Y7" s="73">
        <f>'[3]EU Rapeseed'!X$32</f>
        <v>194</v>
      </c>
      <c r="Z7" s="73">
        <f>'[3]EU Rapeseed'!Y$32</f>
        <v>281</v>
      </c>
      <c r="AA7" s="73">
        <f>'[3]EU Rapeseed'!Z$32</f>
        <v>220</v>
      </c>
      <c r="AB7" s="73">
        <f>'[3]EU Rapeseed'!AA$32</f>
        <v>408</v>
      </c>
      <c r="AC7" s="73">
        <f>'[3]EU Rapeseed'!AB$32</f>
        <v>663</v>
      </c>
      <c r="AD7" s="73">
        <f>'[3]EU Rapeseed'!AC$32</f>
        <v>525</v>
      </c>
      <c r="AE7" s="73">
        <f>'[3]EU Rapeseed'!AD$32</f>
        <v>212</v>
      </c>
      <c r="AF7" s="73">
        <f>'[3]EU Rapeseed'!AE$32</f>
        <v>86</v>
      </c>
      <c r="AG7" s="73">
        <f>'[3]EU Rapeseed'!AF$32</f>
        <v>318</v>
      </c>
      <c r="AH7" s="74">
        <f>'[3]EU Rapeseed'!AG$32</f>
        <v>378</v>
      </c>
      <c r="AI7" s="74">
        <f>'[3]EU Rapeseed'!AH$32</f>
        <v>211</v>
      </c>
      <c r="AJ7" s="74">
        <f>'[3]EU Rapeseed'!AI$32</f>
        <v>325</v>
      </c>
      <c r="AK7" s="74">
        <f>'[3]EU Rapeseed'!AJ$32</f>
        <v>291</v>
      </c>
      <c r="AL7" s="74">
        <f>'[3]EU Rapeseed'!AK$32</f>
        <v>305</v>
      </c>
      <c r="AM7" s="74">
        <f>'[3]EU Rapeseed'!AL$32</f>
        <v>500</v>
      </c>
      <c r="AN7" s="74">
        <f>'[3]EU Rapeseed'!AM$32</f>
        <v>500</v>
      </c>
      <c r="AO7" s="74">
        <f>'[3]EU Rapeseed'!AN$32</f>
        <v>500</v>
      </c>
    </row>
    <row r="8" spans="1:41">
      <c r="A8" s="68"/>
      <c r="B8" s="68" t="s">
        <v>53</v>
      </c>
      <c r="C8" s="73">
        <f>'[4]EU Sun Complex'!B$32</f>
        <v>202</v>
      </c>
      <c r="D8" s="73">
        <f>'[4]EU Sun Complex'!C$32</f>
        <v>199</v>
      </c>
      <c r="E8" s="73">
        <f>'[4]EU Sun Complex'!D$32</f>
        <v>274</v>
      </c>
      <c r="F8" s="73">
        <f>'[4]EU Sun Complex'!E$32</f>
        <v>374</v>
      </c>
      <c r="G8" s="73">
        <f>'[4]EU Sun Complex'!F$32</f>
        <v>296</v>
      </c>
      <c r="H8" s="73">
        <f>'[4]EU Sun Complex'!G$32</f>
        <v>238</v>
      </c>
      <c r="I8" s="73">
        <f>'[4]EU Sun Complex'!H$32</f>
        <v>299</v>
      </c>
      <c r="J8" s="73">
        <f>'[4]EU Sun Complex'!I$32</f>
        <v>320</v>
      </c>
      <c r="K8" s="73">
        <f>'[4]EU Sun Complex'!J$32</f>
        <v>326</v>
      </c>
      <c r="L8" s="73">
        <f>'[4]EU Sun Complex'!K$32</f>
        <v>284</v>
      </c>
      <c r="M8" s="73">
        <f>'[4]EU Sun Complex'!L$32</f>
        <v>292</v>
      </c>
      <c r="N8" s="73">
        <f>'[4]EU Sun Complex'!M$32</f>
        <v>306</v>
      </c>
      <c r="O8" s="73">
        <f>'[4]EU Sun Complex'!N$32</f>
        <v>265</v>
      </c>
      <c r="P8" s="73">
        <f>'[4]EU Sun Complex'!O$32</f>
        <v>303</v>
      </c>
      <c r="Q8" s="73">
        <f>'[4]EU Sun Complex'!P$32</f>
        <v>338</v>
      </c>
      <c r="R8" s="73">
        <f>'[4]EU Sun Complex'!Q$32</f>
        <v>315</v>
      </c>
      <c r="S8" s="73">
        <f>'[4]EU Sun Complex'!R$32</f>
        <v>525</v>
      </c>
      <c r="T8" s="73">
        <f>'[4]EU Sun Complex'!S$32</f>
        <v>452</v>
      </c>
      <c r="U8" s="73">
        <f>'[4]EU Sun Complex'!T$32</f>
        <v>295</v>
      </c>
      <c r="V8" s="73">
        <f>'[4]EU Sun Complex'!U$32</f>
        <v>499</v>
      </c>
      <c r="W8" s="73">
        <f>'[4]EU Sun Complex'!V$32</f>
        <v>186</v>
      </c>
      <c r="X8" s="73">
        <f>'[4]EU Sun Complex'!W$32</f>
        <v>329</v>
      </c>
      <c r="Y8" s="73">
        <f>'[4]EU Sun Complex'!X$32</f>
        <v>252</v>
      </c>
      <c r="Z8" s="73">
        <f>'[4]EU Sun Complex'!Y$32</f>
        <v>158</v>
      </c>
      <c r="AA8" s="73">
        <f>'[4]EU Sun Complex'!Z$32</f>
        <v>354</v>
      </c>
      <c r="AB8" s="73">
        <f>'[4]EU Sun Complex'!AA$32</f>
        <v>258</v>
      </c>
      <c r="AC8" s="73">
        <f>'[4]EU Sun Complex'!AB$32</f>
        <v>372</v>
      </c>
      <c r="AD8" s="73">
        <f>'[4]EU Sun Complex'!AC$32</f>
        <v>648</v>
      </c>
      <c r="AE8" s="73">
        <f>'[4]EU Sun Complex'!AD$32</f>
        <v>211</v>
      </c>
      <c r="AF8" s="73">
        <f>'[4]EU Sun Complex'!AE$32</f>
        <v>646</v>
      </c>
      <c r="AG8" s="73">
        <f>'[4]EU Sun Complex'!AF$32</f>
        <v>292</v>
      </c>
      <c r="AH8" s="74">
        <f>'[4]EU Sun Complex'!AG$32</f>
        <v>741</v>
      </c>
      <c r="AI8" s="74">
        <f>'[4]EU Sun Complex'!AH$32</f>
        <v>500</v>
      </c>
      <c r="AJ8" s="74">
        <f>'[4]EU Sun Complex'!AI$32</f>
        <v>400</v>
      </c>
      <c r="AK8" s="74">
        <f>'[4]EU Sun Complex'!AJ$32</f>
        <v>550</v>
      </c>
      <c r="AL8" s="74">
        <f>'[4]EU Sun Complex'!AK$32</f>
        <v>500</v>
      </c>
      <c r="AM8" s="74">
        <f>'[4]EU Sun Complex'!AL$32</f>
        <v>550</v>
      </c>
      <c r="AN8" s="74">
        <f>'[4]EU Sun Complex'!AM$32</f>
        <v>500</v>
      </c>
      <c r="AO8" s="74">
        <f>'[4]EU Sun Complex'!AN$32</f>
        <v>0</v>
      </c>
    </row>
    <row r="9" spans="1:41">
      <c r="A9" s="68"/>
      <c r="B9" s="68" t="s">
        <v>54</v>
      </c>
      <c r="C9" s="73">
        <f>'EU Palm Oil'!B4</f>
        <v>105</v>
      </c>
      <c r="D9" s="73">
        <f>'EU Palm Oil'!C4</f>
        <v>129</v>
      </c>
      <c r="E9" s="73">
        <f>'EU Palm Oil'!D4</f>
        <v>133</v>
      </c>
      <c r="F9" s="73">
        <f>'EU Palm Oil'!E4</f>
        <v>135</v>
      </c>
      <c r="G9" s="73">
        <f>'EU Palm Oil'!F4</f>
        <v>161</v>
      </c>
      <c r="H9" s="73">
        <f>'EU Palm Oil'!G4</f>
        <v>166</v>
      </c>
      <c r="I9" s="73">
        <f>'EU Palm Oil'!H4</f>
        <v>175</v>
      </c>
      <c r="J9" s="73">
        <f>'EU Palm Oil'!I4</f>
        <v>179</v>
      </c>
      <c r="K9" s="73">
        <f>'EU Palm Oil'!J4</f>
        <v>220</v>
      </c>
      <c r="L9" s="73">
        <f>'EU Palm Oil'!K4</f>
        <v>231</v>
      </c>
      <c r="M9" s="73">
        <f>'EU Palm Oil'!L4</f>
        <v>264</v>
      </c>
      <c r="N9" s="73">
        <f>'EU Palm Oil'!M4</f>
        <v>285</v>
      </c>
      <c r="O9" s="73">
        <f>'EU Palm Oil'!N4</f>
        <v>340</v>
      </c>
      <c r="P9" s="73">
        <f>'EU Palm Oil'!O4</f>
        <v>414</v>
      </c>
      <c r="Q9" s="73">
        <f>'EU Palm Oil'!P4</f>
        <v>373</v>
      </c>
      <c r="R9" s="73">
        <f>'EU Palm Oil'!Q4</f>
        <v>449</v>
      </c>
      <c r="S9" s="73">
        <f>'EU Palm Oil'!R4</f>
        <v>586</v>
      </c>
      <c r="T9" s="73">
        <f>'EU Palm Oil'!S4</f>
        <v>664</v>
      </c>
      <c r="U9" s="73">
        <f>'EU Palm Oil'!T4</f>
        <v>658</v>
      </c>
      <c r="V9" s="73">
        <f>'EU Palm Oil'!U4</f>
        <v>646</v>
      </c>
      <c r="W9" s="73">
        <f>'EU Palm Oil'!V4</f>
        <v>573</v>
      </c>
      <c r="X9" s="73">
        <f>'EU Palm Oil'!W4</f>
        <v>630</v>
      </c>
      <c r="Y9" s="73">
        <f>'EU Palm Oil'!X4</f>
        <v>556</v>
      </c>
      <c r="Z9" s="73">
        <f>'EU Palm Oil'!Y4</f>
        <v>425</v>
      </c>
      <c r="AA9" s="73">
        <f>'EU Palm Oil'!Z4</f>
        <v>498</v>
      </c>
      <c r="AB9" s="73">
        <f>'EU Palm Oil'!AA4</f>
        <v>496</v>
      </c>
      <c r="AC9" s="73">
        <f>'EU Palm Oil'!AB4</f>
        <v>752</v>
      </c>
      <c r="AD9" s="73">
        <f>'EU Palm Oil'!AC4</f>
        <v>1137</v>
      </c>
      <c r="AE9" s="73">
        <f>'EU Palm Oil'!AD4</f>
        <v>568</v>
      </c>
      <c r="AF9" s="73">
        <f>'EU Palm Oil'!AE4</f>
        <v>559</v>
      </c>
      <c r="AG9" s="73">
        <f>'EU Palm Oil'!AF4</f>
        <v>610</v>
      </c>
      <c r="AH9" s="74">
        <f>'EU Palm Oil'!AG4</f>
        <v>462</v>
      </c>
      <c r="AI9" s="74">
        <f>'EU Palm Oil'!AH4</f>
        <v>450</v>
      </c>
      <c r="AJ9" s="74">
        <f>'EU Palm Oil'!AI4</f>
        <v>450</v>
      </c>
      <c r="AK9" s="74">
        <f>'EU Palm Oil'!AJ4</f>
        <v>450</v>
      </c>
      <c r="AL9" s="74">
        <f>'EU Palm Oil'!AK4</f>
        <v>450</v>
      </c>
      <c r="AM9" s="74">
        <f>'EU Palm Oil'!AL4</f>
        <v>450</v>
      </c>
      <c r="AN9" s="74">
        <f>'EU Palm Oil'!AM4</f>
        <v>450</v>
      </c>
      <c r="AO9" s="74">
        <f>'EU Palm Oil'!AN4</f>
        <v>0</v>
      </c>
    </row>
    <row r="10" spans="1:41">
      <c r="A10" s="68"/>
      <c r="B10" s="68" t="s">
        <v>73</v>
      </c>
      <c r="C10" s="73">
        <f>'EU Palm Oil'!B17</f>
        <v>23</v>
      </c>
      <c r="D10" s="73">
        <f>'EU Palm Oil'!C17</f>
        <v>20</v>
      </c>
      <c r="E10" s="73">
        <f>'EU Palm Oil'!D17</f>
        <v>27</v>
      </c>
      <c r="F10" s="73">
        <f>'EU Palm Oil'!E17</f>
        <v>18</v>
      </c>
      <c r="G10" s="73">
        <f>'EU Palm Oil'!F17</f>
        <v>9</v>
      </c>
      <c r="H10" s="73">
        <f>'EU Palm Oil'!G17</f>
        <v>11</v>
      </c>
      <c r="I10" s="73">
        <f>'EU Palm Oil'!H17</f>
        <v>22</v>
      </c>
      <c r="J10" s="73">
        <f>'EU Palm Oil'!I17</f>
        <v>22</v>
      </c>
      <c r="K10" s="73">
        <f>'EU Palm Oil'!J17</f>
        <v>54</v>
      </c>
      <c r="L10" s="73">
        <f>'EU Palm Oil'!K17</f>
        <v>59</v>
      </c>
      <c r="M10" s="73">
        <f>'EU Palm Oil'!L17</f>
        <v>53</v>
      </c>
      <c r="N10" s="73">
        <f>'EU Palm Oil'!M17</f>
        <v>56</v>
      </c>
      <c r="O10" s="73">
        <f>'EU Palm Oil'!N17</f>
        <v>55</v>
      </c>
      <c r="P10" s="73">
        <f>'EU Palm Oil'!O17</f>
        <v>31</v>
      </c>
      <c r="Q10" s="73">
        <f>'EU Palm Oil'!P17</f>
        <v>50</v>
      </c>
      <c r="R10" s="73">
        <f>'EU Palm Oil'!Q17</f>
        <v>65</v>
      </c>
      <c r="S10" s="73">
        <f>'EU Palm Oil'!R17</f>
        <v>76</v>
      </c>
      <c r="T10" s="73">
        <f>'EU Palm Oil'!S17</f>
        <v>54</v>
      </c>
      <c r="U10" s="73">
        <f>'EU Palm Oil'!T17</f>
        <v>40</v>
      </c>
      <c r="V10" s="73">
        <f>'EU Palm Oil'!U17</f>
        <v>31</v>
      </c>
      <c r="W10" s="73">
        <f>'EU Palm Oil'!V17</f>
        <v>99</v>
      </c>
      <c r="X10" s="73">
        <f>'EU Palm Oil'!W17</f>
        <v>99</v>
      </c>
      <c r="Y10" s="73">
        <f>'EU Palm Oil'!X17</f>
        <v>101</v>
      </c>
      <c r="Z10" s="73">
        <f>'EU Palm Oil'!Y17</f>
        <v>145</v>
      </c>
      <c r="AA10" s="73">
        <f>'EU Palm Oil'!Z17</f>
        <v>156</v>
      </c>
      <c r="AB10" s="73">
        <f>'EU Palm Oil'!AA17</f>
        <v>163</v>
      </c>
      <c r="AC10" s="73">
        <f>'EU Palm Oil'!AB17</f>
        <v>131</v>
      </c>
      <c r="AD10" s="73">
        <f>'EU Palm Oil'!AC17</f>
        <v>128</v>
      </c>
      <c r="AE10" s="73">
        <f>'EU Palm Oil'!AD17</f>
        <v>118</v>
      </c>
      <c r="AF10" s="73">
        <f>'EU Palm Oil'!AE17</f>
        <v>86</v>
      </c>
      <c r="AG10" s="73">
        <f>'EU Palm Oil'!AF17</f>
        <v>78</v>
      </c>
      <c r="AH10" s="74">
        <f>'EU Palm Oil'!AG17</f>
        <v>101</v>
      </c>
      <c r="AI10" s="74">
        <f>'EU Palm Oil'!AH17</f>
        <v>90</v>
      </c>
      <c r="AJ10" s="74">
        <f>'EU Palm Oil'!AI17</f>
        <v>90</v>
      </c>
      <c r="AK10" s="74">
        <f>'EU Palm Oil'!AJ17</f>
        <v>90</v>
      </c>
      <c r="AL10" s="74">
        <f>'EU Palm Oil'!AK17</f>
        <v>90</v>
      </c>
      <c r="AM10" s="74">
        <f>'EU Palm Oil'!AL17</f>
        <v>90</v>
      </c>
      <c r="AN10" s="74">
        <f>'EU Palm Oil'!AM17</f>
        <v>90</v>
      </c>
      <c r="AO10" s="74">
        <f>'EU Palm Oil'!AN17</f>
        <v>0</v>
      </c>
    </row>
    <row r="11" spans="1:41">
      <c r="A11" s="68"/>
      <c r="B11" s="68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4"/>
      <c r="AH11" s="74"/>
      <c r="AI11" s="74"/>
      <c r="AJ11" s="74"/>
      <c r="AK11" s="74"/>
      <c r="AL11" s="74"/>
      <c r="AM11" s="74"/>
      <c r="AN11" s="74"/>
      <c r="AO11" s="74"/>
    </row>
    <row r="12" spans="1:41">
      <c r="A12" s="75" t="s">
        <v>38</v>
      </c>
      <c r="B12" s="76"/>
      <c r="C12" s="72">
        <f>SUM(C13:C17)</f>
        <v>9291.3549708569335</v>
      </c>
      <c r="D12" s="72">
        <f t="shared" ref="D12:AO12" si="1">SUM(D13:D17)</f>
        <v>10635.608322957767</v>
      </c>
      <c r="E12" s="72">
        <f t="shared" si="1"/>
        <v>10975.624633142799</v>
      </c>
      <c r="F12" s="72">
        <f t="shared" si="1"/>
        <v>11116.379350273182</v>
      </c>
      <c r="G12" s="72">
        <f t="shared" si="1"/>
        <v>11693.619156317029</v>
      </c>
      <c r="H12" s="72">
        <f t="shared" si="1"/>
        <v>11873.621053930825</v>
      </c>
      <c r="I12" s="72">
        <f t="shared" si="1"/>
        <v>11671.53381200034</v>
      </c>
      <c r="J12" s="72">
        <f t="shared" si="1"/>
        <v>11480.725581929706</v>
      </c>
      <c r="K12" s="72">
        <f t="shared" si="1"/>
        <v>11096.187768255048</v>
      </c>
      <c r="L12" s="72">
        <f t="shared" si="1"/>
        <v>11056.555504278518</v>
      </c>
      <c r="M12" s="72">
        <f t="shared" si="1"/>
        <v>10974.997775255824</v>
      </c>
      <c r="N12" s="72">
        <f t="shared" si="1"/>
        <v>12167.099672378732</v>
      </c>
      <c r="O12" s="72">
        <f t="shared" si="1"/>
        <v>13039.52007141741</v>
      </c>
      <c r="P12" s="72">
        <f t="shared" si="1"/>
        <v>13897.445623059666</v>
      </c>
      <c r="Q12" s="72">
        <f t="shared" si="1"/>
        <v>14904.194409451819</v>
      </c>
      <c r="R12" s="72">
        <f t="shared" si="1"/>
        <v>16531.453735491359</v>
      </c>
      <c r="S12" s="72">
        <f t="shared" si="1"/>
        <v>17590.958892519549</v>
      </c>
      <c r="T12" s="72">
        <f t="shared" si="1"/>
        <v>17051.325383058334</v>
      </c>
      <c r="U12" s="72">
        <f t="shared" si="1"/>
        <v>17620.038825377826</v>
      </c>
      <c r="V12" s="72">
        <f t="shared" si="1"/>
        <v>18041.04</v>
      </c>
      <c r="W12" s="72">
        <f t="shared" si="1"/>
        <v>19375.330786516854</v>
      </c>
      <c r="X12" s="72">
        <f t="shared" si="1"/>
        <v>20339.567543252593</v>
      </c>
      <c r="Y12" s="72">
        <f t="shared" si="1"/>
        <v>19518.553244147155</v>
      </c>
      <c r="Z12" s="72">
        <f t="shared" si="1"/>
        <v>19876.217557932912</v>
      </c>
      <c r="AA12" s="72">
        <f t="shared" si="1"/>
        <v>19319.279478025306</v>
      </c>
      <c r="AB12" s="72">
        <f t="shared" si="1"/>
        <v>18680.10505452213</v>
      </c>
      <c r="AC12" s="72">
        <f t="shared" si="1"/>
        <v>18648.280184331797</v>
      </c>
      <c r="AD12" s="72">
        <f t="shared" si="1"/>
        <v>20358.518247181517</v>
      </c>
      <c r="AE12" s="72">
        <f t="shared" si="1"/>
        <v>20261.757702470139</v>
      </c>
      <c r="AF12" s="72">
        <f t="shared" si="1"/>
        <v>20983.795747496828</v>
      </c>
      <c r="AG12" s="72">
        <f t="shared" si="1"/>
        <v>21249.597659127667</v>
      </c>
      <c r="AH12" s="72">
        <f t="shared" si="1"/>
        <v>21225.251428571435</v>
      </c>
      <c r="AI12" s="72">
        <f t="shared" si="1"/>
        <v>22384.631578947377</v>
      </c>
      <c r="AJ12" s="72">
        <f t="shared" si="1"/>
        <v>22935.833082706777</v>
      </c>
      <c r="AK12" s="72">
        <f t="shared" si="1"/>
        <v>23538.541353383465</v>
      </c>
      <c r="AL12" s="72">
        <f t="shared" si="1"/>
        <v>24141.249624060158</v>
      </c>
      <c r="AM12" s="72">
        <f t="shared" si="1"/>
        <v>24743.957894736857</v>
      </c>
      <c r="AN12" s="72">
        <f t="shared" si="1"/>
        <v>25388.666165413553</v>
      </c>
      <c r="AO12" s="72">
        <f t="shared" si="1"/>
        <v>21749.374436090242</v>
      </c>
    </row>
    <row r="13" spans="1:41">
      <c r="A13" s="68"/>
      <c r="B13" s="68" t="s">
        <v>51</v>
      </c>
      <c r="C13" s="73">
        <f>'[2]EU Soy Complex'!AE$32</f>
        <v>2282.6075230660044</v>
      </c>
      <c r="D13" s="73">
        <f>'[2]EU Soy Complex'!AF$32</f>
        <v>2772.7631356757815</v>
      </c>
      <c r="E13" s="73">
        <f>'[2]EU Soy Complex'!AG$32</f>
        <v>2585.5380116959059</v>
      </c>
      <c r="F13" s="73">
        <f>'[2]EU Soy Complex'!AH$32</f>
        <v>2650</v>
      </c>
      <c r="G13" s="73">
        <f>'[2]EU Soy Complex'!AI$32</f>
        <v>2800.0000000000005</v>
      </c>
      <c r="H13" s="73">
        <f>'[2]EU Soy Complex'!AJ$32</f>
        <v>2794.4622242175469</v>
      </c>
      <c r="I13" s="73">
        <f>'[2]EU Soy Complex'!AK$32</f>
        <v>2567</v>
      </c>
      <c r="J13" s="73">
        <f>'[2]EU Soy Complex'!AL$32</f>
        <v>3033</v>
      </c>
      <c r="K13" s="73">
        <f>'[2]EU Soy Complex'!AM$32</f>
        <v>3245.0000000000005</v>
      </c>
      <c r="L13" s="73">
        <f>'[2]EU Soy Complex'!AN$32</f>
        <v>2989.9999999999995</v>
      </c>
      <c r="M13" s="73">
        <f>'[2]EU Soy Complex'!AO$32</f>
        <v>2539.3580681498174</v>
      </c>
      <c r="N13" s="73">
        <f>'[2]EU Soy Complex'!AP$32</f>
        <v>2582.44242088498</v>
      </c>
      <c r="O13" s="73">
        <f>'[2]EU Soy Complex'!AQ$32</f>
        <v>2486.8836400521659</v>
      </c>
      <c r="P13" s="73">
        <f>'[2]EU Soy Complex'!AR$32</f>
        <v>2655.2308627795419</v>
      </c>
      <c r="Q13" s="73">
        <f>'[2]EU Soy Complex'!AS$32</f>
        <v>2685.4244998996455</v>
      </c>
      <c r="R13" s="73">
        <f>'[2]EU Soy Complex'!AT$32</f>
        <v>2324.9381761978361</v>
      </c>
      <c r="S13" s="73">
        <f>'[2]EU Soy Complex'!AU$32</f>
        <v>2301.6363636363635</v>
      </c>
      <c r="T13" s="73">
        <f>'[2]EU Soy Complex'!AV$32</f>
        <v>2360.1021897810219</v>
      </c>
      <c r="U13" s="73">
        <f>'[2]EU Soy Complex'!AW$32</f>
        <v>2377.09</v>
      </c>
      <c r="V13" s="73">
        <f>'[2]EU Soy Complex'!AX$32</f>
        <v>2492.04</v>
      </c>
      <c r="W13" s="73">
        <f>'[2]EU Soy Complex'!AY$32</f>
        <v>2539.16</v>
      </c>
      <c r="X13" s="73">
        <f>'[2]EU Soy Complex'!AZ$32</f>
        <v>2677.587543252595</v>
      </c>
      <c r="Y13" s="73">
        <f>'[2]EU Soy Complex'!BA$32</f>
        <v>2859.4332441471574</v>
      </c>
      <c r="Z13" s="73">
        <f>'[2]EU Soy Complex'!BB$32</f>
        <v>2745</v>
      </c>
      <c r="AA13" s="73">
        <f>'[2]EU Soy Complex'!BC$32</f>
        <v>2889.15016618548</v>
      </c>
      <c r="AB13" s="73">
        <f>'[2]EU Soy Complex'!BD$32</f>
        <v>2924.6850545221296</v>
      </c>
      <c r="AC13" s="73">
        <f>'[2]EU Soy Complex'!BE$32</f>
        <v>2979.8801843317979</v>
      </c>
      <c r="AD13" s="73">
        <f>'[2]EU Soy Complex'!BF$32</f>
        <v>2970.2699999999995</v>
      </c>
      <c r="AE13" s="73">
        <f>'[2]EU Soy Complex'!BG$32</f>
        <v>2877.8165413533834</v>
      </c>
      <c r="AF13" s="73">
        <f>'[2]EU Soy Complex'!BH$32</f>
        <v>2717.0000000000009</v>
      </c>
      <c r="AG13" s="73">
        <f>'[2]EU Soy Complex'!BI$32</f>
        <v>2755.6541353383473</v>
      </c>
      <c r="AH13" s="74">
        <f>'[2]EU Soy Complex'!BJ$32</f>
        <v>2889.3714285714323</v>
      </c>
      <c r="AI13" s="74">
        <f>'[2]EU Soy Complex'!BK$32</f>
        <v>2994.6315789473733</v>
      </c>
      <c r="AJ13" s="74">
        <f>'[2]EU Soy Complex'!BL$32</f>
        <v>2985.8330827067734</v>
      </c>
      <c r="AK13" s="74">
        <f>'[2]EU Soy Complex'!BM$32</f>
        <v>2986.5413533834671</v>
      </c>
      <c r="AL13" s="74">
        <f>'[2]EU Soy Complex'!BN$32</f>
        <v>2987.2496240601604</v>
      </c>
      <c r="AM13" s="74">
        <f>'[2]EU Soy Complex'!BO$32</f>
        <v>2987.9578947368545</v>
      </c>
      <c r="AN13" s="74">
        <f>'[2]EU Soy Complex'!BP$32</f>
        <v>2988.6661654135482</v>
      </c>
      <c r="AO13" s="74">
        <f>'[2]EU Soy Complex'!BQ$32</f>
        <v>2989.3744360902415</v>
      </c>
    </row>
    <row r="14" spans="1:41">
      <c r="A14" s="68"/>
      <c r="B14" s="68" t="s">
        <v>52</v>
      </c>
      <c r="C14" s="73">
        <f>'[3]EU Rapeseed'!B$33</f>
        <v>4549.7357902293534</v>
      </c>
      <c r="D14" s="73">
        <f>'[3]EU Rapeseed'!C$33</f>
        <v>5046.18325113421</v>
      </c>
      <c r="E14" s="73">
        <f>'[3]EU Rapeseed'!D$33</f>
        <v>5334.6152393400716</v>
      </c>
      <c r="F14" s="73">
        <f>'[3]EU Rapeseed'!E$33</f>
        <v>5233.2534340801485</v>
      </c>
      <c r="G14" s="73">
        <f>'[3]EU Rapeseed'!F$33</f>
        <v>5943.9413089947529</v>
      </c>
      <c r="H14" s="73">
        <f>'[3]EU Rapeseed'!G$33</f>
        <v>6029.4955742512348</v>
      </c>
      <c r="I14" s="73">
        <f>'[3]EU Rapeseed'!H$33</f>
        <v>6338</v>
      </c>
      <c r="J14" s="73">
        <f>'[3]EU Rapeseed'!I$33</f>
        <v>5996</v>
      </c>
      <c r="K14" s="73">
        <f>'[3]EU Rapeseed'!J$33</f>
        <v>5915</v>
      </c>
      <c r="L14" s="73">
        <f>'[3]EU Rapeseed'!K$33</f>
        <v>5994</v>
      </c>
      <c r="M14" s="73">
        <f>'[3]EU Rapeseed'!L$33</f>
        <v>5974</v>
      </c>
      <c r="N14" s="73">
        <f>'[3]EU Rapeseed'!M$33</f>
        <v>7381</v>
      </c>
      <c r="O14" s="73">
        <f>'[3]EU Rapeseed'!N$33</f>
        <v>8373</v>
      </c>
      <c r="P14" s="73">
        <f>'[3]EU Rapeseed'!O$33</f>
        <v>8960</v>
      </c>
      <c r="Q14" s="73">
        <f>'[3]EU Rapeseed'!P$33</f>
        <v>10402</v>
      </c>
      <c r="R14" s="73">
        <f>'[3]EU Rapeseed'!Q$33</f>
        <v>11628</v>
      </c>
      <c r="S14" s="73">
        <f>'[3]EU Rapeseed'!R$33</f>
        <v>12853</v>
      </c>
      <c r="T14" s="73">
        <f>'[3]EU Rapeseed'!S$33</f>
        <v>12113</v>
      </c>
      <c r="U14" s="73">
        <f>'[3]EU Rapeseed'!T$33</f>
        <v>12341</v>
      </c>
      <c r="V14" s="73">
        <f>'[3]EU Rapeseed'!U$33</f>
        <v>12968</v>
      </c>
      <c r="W14" s="73">
        <f>'[3]EU Rapeseed'!V$33</f>
        <v>13651</v>
      </c>
      <c r="X14" s="73">
        <f>'[3]EU Rapeseed'!W$33</f>
        <v>14450</v>
      </c>
      <c r="Y14" s="73">
        <f>'[3]EU Rapeseed'!X$33</f>
        <v>13851</v>
      </c>
      <c r="Z14" s="73">
        <f>'[3]EU Rapeseed'!Y$33</f>
        <v>13737</v>
      </c>
      <c r="AA14" s="73">
        <f>'[3]EU Rapeseed'!Z$33</f>
        <v>12582</v>
      </c>
      <c r="AB14" s="73">
        <f>'[3]EU Rapeseed'!AA$33</f>
        <v>12227</v>
      </c>
      <c r="AC14" s="73">
        <f>'[3]EU Rapeseed'!AB$33</f>
        <v>12027</v>
      </c>
      <c r="AD14" s="73">
        <f>'[3]EU Rapeseed'!AC$33</f>
        <v>13981.208247181516</v>
      </c>
      <c r="AE14" s="73">
        <f>'[3]EU Rapeseed'!AD$33</f>
        <v>13263.321161116757</v>
      </c>
      <c r="AF14" s="73">
        <f>'[3]EU Rapeseed'!AE$33</f>
        <v>14397.271366409463</v>
      </c>
      <c r="AG14" s="73">
        <f>'[3]EU Rapeseed'!AF$33</f>
        <v>14674</v>
      </c>
      <c r="AH14" s="74">
        <f>'[3]EU Rapeseed'!AG$33</f>
        <v>14954.880000000001</v>
      </c>
      <c r="AI14" s="74">
        <f>'[3]EU Rapeseed'!AH$33</f>
        <v>15400.000000000004</v>
      </c>
      <c r="AJ14" s="74">
        <f>'[3]EU Rapeseed'!AI$33</f>
        <v>15960</v>
      </c>
      <c r="AK14" s="74">
        <f>'[3]EU Rapeseed'!AJ$33</f>
        <v>16520</v>
      </c>
      <c r="AL14" s="74">
        <f>'[3]EU Rapeseed'!AK$33</f>
        <v>17079.999999999996</v>
      </c>
      <c r="AM14" s="74">
        <f>'[3]EU Rapeseed'!AL$33</f>
        <v>17640</v>
      </c>
      <c r="AN14" s="74">
        <f>'[3]EU Rapeseed'!AM$33</f>
        <v>18200.000000000004</v>
      </c>
      <c r="AO14" s="74">
        <f>'[3]EU Rapeseed'!AN$33</f>
        <v>18760</v>
      </c>
    </row>
    <row r="15" spans="1:41">
      <c r="A15" s="68"/>
      <c r="B15" s="68" t="s">
        <v>53</v>
      </c>
      <c r="C15" s="73">
        <f>'[4]EU Sun Complex'!B$33</f>
        <v>2446.0116575615757</v>
      </c>
      <c r="D15" s="73">
        <f>'[4]EU Sun Complex'!C$33</f>
        <v>2813.6619361477756</v>
      </c>
      <c r="E15" s="73">
        <f>'[4]EU Sun Complex'!D$33</f>
        <v>3050.4713821068221</v>
      </c>
      <c r="F15" s="73">
        <f>'[4]EU Sun Complex'!E$33</f>
        <v>3228.1259161930348</v>
      </c>
      <c r="G15" s="73">
        <f>'[4]EU Sun Complex'!F$33</f>
        <v>2944.6778473222748</v>
      </c>
      <c r="H15" s="73">
        <f>'[4]EU Sun Complex'!G$33</f>
        <v>3043.6632554620423</v>
      </c>
      <c r="I15" s="73">
        <f>'[4]EU Sun Complex'!H$33</f>
        <v>2760.5338120003389</v>
      </c>
      <c r="J15" s="73">
        <f>'[4]EU Sun Complex'!I$33</f>
        <v>2438.7255819297052</v>
      </c>
      <c r="K15" s="73">
        <f>'[4]EU Sun Complex'!J$33</f>
        <v>1910.1877682550466</v>
      </c>
      <c r="L15" s="73">
        <f>'[4]EU Sun Complex'!K$33</f>
        <v>2067.5555042785177</v>
      </c>
      <c r="M15" s="73">
        <f>'[4]EU Sun Complex'!L$33</f>
        <v>2439.6397071060078</v>
      </c>
      <c r="N15" s="73">
        <f>'[4]EU Sun Complex'!M$33</f>
        <v>2182.6572514937534</v>
      </c>
      <c r="O15" s="73">
        <f>'[4]EU Sun Complex'!N$33</f>
        <v>2172.6364313652448</v>
      </c>
      <c r="P15" s="73">
        <f>'[4]EU Sun Complex'!O$33</f>
        <v>2274.2147602801224</v>
      </c>
      <c r="Q15" s="73">
        <f>'[4]EU Sun Complex'!P$33</f>
        <v>1805.769909552173</v>
      </c>
      <c r="R15" s="73">
        <f>'[4]EU Sun Complex'!Q$33</f>
        <v>2567.5155592935239</v>
      </c>
      <c r="S15" s="73">
        <f>'[4]EU Sun Complex'!R$33</f>
        <v>2425.3225288831836</v>
      </c>
      <c r="T15" s="73">
        <f>'[4]EU Sun Complex'!S$33</f>
        <v>2578.2231932773111</v>
      </c>
      <c r="U15" s="73">
        <f>'[4]EU Sun Complex'!T$33</f>
        <v>2897.9488253778241</v>
      </c>
      <c r="V15" s="73">
        <f>'[4]EU Sun Complex'!U$33</f>
        <v>2581</v>
      </c>
      <c r="W15" s="73">
        <f>'[4]EU Sun Complex'!V$33</f>
        <v>3184.1707865168537</v>
      </c>
      <c r="X15" s="73">
        <f>'[4]EU Sun Complex'!W$33</f>
        <v>3199.98</v>
      </c>
      <c r="Y15" s="73">
        <f>'[4]EU Sun Complex'!X$33</f>
        <v>2808.12</v>
      </c>
      <c r="Z15" s="73">
        <f>'[4]EU Sun Complex'!Y$33</f>
        <v>3394.2175579329114</v>
      </c>
      <c r="AA15" s="73">
        <f>'[4]EU Sun Complex'!Z$33</f>
        <v>3848.1293118398248</v>
      </c>
      <c r="AB15" s="73">
        <f>'[4]EU Sun Complex'!AA$33</f>
        <v>3528.4200000000005</v>
      </c>
      <c r="AC15" s="73">
        <f>'[4]EU Sun Complex'!AB$33</f>
        <v>3641.3999999999996</v>
      </c>
      <c r="AD15" s="73">
        <f>'[4]EU Sun Complex'!AC$33</f>
        <v>3407.0400000000004</v>
      </c>
      <c r="AE15" s="73">
        <f>'[4]EU Sun Complex'!AD$33</f>
        <v>4120.62</v>
      </c>
      <c r="AF15" s="73">
        <f>'[4]EU Sun Complex'!AE$33</f>
        <v>3869.5243810873644</v>
      </c>
      <c r="AG15" s="73">
        <f>'[4]EU Sun Complex'!AF$33</f>
        <v>3819.9435237893208</v>
      </c>
      <c r="AH15" s="74">
        <f>'[4]EU Sun Complex'!AG$33</f>
        <v>3381.0000000000005</v>
      </c>
      <c r="AI15" s="74">
        <f>'[4]EU Sun Complex'!AH$33</f>
        <v>3990.0000000000009</v>
      </c>
      <c r="AJ15" s="74">
        <f>'[4]EU Sun Complex'!AI$33</f>
        <v>3990.0000000000018</v>
      </c>
      <c r="AK15" s="74">
        <f>'[4]EU Sun Complex'!AJ$33</f>
        <v>4032.0000000000009</v>
      </c>
      <c r="AL15" s="74">
        <f>'[4]EU Sun Complex'!AK$33</f>
        <v>4074.0000000000009</v>
      </c>
      <c r="AM15" s="74">
        <f>'[4]EU Sun Complex'!AL$33</f>
        <v>4116.0000000000018</v>
      </c>
      <c r="AN15" s="74">
        <f>'[4]EU Sun Complex'!AM$33</f>
        <v>4200.0000000000018</v>
      </c>
      <c r="AO15" s="74">
        <f>'[4]EU Sun Complex'!AN$33</f>
        <v>0</v>
      </c>
    </row>
    <row r="16" spans="1:41">
      <c r="A16" s="68"/>
      <c r="B16" s="68" t="s">
        <v>54</v>
      </c>
      <c r="C16" s="73">
        <f>'EU Palm Oil'!B5</f>
        <v>0</v>
      </c>
      <c r="D16" s="73">
        <f>'EU Palm Oil'!C5</f>
        <v>0</v>
      </c>
      <c r="E16" s="73">
        <f>'EU Palm Oil'!D5</f>
        <v>0</v>
      </c>
      <c r="F16" s="73">
        <f>'EU Palm Oil'!E5</f>
        <v>0</v>
      </c>
      <c r="G16" s="73">
        <f>'EU Palm Oil'!F5</f>
        <v>0</v>
      </c>
      <c r="H16" s="73">
        <f>'EU Palm Oil'!G5</f>
        <v>0</v>
      </c>
      <c r="I16" s="73">
        <f>'EU Palm Oil'!H5</f>
        <v>0</v>
      </c>
      <c r="J16" s="73">
        <f>'EU Palm Oil'!I5</f>
        <v>0</v>
      </c>
      <c r="K16" s="73">
        <f>'EU Palm Oil'!J5</f>
        <v>0</v>
      </c>
      <c r="L16" s="73">
        <f>'EU Palm Oil'!K5</f>
        <v>0</v>
      </c>
      <c r="M16" s="73">
        <f>'EU Palm Oil'!L5</f>
        <v>0</v>
      </c>
      <c r="N16" s="73">
        <f>'EU Palm Oil'!M5</f>
        <v>0</v>
      </c>
      <c r="O16" s="73">
        <f>'EU Palm Oil'!N5</f>
        <v>0</v>
      </c>
      <c r="P16" s="73">
        <f>'EU Palm Oil'!O5</f>
        <v>0</v>
      </c>
      <c r="Q16" s="73">
        <f>'EU Palm Oil'!P5</f>
        <v>0</v>
      </c>
      <c r="R16" s="73">
        <f>'EU Palm Oil'!Q5</f>
        <v>0</v>
      </c>
      <c r="S16" s="73">
        <f>'EU Palm Oil'!R5</f>
        <v>0</v>
      </c>
      <c r="T16" s="73">
        <f>'EU Palm Oil'!S5</f>
        <v>0</v>
      </c>
      <c r="U16" s="73">
        <f>'EU Palm Oil'!T5</f>
        <v>0</v>
      </c>
      <c r="V16" s="73">
        <f>'EU Palm Oil'!U5</f>
        <v>0</v>
      </c>
      <c r="W16" s="73">
        <f>'EU Palm Oil'!V5</f>
        <v>0</v>
      </c>
      <c r="X16" s="73">
        <f>'EU Palm Oil'!W5</f>
        <v>0</v>
      </c>
      <c r="Y16" s="73">
        <f>'EU Palm Oil'!X5</f>
        <v>0</v>
      </c>
      <c r="Z16" s="73">
        <f>'EU Palm Oil'!Y5</f>
        <v>0</v>
      </c>
      <c r="AA16" s="73">
        <f>'EU Palm Oil'!Z5</f>
        <v>0</v>
      </c>
      <c r="AB16" s="73">
        <f>'EU Palm Oil'!AA5</f>
        <v>0</v>
      </c>
      <c r="AC16" s="73">
        <f>'EU Palm Oil'!AB5</f>
        <v>0</v>
      </c>
      <c r="AD16" s="73">
        <f>'EU Palm Oil'!AC5</f>
        <v>0</v>
      </c>
      <c r="AE16" s="73">
        <f>'EU Palm Oil'!AD5</f>
        <v>0</v>
      </c>
      <c r="AF16" s="73">
        <f>'EU Palm Oil'!AE5</f>
        <v>0</v>
      </c>
      <c r="AG16" s="73">
        <f>'EU Palm Oil'!AF5</f>
        <v>0</v>
      </c>
      <c r="AH16" s="74">
        <f>'EU Palm Oil'!AG5</f>
        <v>0</v>
      </c>
      <c r="AI16" s="74">
        <f>'EU Palm Oil'!AH5</f>
        <v>0</v>
      </c>
      <c r="AJ16" s="74">
        <f>'EU Palm Oil'!AI5</f>
        <v>0</v>
      </c>
      <c r="AK16" s="74">
        <f>'EU Palm Oil'!AJ5</f>
        <v>0</v>
      </c>
      <c r="AL16" s="74">
        <f>'EU Palm Oil'!AK5</f>
        <v>0</v>
      </c>
      <c r="AM16" s="74">
        <f>'EU Palm Oil'!AL5</f>
        <v>0</v>
      </c>
      <c r="AN16" s="74">
        <f>'EU Palm Oil'!AM5</f>
        <v>0</v>
      </c>
      <c r="AO16" s="74">
        <f>'EU Palm Oil'!AN5</f>
        <v>0</v>
      </c>
    </row>
    <row r="17" spans="1:44">
      <c r="A17" s="68"/>
      <c r="B17" s="68" t="s">
        <v>73</v>
      </c>
      <c r="C17" s="73">
        <f>'EU Palm Oil'!B18</f>
        <v>13</v>
      </c>
      <c r="D17" s="73">
        <f>'EU Palm Oil'!C18</f>
        <v>3</v>
      </c>
      <c r="E17" s="73">
        <f>'EU Palm Oil'!D18</f>
        <v>5</v>
      </c>
      <c r="F17" s="73">
        <f>'EU Palm Oil'!E18</f>
        <v>5</v>
      </c>
      <c r="G17" s="73">
        <f>'EU Palm Oil'!F18</f>
        <v>5</v>
      </c>
      <c r="H17" s="73">
        <f>'EU Palm Oil'!G18</f>
        <v>6</v>
      </c>
      <c r="I17" s="73">
        <f>'EU Palm Oil'!H18</f>
        <v>6</v>
      </c>
      <c r="J17" s="73">
        <f>'EU Palm Oil'!I18</f>
        <v>13</v>
      </c>
      <c r="K17" s="73">
        <f>'EU Palm Oil'!J18</f>
        <v>26</v>
      </c>
      <c r="L17" s="73">
        <f>'EU Palm Oil'!K18</f>
        <v>5</v>
      </c>
      <c r="M17" s="73">
        <f>'EU Palm Oil'!L18</f>
        <v>22</v>
      </c>
      <c r="N17" s="73">
        <f>'EU Palm Oil'!M18</f>
        <v>21</v>
      </c>
      <c r="O17" s="73">
        <f>'EU Palm Oil'!N18</f>
        <v>7</v>
      </c>
      <c r="P17" s="73">
        <f>'EU Palm Oil'!O18</f>
        <v>8</v>
      </c>
      <c r="Q17" s="73">
        <f>'EU Palm Oil'!P18</f>
        <v>11</v>
      </c>
      <c r="R17" s="73">
        <f>'EU Palm Oil'!Q18</f>
        <v>11</v>
      </c>
      <c r="S17" s="73">
        <f>'EU Palm Oil'!R18</f>
        <v>11</v>
      </c>
      <c r="T17" s="73">
        <f>'EU Palm Oil'!S18</f>
        <v>0</v>
      </c>
      <c r="U17" s="73">
        <f>'EU Palm Oil'!T18</f>
        <v>4</v>
      </c>
      <c r="V17" s="73">
        <f>'EU Palm Oil'!U18</f>
        <v>0</v>
      </c>
      <c r="W17" s="73">
        <f>'EU Palm Oil'!V18</f>
        <v>1</v>
      </c>
      <c r="X17" s="73">
        <f>'EU Palm Oil'!W18</f>
        <v>12</v>
      </c>
      <c r="Y17" s="73">
        <f>'EU Palm Oil'!X18</f>
        <v>0</v>
      </c>
      <c r="Z17" s="73">
        <f>'EU Palm Oil'!Y18</f>
        <v>0</v>
      </c>
      <c r="AA17" s="73">
        <f>'EU Palm Oil'!Z18</f>
        <v>0</v>
      </c>
      <c r="AB17" s="73">
        <f>'EU Palm Oil'!AA18</f>
        <v>0</v>
      </c>
      <c r="AC17" s="73">
        <f>'EU Palm Oil'!AB18</f>
        <v>0</v>
      </c>
      <c r="AD17" s="73">
        <f>'EU Palm Oil'!AC18</f>
        <v>0</v>
      </c>
      <c r="AE17" s="73">
        <f>'EU Palm Oil'!AD18</f>
        <v>0</v>
      </c>
      <c r="AF17" s="73">
        <f>'EU Palm Oil'!AE18</f>
        <v>0</v>
      </c>
      <c r="AG17" s="73">
        <f>'EU Palm Oil'!AF18</f>
        <v>0</v>
      </c>
      <c r="AH17" s="74">
        <f>'EU Palm Oil'!AG18</f>
        <v>0</v>
      </c>
      <c r="AI17" s="74">
        <f>'EU Palm Oil'!AH18</f>
        <v>0</v>
      </c>
      <c r="AJ17" s="74">
        <f>'EU Palm Oil'!AI18</f>
        <v>0</v>
      </c>
      <c r="AK17" s="74">
        <f>'EU Palm Oil'!AJ18</f>
        <v>0</v>
      </c>
      <c r="AL17" s="74">
        <f>'EU Palm Oil'!AK18</f>
        <v>0</v>
      </c>
      <c r="AM17" s="74">
        <f>'EU Palm Oil'!AL18</f>
        <v>0</v>
      </c>
      <c r="AN17" s="74">
        <f>'EU Palm Oil'!AM18</f>
        <v>0</v>
      </c>
      <c r="AO17" s="74">
        <f>'EU Palm Oil'!AN18</f>
        <v>0</v>
      </c>
    </row>
    <row r="18" spans="1:44">
      <c r="A18" s="68"/>
      <c r="B18" s="68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4"/>
      <c r="AH18" s="74"/>
      <c r="AI18" s="74"/>
      <c r="AJ18" s="74"/>
      <c r="AK18" s="74"/>
      <c r="AL18" s="74"/>
      <c r="AM18" s="74"/>
      <c r="AN18" s="74"/>
      <c r="AO18" s="74"/>
    </row>
    <row r="19" spans="1:44">
      <c r="A19" s="75" t="s">
        <v>39</v>
      </c>
      <c r="B19" s="76"/>
      <c r="C19" s="72">
        <f>SUM(C20:C24)</f>
        <v>2525</v>
      </c>
      <c r="D19" s="72">
        <f t="shared" ref="D19:AO19" si="2">SUM(D20:D24)</f>
        <v>2373</v>
      </c>
      <c r="E19" s="72">
        <f t="shared" si="2"/>
        <v>2549</v>
      </c>
      <c r="F19" s="72">
        <f t="shared" si="2"/>
        <v>2737.28</v>
      </c>
      <c r="G19" s="72">
        <f t="shared" si="2"/>
        <v>2980.3809999999999</v>
      </c>
      <c r="H19" s="72">
        <f t="shared" si="2"/>
        <v>3257.8020000000001</v>
      </c>
      <c r="I19" s="72">
        <f t="shared" si="2"/>
        <v>2739.5419999999999</v>
      </c>
      <c r="J19" s="72">
        <f t="shared" si="2"/>
        <v>3678.7370000000001</v>
      </c>
      <c r="K19" s="72">
        <f t="shared" si="2"/>
        <v>4331.1367989999999</v>
      </c>
      <c r="L19" s="72">
        <f t="shared" si="2"/>
        <v>4397.5659999999998</v>
      </c>
      <c r="M19" s="72">
        <f t="shared" si="2"/>
        <v>4640.6530000000002</v>
      </c>
      <c r="N19" s="72">
        <f t="shared" si="2"/>
        <v>5775.259</v>
      </c>
      <c r="O19" s="72">
        <f t="shared" si="2"/>
        <v>7473.4449999999997</v>
      </c>
      <c r="P19" s="72">
        <f t="shared" si="2"/>
        <v>8028.6050000000005</v>
      </c>
      <c r="Q19" s="72">
        <f t="shared" si="2"/>
        <v>8299.92</v>
      </c>
      <c r="R19" s="72">
        <f t="shared" si="2"/>
        <v>8538.1450000000004</v>
      </c>
      <c r="S19" s="72">
        <f t="shared" si="2"/>
        <v>7959.8330000000005</v>
      </c>
      <c r="T19" s="72">
        <f t="shared" si="2"/>
        <v>7805.0480000000007</v>
      </c>
      <c r="U19" s="72">
        <f t="shared" si="2"/>
        <v>8192.898000000001</v>
      </c>
      <c r="V19" s="72">
        <f t="shared" si="2"/>
        <v>9056.2049999999999</v>
      </c>
      <c r="W19" s="72">
        <f t="shared" si="2"/>
        <v>9336.5689999999995</v>
      </c>
      <c r="X19" s="72">
        <f t="shared" si="2"/>
        <v>6942.5330000000004</v>
      </c>
      <c r="Y19" s="72">
        <f t="shared" si="2"/>
        <v>7209.1720000000005</v>
      </c>
      <c r="Z19" s="72">
        <f t="shared" si="2"/>
        <v>7249.473</v>
      </c>
      <c r="AA19" s="72">
        <f t="shared" si="2"/>
        <v>6838.2270000000008</v>
      </c>
      <c r="AB19" s="72">
        <f t="shared" si="2"/>
        <v>8807.7828759999993</v>
      </c>
      <c r="AC19" s="72">
        <f t="shared" si="2"/>
        <v>9084.1308360000003</v>
      </c>
      <c r="AD19" s="72">
        <f t="shared" si="2"/>
        <v>6900.1256819999999</v>
      </c>
      <c r="AE19" s="72">
        <f t="shared" si="2"/>
        <v>6800.5717279999999</v>
      </c>
      <c r="AF19" s="72">
        <f t="shared" si="2"/>
        <v>6355.2675419999996</v>
      </c>
      <c r="AG19" s="72">
        <f t="shared" si="2"/>
        <v>6725.0713709999991</v>
      </c>
      <c r="AH19" s="72">
        <f t="shared" si="2"/>
        <v>6440</v>
      </c>
      <c r="AI19" s="72">
        <f t="shared" si="2"/>
        <v>6050</v>
      </c>
      <c r="AJ19" s="72">
        <f t="shared" si="2"/>
        <v>6075</v>
      </c>
      <c r="AK19" s="72">
        <f t="shared" si="2"/>
        <v>6150</v>
      </c>
      <c r="AL19" s="72">
        <f t="shared" si="2"/>
        <v>6225</v>
      </c>
      <c r="AM19" s="72">
        <f t="shared" si="2"/>
        <v>6250</v>
      </c>
      <c r="AN19" s="72">
        <f t="shared" si="2"/>
        <v>6300</v>
      </c>
      <c r="AO19" s="72">
        <f t="shared" si="2"/>
        <v>1100</v>
      </c>
    </row>
    <row r="20" spans="1:44">
      <c r="A20" s="68"/>
      <c r="B20" s="68" t="s">
        <v>51</v>
      </c>
      <c r="C20" s="73">
        <f>'[2]EU Soy Complex'!AE$33</f>
        <v>203</v>
      </c>
      <c r="D20" s="73">
        <f>'[2]EU Soy Complex'!AF$33</f>
        <v>150</v>
      </c>
      <c r="E20" s="73">
        <f>'[2]EU Soy Complex'!AG$33</f>
        <v>128</v>
      </c>
      <c r="F20" s="73">
        <f>'[2]EU Soy Complex'!AH$33</f>
        <v>124</v>
      </c>
      <c r="G20" s="73">
        <f>'[2]EU Soy Complex'!AI$33</f>
        <v>146</v>
      </c>
      <c r="H20" s="73">
        <f>'[2]EU Soy Complex'!AJ$33</f>
        <v>181</v>
      </c>
      <c r="I20" s="73">
        <f>'[2]EU Soy Complex'!AK$33</f>
        <v>84</v>
      </c>
      <c r="J20" s="73">
        <f>'[2]EU Soy Complex'!AL$33</f>
        <v>29</v>
      </c>
      <c r="K20" s="73">
        <f>'[2]EU Soy Complex'!AM$33</f>
        <v>62</v>
      </c>
      <c r="L20" s="73">
        <f>'[2]EU Soy Complex'!AN$33</f>
        <v>30</v>
      </c>
      <c r="M20" s="73">
        <f>'[2]EU Soy Complex'!AO$33</f>
        <v>67</v>
      </c>
      <c r="N20" s="73">
        <f>'[2]EU Soy Complex'!AP$33</f>
        <v>181.56199999999998</v>
      </c>
      <c r="O20" s="73">
        <f>'[2]EU Soy Complex'!AQ$33</f>
        <v>717.59400000000005</v>
      </c>
      <c r="P20" s="73">
        <f>'[2]EU Soy Complex'!AR$33</f>
        <v>978.43200000000002</v>
      </c>
      <c r="Q20" s="73">
        <f>'[2]EU Soy Complex'!AS$33</f>
        <v>1037.8</v>
      </c>
      <c r="R20" s="73">
        <f>'[2]EU Soy Complex'!AT$33</f>
        <v>794.66899999999998</v>
      </c>
      <c r="S20" s="73">
        <f>'[2]EU Soy Complex'!AU$33</f>
        <v>546.83800000000008</v>
      </c>
      <c r="T20" s="73">
        <f>'[2]EU Soy Complex'!AV$33</f>
        <v>905.58900000000006</v>
      </c>
      <c r="U20" s="73">
        <f>'[2]EU Soy Complex'!AW$33</f>
        <v>385.98900000000003</v>
      </c>
      <c r="V20" s="73">
        <f>'[2]EU Soy Complex'!AX$33</f>
        <v>322.19100000000003</v>
      </c>
      <c r="W20" s="73">
        <f>'[2]EU Soy Complex'!AY$33</f>
        <v>329.03400000000005</v>
      </c>
      <c r="X20" s="73">
        <f>'[2]EU Soy Complex'!AZ$33</f>
        <v>252.45599999999999</v>
      </c>
      <c r="Y20" s="73">
        <f>'[2]EU Soy Complex'!BA$33</f>
        <v>318.73500000000001</v>
      </c>
      <c r="Z20" s="73">
        <f>'[2]EU Soy Complex'!BB$33</f>
        <v>285.584</v>
      </c>
      <c r="AA20" s="73">
        <f>'[2]EU Soy Complex'!BC$33</f>
        <v>284.62</v>
      </c>
      <c r="AB20" s="73">
        <f>'[2]EU Soy Complex'!BD$33</f>
        <v>419.96597000000003</v>
      </c>
      <c r="AC20" s="73">
        <f>'[2]EU Soy Complex'!BE$33</f>
        <v>482.17280499999993</v>
      </c>
      <c r="AD20" s="73">
        <f>'[2]EU Soy Complex'!BF$33</f>
        <v>492.06788499999999</v>
      </c>
      <c r="AE20" s="73">
        <f>'[2]EU Soy Complex'!BG$33</f>
        <v>458.09976700000004</v>
      </c>
      <c r="AF20" s="73">
        <f>'[2]EU Soy Complex'!BH$33</f>
        <v>628.42360700000006</v>
      </c>
      <c r="AG20" s="73">
        <f>'[2]EU Soy Complex'!BI$33</f>
        <v>514.74877099999992</v>
      </c>
      <c r="AH20" s="74">
        <f>'[2]EU Soy Complex'!BJ$33</f>
        <v>535</v>
      </c>
      <c r="AI20" s="74">
        <f>'[2]EU Soy Complex'!BK$33</f>
        <v>600</v>
      </c>
      <c r="AJ20" s="74">
        <f>'[2]EU Soy Complex'!BL$33</f>
        <v>625</v>
      </c>
      <c r="AK20" s="74">
        <f>'[2]EU Soy Complex'!BM$33</f>
        <v>650</v>
      </c>
      <c r="AL20" s="74">
        <f>'[2]EU Soy Complex'!BN$33</f>
        <v>675</v>
      </c>
      <c r="AM20" s="74">
        <f>'[2]EU Soy Complex'!BO$33</f>
        <v>700</v>
      </c>
      <c r="AN20" s="74">
        <f>'[2]EU Soy Complex'!BP$33</f>
        <v>725</v>
      </c>
      <c r="AO20" s="74">
        <f>'[2]EU Soy Complex'!BQ$33</f>
        <v>750</v>
      </c>
      <c r="AP20" s="77">
        <f>AM20/AM$19</f>
        <v>0.112</v>
      </c>
      <c r="AQ20" s="77">
        <f>AG20/AG$19</f>
        <v>7.6541755857002639E-2</v>
      </c>
    </row>
    <row r="21" spans="1:44">
      <c r="A21" s="68"/>
      <c r="B21" s="68" t="s">
        <v>52</v>
      </c>
      <c r="C21" s="73">
        <f>'[3]EU Rapeseed'!B$34</f>
        <v>0</v>
      </c>
      <c r="D21" s="73">
        <f>'[3]EU Rapeseed'!C$34</f>
        <v>0</v>
      </c>
      <c r="E21" s="73">
        <f>'[3]EU Rapeseed'!D$34</f>
        <v>0</v>
      </c>
      <c r="F21" s="73">
        <f>'[3]EU Rapeseed'!E$34</f>
        <v>5.28</v>
      </c>
      <c r="G21" s="73">
        <f>'[3]EU Rapeseed'!F$34</f>
        <v>4.5939999999999985</v>
      </c>
      <c r="H21" s="73">
        <f>'[3]EU Rapeseed'!G$34</f>
        <v>1.7370000000000001</v>
      </c>
      <c r="I21" s="73">
        <f>'[3]EU Rapeseed'!H$34</f>
        <v>3.8010000000000002</v>
      </c>
      <c r="J21" s="73">
        <f>'[3]EU Rapeseed'!I$34</f>
        <v>2.7790000000000004</v>
      </c>
      <c r="K21" s="73">
        <f>'[3]EU Rapeseed'!J$34</f>
        <v>8.7087989999999991</v>
      </c>
      <c r="L21" s="73">
        <f>'[3]EU Rapeseed'!K$34</f>
        <v>16.673000000000002</v>
      </c>
      <c r="M21" s="73">
        <f>'[3]EU Rapeseed'!L$34</f>
        <v>39.305</v>
      </c>
      <c r="N21" s="73">
        <f>'[3]EU Rapeseed'!M$34</f>
        <v>57.321999999999996</v>
      </c>
      <c r="O21" s="73">
        <f>'[3]EU Rapeseed'!N$34</f>
        <v>626.40200000000004</v>
      </c>
      <c r="P21" s="73">
        <f>'[3]EU Rapeseed'!O$34</f>
        <v>852.38299999999992</v>
      </c>
      <c r="Q21" s="73">
        <f>'[3]EU Rapeseed'!P$34</f>
        <v>455.13200000000006</v>
      </c>
      <c r="R21" s="73">
        <f>'[3]EU Rapeseed'!Q$34</f>
        <v>537.48300000000006</v>
      </c>
      <c r="S21" s="73">
        <f>'[3]EU Rapeseed'!R$34</f>
        <v>459.35100000000006</v>
      </c>
      <c r="T21" s="73">
        <f>'[3]EU Rapeseed'!S$34</f>
        <v>584.84899999999993</v>
      </c>
      <c r="U21" s="73">
        <f>'[3]EU Rapeseed'!T$34</f>
        <v>528.16899999999998</v>
      </c>
      <c r="V21" s="73">
        <f>'[3]EU Rapeseed'!U$34</f>
        <v>282.58100000000007</v>
      </c>
      <c r="W21" s="73">
        <f>'[3]EU Rapeseed'!V$34</f>
        <v>375.15799999999996</v>
      </c>
      <c r="X21" s="73">
        <f>'[3]EU Rapeseed'!W$34</f>
        <v>320.04699999999997</v>
      </c>
      <c r="Y21" s="73">
        <f>'[3]EU Rapeseed'!X$34</f>
        <v>294.15600000000001</v>
      </c>
      <c r="Z21" s="73">
        <f>'[3]EU Rapeseed'!Y$34</f>
        <v>217.97900000000001</v>
      </c>
      <c r="AA21" s="73">
        <f>'[3]EU Rapeseed'!Z$34</f>
        <v>338.29899999999998</v>
      </c>
      <c r="AB21" s="73">
        <f>'[3]EU Rapeseed'!AA$34</f>
        <v>396.63399999999996</v>
      </c>
      <c r="AC21" s="73">
        <f>'[3]EU Rapeseed'!AB$34</f>
        <v>422.83999999999992</v>
      </c>
      <c r="AD21" s="73">
        <f>'[3]EU Rapeseed'!AC$34</f>
        <v>322.52399999999994</v>
      </c>
      <c r="AE21" s="73">
        <f>'[3]EU Rapeseed'!AD$34</f>
        <v>507.05100000000004</v>
      </c>
      <c r="AF21" s="73">
        <f>'[3]EU Rapeseed'!AE$34</f>
        <v>368.762</v>
      </c>
      <c r="AG21" s="73">
        <f>'[3]EU Rapeseed'!AF$34</f>
        <v>350</v>
      </c>
      <c r="AH21" s="74">
        <f>'[3]EU Rapeseed'!AG$34</f>
        <v>200</v>
      </c>
      <c r="AI21" s="74">
        <f>'[3]EU Rapeseed'!AH$34</f>
        <v>350</v>
      </c>
      <c r="AJ21" s="74">
        <f>'[3]EU Rapeseed'!AI$34</f>
        <v>350</v>
      </c>
      <c r="AK21" s="74">
        <f>'[3]EU Rapeseed'!AJ$34</f>
        <v>350</v>
      </c>
      <c r="AL21" s="74">
        <f>'[3]EU Rapeseed'!AK$34</f>
        <v>350</v>
      </c>
      <c r="AM21" s="74">
        <f>'[3]EU Rapeseed'!AL$34</f>
        <v>350</v>
      </c>
      <c r="AN21" s="74">
        <f>'[3]EU Rapeseed'!AM$34</f>
        <v>350</v>
      </c>
      <c r="AO21" s="74">
        <f>'[3]EU Rapeseed'!AN$34</f>
        <v>350</v>
      </c>
      <c r="AP21" s="77">
        <f t="shared" ref="AP21:AP24" si="3">AM21/AM$19</f>
        <v>5.6000000000000001E-2</v>
      </c>
      <c r="AQ21" s="77">
        <f t="shared" ref="AQ21:AQ24" si="4">AG21/AG$19</f>
        <v>5.2044057332874968E-2</v>
      </c>
    </row>
    <row r="22" spans="1:44">
      <c r="A22" s="68"/>
      <c r="B22" s="68" t="s">
        <v>53</v>
      </c>
      <c r="C22" s="73">
        <f>'[4]EU Sun Complex'!B$34</f>
        <v>152</v>
      </c>
      <c r="D22" s="73">
        <f>'[4]EU Sun Complex'!C$34</f>
        <v>127</v>
      </c>
      <c r="E22" s="73">
        <f>'[4]EU Sun Complex'!D$34</f>
        <v>108</v>
      </c>
      <c r="F22" s="73">
        <f>'[4]EU Sun Complex'!E$34</f>
        <v>108</v>
      </c>
      <c r="G22" s="73">
        <f>'[4]EU Sun Complex'!F$34</f>
        <v>197.78699999999998</v>
      </c>
      <c r="H22" s="73">
        <f>'[4]EU Sun Complex'!G$34</f>
        <v>221.065</v>
      </c>
      <c r="I22" s="73">
        <f>'[4]EU Sun Complex'!H$34</f>
        <v>144.74099999999999</v>
      </c>
      <c r="J22" s="73">
        <f>'[4]EU Sun Complex'!I$34</f>
        <v>294.95799999999997</v>
      </c>
      <c r="K22" s="73">
        <f>'[4]EU Sun Complex'!J$34</f>
        <v>695.428</v>
      </c>
      <c r="L22" s="73">
        <f>'[4]EU Sun Complex'!K$34</f>
        <v>741.89300000000003</v>
      </c>
      <c r="M22" s="73">
        <f>'[4]EU Sun Complex'!L$34</f>
        <v>494.34799999999996</v>
      </c>
      <c r="N22" s="73">
        <f>'[4]EU Sun Complex'!M$34</f>
        <v>882.37499999999989</v>
      </c>
      <c r="O22" s="73">
        <f>'[4]EU Sun Complex'!N$34</f>
        <v>1261.4490000000001</v>
      </c>
      <c r="P22" s="73">
        <f>'[4]EU Sun Complex'!O$34</f>
        <v>1219.7900000000002</v>
      </c>
      <c r="Q22" s="73">
        <f>'[4]EU Sun Complex'!P$34</f>
        <v>1208.9880000000001</v>
      </c>
      <c r="R22" s="73">
        <f>'[4]EU Sun Complex'!Q$34</f>
        <v>1059.9930000000002</v>
      </c>
      <c r="S22" s="73">
        <f>'[4]EU Sun Complex'!R$34</f>
        <v>968.64400000000001</v>
      </c>
      <c r="T22" s="73">
        <f>'[4]EU Sun Complex'!S$34</f>
        <v>816.61</v>
      </c>
      <c r="U22" s="73">
        <f>'[4]EU Sun Complex'!T$34</f>
        <v>991.74</v>
      </c>
      <c r="V22" s="73">
        <f>'[4]EU Sun Complex'!U$34</f>
        <v>942.43300000000011</v>
      </c>
      <c r="W22" s="73">
        <f>'[4]EU Sun Complex'!V$34</f>
        <v>1039.377</v>
      </c>
      <c r="X22" s="73">
        <f>'[4]EU Sun Complex'!W$34</f>
        <v>824.99</v>
      </c>
      <c r="Y22" s="73">
        <f>'[4]EU Sun Complex'!X$34</f>
        <v>1355.5339999999999</v>
      </c>
      <c r="Z22" s="73">
        <f>'[4]EU Sun Complex'!Y$34</f>
        <v>1820.0130000000001</v>
      </c>
      <c r="AA22" s="73">
        <f>'[4]EU Sun Complex'!Z$34</f>
        <v>1622.6810000000003</v>
      </c>
      <c r="AB22" s="73">
        <f>'[4]EU Sun Complex'!AA$34</f>
        <v>2010.4709060000002</v>
      </c>
      <c r="AC22" s="73">
        <f>'[4]EU Sun Complex'!AB$34</f>
        <v>2348.9520310000003</v>
      </c>
      <c r="AD22" s="73">
        <f>'[4]EU Sun Complex'!AC$34</f>
        <v>1591.662797</v>
      </c>
      <c r="AE22" s="73">
        <f>'[4]EU Sun Complex'!AD$34</f>
        <v>2103.9279609999994</v>
      </c>
      <c r="AF22" s="73">
        <f>'[4]EU Sun Complex'!AE$34</f>
        <v>2097.5039350000002</v>
      </c>
      <c r="AG22" s="73">
        <f>'[4]EU Sun Complex'!AF$34</f>
        <v>2966.6225999999992</v>
      </c>
      <c r="AH22" s="74">
        <f>'[4]EU Sun Complex'!AG$34</f>
        <v>3000</v>
      </c>
      <c r="AI22" s="74">
        <f>'[4]EU Sun Complex'!AH$34</f>
        <v>2450</v>
      </c>
      <c r="AJ22" s="74">
        <f>'[4]EU Sun Complex'!AI$34</f>
        <v>2500</v>
      </c>
      <c r="AK22" s="74">
        <f>'[4]EU Sun Complex'!AJ$34</f>
        <v>2600</v>
      </c>
      <c r="AL22" s="74">
        <f>'[4]EU Sun Complex'!AK$34</f>
        <v>2700</v>
      </c>
      <c r="AM22" s="74">
        <f>'[4]EU Sun Complex'!AL$34</f>
        <v>2750</v>
      </c>
      <c r="AN22" s="74">
        <f>'[4]EU Sun Complex'!AM$34</f>
        <v>2825</v>
      </c>
      <c r="AO22" s="74">
        <f>'[4]EU Sun Complex'!AN$34</f>
        <v>0</v>
      </c>
      <c r="AP22" s="77">
        <f t="shared" si="3"/>
        <v>0.44</v>
      </c>
      <c r="AQ22" s="77">
        <f t="shared" si="4"/>
        <v>0.44112879051257875</v>
      </c>
    </row>
    <row r="23" spans="1:44">
      <c r="A23" s="68"/>
      <c r="B23" s="68" t="s">
        <v>54</v>
      </c>
      <c r="C23" s="73">
        <f>'EU Palm Oil'!B6</f>
        <v>1784</v>
      </c>
      <c r="D23" s="73">
        <f>'EU Palm Oil'!C6</f>
        <v>1770</v>
      </c>
      <c r="E23" s="73">
        <f>'EU Palm Oil'!D6</f>
        <v>1922</v>
      </c>
      <c r="F23" s="73">
        <f>'EU Palm Oil'!E6</f>
        <v>2087</v>
      </c>
      <c r="G23" s="73">
        <f>'EU Palm Oil'!F6</f>
        <v>2224</v>
      </c>
      <c r="H23" s="73">
        <f>'EU Palm Oil'!G6</f>
        <v>2314</v>
      </c>
      <c r="I23" s="73">
        <f>'EU Palm Oil'!H6</f>
        <v>2078</v>
      </c>
      <c r="J23" s="73">
        <f>'EU Palm Oil'!I6</f>
        <v>2885</v>
      </c>
      <c r="K23" s="73">
        <f>'EU Palm Oil'!J6</f>
        <v>2978</v>
      </c>
      <c r="L23" s="73">
        <f>'EU Palm Oil'!K6</f>
        <v>3006</v>
      </c>
      <c r="M23" s="73">
        <f>'EU Palm Oil'!L6</f>
        <v>3411</v>
      </c>
      <c r="N23" s="73">
        <f>'EU Palm Oil'!M6</f>
        <v>4031</v>
      </c>
      <c r="O23" s="73">
        <f>'EU Palm Oil'!N6</f>
        <v>4276</v>
      </c>
      <c r="P23" s="73">
        <f>'EU Palm Oil'!O6</f>
        <v>4339</v>
      </c>
      <c r="Q23" s="73">
        <f>'EU Palm Oil'!P6</f>
        <v>4967</v>
      </c>
      <c r="R23" s="73">
        <f>'EU Palm Oil'!Q6</f>
        <v>5509</v>
      </c>
      <c r="S23" s="73">
        <f>'EU Palm Oil'!R6</f>
        <v>5442</v>
      </c>
      <c r="T23" s="73">
        <f>'EU Palm Oil'!S6</f>
        <v>4944</v>
      </c>
      <c r="U23" s="73">
        <f>'EU Palm Oil'!T6</f>
        <v>5707</v>
      </c>
      <c r="V23" s="73">
        <f>'EU Palm Oil'!U6</f>
        <v>6812</v>
      </c>
      <c r="W23" s="73">
        <f>'EU Palm Oil'!V6</f>
        <v>6969</v>
      </c>
      <c r="X23" s="73">
        <f>'EU Palm Oil'!W6</f>
        <v>4896.7660000000005</v>
      </c>
      <c r="Y23" s="73">
        <f>'EU Palm Oil'!X6</f>
        <v>4537.1570000000002</v>
      </c>
      <c r="Z23" s="73">
        <f>'EU Palm Oil'!Y6</f>
        <v>4203.62</v>
      </c>
      <c r="AA23" s="73">
        <f>'EU Palm Oil'!Z6</f>
        <v>3878.7870000000003</v>
      </c>
      <c r="AB23" s="73">
        <f>'EU Palm Oil'!AA6</f>
        <v>5288.4959999999992</v>
      </c>
      <c r="AC23" s="73">
        <f>'EU Palm Oil'!AB6</f>
        <v>5131.2879999999996</v>
      </c>
      <c r="AD23" s="73">
        <f>'EU Palm Oil'!AC6</f>
        <v>3812.018</v>
      </c>
      <c r="AE23" s="73">
        <f>'EU Palm Oil'!AD6</f>
        <v>3096.2420000000002</v>
      </c>
      <c r="AF23" s="73">
        <f>'EU Palm Oil'!AE6</f>
        <v>2627.8470000000002</v>
      </c>
      <c r="AG23" s="73">
        <f>'EU Palm Oil'!AF6</f>
        <v>2300.049</v>
      </c>
      <c r="AH23" s="74">
        <f>'EU Palm Oil'!AG6</f>
        <v>2100</v>
      </c>
      <c r="AI23" s="74">
        <f>'EU Palm Oil'!AH6</f>
        <v>2050</v>
      </c>
      <c r="AJ23" s="74">
        <f>'EU Palm Oil'!AI6</f>
        <v>2000</v>
      </c>
      <c r="AK23" s="74">
        <f>'EU Palm Oil'!AJ6</f>
        <v>1950</v>
      </c>
      <c r="AL23" s="74">
        <f>'EU Palm Oil'!AK6</f>
        <v>1900</v>
      </c>
      <c r="AM23" s="74">
        <f>'EU Palm Oil'!AL6</f>
        <v>1850</v>
      </c>
      <c r="AN23" s="74">
        <f>'EU Palm Oil'!AM6</f>
        <v>1800</v>
      </c>
      <c r="AO23" s="74">
        <f>'EU Palm Oil'!AN6</f>
        <v>0</v>
      </c>
      <c r="AP23" s="77">
        <f t="shared" si="3"/>
        <v>0.29599999999999999</v>
      </c>
      <c r="AQ23" s="77">
        <f t="shared" si="4"/>
        <v>0.3420110914983478</v>
      </c>
      <c r="AR23" s="78">
        <v>90000</v>
      </c>
    </row>
    <row r="24" spans="1:44">
      <c r="A24" s="68"/>
      <c r="B24" s="68" t="s">
        <v>73</v>
      </c>
      <c r="C24" s="73">
        <f>'EU Palm Oil'!B19</f>
        <v>386</v>
      </c>
      <c r="D24" s="73">
        <f>'EU Palm Oil'!C19</f>
        <v>326</v>
      </c>
      <c r="E24" s="73">
        <f>'EU Palm Oil'!D19</f>
        <v>391</v>
      </c>
      <c r="F24" s="73">
        <f>'EU Palm Oil'!E19</f>
        <v>413</v>
      </c>
      <c r="G24" s="73">
        <f>'EU Palm Oil'!F19</f>
        <v>408</v>
      </c>
      <c r="H24" s="73">
        <f>'EU Palm Oil'!G19</f>
        <v>540</v>
      </c>
      <c r="I24" s="73">
        <f>'EU Palm Oil'!H19</f>
        <v>429</v>
      </c>
      <c r="J24" s="73">
        <f>'EU Palm Oil'!I19</f>
        <v>467</v>
      </c>
      <c r="K24" s="73">
        <f>'EU Palm Oil'!J19</f>
        <v>587</v>
      </c>
      <c r="L24" s="73">
        <f>'EU Palm Oil'!K19</f>
        <v>603</v>
      </c>
      <c r="M24" s="73">
        <f>'EU Palm Oil'!L19</f>
        <v>629</v>
      </c>
      <c r="N24" s="73">
        <f>'EU Palm Oil'!M19</f>
        <v>623</v>
      </c>
      <c r="O24" s="73">
        <f>'EU Palm Oil'!N19</f>
        <v>592</v>
      </c>
      <c r="P24" s="73">
        <f>'EU Palm Oil'!O19</f>
        <v>639</v>
      </c>
      <c r="Q24" s="73">
        <f>'EU Palm Oil'!P19</f>
        <v>631</v>
      </c>
      <c r="R24" s="73">
        <f>'EU Palm Oil'!Q19</f>
        <v>637</v>
      </c>
      <c r="S24" s="73">
        <f>'EU Palm Oil'!R19</f>
        <v>543</v>
      </c>
      <c r="T24" s="73">
        <f>'EU Palm Oil'!S19</f>
        <v>554</v>
      </c>
      <c r="U24" s="73">
        <f>'EU Palm Oil'!T19</f>
        <v>580</v>
      </c>
      <c r="V24" s="73">
        <f>'EU Palm Oil'!U19</f>
        <v>697</v>
      </c>
      <c r="W24" s="73">
        <f>'EU Palm Oil'!V19</f>
        <v>624</v>
      </c>
      <c r="X24" s="73">
        <f>'EU Palm Oil'!W19</f>
        <v>648.274</v>
      </c>
      <c r="Y24" s="73">
        <f>'EU Palm Oil'!X19</f>
        <v>703.59</v>
      </c>
      <c r="Z24" s="73">
        <f>'EU Palm Oil'!Y19</f>
        <v>722.27700000000004</v>
      </c>
      <c r="AA24" s="73">
        <f>'EU Palm Oil'!Z19</f>
        <v>713.84</v>
      </c>
      <c r="AB24" s="73">
        <f>'EU Palm Oil'!AA19</f>
        <v>692.21600000000001</v>
      </c>
      <c r="AC24" s="73">
        <f>'EU Palm Oil'!AB19</f>
        <v>698.87799999999993</v>
      </c>
      <c r="AD24" s="73">
        <f>'EU Palm Oil'!AC19</f>
        <v>681.85299999999995</v>
      </c>
      <c r="AE24" s="73">
        <f>'EU Palm Oil'!AD19</f>
        <v>635.25099999999998</v>
      </c>
      <c r="AF24" s="73">
        <f>'EU Palm Oil'!AE19</f>
        <v>632.73099999999999</v>
      </c>
      <c r="AG24" s="73">
        <f>'EU Palm Oil'!AF19</f>
        <v>593.65100000000007</v>
      </c>
      <c r="AH24" s="74">
        <f>'EU Palm Oil'!AG19</f>
        <v>605</v>
      </c>
      <c r="AI24" s="74">
        <f>'EU Palm Oil'!AH19</f>
        <v>600</v>
      </c>
      <c r="AJ24" s="74">
        <f>'EU Palm Oil'!AI19</f>
        <v>600</v>
      </c>
      <c r="AK24" s="74">
        <f>'EU Palm Oil'!AJ19</f>
        <v>600</v>
      </c>
      <c r="AL24" s="74">
        <f>'EU Palm Oil'!AK19</f>
        <v>600</v>
      </c>
      <c r="AM24" s="74">
        <f>'EU Palm Oil'!AL19</f>
        <v>600</v>
      </c>
      <c r="AN24" s="74">
        <f>'EU Palm Oil'!AM19</f>
        <v>600</v>
      </c>
      <c r="AO24" s="74">
        <f>'EU Palm Oil'!AN19</f>
        <v>0</v>
      </c>
      <c r="AP24" s="77">
        <f t="shared" si="3"/>
        <v>9.6000000000000002E-2</v>
      </c>
      <c r="AQ24" s="77">
        <f t="shared" si="4"/>
        <v>8.8274304799195888E-2</v>
      </c>
      <c r="AR24" s="78">
        <f>AR23*12</f>
        <v>1080000</v>
      </c>
    </row>
    <row r="25" spans="1:44">
      <c r="A25" s="68"/>
      <c r="B25" s="68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4"/>
      <c r="AH25" s="74"/>
      <c r="AI25" s="74"/>
      <c r="AJ25" s="74"/>
      <c r="AK25" s="74"/>
      <c r="AL25" s="74"/>
      <c r="AM25" s="74"/>
      <c r="AN25" s="74"/>
      <c r="AO25" s="74"/>
      <c r="AR25" s="78">
        <f>AR24*8</f>
        <v>8640000</v>
      </c>
    </row>
    <row r="26" spans="1:44">
      <c r="A26" s="75" t="s">
        <v>40</v>
      </c>
      <c r="B26" s="76"/>
      <c r="C26" s="72">
        <f>SUM(C27:C31)</f>
        <v>12610.354970856934</v>
      </c>
      <c r="D26" s="72">
        <f t="shared" ref="D26:AO26" si="5">SUM(D27:D31)</f>
        <v>13798.608322957767</v>
      </c>
      <c r="E26" s="72">
        <f t="shared" si="5"/>
        <v>14423.624633142799</v>
      </c>
      <c r="F26" s="72">
        <f t="shared" si="5"/>
        <v>14887.659350273185</v>
      </c>
      <c r="G26" s="72">
        <f t="shared" si="5"/>
        <v>15528.000156317028</v>
      </c>
      <c r="H26" s="72">
        <f t="shared" si="5"/>
        <v>15978.423053930823</v>
      </c>
      <c r="I26" s="72">
        <f t="shared" si="5"/>
        <v>15346.075812000337</v>
      </c>
      <c r="J26" s="72">
        <f t="shared" si="5"/>
        <v>16164.462581929705</v>
      </c>
      <c r="K26" s="72">
        <f t="shared" si="5"/>
        <v>16589.324567255047</v>
      </c>
      <c r="L26" s="72">
        <f t="shared" si="5"/>
        <v>16639.121504278519</v>
      </c>
      <c r="M26" s="72">
        <f t="shared" si="5"/>
        <v>16796.650775255825</v>
      </c>
      <c r="N26" s="72">
        <f t="shared" si="5"/>
        <v>18925.358672378734</v>
      </c>
      <c r="O26" s="72">
        <f t="shared" si="5"/>
        <v>21607.965071417413</v>
      </c>
      <c r="P26" s="72">
        <f t="shared" si="5"/>
        <v>23136.050623059666</v>
      </c>
      <c r="Q26" s="72">
        <f t="shared" si="5"/>
        <v>24436.114409451817</v>
      </c>
      <c r="R26" s="72">
        <f t="shared" si="5"/>
        <v>26691.59873549136</v>
      </c>
      <c r="S26" s="72">
        <f t="shared" si="5"/>
        <v>27455.791892519548</v>
      </c>
      <c r="T26" s="72">
        <f t="shared" si="5"/>
        <v>26473.373383058333</v>
      </c>
      <c r="U26" s="72">
        <f t="shared" si="5"/>
        <v>27514.936825377823</v>
      </c>
      <c r="V26" s="72">
        <f t="shared" si="5"/>
        <v>28867.244999999999</v>
      </c>
      <c r="W26" s="72">
        <f t="shared" si="5"/>
        <v>29976.899786516853</v>
      </c>
      <c r="X26" s="72">
        <f t="shared" si="5"/>
        <v>28997.100543252596</v>
      </c>
      <c r="Y26" s="72">
        <f t="shared" si="5"/>
        <v>28028.725244147157</v>
      </c>
      <c r="Z26" s="72">
        <f t="shared" si="5"/>
        <v>28298.69055793291</v>
      </c>
      <c r="AA26" s="72">
        <f t="shared" si="5"/>
        <v>27596.506478025305</v>
      </c>
      <c r="AB26" s="72">
        <f t="shared" si="5"/>
        <v>29057.887930522131</v>
      </c>
      <c r="AC26" s="72">
        <f t="shared" si="5"/>
        <v>29932.411020331801</v>
      </c>
      <c r="AD26" s="72">
        <f t="shared" si="5"/>
        <v>30135.643929181511</v>
      </c>
      <c r="AE26" s="72">
        <f t="shared" si="5"/>
        <v>28614.329430470138</v>
      </c>
      <c r="AF26" s="72">
        <f t="shared" si="5"/>
        <v>29279.063289496829</v>
      </c>
      <c r="AG26" s="72">
        <f t="shared" si="5"/>
        <v>29873.669030127665</v>
      </c>
      <c r="AH26" s="72">
        <f t="shared" si="5"/>
        <v>30002.251428571435</v>
      </c>
      <c r="AI26" s="72">
        <f t="shared" si="5"/>
        <v>30335.631578947377</v>
      </c>
      <c r="AJ26" s="72">
        <f t="shared" si="5"/>
        <v>30925.833082706777</v>
      </c>
      <c r="AK26" s="72">
        <f t="shared" si="5"/>
        <v>31719.541353383465</v>
      </c>
      <c r="AL26" s="72">
        <f t="shared" si="5"/>
        <v>32361.249624060158</v>
      </c>
      <c r="AM26" s="72">
        <f t="shared" si="5"/>
        <v>33233.957894736857</v>
      </c>
      <c r="AN26" s="72">
        <f t="shared" si="5"/>
        <v>33878.666165413553</v>
      </c>
      <c r="AO26" s="72">
        <f t="shared" si="5"/>
        <v>33839.374436090242</v>
      </c>
    </row>
    <row r="27" spans="1:44">
      <c r="A27" s="68"/>
      <c r="B27" s="68" t="s">
        <v>51</v>
      </c>
      <c r="C27" s="73">
        <f>'[2]EU Soy Complex'!AE$34</f>
        <v>2748.6075230660044</v>
      </c>
      <c r="D27" s="73">
        <f>'[2]EU Soy Complex'!AF$34</f>
        <v>3168.7631356757815</v>
      </c>
      <c r="E27" s="73">
        <f>'[2]EU Soy Complex'!AG$34</f>
        <v>2993.5380116959059</v>
      </c>
      <c r="F27" s="73">
        <f>'[2]EU Soy Complex'!AH$34</f>
        <v>3002</v>
      </c>
      <c r="G27" s="73">
        <f>'[2]EU Soy Complex'!AI$34</f>
        <v>3130.0000000000005</v>
      </c>
      <c r="H27" s="73">
        <f>'[2]EU Soy Complex'!AJ$34</f>
        <v>3174.4622242175469</v>
      </c>
      <c r="I27" s="73">
        <f>'[2]EU Soy Complex'!AK$34</f>
        <v>2883</v>
      </c>
      <c r="J27" s="73">
        <f>'[2]EU Soy Complex'!AL$34</f>
        <v>3289</v>
      </c>
      <c r="K27" s="73">
        <f>'[2]EU Soy Complex'!AM$34</f>
        <v>3521.0000000000005</v>
      </c>
      <c r="L27" s="73">
        <f>'[2]EU Soy Complex'!AN$34</f>
        <v>3310.9999999999995</v>
      </c>
      <c r="M27" s="73">
        <f>'[2]EU Soy Complex'!AO$34</f>
        <v>2861.3580681498174</v>
      </c>
      <c r="N27" s="73">
        <f>'[2]EU Soy Complex'!AP$34</f>
        <v>2944.0044208849799</v>
      </c>
      <c r="O27" s="73">
        <f>'[2]EU Soy Complex'!AQ$34</f>
        <v>3425.477640052166</v>
      </c>
      <c r="P27" s="73">
        <f>'[2]EU Soy Complex'!AR$34</f>
        <v>3887.6628627795417</v>
      </c>
      <c r="Q27" s="73">
        <f>'[2]EU Soy Complex'!AS$34</f>
        <v>3993.2244998996457</v>
      </c>
      <c r="R27" s="73">
        <f>'[2]EU Soy Complex'!AT$34</f>
        <v>3607.607176197836</v>
      </c>
      <c r="S27" s="73">
        <f>'[2]EU Soy Complex'!AU$34</f>
        <v>3286.4743636363637</v>
      </c>
      <c r="T27" s="73">
        <f>'[2]EU Soy Complex'!AV$34</f>
        <v>3394.6911897810219</v>
      </c>
      <c r="U27" s="73">
        <f>'[2]EU Soy Complex'!AW$34</f>
        <v>3278.0790000000002</v>
      </c>
      <c r="V27" s="73">
        <f>'[2]EU Soy Complex'!AX$34</f>
        <v>3127.2309999999998</v>
      </c>
      <c r="W27" s="73">
        <f>'[2]EU Soy Complex'!AY$34</f>
        <v>3055.194</v>
      </c>
      <c r="X27" s="73">
        <f>'[2]EU Soy Complex'!AZ$34</f>
        <v>3179.0435432525951</v>
      </c>
      <c r="Y27" s="73">
        <f>'[2]EU Soy Complex'!BA$34</f>
        <v>3376.1682441471576</v>
      </c>
      <c r="Z27" s="73">
        <f>'[2]EU Soy Complex'!BB$34</f>
        <v>3194.5839999999998</v>
      </c>
      <c r="AA27" s="73">
        <f>'[2]EU Soy Complex'!BC$34</f>
        <v>3384.7701661854799</v>
      </c>
      <c r="AB27" s="73">
        <f>'[2]EU Soy Complex'!BD$34</f>
        <v>3589.6510245221298</v>
      </c>
      <c r="AC27" s="73">
        <f>'[2]EU Soy Complex'!BE$34</f>
        <v>3744.052989331798</v>
      </c>
      <c r="AD27" s="73">
        <f>'[2]EU Soy Complex'!BF$34</f>
        <v>3901.3378849999995</v>
      </c>
      <c r="AE27" s="73">
        <f>'[2]EU Soy Complex'!BG$34</f>
        <v>3778.9163083533836</v>
      </c>
      <c r="AF27" s="73">
        <f>'[2]EU Soy Complex'!BH$34</f>
        <v>3908.4236070000011</v>
      </c>
      <c r="AG27" s="74">
        <f>'[2]EU Soy Complex'!BI$34</f>
        <v>3871.4029063383473</v>
      </c>
      <c r="AH27" s="74">
        <f>'[2]EU Soy Complex'!BJ$34</f>
        <v>4079.3714285714323</v>
      </c>
      <c r="AI27" s="74">
        <f>'[2]EU Soy Complex'!BK$34</f>
        <v>4244.6315789473738</v>
      </c>
      <c r="AJ27" s="74">
        <f>'[2]EU Soy Complex'!BL$34</f>
        <v>4260.833082706773</v>
      </c>
      <c r="AK27" s="74">
        <f>'[2]EU Soy Complex'!BM$34</f>
        <v>4286.5413533834671</v>
      </c>
      <c r="AL27" s="74">
        <f>'[2]EU Soy Complex'!BN$34</f>
        <v>4312.2496240601604</v>
      </c>
      <c r="AM27" s="74">
        <f>'[2]EU Soy Complex'!BO$34</f>
        <v>4337.9578947368545</v>
      </c>
      <c r="AN27" s="74">
        <f>'[2]EU Soy Complex'!BP$34</f>
        <v>4363.6661654135478</v>
      </c>
      <c r="AO27" s="74">
        <f>'[2]EU Soy Complex'!BQ$34</f>
        <v>4389.3744360902419</v>
      </c>
    </row>
    <row r="28" spans="1:44">
      <c r="A28" s="68"/>
      <c r="B28" s="68" t="s">
        <v>52</v>
      </c>
      <c r="C28" s="73">
        <f>'[3]EU Rapeseed'!B$35</f>
        <v>4750.7357902293534</v>
      </c>
      <c r="D28" s="73">
        <f>'[3]EU Rapeseed'!C$35</f>
        <v>5242.18325113421</v>
      </c>
      <c r="E28" s="73">
        <f>'[3]EU Rapeseed'!D$35</f>
        <v>5519.6152393400716</v>
      </c>
      <c r="F28" s="73">
        <f>'[3]EU Rapeseed'!E$35</f>
        <v>5517.5334340801483</v>
      </c>
      <c r="G28" s="73">
        <f>'[3]EU Rapeseed'!F$35</f>
        <v>6152.535308994753</v>
      </c>
      <c r="H28" s="73">
        <f>'[3]EU Rapeseed'!G$35</f>
        <v>6264.2325742512348</v>
      </c>
      <c r="I28" s="73">
        <f>'[3]EU Rapeseed'!H$35</f>
        <v>6548.8010000000004</v>
      </c>
      <c r="J28" s="73">
        <f>'[3]EU Rapeseed'!I$35</f>
        <v>6255.7790000000005</v>
      </c>
      <c r="K28" s="73">
        <f>'[3]EU Rapeseed'!J$35</f>
        <v>6271.708799</v>
      </c>
      <c r="L28" s="73">
        <f>'[3]EU Rapeseed'!K$35</f>
        <v>6330.6729999999998</v>
      </c>
      <c r="M28" s="73">
        <f>'[3]EU Rapeseed'!L$35</f>
        <v>6330.3050000000003</v>
      </c>
      <c r="N28" s="73">
        <f>'[3]EU Rapeseed'!M$35</f>
        <v>7594.3220000000001</v>
      </c>
      <c r="O28" s="73">
        <f>'[3]EU Rapeseed'!N$35</f>
        <v>9213.402</v>
      </c>
      <c r="P28" s="73">
        <f>'[3]EU Rapeseed'!O$35</f>
        <v>10020.383</v>
      </c>
      <c r="Q28" s="73">
        <f>'[3]EU Rapeseed'!P$35</f>
        <v>11058.132</v>
      </c>
      <c r="R28" s="73">
        <f>'[3]EU Rapeseed'!Q$35</f>
        <v>12470.483</v>
      </c>
      <c r="S28" s="73">
        <f>'[3]EU Rapeseed'!R$35</f>
        <v>13592.351000000001</v>
      </c>
      <c r="T28" s="73">
        <f>'[3]EU Rapeseed'!S$35</f>
        <v>13015.849</v>
      </c>
      <c r="U28" s="73">
        <f>'[3]EU Rapeseed'!T$35</f>
        <v>13063.169</v>
      </c>
      <c r="V28" s="73">
        <f>'[3]EU Rapeseed'!U$35</f>
        <v>13531.581</v>
      </c>
      <c r="W28" s="73">
        <f>'[3]EU Rapeseed'!V$35</f>
        <v>14246.157999999999</v>
      </c>
      <c r="X28" s="73">
        <f>'[3]EU Rapeseed'!W$35</f>
        <v>15178.047</v>
      </c>
      <c r="Y28" s="73">
        <f>'[3]EU Rapeseed'!X$35</f>
        <v>14339.156000000001</v>
      </c>
      <c r="Z28" s="73">
        <f>'[3]EU Rapeseed'!Y$35</f>
        <v>14235.978999999999</v>
      </c>
      <c r="AA28" s="73">
        <f>'[3]EU Rapeseed'!Z$35</f>
        <v>13140.298999999999</v>
      </c>
      <c r="AB28" s="73">
        <f>'[3]EU Rapeseed'!AA$35</f>
        <v>13031.634</v>
      </c>
      <c r="AC28" s="73">
        <f>'[3]EU Rapeseed'!AB$35</f>
        <v>13112.84</v>
      </c>
      <c r="AD28" s="73">
        <f>'[3]EU Rapeseed'!AC$35</f>
        <v>14828.732247181515</v>
      </c>
      <c r="AE28" s="73">
        <f>'[3]EU Rapeseed'!AD$35</f>
        <v>13982.372161116757</v>
      </c>
      <c r="AF28" s="73">
        <f>'[3]EU Rapeseed'!AE$35</f>
        <v>14852.033366409463</v>
      </c>
      <c r="AG28" s="74">
        <f>'[3]EU Rapeseed'!AF$35</f>
        <v>15342</v>
      </c>
      <c r="AH28" s="74">
        <f>'[3]EU Rapeseed'!AG$35</f>
        <v>15532.880000000001</v>
      </c>
      <c r="AI28" s="74">
        <f>'[3]EU Rapeseed'!AH$35</f>
        <v>15961.000000000004</v>
      </c>
      <c r="AJ28" s="74">
        <f>'[3]EU Rapeseed'!AI$35</f>
        <v>16635</v>
      </c>
      <c r="AK28" s="74">
        <f>'[3]EU Rapeseed'!AJ$35</f>
        <v>17161</v>
      </c>
      <c r="AL28" s="74">
        <f>'[3]EU Rapeseed'!AK$35</f>
        <v>17734.999999999996</v>
      </c>
      <c r="AM28" s="74">
        <f>'[3]EU Rapeseed'!AL$35</f>
        <v>18490</v>
      </c>
      <c r="AN28" s="74">
        <f>'[3]EU Rapeseed'!AM$35</f>
        <v>19050.000000000004</v>
      </c>
      <c r="AO28" s="74">
        <f>'[3]EU Rapeseed'!AN$35</f>
        <v>19610</v>
      </c>
    </row>
    <row r="29" spans="1:44">
      <c r="A29" s="68"/>
      <c r="B29" s="68" t="s">
        <v>53</v>
      </c>
      <c r="C29" s="73">
        <f>'[4]EU Sun Complex'!B$35</f>
        <v>2800.0116575615757</v>
      </c>
      <c r="D29" s="73">
        <f>'[4]EU Sun Complex'!C$35</f>
        <v>3139.6619361477756</v>
      </c>
      <c r="E29" s="73">
        <f>'[4]EU Sun Complex'!D$35</f>
        <v>3432.4713821068221</v>
      </c>
      <c r="F29" s="73">
        <f>'[4]EU Sun Complex'!E$35</f>
        <v>3710.1259161930348</v>
      </c>
      <c r="G29" s="73">
        <f>'[4]EU Sun Complex'!F$35</f>
        <v>3438.4648473222746</v>
      </c>
      <c r="H29" s="73">
        <f>'[4]EU Sun Complex'!G$35</f>
        <v>3502.7282554620424</v>
      </c>
      <c r="I29" s="73">
        <f>'[4]EU Sun Complex'!H$35</f>
        <v>3204.2748120003389</v>
      </c>
      <c r="J29" s="73">
        <f>'[4]EU Sun Complex'!I$35</f>
        <v>3053.6835819297053</v>
      </c>
      <c r="K29" s="73">
        <f>'[4]EU Sun Complex'!J$35</f>
        <v>2931.6157682550465</v>
      </c>
      <c r="L29" s="73">
        <f>'[4]EU Sun Complex'!K$35</f>
        <v>3093.4485042785177</v>
      </c>
      <c r="M29" s="73">
        <f>'[4]EU Sun Complex'!L$35</f>
        <v>3225.9877071060077</v>
      </c>
      <c r="N29" s="73">
        <f>'[4]EU Sun Complex'!M$35</f>
        <v>3371.0322514937534</v>
      </c>
      <c r="O29" s="73">
        <f>'[4]EU Sun Complex'!N$35</f>
        <v>3699.0854313652449</v>
      </c>
      <c r="P29" s="73">
        <f>'[4]EU Sun Complex'!O$35</f>
        <v>3797.0047602801224</v>
      </c>
      <c r="Q29" s="73">
        <f>'[4]EU Sun Complex'!P$35</f>
        <v>3352.7579095521733</v>
      </c>
      <c r="R29" s="73">
        <f>'[4]EU Sun Complex'!Q$35</f>
        <v>3942.5085592935238</v>
      </c>
      <c r="S29" s="73">
        <f>'[4]EU Sun Complex'!R$35</f>
        <v>3918.9665288831839</v>
      </c>
      <c r="T29" s="73">
        <f>'[4]EU Sun Complex'!S$35</f>
        <v>3846.8331932773112</v>
      </c>
      <c r="U29" s="73">
        <f>'[4]EU Sun Complex'!T$35</f>
        <v>4184.6888253778243</v>
      </c>
      <c r="V29" s="73">
        <f>'[4]EU Sun Complex'!U$35</f>
        <v>4022.433</v>
      </c>
      <c r="W29" s="73">
        <f>'[4]EU Sun Complex'!V$35</f>
        <v>4409.5477865168541</v>
      </c>
      <c r="X29" s="73">
        <f>'[4]EU Sun Complex'!W$35</f>
        <v>4353.97</v>
      </c>
      <c r="Y29" s="73">
        <f>'[4]EU Sun Complex'!X$35</f>
        <v>4415.6539999999995</v>
      </c>
      <c r="Z29" s="73">
        <f>'[4]EU Sun Complex'!Y$35</f>
        <v>5372.2305579329113</v>
      </c>
      <c r="AA29" s="73">
        <f>'[4]EU Sun Complex'!Z$35</f>
        <v>5824.8103118398249</v>
      </c>
      <c r="AB29" s="73">
        <f>'[4]EU Sun Complex'!AA$35</f>
        <v>5796.8909060000005</v>
      </c>
      <c r="AC29" s="73">
        <f>'[4]EU Sun Complex'!AB$35</f>
        <v>6362.3520310000004</v>
      </c>
      <c r="AD29" s="73">
        <f>'[4]EU Sun Complex'!AC$35</f>
        <v>5646.7027969999999</v>
      </c>
      <c r="AE29" s="73">
        <f>'[4]EU Sun Complex'!AD$35</f>
        <v>6435.5479609999993</v>
      </c>
      <c r="AF29" s="73">
        <f>'[4]EU Sun Complex'!AE$35</f>
        <v>6613.0283160873641</v>
      </c>
      <c r="AG29" s="74">
        <f>'[4]EU Sun Complex'!AF$35</f>
        <v>7078.56612378932</v>
      </c>
      <c r="AH29" s="74">
        <f>'[4]EU Sun Complex'!AG$35</f>
        <v>7122</v>
      </c>
      <c r="AI29" s="74">
        <f>'[4]EU Sun Complex'!AH$35</f>
        <v>6940.0000000000009</v>
      </c>
      <c r="AJ29" s="74">
        <f>'[4]EU Sun Complex'!AI$35</f>
        <v>6890.0000000000018</v>
      </c>
      <c r="AK29" s="74">
        <f>'[4]EU Sun Complex'!AJ$35</f>
        <v>7182.0000000000009</v>
      </c>
      <c r="AL29" s="74">
        <f>'[4]EU Sun Complex'!AK$35</f>
        <v>7274.0000000000009</v>
      </c>
      <c r="AM29" s="74">
        <f>'[4]EU Sun Complex'!AL$35</f>
        <v>7416.0000000000018</v>
      </c>
      <c r="AN29" s="74">
        <f>'[4]EU Sun Complex'!AM$35</f>
        <v>7525.0000000000018</v>
      </c>
      <c r="AO29" s="74">
        <v>6900</v>
      </c>
    </row>
    <row r="30" spans="1:44">
      <c r="A30" s="68"/>
      <c r="B30" s="68" t="s">
        <v>54</v>
      </c>
      <c r="C30" s="73">
        <f>C23+C16+C9</f>
        <v>1889</v>
      </c>
      <c r="D30" s="73">
        <f t="shared" ref="D30:AN31" si="6">D23+D16+D9</f>
        <v>1899</v>
      </c>
      <c r="E30" s="73">
        <f t="shared" si="6"/>
        <v>2055</v>
      </c>
      <c r="F30" s="73">
        <f t="shared" si="6"/>
        <v>2222</v>
      </c>
      <c r="G30" s="73">
        <f t="shared" si="6"/>
        <v>2385</v>
      </c>
      <c r="H30" s="73">
        <f t="shared" si="6"/>
        <v>2480</v>
      </c>
      <c r="I30" s="73">
        <f t="shared" si="6"/>
        <v>2253</v>
      </c>
      <c r="J30" s="73">
        <f t="shared" si="6"/>
        <v>3064</v>
      </c>
      <c r="K30" s="73">
        <f t="shared" si="6"/>
        <v>3198</v>
      </c>
      <c r="L30" s="73">
        <f t="shared" si="6"/>
        <v>3237</v>
      </c>
      <c r="M30" s="73">
        <f t="shared" si="6"/>
        <v>3675</v>
      </c>
      <c r="N30" s="73">
        <f t="shared" si="6"/>
        <v>4316</v>
      </c>
      <c r="O30" s="73">
        <f t="shared" si="6"/>
        <v>4616</v>
      </c>
      <c r="P30" s="73">
        <f t="shared" si="6"/>
        <v>4753</v>
      </c>
      <c r="Q30" s="73">
        <f t="shared" si="6"/>
        <v>5340</v>
      </c>
      <c r="R30" s="73">
        <f t="shared" si="6"/>
        <v>5958</v>
      </c>
      <c r="S30" s="73">
        <f t="shared" si="6"/>
        <v>6028</v>
      </c>
      <c r="T30" s="73">
        <f t="shared" si="6"/>
        <v>5608</v>
      </c>
      <c r="U30" s="73">
        <f t="shared" si="6"/>
        <v>6365</v>
      </c>
      <c r="V30" s="73">
        <f t="shared" si="6"/>
        <v>7458</v>
      </c>
      <c r="W30" s="73">
        <f t="shared" si="6"/>
        <v>7542</v>
      </c>
      <c r="X30" s="73">
        <f t="shared" si="6"/>
        <v>5526.7660000000005</v>
      </c>
      <c r="Y30" s="73">
        <f t="shared" si="6"/>
        <v>5093.1570000000002</v>
      </c>
      <c r="Z30" s="73">
        <f t="shared" si="6"/>
        <v>4628.62</v>
      </c>
      <c r="AA30" s="73">
        <f t="shared" si="6"/>
        <v>4376.7870000000003</v>
      </c>
      <c r="AB30" s="73">
        <f t="shared" si="6"/>
        <v>5784.4959999999992</v>
      </c>
      <c r="AC30" s="73">
        <f t="shared" si="6"/>
        <v>5883.2879999999996</v>
      </c>
      <c r="AD30" s="73">
        <f t="shared" si="6"/>
        <v>4949.018</v>
      </c>
      <c r="AE30" s="73">
        <f t="shared" si="6"/>
        <v>3664.2420000000002</v>
      </c>
      <c r="AF30" s="73">
        <f t="shared" si="6"/>
        <v>3186.8470000000002</v>
      </c>
      <c r="AG30" s="74">
        <f t="shared" si="6"/>
        <v>2910.049</v>
      </c>
      <c r="AH30" s="74">
        <f t="shared" si="6"/>
        <v>2562</v>
      </c>
      <c r="AI30" s="74">
        <f t="shared" si="6"/>
        <v>2500</v>
      </c>
      <c r="AJ30" s="74">
        <f t="shared" si="6"/>
        <v>2450</v>
      </c>
      <c r="AK30" s="74">
        <f t="shared" si="6"/>
        <v>2400</v>
      </c>
      <c r="AL30" s="74">
        <f t="shared" si="6"/>
        <v>2350</v>
      </c>
      <c r="AM30" s="74">
        <f t="shared" si="6"/>
        <v>2300</v>
      </c>
      <c r="AN30" s="74">
        <f t="shared" si="6"/>
        <v>2250</v>
      </c>
      <c r="AO30" s="74">
        <v>2250</v>
      </c>
    </row>
    <row r="31" spans="1:44">
      <c r="A31" s="68"/>
      <c r="B31" s="68" t="s">
        <v>73</v>
      </c>
      <c r="C31" s="73">
        <f>C24+C17+C10</f>
        <v>422</v>
      </c>
      <c r="D31" s="73">
        <f t="shared" si="6"/>
        <v>349</v>
      </c>
      <c r="E31" s="73">
        <f t="shared" si="6"/>
        <v>423</v>
      </c>
      <c r="F31" s="73">
        <f t="shared" si="6"/>
        <v>436</v>
      </c>
      <c r="G31" s="73">
        <f t="shared" si="6"/>
        <v>422</v>
      </c>
      <c r="H31" s="73">
        <f t="shared" si="6"/>
        <v>557</v>
      </c>
      <c r="I31" s="73">
        <f t="shared" si="6"/>
        <v>457</v>
      </c>
      <c r="J31" s="73">
        <f t="shared" si="6"/>
        <v>502</v>
      </c>
      <c r="K31" s="73">
        <f t="shared" si="6"/>
        <v>667</v>
      </c>
      <c r="L31" s="73">
        <f t="shared" si="6"/>
        <v>667</v>
      </c>
      <c r="M31" s="73">
        <f t="shared" si="6"/>
        <v>704</v>
      </c>
      <c r="N31" s="73">
        <f t="shared" si="6"/>
        <v>700</v>
      </c>
      <c r="O31" s="73">
        <f t="shared" si="6"/>
        <v>654</v>
      </c>
      <c r="P31" s="73">
        <f t="shared" si="6"/>
        <v>678</v>
      </c>
      <c r="Q31" s="73">
        <f t="shared" si="6"/>
        <v>692</v>
      </c>
      <c r="R31" s="73">
        <f t="shared" si="6"/>
        <v>713</v>
      </c>
      <c r="S31" s="73">
        <f t="shared" si="6"/>
        <v>630</v>
      </c>
      <c r="T31" s="73">
        <f t="shared" si="6"/>
        <v>608</v>
      </c>
      <c r="U31" s="73">
        <f t="shared" si="6"/>
        <v>624</v>
      </c>
      <c r="V31" s="73">
        <f t="shared" si="6"/>
        <v>728</v>
      </c>
      <c r="W31" s="73">
        <f t="shared" si="6"/>
        <v>724</v>
      </c>
      <c r="X31" s="73">
        <f t="shared" si="6"/>
        <v>759.274</v>
      </c>
      <c r="Y31" s="73">
        <f t="shared" si="6"/>
        <v>804.59</v>
      </c>
      <c r="Z31" s="73">
        <f t="shared" si="6"/>
        <v>867.27700000000004</v>
      </c>
      <c r="AA31" s="73">
        <f t="shared" si="6"/>
        <v>869.84</v>
      </c>
      <c r="AB31" s="73">
        <f t="shared" si="6"/>
        <v>855.21600000000001</v>
      </c>
      <c r="AC31" s="73">
        <f t="shared" si="6"/>
        <v>829.87799999999993</v>
      </c>
      <c r="AD31" s="73">
        <f t="shared" si="6"/>
        <v>809.85299999999995</v>
      </c>
      <c r="AE31" s="73">
        <f t="shared" si="6"/>
        <v>753.25099999999998</v>
      </c>
      <c r="AF31" s="73">
        <f t="shared" si="6"/>
        <v>718.73099999999999</v>
      </c>
      <c r="AG31" s="74">
        <f t="shared" si="6"/>
        <v>671.65100000000007</v>
      </c>
      <c r="AH31" s="74">
        <f t="shared" si="6"/>
        <v>706</v>
      </c>
      <c r="AI31" s="74">
        <f t="shared" si="6"/>
        <v>690</v>
      </c>
      <c r="AJ31" s="74">
        <f t="shared" si="6"/>
        <v>690</v>
      </c>
      <c r="AK31" s="74">
        <f t="shared" si="6"/>
        <v>690</v>
      </c>
      <c r="AL31" s="74">
        <f t="shared" si="6"/>
        <v>690</v>
      </c>
      <c r="AM31" s="74">
        <f t="shared" si="6"/>
        <v>690</v>
      </c>
      <c r="AN31" s="74">
        <f t="shared" si="6"/>
        <v>690</v>
      </c>
      <c r="AO31" s="74">
        <v>690</v>
      </c>
    </row>
    <row r="32" spans="1:44">
      <c r="A32" s="68"/>
      <c r="B32" s="68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4"/>
      <c r="AH32" s="74"/>
      <c r="AI32" s="74"/>
      <c r="AJ32" s="74"/>
      <c r="AK32" s="74"/>
      <c r="AL32" s="74"/>
      <c r="AM32" s="74"/>
      <c r="AN32" s="74"/>
      <c r="AO32" s="74"/>
    </row>
    <row r="33" spans="1:42">
      <c r="A33" s="75" t="s">
        <v>55</v>
      </c>
      <c r="B33" s="76"/>
      <c r="C33" s="72">
        <f>SUM(C34:C38)</f>
        <v>11267.354970856934</v>
      </c>
      <c r="D33" s="72">
        <f t="shared" ref="D33:AO33" si="7">SUM(D34:D38)</f>
        <v>11953.608322957767</v>
      </c>
      <c r="E33" s="72">
        <f t="shared" si="7"/>
        <v>12635.624633142799</v>
      </c>
      <c r="F33" s="72">
        <f t="shared" si="7"/>
        <v>12169.985350273182</v>
      </c>
      <c r="G33" s="72">
        <f t="shared" si="7"/>
        <v>12800.710156317029</v>
      </c>
      <c r="H33" s="72">
        <f t="shared" si="7"/>
        <v>12988.456053930826</v>
      </c>
      <c r="I33" s="72">
        <f t="shared" si="7"/>
        <v>12525.342812000341</v>
      </c>
      <c r="J33" s="72">
        <f t="shared" si="7"/>
        <v>13687.408581929707</v>
      </c>
      <c r="K33" s="72">
        <f t="shared" si="7"/>
        <v>14131.970567255048</v>
      </c>
      <c r="L33" s="72">
        <f t="shared" si="7"/>
        <v>14323.048504278517</v>
      </c>
      <c r="M33" s="72">
        <f t="shared" si="7"/>
        <v>14758.426775255826</v>
      </c>
      <c r="N33" s="72">
        <f t="shared" si="7"/>
        <v>16775.932672378734</v>
      </c>
      <c r="O33" s="72">
        <f t="shared" si="7"/>
        <v>19724.177071417413</v>
      </c>
      <c r="P33" s="72">
        <f t="shared" si="7"/>
        <v>21204.383623059664</v>
      </c>
      <c r="Q33" s="72">
        <f t="shared" si="7"/>
        <v>22023.556409451819</v>
      </c>
      <c r="R33" s="72">
        <f t="shared" si="7"/>
        <v>23825.150735491359</v>
      </c>
      <c r="S33" s="72">
        <f t="shared" si="7"/>
        <v>24905.950892519548</v>
      </c>
      <c r="T33" s="72">
        <f t="shared" si="7"/>
        <v>23662.489383058335</v>
      </c>
      <c r="U33" s="72">
        <f t="shared" si="7"/>
        <v>24252.703825377823</v>
      </c>
      <c r="V33" s="72">
        <f t="shared" si="7"/>
        <v>25604.397000000001</v>
      </c>
      <c r="W33" s="72">
        <f t="shared" si="7"/>
        <v>26583.219786516853</v>
      </c>
      <c r="X33" s="72">
        <f t="shared" si="7"/>
        <v>25896.4215432526</v>
      </c>
      <c r="Y33" s="72">
        <f t="shared" si="7"/>
        <v>25141.922244147157</v>
      </c>
      <c r="Z33" s="72">
        <f t="shared" si="7"/>
        <v>25210.94055793291</v>
      </c>
      <c r="AA33" s="72">
        <f t="shared" si="7"/>
        <v>24294.238478025301</v>
      </c>
      <c r="AB33" s="72">
        <f t="shared" si="7"/>
        <v>25256.92111352213</v>
      </c>
      <c r="AC33" s="72">
        <f t="shared" si="7"/>
        <v>24917.737875331797</v>
      </c>
      <c r="AD33" s="72">
        <f t="shared" si="7"/>
        <v>26193.022413181516</v>
      </c>
      <c r="AE33" s="72">
        <f t="shared" si="7"/>
        <v>24514.001407470139</v>
      </c>
      <c r="AF33" s="72">
        <f t="shared" si="7"/>
        <v>24505.360422496829</v>
      </c>
      <c r="AG33" s="72">
        <f t="shared" si="7"/>
        <v>25158.152282127667</v>
      </c>
      <c r="AH33" s="72">
        <f t="shared" si="7"/>
        <v>25423.751428571435</v>
      </c>
      <c r="AI33" s="72">
        <f t="shared" si="7"/>
        <v>25895.631578947377</v>
      </c>
      <c r="AJ33" s="72">
        <f t="shared" si="7"/>
        <v>26969.833082706777</v>
      </c>
      <c r="AK33" s="72">
        <f t="shared" si="7"/>
        <v>27849.541353383465</v>
      </c>
      <c r="AL33" s="72">
        <f t="shared" si="7"/>
        <v>28346.249624060158</v>
      </c>
      <c r="AM33" s="72">
        <f t="shared" si="7"/>
        <v>29268.957894736857</v>
      </c>
      <c r="AN33" s="72">
        <f t="shared" si="7"/>
        <v>29913.666165413553</v>
      </c>
      <c r="AO33" s="72">
        <f t="shared" si="7"/>
        <v>29884.374436090242</v>
      </c>
    </row>
    <row r="34" spans="1:42">
      <c r="A34" s="68"/>
      <c r="B34" s="68" t="s">
        <v>51</v>
      </c>
      <c r="C34" s="73">
        <f>'[2]EU Soy Complex'!AE$35</f>
        <v>2126.6075230660044</v>
      </c>
      <c r="D34" s="73">
        <f>'[2]EU Soy Complex'!AF$35</f>
        <v>2229.7631356757815</v>
      </c>
      <c r="E34" s="73">
        <f>'[2]EU Soy Complex'!AG$35</f>
        <v>2204.5380116959059</v>
      </c>
      <c r="F34" s="73">
        <f>'[2]EU Soy Complex'!AH$35</f>
        <v>1955</v>
      </c>
      <c r="G34" s="73">
        <f>'[2]EU Soy Complex'!AI$35</f>
        <v>2063.1970000000001</v>
      </c>
      <c r="H34" s="73">
        <f>'[2]EU Soy Complex'!AJ$35</f>
        <v>1952.793224217547</v>
      </c>
      <c r="I34" s="73">
        <f>'[2]EU Soy Complex'!AK$35</f>
        <v>1698.3740000000003</v>
      </c>
      <c r="J34" s="73">
        <f>'[2]EU Soy Complex'!AL$35</f>
        <v>2174.4160000000002</v>
      </c>
      <c r="K34" s="73">
        <f>'[2]EU Soy Complex'!AM$35</f>
        <v>2369.1610000000005</v>
      </c>
      <c r="L34" s="73">
        <f>'[2]EU Soy Complex'!AN$35</f>
        <v>2355.4989999999993</v>
      </c>
      <c r="M34" s="73">
        <f>'[2]EU Soy Complex'!AO$35</f>
        <v>2133.1890681498176</v>
      </c>
      <c r="N34" s="73">
        <f>'[2]EU Soy Complex'!AP$35</f>
        <v>2199.1204208849799</v>
      </c>
      <c r="O34" s="73">
        <f>'[2]EU Soy Complex'!AQ$35</f>
        <v>2901.3666400521661</v>
      </c>
      <c r="P34" s="73">
        <f>'[2]EU Soy Complex'!AR$35</f>
        <v>3375.3058627795417</v>
      </c>
      <c r="Q34" s="73">
        <f>'[2]EU Soy Complex'!AS$35</f>
        <v>3170.8994998996459</v>
      </c>
      <c r="R34" s="73">
        <f>'[2]EU Soy Complex'!AT$35</f>
        <v>2771.2361761978359</v>
      </c>
      <c r="S34" s="73">
        <f>'[2]EU Soy Complex'!AU$35</f>
        <v>2771.7083636363636</v>
      </c>
      <c r="T34" s="73">
        <f>'[2]EU Soy Complex'!AV$35</f>
        <v>2416.444189781022</v>
      </c>
      <c r="U34" s="73">
        <f>'[2]EU Soy Complex'!AW$35</f>
        <v>2222.9610000000002</v>
      </c>
      <c r="V34" s="73">
        <f>'[2]EU Soy Complex'!AX$35</f>
        <v>1928.7909999999997</v>
      </c>
      <c r="W34" s="73">
        <f>'[2]EU Soy Complex'!AY$35</f>
        <v>2040.009</v>
      </c>
      <c r="X34" s="73">
        <f>'[2]EU Soy Complex'!AZ$35</f>
        <v>1971.2815432525949</v>
      </c>
      <c r="Y34" s="73">
        <f>'[2]EU Soy Complex'!BA$35</f>
        <v>2284.7892441471577</v>
      </c>
      <c r="Z34" s="73">
        <f>'[2]EU Soy Complex'!BB$35</f>
        <v>2164.3219999999997</v>
      </c>
      <c r="AA34" s="73">
        <f>'[2]EU Soy Complex'!BC$35</f>
        <v>2237.8521661854797</v>
      </c>
      <c r="AB34" s="73">
        <f>'[2]EU Soy Complex'!BD$35</f>
        <v>2465.9442635221299</v>
      </c>
      <c r="AC34" s="73">
        <f>'[2]EU Soy Complex'!BE$35</f>
        <v>2396.1717413317979</v>
      </c>
      <c r="AD34" s="73">
        <f>'[2]EU Soy Complex'!BF$35</f>
        <v>2395.2446829999994</v>
      </c>
      <c r="AE34" s="73">
        <f>'[2]EU Soy Complex'!BG$35</f>
        <v>2257.4729873533834</v>
      </c>
      <c r="AF34" s="73">
        <f>'[2]EU Soy Complex'!BH$35</f>
        <v>2392.4222310000009</v>
      </c>
      <c r="AG34" s="74">
        <f>'[2]EU Soy Complex'!BI$35</f>
        <v>2553.9776293383475</v>
      </c>
      <c r="AH34" s="74">
        <f>'[2]EU Soy Complex'!BJ$35</f>
        <v>2429.3714285714323</v>
      </c>
      <c r="AI34" s="74">
        <f>'[2]EU Soy Complex'!BK$35</f>
        <v>2594.6315789473738</v>
      </c>
      <c r="AJ34" s="74">
        <f>'[2]EU Soy Complex'!BL$35</f>
        <v>2910.833082706773</v>
      </c>
      <c r="AK34" s="74">
        <f>'[2]EU Soy Complex'!BM$35</f>
        <v>2936.5413533834671</v>
      </c>
      <c r="AL34" s="74">
        <f>'[2]EU Soy Complex'!BN$35</f>
        <v>2962.2496240601604</v>
      </c>
      <c r="AM34" s="74">
        <f>'[2]EU Soy Complex'!BO$35</f>
        <v>2987.9578947368545</v>
      </c>
      <c r="AN34" s="74">
        <f>'[2]EU Soy Complex'!BP$35</f>
        <v>3013.6661654135478</v>
      </c>
      <c r="AO34" s="74">
        <f>'[2]EU Soy Complex'!BQ$35</f>
        <v>3039.3744360902419</v>
      </c>
    </row>
    <row r="35" spans="1:42">
      <c r="A35" s="68"/>
      <c r="B35" s="68" t="s">
        <v>52</v>
      </c>
      <c r="C35" s="73">
        <f>'[3]EU Rapeseed'!B$36</f>
        <v>4554.7357902293534</v>
      </c>
      <c r="D35" s="73">
        <f>'[3]EU Rapeseed'!C$36</f>
        <v>5057.18325113421</v>
      </c>
      <c r="E35" s="73">
        <f>'[3]EU Rapeseed'!D$36</f>
        <v>5240.6152393400716</v>
      </c>
      <c r="F35" s="73">
        <f>'[3]EU Rapeseed'!E$36</f>
        <v>4861.8594340801483</v>
      </c>
      <c r="G35" s="73">
        <f>'[3]EU Rapeseed'!F$36</f>
        <v>5243.3053089947534</v>
      </c>
      <c r="H35" s="73">
        <f>'[3]EU Rapeseed'!G$36</f>
        <v>5375.9065742512348</v>
      </c>
      <c r="I35" s="73">
        <f>'[3]EU Rapeseed'!H$36</f>
        <v>5730.6240000000007</v>
      </c>
      <c r="J35" s="73">
        <f>'[3]EU Rapeseed'!I$36</f>
        <v>5733.7350000000006</v>
      </c>
      <c r="K35" s="73">
        <f>'[3]EU Rapeseed'!J$36</f>
        <v>5692.1147989999999</v>
      </c>
      <c r="L35" s="73">
        <f>'[3]EU Rapeseed'!K$36</f>
        <v>5791.3589999999995</v>
      </c>
      <c r="M35" s="73">
        <f>'[3]EU Rapeseed'!L$36</f>
        <v>5953.9970000000003</v>
      </c>
      <c r="N35" s="73">
        <f>'[3]EU Rapeseed'!M$36</f>
        <v>7140.9090000000006</v>
      </c>
      <c r="O35" s="73">
        <f>'[3]EU Rapeseed'!N$36</f>
        <v>8826.9719999999998</v>
      </c>
      <c r="P35" s="73">
        <f>'[3]EU Rapeseed'!O$36</f>
        <v>9675.1309999999994</v>
      </c>
      <c r="Q35" s="73">
        <f>'[3]EU Rapeseed'!P$36</f>
        <v>10547.530999999999</v>
      </c>
      <c r="R35" s="73">
        <f>'[3]EU Rapeseed'!Q$36</f>
        <v>11895.761</v>
      </c>
      <c r="S35" s="73">
        <f>'[3]EU Rapeseed'!R$36</f>
        <v>13034.454</v>
      </c>
      <c r="T35" s="73">
        <f>'[3]EU Rapeseed'!S$36</f>
        <v>12560.687</v>
      </c>
      <c r="U35" s="73">
        <f>'[3]EU Rapeseed'!T$36</f>
        <v>12418.749</v>
      </c>
      <c r="V35" s="73">
        <f>'[3]EU Rapeseed'!U$36</f>
        <v>12711.102000000001</v>
      </c>
      <c r="W35" s="73">
        <f>'[3]EU Rapeseed'!V$36</f>
        <v>13463.520999999999</v>
      </c>
      <c r="X35" s="73">
        <f>'[3]EU Rapeseed'!W$36</f>
        <v>14624.470000000001</v>
      </c>
      <c r="Y35" s="73">
        <f>'[3]EU Rapeseed'!X$36</f>
        <v>13656.541000000001</v>
      </c>
      <c r="Z35" s="73">
        <f>'[3]EU Rapeseed'!Y$36</f>
        <v>13677.203</v>
      </c>
      <c r="AA35" s="73">
        <f>'[3]EU Rapeseed'!Z$36</f>
        <v>12458.125999999998</v>
      </c>
      <c r="AB35" s="73">
        <f>'[3]EU Rapeseed'!AA$36</f>
        <v>12149.753000000001</v>
      </c>
      <c r="AC35" s="73">
        <f>'[3]EU Rapeseed'!AB$36</f>
        <v>12239.885</v>
      </c>
      <c r="AD35" s="73">
        <f>'[3]EU Rapeseed'!AC$36</f>
        <v>13990.559247181514</v>
      </c>
      <c r="AE35" s="73">
        <f>'[3]EU Rapeseed'!AD$36</f>
        <v>13549.904161116756</v>
      </c>
      <c r="AF35" s="73">
        <f>'[3]EU Rapeseed'!AE$36</f>
        <v>13836.885366409464</v>
      </c>
      <c r="AG35" s="74">
        <f>'[3]EU Rapeseed'!AF$36</f>
        <v>14231.025</v>
      </c>
      <c r="AH35" s="74">
        <f>'[3]EU Rapeseed'!AG$36</f>
        <v>14671.880000000001</v>
      </c>
      <c r="AI35" s="74">
        <f>'[3]EU Rapeseed'!AH$36</f>
        <v>14986.000000000004</v>
      </c>
      <c r="AJ35" s="74">
        <f>'[3]EU Rapeseed'!AI$36</f>
        <v>15694</v>
      </c>
      <c r="AK35" s="74">
        <f>'[3]EU Rapeseed'!AJ$36</f>
        <v>16206</v>
      </c>
      <c r="AL35" s="74">
        <f>'[3]EU Rapeseed'!AK$36</f>
        <v>16584.999999999996</v>
      </c>
      <c r="AM35" s="74">
        <f>'[3]EU Rapeseed'!AL$36</f>
        <v>17340</v>
      </c>
      <c r="AN35" s="74">
        <f>'[3]EU Rapeseed'!AM$36</f>
        <v>17900.000000000004</v>
      </c>
      <c r="AO35" s="74">
        <f>'[3]EU Rapeseed'!AN$36</f>
        <v>18460</v>
      </c>
    </row>
    <row r="36" spans="1:42">
      <c r="A36" s="68"/>
      <c r="B36" s="68" t="s">
        <v>53</v>
      </c>
      <c r="C36" s="73">
        <f>'[4]EU Sun Complex'!B$36</f>
        <v>2487.0116575615757</v>
      </c>
      <c r="D36" s="73">
        <f>'[4]EU Sun Complex'!C$36</f>
        <v>2632.6619361477756</v>
      </c>
      <c r="E36" s="73">
        <f>'[4]EU Sun Complex'!D$36</f>
        <v>2917.4713821068221</v>
      </c>
      <c r="F36" s="73">
        <f>'[4]EU Sun Complex'!E$36</f>
        <v>2956.1259161930348</v>
      </c>
      <c r="G36" s="73">
        <f>'[4]EU Sun Complex'!F$36</f>
        <v>2949.2078473222746</v>
      </c>
      <c r="H36" s="73">
        <f>'[4]EU Sun Complex'!G$36</f>
        <v>2913.7562554620426</v>
      </c>
      <c r="I36" s="73">
        <f>'[4]EU Sun Complex'!H$36</f>
        <v>2643.3448120003391</v>
      </c>
      <c r="J36" s="73">
        <f>'[4]EU Sun Complex'!I$36</f>
        <v>2543.2575819297053</v>
      </c>
      <c r="K36" s="73">
        <f>'[4]EU Sun Complex'!J$36</f>
        <v>2544.6947682550467</v>
      </c>
      <c r="L36" s="73">
        <f>'[4]EU Sun Complex'!K$36</f>
        <v>2645.1905042785179</v>
      </c>
      <c r="M36" s="73">
        <f>'[4]EU Sun Complex'!L$36</f>
        <v>2702.2407071060079</v>
      </c>
      <c r="N36" s="73">
        <f>'[4]EU Sun Complex'!M$36</f>
        <v>2918.9032514937535</v>
      </c>
      <c r="O36" s="73">
        <f>'[4]EU Sun Complex'!N$36</f>
        <v>3262.838431365245</v>
      </c>
      <c r="P36" s="73">
        <f>'[4]EU Sun Complex'!O$36</f>
        <v>3311.9467602801224</v>
      </c>
      <c r="Q36" s="73">
        <f>'[4]EU Sun Complex'!P$36</f>
        <v>2925.1259095521732</v>
      </c>
      <c r="R36" s="73">
        <f>'[4]EU Sun Complex'!Q$36</f>
        <v>3291.1535592935238</v>
      </c>
      <c r="S36" s="73">
        <f>'[4]EU Sun Complex'!R$36</f>
        <v>3315.788528883184</v>
      </c>
      <c r="T36" s="73">
        <f>'[4]EU Sun Complex'!S$36</f>
        <v>3388.3581932773113</v>
      </c>
      <c r="U36" s="73">
        <f>'[4]EU Sun Complex'!T$36</f>
        <v>3481.9938253778241</v>
      </c>
      <c r="V36" s="73">
        <f>'[4]EU Sun Complex'!U$36</f>
        <v>3598.5039999999999</v>
      </c>
      <c r="W36" s="73">
        <f>'[4]EU Sun Complex'!V$36</f>
        <v>3714.6897865168539</v>
      </c>
      <c r="X36" s="73">
        <f>'[4]EU Sun Complex'!W$36</f>
        <v>3692.8620000000001</v>
      </c>
      <c r="Y36" s="73">
        <f>'[4]EU Sun Complex'!X$36</f>
        <v>3890.3919999999994</v>
      </c>
      <c r="Z36" s="73">
        <f>'[4]EU Sun Complex'!Y$36</f>
        <v>4554.773557932911</v>
      </c>
      <c r="AA36" s="73">
        <f>'[4]EU Sun Complex'!Z$36</f>
        <v>5032.8443118398245</v>
      </c>
      <c r="AB36" s="73">
        <f>'[4]EU Sun Complex'!AA$36</f>
        <v>4900.9808500000008</v>
      </c>
      <c r="AC36" s="73">
        <f>'[4]EU Sun Complex'!AB$36</f>
        <v>4851.5121340000005</v>
      </c>
      <c r="AD36" s="73">
        <f>'[4]EU Sun Complex'!AC$36</f>
        <v>4754.0714829999997</v>
      </c>
      <c r="AE36" s="73">
        <f>'[4]EU Sun Complex'!AD$36</f>
        <v>4950.3512589999991</v>
      </c>
      <c r="AF36" s="73">
        <f>'[4]EU Sun Complex'!AE$36</f>
        <v>5093.1978250873644</v>
      </c>
      <c r="AG36" s="74">
        <f>'[4]EU Sun Complex'!AF$36</f>
        <v>5380.5916527893205</v>
      </c>
      <c r="AH36" s="74">
        <f>'[4]EU Sun Complex'!AG$36</f>
        <v>5622</v>
      </c>
      <c r="AI36" s="74">
        <f>'[4]EU Sun Complex'!AH$36</f>
        <v>5690.0000000000009</v>
      </c>
      <c r="AJ36" s="74">
        <f>'[4]EU Sun Complex'!AI$36</f>
        <v>5790.0000000000018</v>
      </c>
      <c r="AK36" s="74">
        <f>'[4]EU Sun Complex'!AJ$36</f>
        <v>6182.0000000000009</v>
      </c>
      <c r="AL36" s="74">
        <f>'[4]EU Sun Complex'!AK$36</f>
        <v>6324.0000000000009</v>
      </c>
      <c r="AM36" s="74">
        <f>'[4]EU Sun Complex'!AL$36</f>
        <v>6516.0000000000018</v>
      </c>
      <c r="AN36" s="74">
        <f>'[4]EU Sun Complex'!AM$36</f>
        <v>6625.0000000000018</v>
      </c>
      <c r="AO36" s="74">
        <v>6000</v>
      </c>
    </row>
    <row r="37" spans="1:42">
      <c r="A37" s="68"/>
      <c r="B37" s="68" t="s">
        <v>54</v>
      </c>
      <c r="C37" s="73">
        <f>'EU Palm Oil'!B8</f>
        <v>1697</v>
      </c>
      <c r="D37" s="73">
        <f>'EU Palm Oil'!C8</f>
        <v>1712</v>
      </c>
      <c r="E37" s="73">
        <f>'EU Palm Oil'!D8</f>
        <v>1868</v>
      </c>
      <c r="F37" s="73">
        <f>'EU Palm Oil'!E8</f>
        <v>1970</v>
      </c>
      <c r="G37" s="73">
        <f>'EU Palm Oil'!F8</f>
        <v>2134</v>
      </c>
      <c r="H37" s="73">
        <f>'EU Palm Oil'!G8</f>
        <v>2211</v>
      </c>
      <c r="I37" s="73">
        <f>'EU Palm Oil'!H8</f>
        <v>2019</v>
      </c>
      <c r="J37" s="73">
        <f>'EU Palm Oil'!I8</f>
        <v>2790</v>
      </c>
      <c r="K37" s="73">
        <f>'EU Palm Oil'!J8</f>
        <v>2921</v>
      </c>
      <c r="L37" s="73">
        <f>'EU Palm Oil'!K8</f>
        <v>2918</v>
      </c>
      <c r="M37" s="73">
        <f>'EU Palm Oil'!L8</f>
        <v>3322</v>
      </c>
      <c r="N37" s="73">
        <f>'EU Palm Oil'!M8</f>
        <v>3874</v>
      </c>
      <c r="O37" s="73">
        <f>'EU Palm Oil'!N8</f>
        <v>4110</v>
      </c>
      <c r="P37" s="73">
        <f>'EU Palm Oil'!O8</f>
        <v>4218</v>
      </c>
      <c r="Q37" s="73">
        <f>'EU Palm Oil'!P8</f>
        <v>4757</v>
      </c>
      <c r="R37" s="73">
        <f>'EU Palm Oil'!Q8</f>
        <v>5241</v>
      </c>
      <c r="S37" s="73">
        <f>'EU Palm Oil'!R8</f>
        <v>5220</v>
      </c>
      <c r="T37" s="73">
        <f>'EU Palm Oil'!S8</f>
        <v>4750</v>
      </c>
      <c r="U37" s="73">
        <f>'EU Palm Oil'!T8</f>
        <v>5550</v>
      </c>
      <c r="V37" s="73">
        <f>'EU Palm Oil'!U8</f>
        <v>6750</v>
      </c>
      <c r="W37" s="73">
        <f>'EU Palm Oil'!V8</f>
        <v>6750</v>
      </c>
      <c r="X37" s="73">
        <f>'EU Palm Oil'!W8</f>
        <v>4965.5350000000008</v>
      </c>
      <c r="Y37" s="73">
        <f>'EU Palm Oil'!X8</f>
        <v>4661.0410000000002</v>
      </c>
      <c r="Z37" s="73">
        <f>'EU Palm Oil'!Y8</f>
        <v>4116.415</v>
      </c>
      <c r="AA37" s="73">
        <f>'EU Palm Oil'!Z8</f>
        <v>3868.7880000000005</v>
      </c>
      <c r="AB37" s="73">
        <f>'EU Palm Oil'!AA8</f>
        <v>5025.8839999999991</v>
      </c>
      <c r="AC37" s="73">
        <f>'EU Palm Oil'!AB8</f>
        <v>4736.4019999999991</v>
      </c>
      <c r="AD37" s="73">
        <f>'EU Palm Oil'!AC8</f>
        <v>4369.3760000000002</v>
      </c>
      <c r="AE37" s="73">
        <f>'EU Palm Oil'!AD8</f>
        <v>3093.4610000000002</v>
      </c>
      <c r="AF37" s="73">
        <f>'EU Palm Oil'!AE8</f>
        <v>2559.8340000000003</v>
      </c>
      <c r="AG37" s="74">
        <f>'EU Palm Oil'!AF8</f>
        <v>2433.134</v>
      </c>
      <c r="AH37" s="74">
        <f>'EU Palm Oil'!AG8</f>
        <v>2099.5</v>
      </c>
      <c r="AI37" s="74">
        <f>'EU Palm Oil'!AH8</f>
        <v>2040</v>
      </c>
      <c r="AJ37" s="74">
        <f>'EU Palm Oil'!AI8</f>
        <v>1990</v>
      </c>
      <c r="AK37" s="74">
        <f>'EU Palm Oil'!AJ8</f>
        <v>1940</v>
      </c>
      <c r="AL37" s="74">
        <f>'EU Palm Oil'!AK8</f>
        <v>1890</v>
      </c>
      <c r="AM37" s="74">
        <f>'EU Palm Oil'!AL8</f>
        <v>1840</v>
      </c>
      <c r="AN37" s="74">
        <f>'EU Palm Oil'!AM8</f>
        <v>1790</v>
      </c>
      <c r="AO37" s="74">
        <v>1800</v>
      </c>
    </row>
    <row r="38" spans="1:42">
      <c r="A38" s="68"/>
      <c r="B38" s="68" t="s">
        <v>74</v>
      </c>
      <c r="C38" s="73">
        <f>'EU Palm Oil'!B21</f>
        <v>402</v>
      </c>
      <c r="D38" s="73">
        <f>'EU Palm Oil'!C21</f>
        <v>322</v>
      </c>
      <c r="E38" s="73">
        <f>'EU Palm Oil'!D21</f>
        <v>405</v>
      </c>
      <c r="F38" s="73">
        <f>'EU Palm Oil'!E21</f>
        <v>427</v>
      </c>
      <c r="G38" s="73">
        <f>'EU Palm Oil'!F21</f>
        <v>411</v>
      </c>
      <c r="H38" s="73">
        <f>'EU Palm Oil'!G21</f>
        <v>535</v>
      </c>
      <c r="I38" s="73">
        <f>'EU Palm Oil'!H21</f>
        <v>434</v>
      </c>
      <c r="J38" s="73">
        <f>'EU Palm Oil'!I21</f>
        <v>446</v>
      </c>
      <c r="K38" s="73">
        <f>'EU Palm Oil'!J21</f>
        <v>605</v>
      </c>
      <c r="L38" s="73">
        <f>'EU Palm Oil'!K21</f>
        <v>613</v>
      </c>
      <c r="M38" s="73">
        <f>'EU Palm Oil'!L21</f>
        <v>647</v>
      </c>
      <c r="N38" s="73">
        <f>'EU Palm Oil'!M21</f>
        <v>643</v>
      </c>
      <c r="O38" s="73">
        <f>'EU Palm Oil'!N21</f>
        <v>623</v>
      </c>
      <c r="P38" s="73">
        <f>'EU Palm Oil'!O21</f>
        <v>624</v>
      </c>
      <c r="Q38" s="73">
        <f>'EU Palm Oil'!P21</f>
        <v>623</v>
      </c>
      <c r="R38" s="73">
        <f>'EU Palm Oil'!Q21</f>
        <v>626</v>
      </c>
      <c r="S38" s="73">
        <f>'EU Palm Oil'!R21</f>
        <v>564</v>
      </c>
      <c r="T38" s="73">
        <f>'EU Palm Oil'!S21</f>
        <v>547</v>
      </c>
      <c r="U38" s="73">
        <f>'EU Palm Oil'!T21</f>
        <v>579</v>
      </c>
      <c r="V38" s="73">
        <f>'EU Palm Oil'!U21</f>
        <v>616</v>
      </c>
      <c r="W38" s="73">
        <f>'EU Palm Oil'!V21</f>
        <v>615</v>
      </c>
      <c r="X38" s="73">
        <f>'EU Palm Oil'!W21</f>
        <v>642.27300000000002</v>
      </c>
      <c r="Y38" s="73">
        <f>'EU Palm Oil'!X21</f>
        <v>649.15899999999999</v>
      </c>
      <c r="Z38" s="73">
        <f>'EU Palm Oil'!Y21</f>
        <v>698.22700000000009</v>
      </c>
      <c r="AA38" s="73">
        <f>'EU Palm Oil'!Z21</f>
        <v>696.62800000000004</v>
      </c>
      <c r="AB38" s="73">
        <f>'EU Palm Oil'!AA21</f>
        <v>714.35900000000004</v>
      </c>
      <c r="AC38" s="73">
        <f>'EU Palm Oil'!AB21</f>
        <v>693.76699999999994</v>
      </c>
      <c r="AD38" s="73">
        <f>'EU Palm Oil'!AC21</f>
        <v>683.77099999999996</v>
      </c>
      <c r="AE38" s="73">
        <f>'EU Palm Oil'!AD21</f>
        <v>662.81200000000001</v>
      </c>
      <c r="AF38" s="73">
        <f>'EU Palm Oil'!AE21</f>
        <v>623.02099999999996</v>
      </c>
      <c r="AG38" s="74">
        <f>'EU Palm Oil'!AF21</f>
        <v>559.42400000000009</v>
      </c>
      <c r="AH38" s="74">
        <f>'EU Palm Oil'!AG21</f>
        <v>601</v>
      </c>
      <c r="AI38" s="74">
        <f>'EU Palm Oil'!AH21</f>
        <v>585</v>
      </c>
      <c r="AJ38" s="74">
        <f>'EU Palm Oil'!AI21</f>
        <v>585</v>
      </c>
      <c r="AK38" s="74">
        <f>'EU Palm Oil'!AJ21</f>
        <v>585</v>
      </c>
      <c r="AL38" s="74">
        <f>'EU Palm Oil'!AK21</f>
        <v>585</v>
      </c>
      <c r="AM38" s="74">
        <f>'EU Palm Oil'!AL21</f>
        <v>585</v>
      </c>
      <c r="AN38" s="74">
        <f>'EU Palm Oil'!AM21</f>
        <v>585</v>
      </c>
      <c r="AO38" s="74">
        <v>585</v>
      </c>
    </row>
    <row r="39" spans="1:42">
      <c r="A39" s="68"/>
      <c r="B39" s="68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4"/>
      <c r="AH39" s="74"/>
      <c r="AI39" s="74"/>
      <c r="AJ39" s="74"/>
      <c r="AK39" s="74"/>
      <c r="AL39" s="74"/>
      <c r="AM39" s="74"/>
      <c r="AN39" s="74"/>
    </row>
    <row r="40" spans="1:42">
      <c r="A40" s="75" t="s">
        <v>41</v>
      </c>
      <c r="B40" s="76"/>
      <c r="C40" s="72">
        <f>SUM(C41:C45)</f>
        <v>553</v>
      </c>
      <c r="D40" s="72">
        <f t="shared" ref="D40:AN40" si="8">SUM(D41:D45)</f>
        <v>946</v>
      </c>
      <c r="E40" s="72">
        <f t="shared" si="8"/>
        <v>754</v>
      </c>
      <c r="F40" s="72">
        <f t="shared" si="8"/>
        <v>1863.674</v>
      </c>
      <c r="G40" s="72">
        <f t="shared" si="8"/>
        <v>1880.29</v>
      </c>
      <c r="H40" s="72">
        <f t="shared" si="8"/>
        <v>2054.9669999999996</v>
      </c>
      <c r="I40" s="72">
        <f t="shared" si="8"/>
        <v>1815.7329999999999</v>
      </c>
      <c r="J40" s="72">
        <f t="shared" si="8"/>
        <v>1315.0540000000001</v>
      </c>
      <c r="K40" s="72">
        <f t="shared" si="8"/>
        <v>1272.354</v>
      </c>
      <c r="L40" s="72">
        <f t="shared" si="8"/>
        <v>1135.0730000000001</v>
      </c>
      <c r="M40" s="72">
        <f t="shared" si="8"/>
        <v>1055.2239999999999</v>
      </c>
      <c r="N40" s="72">
        <f t="shared" si="8"/>
        <v>1054.4260000000002</v>
      </c>
      <c r="O40" s="72">
        <f t="shared" si="8"/>
        <v>673.78800000000001</v>
      </c>
      <c r="P40" s="72">
        <f t="shared" si="8"/>
        <v>699.66699999999992</v>
      </c>
      <c r="Q40" s="72">
        <f t="shared" si="8"/>
        <v>790.55799999999999</v>
      </c>
      <c r="R40" s="72">
        <f t="shared" si="8"/>
        <v>961.44800000000009</v>
      </c>
      <c r="S40" s="72">
        <f t="shared" si="8"/>
        <v>932.84100000000001</v>
      </c>
      <c r="T40" s="72">
        <f t="shared" si="8"/>
        <v>1108.884</v>
      </c>
      <c r="U40" s="72">
        <f t="shared" si="8"/>
        <v>1492.2329999999999</v>
      </c>
      <c r="V40" s="72">
        <f t="shared" si="8"/>
        <v>1997.848</v>
      </c>
      <c r="W40" s="72">
        <f t="shared" si="8"/>
        <v>1678.6799999999998</v>
      </c>
      <c r="X40" s="72">
        <f t="shared" si="8"/>
        <v>1799.6789999999999</v>
      </c>
      <c r="Y40" s="72">
        <f t="shared" si="8"/>
        <v>1713.8030000000001</v>
      </c>
      <c r="Z40" s="72">
        <f t="shared" si="8"/>
        <v>1648.7499999999998</v>
      </c>
      <c r="AA40" s="72">
        <f t="shared" si="8"/>
        <v>1732.2680000000003</v>
      </c>
      <c r="AB40" s="72">
        <f t="shared" si="8"/>
        <v>1600.966817</v>
      </c>
      <c r="AC40" s="72">
        <f t="shared" si="8"/>
        <v>2137.6731449999993</v>
      </c>
      <c r="AD40" s="72">
        <f t="shared" si="8"/>
        <v>2390.6215159999997</v>
      </c>
      <c r="AE40" s="72">
        <f t="shared" si="8"/>
        <v>2160.328023</v>
      </c>
      <c r="AF40" s="72">
        <f t="shared" si="8"/>
        <v>2874.702867</v>
      </c>
      <c r="AG40" s="72">
        <f t="shared" si="8"/>
        <v>2378.5167479999996</v>
      </c>
      <c r="AH40" s="72">
        <f t="shared" si="8"/>
        <v>2677.5</v>
      </c>
      <c r="AI40" s="72">
        <f t="shared" si="8"/>
        <v>2525</v>
      </c>
      <c r="AJ40" s="72">
        <f t="shared" si="8"/>
        <v>1925</v>
      </c>
      <c r="AK40" s="72">
        <f t="shared" si="8"/>
        <v>1875</v>
      </c>
      <c r="AL40" s="72">
        <f t="shared" si="8"/>
        <v>1775</v>
      </c>
      <c r="AM40" s="72">
        <f t="shared" si="8"/>
        <v>1775</v>
      </c>
      <c r="AN40" s="72">
        <f t="shared" si="8"/>
        <v>1775</v>
      </c>
    </row>
    <row r="41" spans="1:42">
      <c r="A41" s="68"/>
      <c r="B41" s="68" t="s">
        <v>51</v>
      </c>
      <c r="C41" s="73">
        <f>'[2]EU Soy Complex'!AE$38</f>
        <v>376</v>
      </c>
      <c r="D41" s="73">
        <f>'[2]EU Soy Complex'!AF$38</f>
        <v>659</v>
      </c>
      <c r="E41" s="73">
        <f>'[2]EU Soy Complex'!AG$38</f>
        <v>561</v>
      </c>
      <c r="F41" s="73">
        <f>'[2]EU Soy Complex'!AH$38</f>
        <v>863</v>
      </c>
      <c r="G41" s="73">
        <f>'[2]EU Soy Complex'!AI$38</f>
        <v>867.80300000000011</v>
      </c>
      <c r="H41" s="73">
        <f>'[2]EU Soy Complex'!AJ$38</f>
        <v>989.66899999999998</v>
      </c>
      <c r="I41" s="73">
        <f>'[2]EU Soy Complex'!AK$38</f>
        <v>957.62599999999986</v>
      </c>
      <c r="J41" s="73">
        <f>'[2]EU Soy Complex'!AL$38</f>
        <v>900.58400000000006</v>
      </c>
      <c r="K41" s="73">
        <f>'[2]EU Soy Complex'!AM$38</f>
        <v>860.83899999999994</v>
      </c>
      <c r="L41" s="73">
        <f>'[2]EU Soy Complex'!AN$38</f>
        <v>700.50100000000009</v>
      </c>
      <c r="M41" s="73">
        <f>'[2]EU Soy Complex'!AO$38</f>
        <v>548.16899999999987</v>
      </c>
      <c r="N41" s="73">
        <f>'[2]EU Soy Complex'!AP$38</f>
        <v>523.88400000000013</v>
      </c>
      <c r="O41" s="73">
        <f>'[2]EU Soy Complex'!AQ$38</f>
        <v>270.11099999999999</v>
      </c>
      <c r="P41" s="73">
        <f>'[2]EU Soy Complex'!AR$38</f>
        <v>242.357</v>
      </c>
      <c r="Q41" s="73">
        <f>'[2]EU Soy Complex'!AS$38</f>
        <v>334.32499999999999</v>
      </c>
      <c r="R41" s="73">
        <f>'[2]EU Soy Complex'!AT$38</f>
        <v>398.37100000000004</v>
      </c>
      <c r="S41" s="73">
        <f>'[2]EU Soy Complex'!AU$38</f>
        <v>385.76600000000002</v>
      </c>
      <c r="T41" s="73">
        <f>'[2]EU Soy Complex'!AV$38</f>
        <v>463.24700000000007</v>
      </c>
      <c r="U41" s="73">
        <f>'[2]EU Soy Complex'!AW$38</f>
        <v>742.11800000000005</v>
      </c>
      <c r="V41" s="73">
        <f>'[2]EU Soy Complex'!AX$38</f>
        <v>1011.4399999999999</v>
      </c>
      <c r="W41" s="73">
        <f>'[2]EU Soy Complex'!AY$38</f>
        <v>766.18499999999995</v>
      </c>
      <c r="X41" s="73">
        <f>'[2]EU Soy Complex'!AZ$38</f>
        <v>1009.7620000000001</v>
      </c>
      <c r="Y41" s="73">
        <f>'[2]EU Soy Complex'!BA$38</f>
        <v>927.37900000000002</v>
      </c>
      <c r="Z41" s="73">
        <f>'[2]EU Soy Complex'!BB$38</f>
        <v>819.26200000000006</v>
      </c>
      <c r="AA41" s="73">
        <f>'[2]EU Soy Complex'!BC$38</f>
        <v>901.91800000000012</v>
      </c>
      <c r="AB41" s="73">
        <f>'[2]EU Soy Complex'!BD$38</f>
        <v>841.70676100000003</v>
      </c>
      <c r="AC41" s="73">
        <f>'[2]EU Soy Complex'!BE$38</f>
        <v>908.88124800000003</v>
      </c>
      <c r="AD41" s="73">
        <f>'[2]EU Soy Complex'!BF$38</f>
        <v>1063.093202</v>
      </c>
      <c r="AE41" s="73">
        <f>'[2]EU Soy Complex'!BG$38</f>
        <v>958.44332100000008</v>
      </c>
      <c r="AF41" s="73">
        <f>'[2]EU Soy Complex'!BH$38</f>
        <v>915.00137600000005</v>
      </c>
      <c r="AG41" s="74">
        <f>'[2]EU Soy Complex'!BI$38</f>
        <v>662.42527699999994</v>
      </c>
      <c r="AH41" s="74">
        <f>'[2]EU Soy Complex'!BJ$38</f>
        <v>1000</v>
      </c>
      <c r="AI41" s="74">
        <f>'[2]EU Soy Complex'!BK$38</f>
        <v>1000</v>
      </c>
      <c r="AJ41" s="74">
        <f>'[2]EU Soy Complex'!BL$38</f>
        <v>700</v>
      </c>
      <c r="AK41" s="74">
        <f>'[2]EU Soy Complex'!BM$38</f>
        <v>700</v>
      </c>
      <c r="AL41" s="74">
        <f>'[2]EU Soy Complex'!BN$38</f>
        <v>700</v>
      </c>
      <c r="AM41" s="74">
        <f>'[2]EU Soy Complex'!BO$38</f>
        <v>700</v>
      </c>
      <c r="AN41" s="74">
        <f>'[2]EU Soy Complex'!BP$38</f>
        <v>700</v>
      </c>
      <c r="AO41" s="78">
        <f>AG41-AG20</f>
        <v>147.67650600000002</v>
      </c>
    </row>
    <row r="42" spans="1:42">
      <c r="A42" s="68"/>
      <c r="B42" s="68" t="s">
        <v>52</v>
      </c>
      <c r="C42" s="73">
        <f>'[3]EU Rapeseed'!B$40</f>
        <v>0</v>
      </c>
      <c r="D42" s="73">
        <f>'[3]EU Rapeseed'!C$40</f>
        <v>0</v>
      </c>
      <c r="E42" s="73">
        <f>'[3]EU Rapeseed'!D$40</f>
        <v>0</v>
      </c>
      <c r="F42" s="73">
        <f>'[3]EU Rapeseed'!E$40</f>
        <v>451.67399999999998</v>
      </c>
      <c r="G42" s="73">
        <f>'[3]EU Rapeseed'!F$40</f>
        <v>676.23</v>
      </c>
      <c r="H42" s="73">
        <f>'[3]EU Rapeseed'!G$40</f>
        <v>681.32599999999991</v>
      </c>
      <c r="I42" s="73">
        <f>'[3]EU Rapeseed'!H$40</f>
        <v>561.17700000000002</v>
      </c>
      <c r="J42" s="73">
        <f>'[3]EU Rapeseed'!I$40</f>
        <v>174.04399999999998</v>
      </c>
      <c r="K42" s="73">
        <f>'[3]EU Rapeseed'!J$40</f>
        <v>259.59399999999999</v>
      </c>
      <c r="L42" s="73">
        <f>'[3]EU Rapeseed'!K$40</f>
        <v>222.31400000000002</v>
      </c>
      <c r="M42" s="73">
        <f>'[3]EU Rapeseed'!L$40</f>
        <v>220.30799999999999</v>
      </c>
      <c r="N42" s="73">
        <f>'[3]EU Rapeseed'!M$40</f>
        <v>239.41299999999998</v>
      </c>
      <c r="O42" s="73">
        <f>'[3]EU Rapeseed'!N$40</f>
        <v>178.43</v>
      </c>
      <c r="P42" s="73">
        <f>'[3]EU Rapeseed'!O$40</f>
        <v>144.25199999999998</v>
      </c>
      <c r="Q42" s="73">
        <f>'[3]EU Rapeseed'!P$40</f>
        <v>205.60099999999997</v>
      </c>
      <c r="R42" s="73">
        <f>'[3]EU Rapeseed'!Q$40</f>
        <v>294.72199999999998</v>
      </c>
      <c r="S42" s="73">
        <f>'[3]EU Rapeseed'!R$40</f>
        <v>239.89700000000005</v>
      </c>
      <c r="T42" s="73">
        <f>'[3]EU Rapeseed'!S$40</f>
        <v>261.16199999999998</v>
      </c>
      <c r="U42" s="73">
        <f>'[3]EU Rapeseed'!T$40</f>
        <v>363.4199999999999</v>
      </c>
      <c r="V42" s="73">
        <f>'[3]EU Rapeseed'!U$40</f>
        <v>600.47900000000004</v>
      </c>
      <c r="W42" s="73">
        <f>'[3]EU Rapeseed'!V$40</f>
        <v>374.63699999999994</v>
      </c>
      <c r="X42" s="73">
        <f>'[3]EU Rapeseed'!W$40</f>
        <v>359.577</v>
      </c>
      <c r="Y42" s="73">
        <f>'[3]EU Rapeseed'!X$40</f>
        <v>401.61500000000007</v>
      </c>
      <c r="Z42" s="73">
        <f>'[3]EU Rapeseed'!Y$40</f>
        <v>338.77600000000001</v>
      </c>
      <c r="AA42" s="73">
        <f>'[3]EU Rapeseed'!Z$40</f>
        <v>274.173</v>
      </c>
      <c r="AB42" s="73">
        <f>'[3]EU Rapeseed'!AA$40</f>
        <v>218.881</v>
      </c>
      <c r="AC42" s="73">
        <f>'[3]EU Rapeseed'!AB$40</f>
        <v>347.95500000000004</v>
      </c>
      <c r="AD42" s="73">
        <f>'[3]EU Rapeseed'!AC$40</f>
        <v>626.17300000000012</v>
      </c>
      <c r="AE42" s="73">
        <f>'[3]EU Rapeseed'!AD$40</f>
        <v>346.46800000000002</v>
      </c>
      <c r="AF42" s="73">
        <f>'[3]EU Rapeseed'!AE$40</f>
        <v>697.14800000000002</v>
      </c>
      <c r="AG42" s="74">
        <f>'[3]EU Rapeseed'!AF$40</f>
        <v>732.97500000000014</v>
      </c>
      <c r="AH42" s="74">
        <f>'[3]EU Rapeseed'!AG$40</f>
        <v>650</v>
      </c>
      <c r="AI42" s="74">
        <f>'[3]EU Rapeseed'!AH$40</f>
        <v>650</v>
      </c>
      <c r="AJ42" s="74">
        <f>'[3]EU Rapeseed'!AI$40</f>
        <v>650</v>
      </c>
      <c r="AK42" s="74">
        <f>'[3]EU Rapeseed'!AJ$40</f>
        <v>650</v>
      </c>
      <c r="AL42" s="74">
        <f>'[3]EU Rapeseed'!AK$40</f>
        <v>650</v>
      </c>
      <c r="AM42" s="74">
        <f>'[3]EU Rapeseed'!AL$40</f>
        <v>650</v>
      </c>
      <c r="AN42" s="74">
        <f>'[3]EU Rapeseed'!AM$40</f>
        <v>650</v>
      </c>
      <c r="AO42" s="78">
        <f t="shared" ref="AO42:AO45" si="9">AG42-AG21</f>
        <v>382.97500000000014</v>
      </c>
    </row>
    <row r="43" spans="1:42">
      <c r="A43" s="68"/>
      <c r="B43" s="68" t="s">
        <v>53</v>
      </c>
      <c r="C43" s="73">
        <f>'[4]EU Sun Complex'!B$40</f>
        <v>114</v>
      </c>
      <c r="D43" s="73">
        <f>'[4]EU Sun Complex'!C$40</f>
        <v>233</v>
      </c>
      <c r="E43" s="73">
        <f>'[4]EU Sun Complex'!D$40</f>
        <v>141</v>
      </c>
      <c r="F43" s="73">
        <f>'[4]EU Sun Complex'!E$40</f>
        <v>458</v>
      </c>
      <c r="G43" s="73">
        <f>'[4]EU Sun Complex'!F$40</f>
        <v>251.25699999999995</v>
      </c>
      <c r="H43" s="73">
        <f>'[4]EU Sun Complex'!G$40</f>
        <v>289.97199999999998</v>
      </c>
      <c r="I43" s="73">
        <f>'[4]EU Sun Complex'!H$40</f>
        <v>240.92999999999998</v>
      </c>
      <c r="J43" s="73">
        <f>'[4]EU Sun Complex'!I$40</f>
        <v>184.42599999999999</v>
      </c>
      <c r="K43" s="73">
        <f>'[4]EU Sun Complex'!J$40</f>
        <v>102.92099999999999</v>
      </c>
      <c r="L43" s="73">
        <f>'[4]EU Sun Complex'!K$40</f>
        <v>156.25799999999998</v>
      </c>
      <c r="M43" s="73">
        <f>'[4]EU Sun Complex'!L$40</f>
        <v>217.74700000000001</v>
      </c>
      <c r="N43" s="73">
        <f>'[4]EU Sun Complex'!M$40</f>
        <v>187.12900000000002</v>
      </c>
      <c r="O43" s="73">
        <f>'[4]EU Sun Complex'!N$40</f>
        <v>133.24700000000001</v>
      </c>
      <c r="P43" s="73">
        <f>'[4]EU Sun Complex'!O$40</f>
        <v>147.05799999999999</v>
      </c>
      <c r="Q43" s="73">
        <f>'[4]EU Sun Complex'!P$40</f>
        <v>112.63200000000001</v>
      </c>
      <c r="R43" s="73">
        <f>'[4]EU Sun Complex'!Q$40</f>
        <v>126.35499999999999</v>
      </c>
      <c r="S43" s="73">
        <f>'[4]EU Sun Complex'!R$40</f>
        <v>151.17800000000003</v>
      </c>
      <c r="T43" s="73">
        <f>'[4]EU Sun Complex'!S$40</f>
        <v>163.47500000000002</v>
      </c>
      <c r="U43" s="73">
        <f>'[4]EU Sun Complex'!T$40</f>
        <v>203.69499999999999</v>
      </c>
      <c r="V43" s="73">
        <f>'[4]EU Sun Complex'!U$40</f>
        <v>237.929</v>
      </c>
      <c r="W43" s="73">
        <f>'[4]EU Sun Complex'!V$40</f>
        <v>365.858</v>
      </c>
      <c r="X43" s="73">
        <f>'[4]EU Sun Complex'!W$40</f>
        <v>409.10799999999995</v>
      </c>
      <c r="Y43" s="73">
        <f>'[4]EU Sun Complex'!X$40</f>
        <v>367.262</v>
      </c>
      <c r="Z43" s="73">
        <f>'[4]EU Sun Complex'!Y$40</f>
        <v>463.45699999999994</v>
      </c>
      <c r="AA43" s="73">
        <f>'[4]EU Sun Complex'!Z$40</f>
        <v>533.96600000000001</v>
      </c>
      <c r="AB43" s="73">
        <f>'[4]EU Sun Complex'!AA$40</f>
        <v>523.91005599999994</v>
      </c>
      <c r="AC43" s="73">
        <f>'[4]EU Sun Complex'!AB$40</f>
        <v>862.83989699999961</v>
      </c>
      <c r="AD43" s="73">
        <f>'[4]EU Sun Complex'!AC$40</f>
        <v>681.63131399999997</v>
      </c>
      <c r="AE43" s="73">
        <f>'[4]EU Sun Complex'!AD$40</f>
        <v>839.19670200000007</v>
      </c>
      <c r="AF43" s="73">
        <f>'[4]EU Sun Complex'!AE$40</f>
        <v>1227.8304909999999</v>
      </c>
      <c r="AG43" s="74">
        <f>'[4]EU Sun Complex'!AF$40</f>
        <v>956.97447099999965</v>
      </c>
      <c r="AH43" s="74">
        <f>'[4]EU Sun Complex'!AG$40</f>
        <v>1000</v>
      </c>
      <c r="AI43" s="74">
        <f>'[4]EU Sun Complex'!AH$40</f>
        <v>850</v>
      </c>
      <c r="AJ43" s="74">
        <f>'[4]EU Sun Complex'!AI$40</f>
        <v>550</v>
      </c>
      <c r="AK43" s="74">
        <f>'[4]EU Sun Complex'!AJ$40</f>
        <v>500</v>
      </c>
      <c r="AL43" s="74">
        <f>'[4]EU Sun Complex'!AK$40</f>
        <v>400</v>
      </c>
      <c r="AM43" s="74">
        <f>'[4]EU Sun Complex'!AL$40</f>
        <v>400</v>
      </c>
      <c r="AN43" s="74">
        <f>'[4]EU Sun Complex'!AM$40</f>
        <v>400</v>
      </c>
      <c r="AO43" s="78">
        <f t="shared" si="9"/>
        <v>-2009.6481289999997</v>
      </c>
    </row>
    <row r="44" spans="1:42">
      <c r="A44" s="68"/>
      <c r="B44" s="68" t="s">
        <v>54</v>
      </c>
      <c r="C44" s="73">
        <f>'EU Palm Oil'!B12</f>
        <v>63</v>
      </c>
      <c r="D44" s="73">
        <f>'EU Palm Oil'!C12</f>
        <v>54</v>
      </c>
      <c r="E44" s="73">
        <f>'EU Palm Oil'!D12</f>
        <v>52</v>
      </c>
      <c r="F44" s="73">
        <f>'EU Palm Oil'!E12</f>
        <v>91</v>
      </c>
      <c r="G44" s="73">
        <f>'EU Palm Oil'!F12</f>
        <v>85</v>
      </c>
      <c r="H44" s="73">
        <f>'EU Palm Oil'!G12</f>
        <v>94</v>
      </c>
      <c r="I44" s="73">
        <f>'EU Palm Oil'!H12</f>
        <v>55</v>
      </c>
      <c r="J44" s="73">
        <f>'EU Palm Oil'!I12</f>
        <v>54</v>
      </c>
      <c r="K44" s="73">
        <f>'EU Palm Oil'!J12</f>
        <v>46</v>
      </c>
      <c r="L44" s="73">
        <f>'EU Palm Oil'!K12</f>
        <v>55</v>
      </c>
      <c r="M44" s="73">
        <f>'EU Palm Oil'!L12</f>
        <v>68</v>
      </c>
      <c r="N44" s="73">
        <f>'EU Palm Oil'!M12</f>
        <v>102</v>
      </c>
      <c r="O44" s="73">
        <f>'EU Palm Oil'!N12</f>
        <v>92</v>
      </c>
      <c r="P44" s="73">
        <f>'EU Palm Oil'!O12</f>
        <v>162</v>
      </c>
      <c r="Q44" s="73">
        <f>'EU Palm Oil'!P12</f>
        <v>134</v>
      </c>
      <c r="R44" s="73">
        <f>'EU Palm Oil'!Q12</f>
        <v>131</v>
      </c>
      <c r="S44" s="73">
        <f>'EU Palm Oil'!R12</f>
        <v>144</v>
      </c>
      <c r="T44" s="73">
        <f>'EU Palm Oil'!S12</f>
        <v>200</v>
      </c>
      <c r="U44" s="73">
        <f>'EU Palm Oil'!T12</f>
        <v>169</v>
      </c>
      <c r="V44" s="73">
        <f>'EU Palm Oil'!U12</f>
        <v>135</v>
      </c>
      <c r="W44" s="73">
        <f>'EU Palm Oil'!V12</f>
        <v>162</v>
      </c>
      <c r="X44" s="73">
        <f>'EU Palm Oil'!W12</f>
        <v>5.230999999999999</v>
      </c>
      <c r="Y44" s="73">
        <f>'EU Palm Oil'!X12</f>
        <v>7.1160000000000005</v>
      </c>
      <c r="Z44" s="73">
        <f>'EU Palm Oil'!Y12</f>
        <v>14.205000000000002</v>
      </c>
      <c r="AA44" s="73">
        <f>'EU Palm Oil'!Z12</f>
        <v>11.999000000000001</v>
      </c>
      <c r="AB44" s="73">
        <f>'EU Palm Oil'!AA12</f>
        <v>6.6120000000000001</v>
      </c>
      <c r="AC44" s="73">
        <f>'EU Palm Oil'!AB12</f>
        <v>9.8859999999999992</v>
      </c>
      <c r="AD44" s="73">
        <f>'EU Palm Oil'!AC12</f>
        <v>11.641999999999999</v>
      </c>
      <c r="AE44" s="73">
        <f>'EU Palm Oil'!AD12</f>
        <v>11.780999999999999</v>
      </c>
      <c r="AF44" s="73">
        <f>'EU Palm Oil'!AE12</f>
        <v>17.012999999999998</v>
      </c>
      <c r="AG44" s="74">
        <f>'EU Palm Oil'!AF12</f>
        <v>14.914999999999999</v>
      </c>
      <c r="AH44" s="74">
        <f>'EU Palm Oil'!AG12</f>
        <v>12.5</v>
      </c>
      <c r="AI44" s="74">
        <f>'EU Palm Oil'!AH12</f>
        <v>10</v>
      </c>
      <c r="AJ44" s="74">
        <f>'EU Palm Oil'!AI12</f>
        <v>10</v>
      </c>
      <c r="AK44" s="74">
        <f>'EU Palm Oil'!AJ12</f>
        <v>10</v>
      </c>
      <c r="AL44" s="74">
        <f>'EU Palm Oil'!AK12</f>
        <v>10</v>
      </c>
      <c r="AM44" s="74">
        <f>'EU Palm Oil'!AL12</f>
        <v>10</v>
      </c>
      <c r="AN44" s="74">
        <f>'EU Palm Oil'!AM12</f>
        <v>10</v>
      </c>
      <c r="AO44" s="78">
        <f t="shared" si="9"/>
        <v>-2285.134</v>
      </c>
    </row>
    <row r="45" spans="1:42">
      <c r="A45" s="68"/>
      <c r="B45" s="68" t="s">
        <v>73</v>
      </c>
      <c r="C45" s="73">
        <f>'EU Palm Oil'!B25</f>
        <v>0</v>
      </c>
      <c r="D45" s="73">
        <f>'EU Palm Oil'!C25</f>
        <v>0</v>
      </c>
      <c r="E45" s="73">
        <f>'EU Palm Oil'!D25</f>
        <v>0</v>
      </c>
      <c r="F45" s="73">
        <f>'EU Palm Oil'!E25</f>
        <v>0</v>
      </c>
      <c r="G45" s="73">
        <f>'EU Palm Oil'!F25</f>
        <v>0</v>
      </c>
      <c r="H45" s="73">
        <f>'EU Palm Oil'!G25</f>
        <v>0</v>
      </c>
      <c r="I45" s="73">
        <f>'EU Palm Oil'!H25</f>
        <v>1</v>
      </c>
      <c r="J45" s="73">
        <f>'EU Palm Oil'!I25</f>
        <v>2</v>
      </c>
      <c r="K45" s="73">
        <f>'EU Palm Oil'!J25</f>
        <v>3</v>
      </c>
      <c r="L45" s="73">
        <f>'EU Palm Oil'!K25</f>
        <v>1</v>
      </c>
      <c r="M45" s="73">
        <f>'EU Palm Oil'!L25</f>
        <v>1</v>
      </c>
      <c r="N45" s="73">
        <f>'EU Palm Oil'!M25</f>
        <v>2</v>
      </c>
      <c r="O45" s="73">
        <f>'EU Palm Oil'!N25</f>
        <v>0</v>
      </c>
      <c r="P45" s="73">
        <f>'EU Palm Oil'!O25</f>
        <v>4</v>
      </c>
      <c r="Q45" s="73">
        <f>'EU Palm Oil'!P25</f>
        <v>4</v>
      </c>
      <c r="R45" s="73">
        <f>'EU Palm Oil'!Q25</f>
        <v>11</v>
      </c>
      <c r="S45" s="73">
        <f>'EU Palm Oil'!R25</f>
        <v>12</v>
      </c>
      <c r="T45" s="73">
        <f>'EU Palm Oil'!S25</f>
        <v>21</v>
      </c>
      <c r="U45" s="73">
        <f>'EU Palm Oil'!T25</f>
        <v>14</v>
      </c>
      <c r="V45" s="73">
        <f>'EU Palm Oil'!U25</f>
        <v>13</v>
      </c>
      <c r="W45" s="73">
        <f>'EU Palm Oil'!V25</f>
        <v>10</v>
      </c>
      <c r="X45" s="73">
        <f>'EU Palm Oil'!W25</f>
        <v>16.001000000000001</v>
      </c>
      <c r="Y45" s="73">
        <f>'EU Palm Oil'!X25</f>
        <v>10.431000000000003</v>
      </c>
      <c r="Z45" s="73">
        <f>'EU Palm Oil'!Y25</f>
        <v>13.05</v>
      </c>
      <c r="AA45" s="73">
        <f>'EU Palm Oil'!Z25</f>
        <v>10.212</v>
      </c>
      <c r="AB45" s="73">
        <f>'EU Palm Oil'!AA25</f>
        <v>9.8569999999999993</v>
      </c>
      <c r="AC45" s="73">
        <f>'EU Palm Oil'!AB25</f>
        <v>8.1109999999999989</v>
      </c>
      <c r="AD45" s="73">
        <f>'EU Palm Oil'!AC25</f>
        <v>8.0820000000000007</v>
      </c>
      <c r="AE45" s="73">
        <f>'EU Palm Oil'!AD25</f>
        <v>4.4390000000000001</v>
      </c>
      <c r="AF45" s="73">
        <f>'EU Palm Oil'!AE25</f>
        <v>17.71</v>
      </c>
      <c r="AG45" s="74">
        <f>'EU Palm Oil'!AF25</f>
        <v>11.227</v>
      </c>
      <c r="AH45" s="74">
        <f>'EU Palm Oil'!AG25</f>
        <v>15</v>
      </c>
      <c r="AI45" s="74">
        <f>'EU Palm Oil'!AH25</f>
        <v>15</v>
      </c>
      <c r="AJ45" s="74">
        <f>'EU Palm Oil'!AI25</f>
        <v>15</v>
      </c>
      <c r="AK45" s="74">
        <f>'EU Palm Oil'!AJ25</f>
        <v>15</v>
      </c>
      <c r="AL45" s="74">
        <f>'EU Palm Oil'!AK25</f>
        <v>15</v>
      </c>
      <c r="AM45" s="74">
        <f>'EU Palm Oil'!AL25</f>
        <v>15</v>
      </c>
      <c r="AN45" s="74">
        <f>'EU Palm Oil'!AM25</f>
        <v>15</v>
      </c>
      <c r="AO45" s="78">
        <f t="shared" si="9"/>
        <v>-582.42400000000009</v>
      </c>
    </row>
    <row r="46" spans="1:42">
      <c r="A46" s="68"/>
      <c r="B46" s="68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4">
        <f t="shared" ref="X46:AM46" si="10">X19-X40</f>
        <v>5142.8540000000003</v>
      </c>
      <c r="Y46" s="74">
        <f t="shared" si="10"/>
        <v>5495.3690000000006</v>
      </c>
      <c r="Z46" s="74">
        <f t="shared" si="10"/>
        <v>5600.723</v>
      </c>
      <c r="AA46" s="74">
        <f t="shared" si="10"/>
        <v>5105.9590000000007</v>
      </c>
      <c r="AB46" s="74">
        <f t="shared" si="10"/>
        <v>7206.8160589999989</v>
      </c>
      <c r="AC46" s="74">
        <f t="shared" si="10"/>
        <v>6946.4576910000014</v>
      </c>
      <c r="AD46" s="74">
        <f t="shared" si="10"/>
        <v>4509.5041660000006</v>
      </c>
      <c r="AE46" s="74">
        <f t="shared" si="10"/>
        <v>4640.2437049999999</v>
      </c>
      <c r="AF46" s="74">
        <f t="shared" si="10"/>
        <v>3480.5646749999996</v>
      </c>
      <c r="AG46" s="74">
        <f t="shared" si="10"/>
        <v>4346.554623</v>
      </c>
      <c r="AH46" s="74">
        <f t="shared" si="10"/>
        <v>3762.5</v>
      </c>
      <c r="AI46" s="74">
        <f t="shared" si="10"/>
        <v>3525</v>
      </c>
      <c r="AJ46" s="74">
        <f t="shared" si="10"/>
        <v>4150</v>
      </c>
      <c r="AK46" s="74">
        <f t="shared" si="10"/>
        <v>4275</v>
      </c>
      <c r="AL46" s="74">
        <f t="shared" si="10"/>
        <v>4450</v>
      </c>
      <c r="AM46" s="74">
        <f t="shared" si="10"/>
        <v>4475</v>
      </c>
      <c r="AN46" s="74">
        <f>AN19-AN40</f>
        <v>4525</v>
      </c>
      <c r="AP46" s="79">
        <f>(AN46/AD46)^(1/10)-1</f>
        <v>3.4309591406556095E-4</v>
      </c>
    </row>
    <row r="47" spans="1:42">
      <c r="A47" s="75" t="s">
        <v>56</v>
      </c>
      <c r="B47" s="76"/>
      <c r="C47" s="72">
        <f>SUM(C48:C52)</f>
        <v>11820.354970856934</v>
      </c>
      <c r="D47" s="72">
        <f t="shared" ref="D47:AO47" si="11">SUM(D48:D52)</f>
        <v>12899.608322957767</v>
      </c>
      <c r="E47" s="72">
        <f t="shared" si="11"/>
        <v>13389.624633142799</v>
      </c>
      <c r="F47" s="72">
        <f t="shared" si="11"/>
        <v>14033.659350273183</v>
      </c>
      <c r="G47" s="72">
        <f t="shared" si="11"/>
        <v>14681.000156317028</v>
      </c>
      <c r="H47" s="72">
        <f t="shared" si="11"/>
        <v>15043.423053930823</v>
      </c>
      <c r="I47" s="72">
        <f t="shared" si="11"/>
        <v>14341.075812000337</v>
      </c>
      <c r="J47" s="72">
        <f t="shared" si="11"/>
        <v>15002.462581929705</v>
      </c>
      <c r="K47" s="72">
        <f t="shared" si="11"/>
        <v>15404.324567255047</v>
      </c>
      <c r="L47" s="72">
        <f t="shared" si="11"/>
        <v>15458.121504278517</v>
      </c>
      <c r="M47" s="72">
        <f t="shared" si="11"/>
        <v>15813.650775255825</v>
      </c>
      <c r="N47" s="72">
        <f t="shared" si="11"/>
        <v>17830.358672378734</v>
      </c>
      <c r="O47" s="72">
        <f t="shared" si="11"/>
        <v>20397.965071417413</v>
      </c>
      <c r="P47" s="72">
        <f t="shared" si="11"/>
        <v>21904.050623059666</v>
      </c>
      <c r="Q47" s="72">
        <f t="shared" si="11"/>
        <v>22814.114409451817</v>
      </c>
      <c r="R47" s="72">
        <f t="shared" si="11"/>
        <v>24786.59873549136</v>
      </c>
      <c r="S47" s="72">
        <f t="shared" si="11"/>
        <v>25838.791892519548</v>
      </c>
      <c r="T47" s="72">
        <f t="shared" si="11"/>
        <v>24771.373383058333</v>
      </c>
      <c r="U47" s="72">
        <f t="shared" si="11"/>
        <v>25744.936825377823</v>
      </c>
      <c r="V47" s="72">
        <f t="shared" si="11"/>
        <v>27602.244999999999</v>
      </c>
      <c r="W47" s="72">
        <f t="shared" si="11"/>
        <v>28261.899786516853</v>
      </c>
      <c r="X47" s="72">
        <f t="shared" si="11"/>
        <v>27696.100543252596</v>
      </c>
      <c r="Y47" s="72">
        <f t="shared" si="11"/>
        <v>26855.725244147157</v>
      </c>
      <c r="Z47" s="72">
        <f t="shared" si="11"/>
        <v>26859.69055793291</v>
      </c>
      <c r="AA47" s="72">
        <f t="shared" si="11"/>
        <v>26026.506478025305</v>
      </c>
      <c r="AB47" s="72">
        <f t="shared" si="11"/>
        <v>26857.887930522131</v>
      </c>
      <c r="AC47" s="72">
        <f t="shared" si="11"/>
        <v>27055.411020331801</v>
      </c>
      <c r="AD47" s="72">
        <f t="shared" si="11"/>
        <v>28583.643929181511</v>
      </c>
      <c r="AE47" s="72">
        <f t="shared" si="11"/>
        <v>26674.329430470138</v>
      </c>
      <c r="AF47" s="72">
        <f t="shared" si="11"/>
        <v>27380.063289496829</v>
      </c>
      <c r="AG47" s="72">
        <f t="shared" si="11"/>
        <v>27536.669030127665</v>
      </c>
      <c r="AH47" s="72">
        <f t="shared" si="11"/>
        <v>28101.251428571435</v>
      </c>
      <c r="AI47" s="72">
        <f t="shared" si="11"/>
        <v>28420.631578947377</v>
      </c>
      <c r="AJ47" s="72">
        <f t="shared" si="11"/>
        <v>28894.833082706777</v>
      </c>
      <c r="AK47" s="72">
        <f t="shared" si="11"/>
        <v>29724.541353383465</v>
      </c>
      <c r="AL47" s="72">
        <f t="shared" si="11"/>
        <v>30121.249624060158</v>
      </c>
      <c r="AM47" s="72">
        <f t="shared" si="11"/>
        <v>31043.957894736857</v>
      </c>
      <c r="AN47" s="72">
        <f t="shared" si="11"/>
        <v>31688.666165413553</v>
      </c>
      <c r="AO47" s="72">
        <f t="shared" si="11"/>
        <v>31699.374436090242</v>
      </c>
      <c r="AP47" s="79">
        <f>(AN47/AD47)^(1/10)-1</f>
        <v>1.0365798392477199E-2</v>
      </c>
    </row>
    <row r="48" spans="1:42">
      <c r="A48" s="68"/>
      <c r="B48" s="68" t="s">
        <v>51</v>
      </c>
      <c r="C48" s="73">
        <f>'[2]EU Soy Complex'!AE$39</f>
        <v>2502.6075230660044</v>
      </c>
      <c r="D48" s="73">
        <f>'[2]EU Soy Complex'!AF$39</f>
        <v>2888.7631356757815</v>
      </c>
      <c r="E48" s="73">
        <f>'[2]EU Soy Complex'!AG$39</f>
        <v>2765.5380116959059</v>
      </c>
      <c r="F48" s="73">
        <f>'[2]EU Soy Complex'!AH$39</f>
        <v>2818</v>
      </c>
      <c r="G48" s="73">
        <f>'[2]EU Soy Complex'!AI$39</f>
        <v>2931.0000000000005</v>
      </c>
      <c r="H48" s="73">
        <f>'[2]EU Soy Complex'!AJ$39</f>
        <v>2942.4622242175469</v>
      </c>
      <c r="I48" s="73">
        <f>'[2]EU Soy Complex'!AK$39</f>
        <v>2656</v>
      </c>
      <c r="J48" s="73">
        <f>'[2]EU Soy Complex'!AL$39</f>
        <v>3075</v>
      </c>
      <c r="K48" s="73">
        <f>'[2]EU Soy Complex'!AM$39</f>
        <v>3230.0000000000005</v>
      </c>
      <c r="L48" s="73">
        <f>'[2]EU Soy Complex'!AN$39</f>
        <v>3055.9999999999995</v>
      </c>
      <c r="M48" s="73">
        <f>'[2]EU Soy Complex'!AO$39</f>
        <v>2681.3580681498174</v>
      </c>
      <c r="N48" s="73">
        <f>'[2]EU Soy Complex'!AP$39</f>
        <v>2723.0044208849799</v>
      </c>
      <c r="O48" s="73">
        <f>'[2]EU Soy Complex'!AQ$39</f>
        <v>3171.477640052166</v>
      </c>
      <c r="P48" s="73">
        <f>'[2]EU Soy Complex'!AR$39</f>
        <v>3617.6628627795417</v>
      </c>
      <c r="Q48" s="73">
        <f>'[2]EU Soy Complex'!AS$39</f>
        <v>3505.2244998996457</v>
      </c>
      <c r="R48" s="73">
        <f>'[2]EU Soy Complex'!AT$39</f>
        <v>3169.607176197836</v>
      </c>
      <c r="S48" s="73">
        <f>'[2]EU Soy Complex'!AU$39</f>
        <v>3157.4743636363637</v>
      </c>
      <c r="T48" s="73">
        <f>'[2]EU Soy Complex'!AV$39</f>
        <v>2879.6911897810219</v>
      </c>
      <c r="U48" s="73">
        <f>'[2]EU Soy Complex'!AW$39</f>
        <v>2965.0790000000002</v>
      </c>
      <c r="V48" s="73">
        <f>'[2]EU Soy Complex'!AX$39</f>
        <v>2940.2309999999998</v>
      </c>
      <c r="W48" s="73">
        <f>'[2]EU Soy Complex'!AY$39</f>
        <v>2806.194</v>
      </c>
      <c r="X48" s="73">
        <f>'[2]EU Soy Complex'!AZ$39</f>
        <v>2981.0435432525951</v>
      </c>
      <c r="Y48" s="73">
        <f>'[2]EU Soy Complex'!BA$39</f>
        <v>3212.1682441471576</v>
      </c>
      <c r="Z48" s="73">
        <f>'[2]EU Soy Complex'!BB$39</f>
        <v>2983.5839999999998</v>
      </c>
      <c r="AA48" s="73">
        <f>'[2]EU Soy Complex'!BC$39</f>
        <v>3139.7701661854799</v>
      </c>
      <c r="AB48" s="73">
        <f>'[2]EU Soy Complex'!BD$39</f>
        <v>3307.6510245221298</v>
      </c>
      <c r="AC48" s="73">
        <f>'[2]EU Soy Complex'!BE$39</f>
        <v>3305.052989331798</v>
      </c>
      <c r="AD48" s="73">
        <f>'[2]EU Soy Complex'!BF$39</f>
        <v>3458.3378849999995</v>
      </c>
      <c r="AE48" s="73">
        <f>'[2]EU Soy Complex'!BG$39</f>
        <v>3215.9163083533836</v>
      </c>
      <c r="AF48" s="73">
        <f>'[2]EU Soy Complex'!BH$39</f>
        <v>3307.4236070000011</v>
      </c>
      <c r="AG48" s="74">
        <f>'[2]EU Soy Complex'!BI$39</f>
        <v>3216.4029063383473</v>
      </c>
      <c r="AH48" s="74">
        <f>'[2]EU Soy Complex'!BJ$39</f>
        <v>3429.3714285714323</v>
      </c>
      <c r="AI48" s="74">
        <f>'[2]EU Soy Complex'!BK$39</f>
        <v>3594.6315789473738</v>
      </c>
      <c r="AJ48" s="74">
        <f>'[2]EU Soy Complex'!BL$39</f>
        <v>3610.833082706773</v>
      </c>
      <c r="AK48" s="74">
        <f>'[2]EU Soy Complex'!BM$39</f>
        <v>3636.5413533834671</v>
      </c>
      <c r="AL48" s="74">
        <f>'[2]EU Soy Complex'!BN$39</f>
        <v>3662.2496240601604</v>
      </c>
      <c r="AM48" s="74">
        <f>'[2]EU Soy Complex'!BO$39</f>
        <v>3687.9578947368545</v>
      </c>
      <c r="AN48" s="74">
        <f>'[2]EU Soy Complex'!BP$39</f>
        <v>3713.6661654135478</v>
      </c>
      <c r="AO48" s="74">
        <f>'[2]EU Soy Complex'!BQ$39</f>
        <v>3739.3744360902419</v>
      </c>
    </row>
    <row r="49" spans="1:41">
      <c r="A49" s="68"/>
      <c r="B49" s="68" t="s">
        <v>52</v>
      </c>
      <c r="C49" s="73">
        <f>'[3]EU Rapeseed'!B$41</f>
        <v>4554.7357902293534</v>
      </c>
      <c r="D49" s="73">
        <f>'[3]EU Rapeseed'!C$41</f>
        <v>5057.18325113421</v>
      </c>
      <c r="E49" s="73">
        <f>'[3]EU Rapeseed'!D$41</f>
        <v>5240.6152393400716</v>
      </c>
      <c r="F49" s="73">
        <f>'[3]EU Rapeseed'!E$41</f>
        <v>5313.5334340801483</v>
      </c>
      <c r="G49" s="73">
        <f>'[3]EU Rapeseed'!F$41</f>
        <v>5919.535308994753</v>
      </c>
      <c r="H49" s="73">
        <f>'[3]EU Rapeseed'!G$41</f>
        <v>6057.2325742512348</v>
      </c>
      <c r="I49" s="73">
        <f>'[3]EU Rapeseed'!H$41</f>
        <v>6291.8010000000004</v>
      </c>
      <c r="J49" s="73">
        <f>'[3]EU Rapeseed'!I$41</f>
        <v>5907.7790000000005</v>
      </c>
      <c r="K49" s="73">
        <f>'[3]EU Rapeseed'!J$41</f>
        <v>5951.708799</v>
      </c>
      <c r="L49" s="73">
        <f>'[3]EU Rapeseed'!K$41</f>
        <v>6013.6729999999998</v>
      </c>
      <c r="M49" s="73">
        <f>'[3]EU Rapeseed'!L$41</f>
        <v>6174.3050000000003</v>
      </c>
      <c r="N49" s="73">
        <f>'[3]EU Rapeseed'!M$41</f>
        <v>7380.3220000000001</v>
      </c>
      <c r="O49" s="73">
        <f>'[3]EU Rapeseed'!N$41</f>
        <v>9005.402</v>
      </c>
      <c r="P49" s="73">
        <f>'[3]EU Rapeseed'!O$41</f>
        <v>9819.3829999999998</v>
      </c>
      <c r="Q49" s="73">
        <f>'[3]EU Rapeseed'!P$41</f>
        <v>10753.132</v>
      </c>
      <c r="R49" s="73">
        <f>'[3]EU Rapeseed'!Q$41</f>
        <v>12190.483</v>
      </c>
      <c r="S49" s="73">
        <f>'[3]EU Rapeseed'!R$41</f>
        <v>13274.351000000001</v>
      </c>
      <c r="T49" s="73">
        <f>'[3]EU Rapeseed'!S$41</f>
        <v>12821.849</v>
      </c>
      <c r="U49" s="73">
        <f>'[3]EU Rapeseed'!T$41</f>
        <v>12782.169</v>
      </c>
      <c r="V49" s="73">
        <f>'[3]EU Rapeseed'!U$41</f>
        <v>13311.581</v>
      </c>
      <c r="W49" s="73">
        <f>'[3]EU Rapeseed'!V$41</f>
        <v>13838.157999999999</v>
      </c>
      <c r="X49" s="73">
        <f>'[3]EU Rapeseed'!W$41</f>
        <v>14984.047</v>
      </c>
      <c r="Y49" s="73">
        <f>'[3]EU Rapeseed'!X$41</f>
        <v>14058.156000000001</v>
      </c>
      <c r="Z49" s="73">
        <f>'[3]EU Rapeseed'!Y$41</f>
        <v>14015.978999999999</v>
      </c>
      <c r="AA49" s="73">
        <f>'[3]EU Rapeseed'!Z$41</f>
        <v>12732.298999999999</v>
      </c>
      <c r="AB49" s="73">
        <f>'[3]EU Rapeseed'!AA$41</f>
        <v>12368.634</v>
      </c>
      <c r="AC49" s="73">
        <f>'[3]EU Rapeseed'!AB$41</f>
        <v>12587.84</v>
      </c>
      <c r="AD49" s="73">
        <f>'[3]EU Rapeseed'!AC$41</f>
        <v>14616.732247181515</v>
      </c>
      <c r="AE49" s="73">
        <f>'[3]EU Rapeseed'!AD$41</f>
        <v>13896.372161116757</v>
      </c>
      <c r="AF49" s="73">
        <f>'[3]EU Rapeseed'!AE$41</f>
        <v>14534.033366409463</v>
      </c>
      <c r="AG49" s="74">
        <f>'[3]EU Rapeseed'!AF$41</f>
        <v>14964</v>
      </c>
      <c r="AH49" s="74">
        <f>'[3]EU Rapeseed'!AG$41</f>
        <v>15321.880000000001</v>
      </c>
      <c r="AI49" s="74">
        <f>'[3]EU Rapeseed'!AH$41</f>
        <v>15636.000000000004</v>
      </c>
      <c r="AJ49" s="74">
        <f>'[3]EU Rapeseed'!AI$41</f>
        <v>16344</v>
      </c>
      <c r="AK49" s="74">
        <f>'[3]EU Rapeseed'!AJ$41</f>
        <v>16856</v>
      </c>
      <c r="AL49" s="74">
        <f>'[3]EU Rapeseed'!AK$41</f>
        <v>17234.999999999996</v>
      </c>
      <c r="AM49" s="74">
        <f>'[3]EU Rapeseed'!AL$41</f>
        <v>17990</v>
      </c>
      <c r="AN49" s="74">
        <f>'[3]EU Rapeseed'!AM$41</f>
        <v>18550.000000000004</v>
      </c>
      <c r="AO49" s="74">
        <f>'[3]EU Rapeseed'!AN$41</f>
        <v>19110</v>
      </c>
    </row>
    <row r="50" spans="1:41">
      <c r="A50" s="68"/>
      <c r="B50" s="68" t="s">
        <v>53</v>
      </c>
      <c r="C50" s="73">
        <f>'[4]EU Sun Complex'!B$41</f>
        <v>2601.0116575615757</v>
      </c>
      <c r="D50" s="73">
        <f>'[4]EU Sun Complex'!C$41</f>
        <v>2865.6619361477756</v>
      </c>
      <c r="E50" s="73">
        <f>'[4]EU Sun Complex'!D$41</f>
        <v>3058.4713821068221</v>
      </c>
      <c r="F50" s="73">
        <f>'[4]EU Sun Complex'!E$41</f>
        <v>3414.1259161930348</v>
      </c>
      <c r="G50" s="73">
        <f>'[4]EU Sun Complex'!F$41</f>
        <v>3200.4648473222746</v>
      </c>
      <c r="H50" s="73">
        <f>'[4]EU Sun Complex'!G$41</f>
        <v>3203.7282554620424</v>
      </c>
      <c r="I50" s="73">
        <f>'[4]EU Sun Complex'!H$41</f>
        <v>2884.2748120003389</v>
      </c>
      <c r="J50" s="73">
        <f>'[4]EU Sun Complex'!I$41</f>
        <v>2727.6835819297053</v>
      </c>
      <c r="K50" s="73">
        <f>'[4]EU Sun Complex'!J$41</f>
        <v>2647.6157682550465</v>
      </c>
      <c r="L50" s="73">
        <f>'[4]EU Sun Complex'!K$41</f>
        <v>2801.4485042785177</v>
      </c>
      <c r="M50" s="73">
        <f>'[4]EU Sun Complex'!L$41</f>
        <v>2919.9877071060077</v>
      </c>
      <c r="N50" s="73">
        <f>'[4]EU Sun Complex'!M$41</f>
        <v>3106.0322514937534</v>
      </c>
      <c r="O50" s="73">
        <f>'[4]EU Sun Complex'!N$41</f>
        <v>3396.0854313652449</v>
      </c>
      <c r="P50" s="73">
        <f>'[4]EU Sun Complex'!O$41</f>
        <v>3459.0047602801224</v>
      </c>
      <c r="Q50" s="73">
        <f>'[4]EU Sun Complex'!P$41</f>
        <v>3037.7579095521733</v>
      </c>
      <c r="R50" s="73">
        <f>'[4]EU Sun Complex'!Q$41</f>
        <v>3417.5085592935238</v>
      </c>
      <c r="S50" s="73">
        <f>'[4]EU Sun Complex'!R$41</f>
        <v>3466.9665288831839</v>
      </c>
      <c r="T50" s="73">
        <f>'[4]EU Sun Complex'!S$41</f>
        <v>3551.8331932773112</v>
      </c>
      <c r="U50" s="73">
        <f>'[4]EU Sun Complex'!T$41</f>
        <v>3685.6888253778243</v>
      </c>
      <c r="V50" s="73">
        <f>'[4]EU Sun Complex'!U$41</f>
        <v>3836.433</v>
      </c>
      <c r="W50" s="73">
        <f>'[4]EU Sun Complex'!V$41</f>
        <v>4080.5477865168541</v>
      </c>
      <c r="X50" s="73">
        <f>'[4]EU Sun Complex'!W$41</f>
        <v>4101.97</v>
      </c>
      <c r="Y50" s="73">
        <f>'[4]EU Sun Complex'!X$41</f>
        <v>4257.6539999999995</v>
      </c>
      <c r="Z50" s="73">
        <f>'[4]EU Sun Complex'!Y$41</f>
        <v>5018.2305579329113</v>
      </c>
      <c r="AA50" s="73">
        <f>'[4]EU Sun Complex'!Z$41</f>
        <v>5566.8103118398249</v>
      </c>
      <c r="AB50" s="73">
        <f>'[4]EU Sun Complex'!AA$41</f>
        <v>5424.8909060000005</v>
      </c>
      <c r="AC50" s="73">
        <f>'[4]EU Sun Complex'!AB$41</f>
        <v>5714.3520310000004</v>
      </c>
      <c r="AD50" s="73">
        <f>'[4]EU Sun Complex'!AC$41</f>
        <v>5435.7027969999999</v>
      </c>
      <c r="AE50" s="73">
        <f>'[4]EU Sun Complex'!AD$41</f>
        <v>5789.5479609999993</v>
      </c>
      <c r="AF50" s="73">
        <f>'[4]EU Sun Complex'!AE$41</f>
        <v>6321.0283160873641</v>
      </c>
      <c r="AG50" s="74">
        <f>'[4]EU Sun Complex'!AF$41</f>
        <v>6337.56612378932</v>
      </c>
      <c r="AH50" s="74">
        <f>'[4]EU Sun Complex'!AG$41</f>
        <v>6622</v>
      </c>
      <c r="AI50" s="74">
        <f>'[4]EU Sun Complex'!AH$41</f>
        <v>6540.0000000000009</v>
      </c>
      <c r="AJ50" s="74">
        <f>'[4]EU Sun Complex'!AI$41</f>
        <v>6340.0000000000018</v>
      </c>
      <c r="AK50" s="74">
        <f>'[4]EU Sun Complex'!AJ$41</f>
        <v>6682.0000000000009</v>
      </c>
      <c r="AL50" s="74">
        <f>'[4]EU Sun Complex'!AK$41</f>
        <v>6724.0000000000009</v>
      </c>
      <c r="AM50" s="74">
        <f>'[4]EU Sun Complex'!AL$41</f>
        <v>6916.0000000000018</v>
      </c>
      <c r="AN50" s="74">
        <f>'[4]EU Sun Complex'!AM$41</f>
        <v>7025.0000000000018</v>
      </c>
      <c r="AO50" s="74">
        <v>6500</v>
      </c>
    </row>
    <row r="51" spans="1:41">
      <c r="A51" s="68"/>
      <c r="B51" s="68" t="s">
        <v>54</v>
      </c>
      <c r="C51" s="73">
        <f t="shared" ref="C51:R52" si="12">C44+C37</f>
        <v>1760</v>
      </c>
      <c r="D51" s="73">
        <f t="shared" si="12"/>
        <v>1766</v>
      </c>
      <c r="E51" s="73">
        <f t="shared" si="12"/>
        <v>1920</v>
      </c>
      <c r="F51" s="73">
        <f t="shared" si="12"/>
        <v>2061</v>
      </c>
      <c r="G51" s="73">
        <f t="shared" si="12"/>
        <v>2219</v>
      </c>
      <c r="H51" s="73">
        <f t="shared" si="12"/>
        <v>2305</v>
      </c>
      <c r="I51" s="73">
        <f t="shared" si="12"/>
        <v>2074</v>
      </c>
      <c r="J51" s="73">
        <f t="shared" si="12"/>
        <v>2844</v>
      </c>
      <c r="K51" s="73">
        <f t="shared" si="12"/>
        <v>2967</v>
      </c>
      <c r="L51" s="73">
        <f t="shared" si="12"/>
        <v>2973</v>
      </c>
      <c r="M51" s="73">
        <f t="shared" si="12"/>
        <v>3390</v>
      </c>
      <c r="N51" s="73">
        <f t="shared" si="12"/>
        <v>3976</v>
      </c>
      <c r="O51" s="73">
        <f t="shared" si="12"/>
        <v>4202</v>
      </c>
      <c r="P51" s="73">
        <f>P44+P37</f>
        <v>4380</v>
      </c>
      <c r="Q51" s="73">
        <f t="shared" ref="Q51:AN52" si="13">Q44+Q37</f>
        <v>4891</v>
      </c>
      <c r="R51" s="73">
        <f t="shared" si="13"/>
        <v>5372</v>
      </c>
      <c r="S51" s="73">
        <f t="shared" si="13"/>
        <v>5364</v>
      </c>
      <c r="T51" s="73">
        <f t="shared" si="13"/>
        <v>4950</v>
      </c>
      <c r="U51" s="73">
        <f t="shared" si="13"/>
        <v>5719</v>
      </c>
      <c r="V51" s="73">
        <f t="shared" si="13"/>
        <v>6885</v>
      </c>
      <c r="W51" s="73">
        <f t="shared" si="13"/>
        <v>6912</v>
      </c>
      <c r="X51" s="73">
        <f t="shared" si="13"/>
        <v>4970.7660000000005</v>
      </c>
      <c r="Y51" s="73">
        <f t="shared" si="13"/>
        <v>4668.1570000000002</v>
      </c>
      <c r="Z51" s="73">
        <f t="shared" si="13"/>
        <v>4130.62</v>
      </c>
      <c r="AA51" s="73">
        <f t="shared" si="13"/>
        <v>3880.7870000000003</v>
      </c>
      <c r="AB51" s="73">
        <f t="shared" si="13"/>
        <v>5032.4959999999992</v>
      </c>
      <c r="AC51" s="73">
        <f t="shared" si="13"/>
        <v>4746.2879999999996</v>
      </c>
      <c r="AD51" s="73">
        <f t="shared" si="13"/>
        <v>4381.018</v>
      </c>
      <c r="AE51" s="73">
        <f t="shared" si="13"/>
        <v>3105.2420000000002</v>
      </c>
      <c r="AF51" s="73">
        <f t="shared" si="13"/>
        <v>2576.8470000000002</v>
      </c>
      <c r="AG51" s="74">
        <f t="shared" si="13"/>
        <v>2448.049</v>
      </c>
      <c r="AH51" s="74">
        <f t="shared" si="13"/>
        <v>2112</v>
      </c>
      <c r="AI51" s="74">
        <f t="shared" si="13"/>
        <v>2050</v>
      </c>
      <c r="AJ51" s="74">
        <f t="shared" si="13"/>
        <v>2000</v>
      </c>
      <c r="AK51" s="74">
        <f t="shared" si="13"/>
        <v>1950</v>
      </c>
      <c r="AL51" s="74">
        <f t="shared" si="13"/>
        <v>1900</v>
      </c>
      <c r="AM51" s="74">
        <f t="shared" si="13"/>
        <v>1850</v>
      </c>
      <c r="AN51" s="74">
        <f t="shared" si="13"/>
        <v>1800</v>
      </c>
      <c r="AO51" s="74">
        <v>1750</v>
      </c>
    </row>
    <row r="52" spans="1:41">
      <c r="A52" s="68"/>
      <c r="B52" s="68" t="s">
        <v>73</v>
      </c>
      <c r="C52" s="73">
        <f t="shared" si="12"/>
        <v>402</v>
      </c>
      <c r="D52" s="73">
        <f t="shared" si="12"/>
        <v>322</v>
      </c>
      <c r="E52" s="73">
        <f t="shared" si="12"/>
        <v>405</v>
      </c>
      <c r="F52" s="73">
        <f t="shared" si="12"/>
        <v>427</v>
      </c>
      <c r="G52" s="73">
        <f t="shared" si="12"/>
        <v>411</v>
      </c>
      <c r="H52" s="73">
        <f t="shared" si="12"/>
        <v>535</v>
      </c>
      <c r="I52" s="73">
        <f t="shared" si="12"/>
        <v>435</v>
      </c>
      <c r="J52" s="73">
        <f t="shared" si="12"/>
        <v>448</v>
      </c>
      <c r="K52" s="73">
        <f t="shared" si="12"/>
        <v>608</v>
      </c>
      <c r="L52" s="73">
        <f t="shared" si="12"/>
        <v>614</v>
      </c>
      <c r="M52" s="73">
        <f t="shared" si="12"/>
        <v>648</v>
      </c>
      <c r="N52" s="73">
        <f t="shared" si="12"/>
        <v>645</v>
      </c>
      <c r="O52" s="73">
        <f t="shared" si="12"/>
        <v>623</v>
      </c>
      <c r="P52" s="73">
        <f t="shared" si="12"/>
        <v>628</v>
      </c>
      <c r="Q52" s="73">
        <f t="shared" si="12"/>
        <v>627</v>
      </c>
      <c r="R52" s="73">
        <f t="shared" si="12"/>
        <v>637</v>
      </c>
      <c r="S52" s="73">
        <f t="shared" si="13"/>
        <v>576</v>
      </c>
      <c r="T52" s="73">
        <f t="shared" si="13"/>
        <v>568</v>
      </c>
      <c r="U52" s="73">
        <f t="shared" si="13"/>
        <v>593</v>
      </c>
      <c r="V52" s="73">
        <f t="shared" si="13"/>
        <v>629</v>
      </c>
      <c r="W52" s="73">
        <f t="shared" si="13"/>
        <v>625</v>
      </c>
      <c r="X52" s="73">
        <f t="shared" si="13"/>
        <v>658.274</v>
      </c>
      <c r="Y52" s="73">
        <f t="shared" si="13"/>
        <v>659.59</v>
      </c>
      <c r="Z52" s="73">
        <f t="shared" si="13"/>
        <v>711.27700000000004</v>
      </c>
      <c r="AA52" s="73">
        <f t="shared" si="13"/>
        <v>706.84</v>
      </c>
      <c r="AB52" s="73">
        <f t="shared" si="13"/>
        <v>724.21600000000001</v>
      </c>
      <c r="AC52" s="73">
        <f t="shared" si="13"/>
        <v>701.87799999999993</v>
      </c>
      <c r="AD52" s="73">
        <f t="shared" si="13"/>
        <v>691.85299999999995</v>
      </c>
      <c r="AE52" s="73">
        <f t="shared" si="13"/>
        <v>667.25099999999998</v>
      </c>
      <c r="AF52" s="73">
        <f t="shared" si="13"/>
        <v>640.73099999999999</v>
      </c>
      <c r="AG52" s="74">
        <f t="shared" si="13"/>
        <v>570.65100000000007</v>
      </c>
      <c r="AH52" s="74">
        <f t="shared" si="13"/>
        <v>616</v>
      </c>
      <c r="AI52" s="74">
        <f t="shared" si="13"/>
        <v>600</v>
      </c>
      <c r="AJ52" s="74">
        <f t="shared" si="13"/>
        <v>600</v>
      </c>
      <c r="AK52" s="74">
        <f t="shared" si="13"/>
        <v>600</v>
      </c>
      <c r="AL52" s="74">
        <f t="shared" si="13"/>
        <v>600</v>
      </c>
      <c r="AM52" s="74">
        <f t="shared" si="13"/>
        <v>600</v>
      </c>
      <c r="AN52" s="74">
        <f t="shared" si="13"/>
        <v>600</v>
      </c>
      <c r="AO52" s="74">
        <v>600</v>
      </c>
    </row>
    <row r="53" spans="1:41">
      <c r="A53" s="68"/>
      <c r="B53" s="68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4"/>
      <c r="AH53" s="74"/>
      <c r="AI53" s="74"/>
      <c r="AJ53" s="74"/>
      <c r="AK53" s="74"/>
      <c r="AL53" s="74"/>
      <c r="AM53" s="74"/>
      <c r="AN53" s="74"/>
      <c r="AO53" s="74"/>
    </row>
    <row r="54" spans="1:41">
      <c r="A54" s="75" t="s">
        <v>57</v>
      </c>
      <c r="B54" s="76"/>
      <c r="C54" s="72">
        <f>SUM(C55:C59)</f>
        <v>790</v>
      </c>
      <c r="D54" s="72">
        <f t="shared" ref="D54:AO54" si="14">SUM(D55:D59)</f>
        <v>899</v>
      </c>
      <c r="E54" s="72">
        <f t="shared" si="14"/>
        <v>1034</v>
      </c>
      <c r="F54" s="72">
        <f t="shared" si="14"/>
        <v>854</v>
      </c>
      <c r="G54" s="72">
        <f t="shared" si="14"/>
        <v>847</v>
      </c>
      <c r="H54" s="72">
        <f t="shared" si="14"/>
        <v>935</v>
      </c>
      <c r="I54" s="72">
        <f t="shared" si="14"/>
        <v>1005</v>
      </c>
      <c r="J54" s="72">
        <f t="shared" si="14"/>
        <v>1162</v>
      </c>
      <c r="K54" s="72">
        <f t="shared" si="14"/>
        <v>1185</v>
      </c>
      <c r="L54" s="72">
        <f t="shared" si="14"/>
        <v>1181</v>
      </c>
      <c r="M54" s="72">
        <f t="shared" si="14"/>
        <v>983</v>
      </c>
      <c r="N54" s="72">
        <f t="shared" si="14"/>
        <v>1095</v>
      </c>
      <c r="O54" s="72">
        <f t="shared" si="14"/>
        <v>1210</v>
      </c>
      <c r="P54" s="72">
        <f t="shared" si="14"/>
        <v>1232</v>
      </c>
      <c r="Q54" s="72">
        <f t="shared" si="14"/>
        <v>1622</v>
      </c>
      <c r="R54" s="72">
        <f t="shared" si="14"/>
        <v>1905</v>
      </c>
      <c r="S54" s="72">
        <f t="shared" si="14"/>
        <v>1617</v>
      </c>
      <c r="T54" s="72">
        <f t="shared" si="14"/>
        <v>1702</v>
      </c>
      <c r="U54" s="72">
        <f t="shared" si="14"/>
        <v>1770</v>
      </c>
      <c r="V54" s="72">
        <f t="shared" si="14"/>
        <v>1265</v>
      </c>
      <c r="W54" s="72">
        <f t="shared" si="14"/>
        <v>1715</v>
      </c>
      <c r="X54" s="72">
        <f t="shared" si="14"/>
        <v>1301</v>
      </c>
      <c r="Y54" s="72">
        <f t="shared" si="14"/>
        <v>1173</v>
      </c>
      <c r="Z54" s="72">
        <f t="shared" si="14"/>
        <v>1439</v>
      </c>
      <c r="AA54" s="72">
        <f t="shared" si="14"/>
        <v>1570</v>
      </c>
      <c r="AB54" s="72">
        <f t="shared" si="14"/>
        <v>2200</v>
      </c>
      <c r="AC54" s="72">
        <f t="shared" si="14"/>
        <v>2877</v>
      </c>
      <c r="AD54" s="72">
        <f t="shared" si="14"/>
        <v>1552</v>
      </c>
      <c r="AE54" s="72">
        <f t="shared" si="14"/>
        <v>1940</v>
      </c>
      <c r="AF54" s="72">
        <f t="shared" si="14"/>
        <v>1899</v>
      </c>
      <c r="AG54" s="72">
        <f t="shared" si="14"/>
        <v>2337</v>
      </c>
      <c r="AH54" s="72">
        <f t="shared" si="14"/>
        <v>1901</v>
      </c>
      <c r="AI54" s="72">
        <f t="shared" si="14"/>
        <v>1915</v>
      </c>
      <c r="AJ54" s="72">
        <f t="shared" si="14"/>
        <v>2031</v>
      </c>
      <c r="AK54" s="72">
        <f t="shared" si="14"/>
        <v>1995</v>
      </c>
      <c r="AL54" s="72">
        <f t="shared" si="14"/>
        <v>2240</v>
      </c>
      <c r="AM54" s="72">
        <f t="shared" si="14"/>
        <v>2190</v>
      </c>
      <c r="AN54" s="72">
        <f t="shared" si="14"/>
        <v>2190</v>
      </c>
      <c r="AO54" s="72">
        <f t="shared" si="14"/>
        <v>1740</v>
      </c>
    </row>
    <row r="55" spans="1:41">
      <c r="A55" s="68"/>
      <c r="B55" s="68" t="s">
        <v>51</v>
      </c>
      <c r="C55" s="73">
        <f>'[2]EU Soy Complex'!AE$40</f>
        <v>246</v>
      </c>
      <c r="D55" s="73">
        <f>'[2]EU Soy Complex'!AF$40</f>
        <v>280</v>
      </c>
      <c r="E55" s="73">
        <f>'[2]EU Soy Complex'!AG$40</f>
        <v>228</v>
      </c>
      <c r="F55" s="73">
        <f>'[2]EU Soy Complex'!AH$40</f>
        <v>184</v>
      </c>
      <c r="G55" s="73">
        <f>'[2]EU Soy Complex'!AI$40</f>
        <v>199</v>
      </c>
      <c r="H55" s="73">
        <f>'[2]EU Soy Complex'!AJ$40</f>
        <v>232</v>
      </c>
      <c r="I55" s="73">
        <f>'[2]EU Soy Complex'!AK$40</f>
        <v>227</v>
      </c>
      <c r="J55" s="73">
        <f>'[2]EU Soy Complex'!AL$40</f>
        <v>214</v>
      </c>
      <c r="K55" s="73">
        <f>'[2]EU Soy Complex'!AM$40</f>
        <v>291</v>
      </c>
      <c r="L55" s="73">
        <f>'[2]EU Soy Complex'!AN$40</f>
        <v>255</v>
      </c>
      <c r="M55" s="73">
        <f>'[2]EU Soy Complex'!AO$40</f>
        <v>180</v>
      </c>
      <c r="N55" s="73">
        <f>'[2]EU Soy Complex'!AP$40</f>
        <v>221</v>
      </c>
      <c r="O55" s="73">
        <f>'[2]EU Soy Complex'!AQ$40</f>
        <v>254</v>
      </c>
      <c r="P55" s="73">
        <f>'[2]EU Soy Complex'!AR$40</f>
        <v>270</v>
      </c>
      <c r="Q55" s="73">
        <f>'[2]EU Soy Complex'!AS$40</f>
        <v>488</v>
      </c>
      <c r="R55" s="73">
        <f>'[2]EU Soy Complex'!AT$40</f>
        <v>438</v>
      </c>
      <c r="S55" s="73">
        <f>'[2]EU Soy Complex'!AU$40</f>
        <v>129</v>
      </c>
      <c r="T55" s="73">
        <f>'[2]EU Soy Complex'!AV$40</f>
        <v>515</v>
      </c>
      <c r="U55" s="73">
        <f>'[2]EU Soy Complex'!AW$40</f>
        <v>313</v>
      </c>
      <c r="V55" s="73">
        <f>'[2]EU Soy Complex'!AX$40</f>
        <v>187</v>
      </c>
      <c r="W55" s="73">
        <f>'[2]EU Soy Complex'!AY$40</f>
        <v>249</v>
      </c>
      <c r="X55" s="73">
        <f>'[2]EU Soy Complex'!AZ$40</f>
        <v>198</v>
      </c>
      <c r="Y55" s="73">
        <f>'[2]EU Soy Complex'!BA$40</f>
        <v>164</v>
      </c>
      <c r="Z55" s="73">
        <f>'[2]EU Soy Complex'!BB$40</f>
        <v>211</v>
      </c>
      <c r="AA55" s="73">
        <f>'[2]EU Soy Complex'!BC$40</f>
        <v>245</v>
      </c>
      <c r="AB55" s="73">
        <f>'[2]EU Soy Complex'!BD$40</f>
        <v>282</v>
      </c>
      <c r="AC55" s="73">
        <f>'[2]EU Soy Complex'!BE$40</f>
        <v>439</v>
      </c>
      <c r="AD55" s="73">
        <f>'[2]EU Soy Complex'!BF$40</f>
        <v>443</v>
      </c>
      <c r="AE55" s="73">
        <f>'[2]EU Soy Complex'!BG$40</f>
        <v>563</v>
      </c>
      <c r="AF55" s="73">
        <f>'[2]EU Soy Complex'!BH$40</f>
        <v>601</v>
      </c>
      <c r="AG55" s="74">
        <f>'[2]EU Soy Complex'!BI$40</f>
        <v>655</v>
      </c>
      <c r="AH55" s="74">
        <f>'[2]EU Soy Complex'!BJ$40</f>
        <v>650</v>
      </c>
      <c r="AI55" s="74">
        <f>'[2]EU Soy Complex'!BK$40</f>
        <v>650</v>
      </c>
      <c r="AJ55" s="74">
        <f>'[2]EU Soy Complex'!BL$40</f>
        <v>650</v>
      </c>
      <c r="AK55" s="74">
        <f>'[2]EU Soy Complex'!BM$40</f>
        <v>650</v>
      </c>
      <c r="AL55" s="74">
        <f>'[2]EU Soy Complex'!BN$40</f>
        <v>650</v>
      </c>
      <c r="AM55" s="74">
        <f>'[2]EU Soy Complex'!BO$40</f>
        <v>650</v>
      </c>
      <c r="AN55" s="74">
        <f>'[2]EU Soy Complex'!BP$40</f>
        <v>650</v>
      </c>
      <c r="AO55" s="74">
        <f>'[2]EU Soy Complex'!BQ$40</f>
        <v>650</v>
      </c>
    </row>
    <row r="56" spans="1:41">
      <c r="A56" s="68"/>
      <c r="B56" s="68" t="s">
        <v>52</v>
      </c>
      <c r="C56" s="73">
        <f>'[3]EU Rapeseed'!B$42</f>
        <v>196</v>
      </c>
      <c r="D56" s="73">
        <f>'[3]EU Rapeseed'!C$42</f>
        <v>185</v>
      </c>
      <c r="E56" s="73">
        <f>'[3]EU Rapeseed'!D$42</f>
        <v>279</v>
      </c>
      <c r="F56" s="73">
        <f>'[3]EU Rapeseed'!E$42</f>
        <v>204</v>
      </c>
      <c r="G56" s="73">
        <f>'[3]EU Rapeseed'!F$42</f>
        <v>233</v>
      </c>
      <c r="H56" s="73">
        <f>'[3]EU Rapeseed'!G$42</f>
        <v>207</v>
      </c>
      <c r="I56" s="73">
        <f>'[3]EU Rapeseed'!H$42</f>
        <v>257</v>
      </c>
      <c r="J56" s="73">
        <f>'[3]EU Rapeseed'!I$42</f>
        <v>348</v>
      </c>
      <c r="K56" s="73">
        <f>'[3]EU Rapeseed'!J$42</f>
        <v>320</v>
      </c>
      <c r="L56" s="73">
        <f>'[3]EU Rapeseed'!K$42</f>
        <v>317</v>
      </c>
      <c r="M56" s="73">
        <f>'[3]EU Rapeseed'!L$42</f>
        <v>156</v>
      </c>
      <c r="N56" s="73">
        <f>'[3]EU Rapeseed'!M$42</f>
        <v>214</v>
      </c>
      <c r="O56" s="73">
        <f>'[3]EU Rapeseed'!N$42</f>
        <v>208</v>
      </c>
      <c r="P56" s="73">
        <f>'[3]EU Rapeseed'!O$42</f>
        <v>201</v>
      </c>
      <c r="Q56" s="73">
        <f>'[3]EU Rapeseed'!P$42</f>
        <v>305</v>
      </c>
      <c r="R56" s="73">
        <f>'[3]EU Rapeseed'!Q$42</f>
        <v>280</v>
      </c>
      <c r="S56" s="73">
        <f>'[3]EU Rapeseed'!R$42</f>
        <v>318</v>
      </c>
      <c r="T56" s="73">
        <f>'[3]EU Rapeseed'!S$42</f>
        <v>194</v>
      </c>
      <c r="U56" s="73">
        <f>'[3]EU Rapeseed'!T$42</f>
        <v>281</v>
      </c>
      <c r="V56" s="73">
        <f>'[3]EU Rapeseed'!U$42</f>
        <v>220</v>
      </c>
      <c r="W56" s="73">
        <f>'[3]EU Rapeseed'!V$42</f>
        <v>408</v>
      </c>
      <c r="X56" s="73">
        <f>'[3]EU Rapeseed'!W$42</f>
        <v>194</v>
      </c>
      <c r="Y56" s="73">
        <f>'[3]EU Rapeseed'!X$42</f>
        <v>281</v>
      </c>
      <c r="Z56" s="73">
        <f>'[3]EU Rapeseed'!Y$42</f>
        <v>220</v>
      </c>
      <c r="AA56" s="73">
        <f>'[3]EU Rapeseed'!Z$42</f>
        <v>408</v>
      </c>
      <c r="AB56" s="73">
        <f>'[3]EU Rapeseed'!AA$42</f>
        <v>663</v>
      </c>
      <c r="AC56" s="73">
        <f>'[3]EU Rapeseed'!AB$42</f>
        <v>525</v>
      </c>
      <c r="AD56" s="73">
        <f>'[3]EU Rapeseed'!AC$42</f>
        <v>212</v>
      </c>
      <c r="AE56" s="73">
        <f>'[3]EU Rapeseed'!AD$42</f>
        <v>86</v>
      </c>
      <c r="AF56" s="73">
        <f>'[3]EU Rapeseed'!AE$42</f>
        <v>318</v>
      </c>
      <c r="AG56" s="74">
        <f>'[3]EU Rapeseed'!AF$42</f>
        <v>378</v>
      </c>
      <c r="AH56" s="74">
        <f>'[3]EU Rapeseed'!AG$42</f>
        <v>211</v>
      </c>
      <c r="AI56" s="74">
        <f>'[3]EU Rapeseed'!AH$42</f>
        <v>325</v>
      </c>
      <c r="AJ56" s="74">
        <f>'[3]EU Rapeseed'!AI$42</f>
        <v>291</v>
      </c>
      <c r="AK56" s="74">
        <f>'[3]EU Rapeseed'!AJ$42</f>
        <v>305</v>
      </c>
      <c r="AL56" s="74">
        <f>'[3]EU Rapeseed'!AK$42</f>
        <v>500</v>
      </c>
      <c r="AM56" s="74">
        <f>'[3]EU Rapeseed'!AL$42</f>
        <v>500</v>
      </c>
      <c r="AN56" s="74">
        <f>'[3]EU Rapeseed'!AM$42</f>
        <v>500</v>
      </c>
      <c r="AO56" s="74">
        <f>'[3]EU Rapeseed'!AN$42</f>
        <v>500</v>
      </c>
    </row>
    <row r="57" spans="1:41">
      <c r="A57" s="68"/>
      <c r="B57" s="68" t="s">
        <v>53</v>
      </c>
      <c r="C57" s="73">
        <f>'[4]EU Sun Complex'!B$42</f>
        <v>199</v>
      </c>
      <c r="D57" s="73">
        <f>'[4]EU Sun Complex'!C$42</f>
        <v>274</v>
      </c>
      <c r="E57" s="73">
        <f>'[4]EU Sun Complex'!D$42</f>
        <v>374</v>
      </c>
      <c r="F57" s="73">
        <f>'[4]EU Sun Complex'!E$42</f>
        <v>296</v>
      </c>
      <c r="G57" s="73">
        <f>'[4]EU Sun Complex'!F$42</f>
        <v>238</v>
      </c>
      <c r="H57" s="73">
        <f>'[4]EU Sun Complex'!G$42</f>
        <v>299</v>
      </c>
      <c r="I57" s="73">
        <f>'[4]EU Sun Complex'!H$42</f>
        <v>320</v>
      </c>
      <c r="J57" s="73">
        <f>'[4]EU Sun Complex'!I$42</f>
        <v>326</v>
      </c>
      <c r="K57" s="73">
        <f>'[4]EU Sun Complex'!J$42</f>
        <v>284</v>
      </c>
      <c r="L57" s="73">
        <f>'[4]EU Sun Complex'!K$42</f>
        <v>292</v>
      </c>
      <c r="M57" s="73">
        <f>'[4]EU Sun Complex'!L$42</f>
        <v>306</v>
      </c>
      <c r="N57" s="73">
        <f>'[4]EU Sun Complex'!M$42</f>
        <v>265</v>
      </c>
      <c r="O57" s="73">
        <f>'[4]EU Sun Complex'!N$42</f>
        <v>303</v>
      </c>
      <c r="P57" s="73">
        <f>'[4]EU Sun Complex'!O$42</f>
        <v>338</v>
      </c>
      <c r="Q57" s="73">
        <f>'[4]EU Sun Complex'!P$42</f>
        <v>315</v>
      </c>
      <c r="R57" s="73">
        <f>'[4]EU Sun Complex'!Q$42</f>
        <v>525</v>
      </c>
      <c r="S57" s="73">
        <f>'[4]EU Sun Complex'!R$42</f>
        <v>452</v>
      </c>
      <c r="T57" s="73">
        <f>'[4]EU Sun Complex'!S$42</f>
        <v>295</v>
      </c>
      <c r="U57" s="73">
        <f>'[4]EU Sun Complex'!T$42</f>
        <v>499</v>
      </c>
      <c r="V57" s="73">
        <f>'[4]EU Sun Complex'!U$42</f>
        <v>186</v>
      </c>
      <c r="W57" s="73">
        <f>'[4]EU Sun Complex'!V$42</f>
        <v>329</v>
      </c>
      <c r="X57" s="73">
        <f>'[4]EU Sun Complex'!W$42</f>
        <v>252</v>
      </c>
      <c r="Y57" s="73">
        <f>'[4]EU Sun Complex'!X$42</f>
        <v>158</v>
      </c>
      <c r="Z57" s="73">
        <f>'[4]EU Sun Complex'!Y$42</f>
        <v>354</v>
      </c>
      <c r="AA57" s="73">
        <f>'[4]EU Sun Complex'!Z$42</f>
        <v>258</v>
      </c>
      <c r="AB57" s="73">
        <f>'[4]EU Sun Complex'!AA$42</f>
        <v>372</v>
      </c>
      <c r="AC57" s="73">
        <f>'[4]EU Sun Complex'!AB$42</f>
        <v>648</v>
      </c>
      <c r="AD57" s="73">
        <f>'[4]EU Sun Complex'!AC$42</f>
        <v>211</v>
      </c>
      <c r="AE57" s="73">
        <f>'[4]EU Sun Complex'!AD$42</f>
        <v>646</v>
      </c>
      <c r="AF57" s="73">
        <f>'[4]EU Sun Complex'!AE$42</f>
        <v>292</v>
      </c>
      <c r="AG57" s="74">
        <f>'[4]EU Sun Complex'!AF$42</f>
        <v>741</v>
      </c>
      <c r="AH57" s="74">
        <f>'[4]EU Sun Complex'!AG$42</f>
        <v>500</v>
      </c>
      <c r="AI57" s="74">
        <f>'[4]EU Sun Complex'!AH$42</f>
        <v>400</v>
      </c>
      <c r="AJ57" s="74">
        <f>'[4]EU Sun Complex'!AI$42</f>
        <v>550</v>
      </c>
      <c r="AK57" s="74">
        <f>'[4]EU Sun Complex'!AJ$42</f>
        <v>500</v>
      </c>
      <c r="AL57" s="74">
        <f>'[4]EU Sun Complex'!AK$42</f>
        <v>550</v>
      </c>
      <c r="AM57" s="74">
        <f>'[4]EU Sun Complex'!AL$42</f>
        <v>500</v>
      </c>
      <c r="AN57" s="74">
        <f>'[4]EU Sun Complex'!AM$42</f>
        <v>500</v>
      </c>
      <c r="AO57" s="74">
        <f>'[4]EU Sun Complex'!AN$42</f>
        <v>0</v>
      </c>
    </row>
    <row r="58" spans="1:41">
      <c r="A58" s="68"/>
      <c r="B58" s="68" t="s">
        <v>54</v>
      </c>
      <c r="C58" s="73">
        <f>C30-C51</f>
        <v>129</v>
      </c>
      <c r="D58" s="73">
        <f t="shared" ref="D58:AO59" si="15">D30-D51</f>
        <v>133</v>
      </c>
      <c r="E58" s="73">
        <f t="shared" si="15"/>
        <v>135</v>
      </c>
      <c r="F58" s="73">
        <f t="shared" si="15"/>
        <v>161</v>
      </c>
      <c r="G58" s="73">
        <f t="shared" si="15"/>
        <v>166</v>
      </c>
      <c r="H58" s="73">
        <f t="shared" si="15"/>
        <v>175</v>
      </c>
      <c r="I58" s="73">
        <f t="shared" si="15"/>
        <v>179</v>
      </c>
      <c r="J58" s="73">
        <f t="shared" si="15"/>
        <v>220</v>
      </c>
      <c r="K58" s="73">
        <f t="shared" si="15"/>
        <v>231</v>
      </c>
      <c r="L58" s="73">
        <f t="shared" si="15"/>
        <v>264</v>
      </c>
      <c r="M58" s="73">
        <f t="shared" si="15"/>
        <v>285</v>
      </c>
      <c r="N58" s="73">
        <f t="shared" si="15"/>
        <v>340</v>
      </c>
      <c r="O58" s="73">
        <f t="shared" si="15"/>
        <v>414</v>
      </c>
      <c r="P58" s="73">
        <f t="shared" si="15"/>
        <v>373</v>
      </c>
      <c r="Q58" s="73">
        <f t="shared" si="15"/>
        <v>449</v>
      </c>
      <c r="R58" s="73">
        <f t="shared" si="15"/>
        <v>586</v>
      </c>
      <c r="S58" s="73">
        <f t="shared" si="15"/>
        <v>664</v>
      </c>
      <c r="T58" s="73">
        <f t="shared" si="15"/>
        <v>658</v>
      </c>
      <c r="U58" s="73">
        <f t="shared" si="15"/>
        <v>646</v>
      </c>
      <c r="V58" s="73">
        <f t="shared" si="15"/>
        <v>573</v>
      </c>
      <c r="W58" s="73">
        <f t="shared" si="15"/>
        <v>630</v>
      </c>
      <c r="X58" s="73">
        <f t="shared" si="15"/>
        <v>556</v>
      </c>
      <c r="Y58" s="73">
        <f t="shared" si="15"/>
        <v>425</v>
      </c>
      <c r="Z58" s="73">
        <f t="shared" si="15"/>
        <v>498</v>
      </c>
      <c r="AA58" s="73">
        <f t="shared" si="15"/>
        <v>496</v>
      </c>
      <c r="AB58" s="73">
        <f t="shared" si="15"/>
        <v>752</v>
      </c>
      <c r="AC58" s="73">
        <f t="shared" si="15"/>
        <v>1137</v>
      </c>
      <c r="AD58" s="73">
        <f t="shared" si="15"/>
        <v>568</v>
      </c>
      <c r="AE58" s="73">
        <f t="shared" si="15"/>
        <v>559</v>
      </c>
      <c r="AF58" s="73">
        <f t="shared" si="15"/>
        <v>610</v>
      </c>
      <c r="AG58" s="74">
        <f t="shared" si="15"/>
        <v>462</v>
      </c>
      <c r="AH58" s="74">
        <f t="shared" si="15"/>
        <v>450</v>
      </c>
      <c r="AI58" s="74">
        <f t="shared" si="15"/>
        <v>450</v>
      </c>
      <c r="AJ58" s="74">
        <f t="shared" si="15"/>
        <v>450</v>
      </c>
      <c r="AK58" s="74">
        <f t="shared" si="15"/>
        <v>450</v>
      </c>
      <c r="AL58" s="74">
        <f t="shared" si="15"/>
        <v>450</v>
      </c>
      <c r="AM58" s="74">
        <f t="shared" si="15"/>
        <v>450</v>
      </c>
      <c r="AN58" s="74">
        <f t="shared" si="15"/>
        <v>450</v>
      </c>
      <c r="AO58" s="74">
        <f t="shared" si="15"/>
        <v>500</v>
      </c>
    </row>
    <row r="59" spans="1:41">
      <c r="A59" s="68"/>
      <c r="B59" s="68" t="s">
        <v>73</v>
      </c>
      <c r="C59" s="73">
        <f>C31-C52</f>
        <v>20</v>
      </c>
      <c r="D59" s="73">
        <f t="shared" si="15"/>
        <v>27</v>
      </c>
      <c r="E59" s="73">
        <f t="shared" si="15"/>
        <v>18</v>
      </c>
      <c r="F59" s="73">
        <f t="shared" si="15"/>
        <v>9</v>
      </c>
      <c r="G59" s="73">
        <f t="shared" si="15"/>
        <v>11</v>
      </c>
      <c r="H59" s="73">
        <f t="shared" si="15"/>
        <v>22</v>
      </c>
      <c r="I59" s="73">
        <f t="shared" si="15"/>
        <v>22</v>
      </c>
      <c r="J59" s="73">
        <f t="shared" si="15"/>
        <v>54</v>
      </c>
      <c r="K59" s="73">
        <f t="shared" si="15"/>
        <v>59</v>
      </c>
      <c r="L59" s="73">
        <f t="shared" si="15"/>
        <v>53</v>
      </c>
      <c r="M59" s="73">
        <f t="shared" si="15"/>
        <v>56</v>
      </c>
      <c r="N59" s="73">
        <f t="shared" si="15"/>
        <v>55</v>
      </c>
      <c r="O59" s="73">
        <f t="shared" si="15"/>
        <v>31</v>
      </c>
      <c r="P59" s="73">
        <f t="shared" si="15"/>
        <v>50</v>
      </c>
      <c r="Q59" s="73">
        <f t="shared" si="15"/>
        <v>65</v>
      </c>
      <c r="R59" s="73">
        <f t="shared" si="15"/>
        <v>76</v>
      </c>
      <c r="S59" s="73">
        <f t="shared" si="15"/>
        <v>54</v>
      </c>
      <c r="T59" s="73">
        <f t="shared" si="15"/>
        <v>40</v>
      </c>
      <c r="U59" s="73">
        <f t="shared" si="15"/>
        <v>31</v>
      </c>
      <c r="V59" s="73">
        <f t="shared" si="15"/>
        <v>99</v>
      </c>
      <c r="W59" s="73">
        <f t="shared" si="15"/>
        <v>99</v>
      </c>
      <c r="X59" s="73">
        <f t="shared" si="15"/>
        <v>101</v>
      </c>
      <c r="Y59" s="73">
        <f t="shared" si="15"/>
        <v>145</v>
      </c>
      <c r="Z59" s="73">
        <f t="shared" si="15"/>
        <v>156</v>
      </c>
      <c r="AA59" s="73">
        <f t="shared" si="15"/>
        <v>163</v>
      </c>
      <c r="AB59" s="73">
        <f t="shared" si="15"/>
        <v>131</v>
      </c>
      <c r="AC59" s="73">
        <f t="shared" si="15"/>
        <v>128</v>
      </c>
      <c r="AD59" s="73">
        <f t="shared" si="15"/>
        <v>118</v>
      </c>
      <c r="AE59" s="73">
        <f t="shared" si="15"/>
        <v>86</v>
      </c>
      <c r="AF59" s="73">
        <f t="shared" si="15"/>
        <v>78</v>
      </c>
      <c r="AG59" s="74">
        <f t="shared" si="15"/>
        <v>101</v>
      </c>
      <c r="AH59" s="74">
        <f t="shared" si="15"/>
        <v>90</v>
      </c>
      <c r="AI59" s="74">
        <f t="shared" si="15"/>
        <v>90</v>
      </c>
      <c r="AJ59" s="74">
        <f t="shared" si="15"/>
        <v>90</v>
      </c>
      <c r="AK59" s="74">
        <f t="shared" si="15"/>
        <v>90</v>
      </c>
      <c r="AL59" s="74">
        <f t="shared" si="15"/>
        <v>90</v>
      </c>
      <c r="AM59" s="74">
        <f t="shared" si="15"/>
        <v>90</v>
      </c>
      <c r="AN59" s="74">
        <f t="shared" si="15"/>
        <v>90</v>
      </c>
      <c r="AO59" s="74">
        <f t="shared" si="15"/>
        <v>90</v>
      </c>
    </row>
    <row r="60" spans="1:41"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</row>
    <row r="61" spans="1:41">
      <c r="C61" s="81">
        <f t="shared" ref="C61:U61" si="16">C54/(D47/365)</f>
        <v>22.353391884528463</v>
      </c>
      <c r="D61" s="81">
        <f t="shared" si="16"/>
        <v>24.506661612289012</v>
      </c>
      <c r="E61" s="81">
        <f t="shared" si="16"/>
        <v>26.893199455682474</v>
      </c>
      <c r="F61" s="81">
        <f t="shared" si="16"/>
        <v>21.232204664603561</v>
      </c>
      <c r="G61" s="81">
        <f t="shared" si="16"/>
        <v>20.550841313953363</v>
      </c>
      <c r="H61" s="81">
        <f t="shared" si="16"/>
        <v>23.797029209930511</v>
      </c>
      <c r="I61" s="81">
        <f t="shared" si="16"/>
        <v>24.450985829608832</v>
      </c>
      <c r="J61" s="81">
        <f t="shared" si="16"/>
        <v>27.533177332654532</v>
      </c>
      <c r="K61" s="81">
        <f t="shared" si="16"/>
        <v>27.980437330647533</v>
      </c>
      <c r="L61" s="81">
        <f t="shared" si="16"/>
        <v>27.259043855610024</v>
      </c>
      <c r="M61" s="81">
        <f t="shared" si="16"/>
        <v>20.122702329920852</v>
      </c>
      <c r="N61" s="81">
        <f t="shared" si="16"/>
        <v>19.593866280320452</v>
      </c>
      <c r="O61" s="81">
        <f t="shared" si="16"/>
        <v>20.162937330643739</v>
      </c>
      <c r="P61" s="81">
        <f t="shared" si="16"/>
        <v>19.710605107411006</v>
      </c>
      <c r="Q61" s="81">
        <f t="shared" si="16"/>
        <v>23.885084287594726</v>
      </c>
      <c r="R61" s="81">
        <f t="shared" si="16"/>
        <v>26.910120368332695</v>
      </c>
      <c r="S61" s="81">
        <f t="shared" si="16"/>
        <v>23.826091144532736</v>
      </c>
      <c r="T61" s="81">
        <f t="shared" si="16"/>
        <v>24.130181565939154</v>
      </c>
      <c r="U61" s="81">
        <f t="shared" si="16"/>
        <v>23.405704862050168</v>
      </c>
      <c r="V61" s="81">
        <f>V54/(W47/365)</f>
        <v>16.337365976376404</v>
      </c>
      <c r="W61" s="81">
        <f t="shared" ref="W61:AN61" si="17">W54/(X47/365)</f>
        <v>22.601557176701608</v>
      </c>
      <c r="X61" s="81">
        <f t="shared" si="17"/>
        <v>17.682076938268143</v>
      </c>
      <c r="Y61" s="81">
        <f t="shared" si="17"/>
        <v>15.940057056001674</v>
      </c>
      <c r="Z61" s="81">
        <f t="shared" si="17"/>
        <v>20.18077226167355</v>
      </c>
      <c r="AA61" s="81">
        <f t="shared" si="17"/>
        <v>21.336376169355013</v>
      </c>
      <c r="AB61" s="81">
        <f t="shared" si="17"/>
        <v>29.679830012434689</v>
      </c>
      <c r="AC61" s="81">
        <f t="shared" si="17"/>
        <v>36.737968140161811</v>
      </c>
      <c r="AD61" s="81">
        <f t="shared" si="17"/>
        <v>21.236897500145169</v>
      </c>
      <c r="AE61" s="81">
        <f t="shared" si="17"/>
        <v>25.861883243769991</v>
      </c>
      <c r="AF61" s="81">
        <f t="shared" si="17"/>
        <v>25.171345134069998</v>
      </c>
      <c r="AG61" s="81">
        <f t="shared" si="17"/>
        <v>30.354697980913503</v>
      </c>
      <c r="AH61" s="81">
        <f t="shared" si="17"/>
        <v>24.414130209336427</v>
      </c>
      <c r="AI61" s="81">
        <f t="shared" si="17"/>
        <v>24.190311049705578</v>
      </c>
      <c r="AJ61" s="81">
        <f t="shared" si="17"/>
        <v>24.939493302412824</v>
      </c>
      <c r="AK61" s="81">
        <f t="shared" si="17"/>
        <v>24.174793844487471</v>
      </c>
      <c r="AL61" s="81">
        <f t="shared" si="17"/>
        <v>26.336847987370017</v>
      </c>
      <c r="AM61" s="81">
        <f t="shared" si="17"/>
        <v>25.225107166941815</v>
      </c>
      <c r="AN61" s="81">
        <f t="shared" si="17"/>
        <v>25.216585949088234</v>
      </c>
    </row>
    <row r="62" spans="1:41">
      <c r="X62" s="82">
        <v>2015</v>
      </c>
      <c r="Y62" s="82">
        <v>2016</v>
      </c>
      <c r="Z62" s="82">
        <v>2017</v>
      </c>
      <c r="AA62" s="82">
        <v>2018</v>
      </c>
      <c r="AB62" s="82">
        <v>2019</v>
      </c>
      <c r="AC62" s="82">
        <v>2020</v>
      </c>
      <c r="AD62" s="82">
        <v>2021</v>
      </c>
      <c r="AE62" s="82">
        <v>2022</v>
      </c>
      <c r="AF62" s="82">
        <v>2023</v>
      </c>
      <c r="AG62" s="82">
        <v>2024</v>
      </c>
      <c r="AH62" s="82">
        <v>2025</v>
      </c>
      <c r="AI62" s="82">
        <v>2026</v>
      </c>
      <c r="AJ62" s="82">
        <v>2027</v>
      </c>
      <c r="AK62" s="82">
        <v>2028</v>
      </c>
      <c r="AL62" s="82">
        <v>2029</v>
      </c>
      <c r="AM62" s="82">
        <v>2030</v>
      </c>
    </row>
    <row r="63" spans="1:41">
      <c r="X63" s="83">
        <v>443449.42499999999</v>
      </c>
      <c r="Y63" s="83">
        <v>444320.23200000002</v>
      </c>
      <c r="Z63" s="83">
        <v>444971.27</v>
      </c>
      <c r="AA63" s="83">
        <v>445982.75699999998</v>
      </c>
      <c r="AB63" s="83">
        <v>446575.61499999999</v>
      </c>
      <c r="AC63" s="83">
        <v>446547.54200000002</v>
      </c>
      <c r="AD63" s="83">
        <v>445854.95799999998</v>
      </c>
      <c r="AE63" s="83">
        <v>446833.68699999998</v>
      </c>
      <c r="AF63" s="83">
        <v>448500.76699999999</v>
      </c>
      <c r="AG63" s="83">
        <v>453168.04</v>
      </c>
      <c r="AH63" s="83">
        <f>FORECAST(AH62,X63:AG63,X62:AG62)</f>
        <v>450808.15913333325</v>
      </c>
      <c r="AI63" s="83">
        <f t="shared" ref="AI63:AL63" si="18">FORECAST(AI62,Y63:AH63,Y62:AH62)</f>
        <v>451637.64992000023</v>
      </c>
      <c r="AJ63" s="83">
        <f t="shared" si="18"/>
        <v>452540.56994577777</v>
      </c>
      <c r="AK63" s="83">
        <f t="shared" si="18"/>
        <v>453490.4402538666</v>
      </c>
      <c r="AL63" s="83">
        <f t="shared" si="18"/>
        <v>454585.3685554727</v>
      </c>
      <c r="AM63" s="83">
        <v>452700.10100000002</v>
      </c>
    </row>
    <row r="64" spans="1:41">
      <c r="A64" s="64" t="s">
        <v>75</v>
      </c>
      <c r="W64" s="64" t="s">
        <v>76</v>
      </c>
      <c r="X64" s="84">
        <f>X33/X$63*2204.622</f>
        <v>128.74482959478101</v>
      </c>
      <c r="Y64" s="84">
        <f t="shared" ref="Y64:AM64" si="19">Y33/Y$63*2204.622</f>
        <v>124.74884308607443</v>
      </c>
      <c r="Z64" s="84">
        <f t="shared" si="19"/>
        <v>124.90827597635948</v>
      </c>
      <c r="AA64" s="84">
        <f t="shared" si="19"/>
        <v>120.09346052341009</v>
      </c>
      <c r="AB64" s="84">
        <f t="shared" si="19"/>
        <v>124.68653027356943</v>
      </c>
      <c r="AC64" s="84">
        <f t="shared" si="19"/>
        <v>123.01980851613271</v>
      </c>
      <c r="AD64" s="84">
        <f t="shared" si="19"/>
        <v>129.51681353421904</v>
      </c>
      <c r="AE64" s="84">
        <f t="shared" si="19"/>
        <v>120.94904297343103</v>
      </c>
      <c r="AF64" s="84">
        <f t="shared" si="19"/>
        <v>120.45699958717306</v>
      </c>
      <c r="AG64" s="84">
        <f t="shared" si="19"/>
        <v>122.39216163727889</v>
      </c>
      <c r="AH64" s="84">
        <f t="shared" si="19"/>
        <v>124.33173753934311</v>
      </c>
      <c r="AI64" s="84">
        <f t="shared" si="19"/>
        <v>126.40681992069226</v>
      </c>
      <c r="AJ64" s="84">
        <f t="shared" si="19"/>
        <v>131.38775018024862</v>
      </c>
      <c r="AK64" s="84">
        <f t="shared" si="19"/>
        <v>135.38920803536269</v>
      </c>
      <c r="AL64" s="84">
        <f t="shared" si="19"/>
        <v>137.47201265468973</v>
      </c>
      <c r="AM64" s="84">
        <f t="shared" si="19"/>
        <v>142.53804748280925</v>
      </c>
    </row>
    <row r="65" spans="1:40">
      <c r="B65" s="68" t="s">
        <v>51</v>
      </c>
      <c r="W65" s="68" t="s">
        <v>51</v>
      </c>
      <c r="X65" s="84">
        <f t="shared" ref="X65:AM69" si="20">X34/X$63*2204.622</f>
        <v>9.8002847978630747</v>
      </c>
      <c r="Y65" s="84">
        <f t="shared" si="20"/>
        <v>11.336635764563145</v>
      </c>
      <c r="Z65" s="84">
        <f t="shared" si="20"/>
        <v>10.723190951820326</v>
      </c>
      <c r="AA65" s="84">
        <f t="shared" si="20"/>
        <v>11.062351718499656</v>
      </c>
      <c r="AB65" s="84">
        <f t="shared" si="20"/>
        <v>12.173694199883004</v>
      </c>
      <c r="AC65" s="84">
        <f t="shared" si="20"/>
        <v>11.829989955959471</v>
      </c>
      <c r="AD65" s="84">
        <f t="shared" si="20"/>
        <v>11.843782442640965</v>
      </c>
      <c r="AE65" s="84">
        <f t="shared" si="20"/>
        <v>11.138091771323836</v>
      </c>
      <c r="AF65" s="84">
        <f t="shared" si="20"/>
        <v>11.760039384172744</v>
      </c>
      <c r="AG65" s="84">
        <f t="shared" si="20"/>
        <v>12.424872833369198</v>
      </c>
      <c r="AH65" s="84">
        <f t="shared" si="20"/>
        <v>11.880542951787916</v>
      </c>
      <c r="AI65" s="84">
        <f t="shared" si="20"/>
        <v>12.665422959878008</v>
      </c>
      <c r="AJ65" s="84">
        <f t="shared" si="20"/>
        <v>14.180577562873696</v>
      </c>
      <c r="AK65" s="84">
        <f t="shared" si="20"/>
        <v>14.275854785284565</v>
      </c>
      <c r="AL65" s="84">
        <f t="shared" si="20"/>
        <v>14.366148016261613</v>
      </c>
      <c r="AM65" s="84">
        <f t="shared" si="20"/>
        <v>14.551173492692799</v>
      </c>
    </row>
    <row r="66" spans="1:40">
      <c r="B66" s="68" t="s">
        <v>52</v>
      </c>
      <c r="W66" s="68" t="s">
        <v>52</v>
      </c>
      <c r="X66" s="84">
        <f t="shared" si="20"/>
        <v>72.705987385912152</v>
      </c>
      <c r="Y66" s="84">
        <f t="shared" si="20"/>
        <v>67.760836811279844</v>
      </c>
      <c r="Z66" s="84">
        <f t="shared" si="20"/>
        <v>67.764066278404883</v>
      </c>
      <c r="AA66" s="84">
        <f t="shared" si="20"/>
        <v>61.58412680150321</v>
      </c>
      <c r="AB66" s="84">
        <f t="shared" si="20"/>
        <v>59.980016504855506</v>
      </c>
      <c r="AC66" s="84">
        <f t="shared" si="20"/>
        <v>60.428772326486119</v>
      </c>
      <c r="AD66" s="84">
        <f t="shared" si="20"/>
        <v>69.179212107449089</v>
      </c>
      <c r="AE66" s="84">
        <f t="shared" si="20"/>
        <v>66.853546813021609</v>
      </c>
      <c r="AF66" s="84">
        <f t="shared" si="20"/>
        <v>68.015718444165699</v>
      </c>
      <c r="AG66" s="84">
        <f t="shared" si="20"/>
        <v>69.232664328115447</v>
      </c>
      <c r="AH66" s="84">
        <f t="shared" si="20"/>
        <v>71.751029288254742</v>
      </c>
      <c r="AI66" s="84">
        <f t="shared" si="20"/>
        <v>73.152593230108678</v>
      </c>
      <c r="AJ66" s="84">
        <f t="shared" si="20"/>
        <v>76.455769859806381</v>
      </c>
      <c r="AK66" s="84">
        <f t="shared" si="20"/>
        <v>78.784690834936214</v>
      </c>
      <c r="AL66" s="84">
        <f t="shared" si="20"/>
        <v>80.432980027904605</v>
      </c>
      <c r="AM66" s="84">
        <f t="shared" si="20"/>
        <v>84.44474696505533</v>
      </c>
    </row>
    <row r="67" spans="1:40">
      <c r="B67" s="68" t="s">
        <v>53</v>
      </c>
      <c r="W67" s="68" t="s">
        <v>53</v>
      </c>
      <c r="X67" s="84">
        <f t="shared" si="20"/>
        <v>18.359173220630513</v>
      </c>
      <c r="Y67" s="84">
        <f t="shared" si="20"/>
        <v>19.303293377430531</v>
      </c>
      <c r="Z67" s="84">
        <f t="shared" si="20"/>
        <v>22.566746816793746</v>
      </c>
      <c r="AA67" s="84">
        <f t="shared" si="20"/>
        <v>24.878807797622851</v>
      </c>
      <c r="AB67" s="84">
        <f t="shared" si="20"/>
        <v>24.194805628804207</v>
      </c>
      <c r="AC67" s="84">
        <f t="shared" si="20"/>
        <v>23.952097767640041</v>
      </c>
      <c r="AD67" s="84">
        <f t="shared" si="20"/>
        <v>23.507489135052808</v>
      </c>
      <c r="AE67" s="84">
        <f t="shared" si="20"/>
        <v>24.424419220923905</v>
      </c>
      <c r="AF67" s="84">
        <f t="shared" si="20"/>
        <v>25.035801054805674</v>
      </c>
      <c r="AG67" s="84">
        <f t="shared" si="20"/>
        <v>26.176097349574118</v>
      </c>
      <c r="AH67" s="84">
        <f t="shared" si="20"/>
        <v>27.493701329248069</v>
      </c>
      <c r="AI67" s="84">
        <f t="shared" si="20"/>
        <v>27.775140496417883</v>
      </c>
      <c r="AJ67" s="84">
        <f t="shared" si="20"/>
        <v>28.206888459811335</v>
      </c>
      <c r="AK67" s="84">
        <f t="shared" si="20"/>
        <v>30.053496158310242</v>
      </c>
      <c r="AL67" s="84">
        <f t="shared" si="20"/>
        <v>30.669771823724385</v>
      </c>
      <c r="AM67" s="84">
        <f t="shared" si="20"/>
        <v>31.732524292058866</v>
      </c>
    </row>
    <row r="68" spans="1:40">
      <c r="B68" s="68" t="s">
        <v>54</v>
      </c>
      <c r="W68" s="68" t="s">
        <v>54</v>
      </c>
      <c r="X68" s="84">
        <f t="shared" si="20"/>
        <v>24.686304876300156</v>
      </c>
      <c r="Y68" s="84">
        <f t="shared" si="20"/>
        <v>23.127088958447427</v>
      </c>
      <c r="Z68" s="84">
        <f t="shared" si="20"/>
        <v>20.394887674725602</v>
      </c>
      <c r="AA68" s="84">
        <f t="shared" si="20"/>
        <v>19.124540140317581</v>
      </c>
      <c r="AB68" s="84">
        <f t="shared" si="20"/>
        <v>24.811418410850752</v>
      </c>
      <c r="AC68" s="84">
        <f t="shared" si="20"/>
        <v>23.383794709240604</v>
      </c>
      <c r="AD68" s="84">
        <f t="shared" si="20"/>
        <v>21.605282801121167</v>
      </c>
      <c r="AE68" s="84">
        <f t="shared" si="20"/>
        <v>15.262752955199637</v>
      </c>
      <c r="AF68" s="84">
        <f t="shared" si="20"/>
        <v>12.582958086107356</v>
      </c>
      <c r="AG68" s="84">
        <f t="shared" si="20"/>
        <v>11.836979380425856</v>
      </c>
      <c r="AH68" s="84">
        <f t="shared" si="20"/>
        <v>10.267347196861673</v>
      </c>
      <c r="AI68" s="84">
        <f t="shared" si="20"/>
        <v>9.958046856360717</v>
      </c>
      <c r="AJ68" s="84">
        <f t="shared" si="20"/>
        <v>9.6945955155482793</v>
      </c>
      <c r="AK68" s="84">
        <f t="shared" si="20"/>
        <v>9.431216846833042</v>
      </c>
      <c r="AL68" s="84">
        <f t="shared" si="20"/>
        <v>9.1660134008284437</v>
      </c>
      <c r="AM68" s="84">
        <f t="shared" si="20"/>
        <v>8.9606882592676946</v>
      </c>
    </row>
    <row r="69" spans="1:40">
      <c r="B69" s="68" t="s">
        <v>73</v>
      </c>
      <c r="W69" s="68" t="s">
        <v>73</v>
      </c>
      <c r="X69" s="84">
        <f t="shared" si="20"/>
        <v>3.1930793140751055</v>
      </c>
      <c r="Y69" s="84">
        <f t="shared" si="20"/>
        <v>3.2209881743534914</v>
      </c>
      <c r="Z69" s="84">
        <f t="shared" si="20"/>
        <v>3.4593842546149105</v>
      </c>
      <c r="AA69" s="84">
        <f t="shared" si="20"/>
        <v>3.4436340654667958</v>
      </c>
      <c r="AB69" s="84">
        <f t="shared" si="20"/>
        <v>3.5265955291759492</v>
      </c>
      <c r="AC69" s="84">
        <f t="shared" si="20"/>
        <v>3.4251537568064805</v>
      </c>
      <c r="AD69" s="84">
        <f t="shared" si="20"/>
        <v>3.3810470479549983</v>
      </c>
      <c r="AE69" s="84">
        <f t="shared" si="20"/>
        <v>3.2702322129620458</v>
      </c>
      <c r="AF69" s="84">
        <f t="shared" si="20"/>
        <v>3.0624826179215869</v>
      </c>
      <c r="AG69" s="84">
        <f t="shared" si="20"/>
        <v>2.7215477457942536</v>
      </c>
      <c r="AH69" s="84">
        <f t="shared" si="20"/>
        <v>2.9391167731906953</v>
      </c>
      <c r="AI69" s="84">
        <f t="shared" si="20"/>
        <v>2.8556163779269697</v>
      </c>
      <c r="AJ69" s="84">
        <f t="shared" si="20"/>
        <v>2.849918782208916</v>
      </c>
      <c r="AK69" s="84">
        <f t="shared" si="20"/>
        <v>2.8439494099986233</v>
      </c>
      <c r="AL69" s="84">
        <f t="shared" si="20"/>
        <v>2.8370993859707085</v>
      </c>
      <c r="AM69" s="84">
        <f t="shared" si="20"/>
        <v>2.848914473734566</v>
      </c>
    </row>
    <row r="70" spans="1:40">
      <c r="A70" s="64" t="s">
        <v>77</v>
      </c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85"/>
      <c r="AH70" s="85"/>
      <c r="AI70" s="85"/>
      <c r="AJ70" s="85"/>
      <c r="AK70" s="85"/>
      <c r="AL70" s="85"/>
      <c r="AM70" s="85"/>
      <c r="AN70" s="85"/>
    </row>
    <row r="71" spans="1:40" ht="12" thickBot="1">
      <c r="A71" s="68" t="s">
        <v>78</v>
      </c>
      <c r="B71" s="68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4"/>
      <c r="AF71" s="74"/>
      <c r="AG71" s="74"/>
      <c r="AH71" s="74"/>
      <c r="AI71" s="74"/>
      <c r="AJ71" s="74"/>
      <c r="AK71" s="74"/>
      <c r="AL71" s="74"/>
      <c r="AM71" s="74"/>
      <c r="AN71" s="74"/>
    </row>
    <row r="72" spans="1:40">
      <c r="A72" s="86"/>
      <c r="B72" s="86" t="s">
        <v>51</v>
      </c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8"/>
      <c r="AH72" s="88"/>
      <c r="AI72" s="88"/>
      <c r="AJ72" s="88"/>
      <c r="AK72" s="88"/>
      <c r="AL72" s="88"/>
      <c r="AM72" s="88"/>
      <c r="AN72" s="88"/>
    </row>
    <row r="73" spans="1:40">
      <c r="A73" s="68"/>
      <c r="B73" s="68" t="s">
        <v>52</v>
      </c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4"/>
      <c r="AH73" s="74"/>
      <c r="AI73" s="74"/>
      <c r="AJ73" s="74"/>
      <c r="AK73" s="74"/>
      <c r="AL73" s="74"/>
      <c r="AM73" s="74"/>
      <c r="AN73" s="74"/>
    </row>
    <row r="74" spans="1:40">
      <c r="A74" s="68"/>
      <c r="B74" s="68" t="s">
        <v>53</v>
      </c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4"/>
      <c r="AH74" s="74"/>
      <c r="AI74" s="74"/>
      <c r="AJ74" s="74"/>
      <c r="AK74" s="74"/>
      <c r="AL74" s="74"/>
      <c r="AM74" s="74"/>
      <c r="AN74" s="74"/>
    </row>
    <row r="75" spans="1:40">
      <c r="A75" s="68"/>
      <c r="B75" s="68" t="s">
        <v>79</v>
      </c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4"/>
      <c r="AH75" s="74"/>
      <c r="AI75" s="74"/>
      <c r="AJ75" s="74"/>
      <c r="AK75" s="74"/>
      <c r="AL75" s="74"/>
      <c r="AM75" s="74"/>
      <c r="AN75" s="74"/>
    </row>
    <row r="76" spans="1:40">
      <c r="A76" s="68"/>
      <c r="B76" s="68" t="s">
        <v>80</v>
      </c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4"/>
      <c r="AH76" s="74"/>
      <c r="AI76" s="74"/>
      <c r="AJ76" s="74"/>
      <c r="AK76" s="74"/>
      <c r="AL76" s="74"/>
      <c r="AM76" s="74"/>
      <c r="AN76" s="74"/>
    </row>
    <row r="77" spans="1:40">
      <c r="A77" s="68"/>
      <c r="B77" s="68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4"/>
      <c r="AH77" s="74"/>
      <c r="AI77" s="74"/>
      <c r="AJ77" s="74"/>
      <c r="AK77" s="74"/>
      <c r="AL77" s="74"/>
      <c r="AM77" s="74"/>
      <c r="AN77" s="74"/>
    </row>
    <row r="78" spans="1:40" ht="12" thickBot="1">
      <c r="A78" s="68" t="s">
        <v>81</v>
      </c>
      <c r="B78" s="68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4"/>
      <c r="AF78" s="74"/>
      <c r="AG78" s="74"/>
      <c r="AH78" s="74"/>
      <c r="AI78" s="74"/>
      <c r="AJ78" s="74"/>
      <c r="AK78" s="74"/>
      <c r="AL78" s="74"/>
      <c r="AM78" s="74"/>
      <c r="AN78" s="74"/>
    </row>
    <row r="79" spans="1:40">
      <c r="A79" s="86"/>
      <c r="B79" s="86" t="s">
        <v>51</v>
      </c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8"/>
      <c r="AH79" s="88"/>
      <c r="AI79" s="88"/>
      <c r="AJ79" s="88"/>
      <c r="AK79" s="88"/>
      <c r="AL79" s="88"/>
      <c r="AM79" s="88"/>
      <c r="AN79" s="88"/>
    </row>
    <row r="80" spans="1:40">
      <c r="A80" s="68"/>
      <c r="B80" s="68" t="s">
        <v>52</v>
      </c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4"/>
      <c r="AH80" s="74"/>
      <c r="AI80" s="74"/>
      <c r="AJ80" s="74"/>
      <c r="AK80" s="74"/>
      <c r="AL80" s="74"/>
      <c r="AM80" s="74"/>
      <c r="AN80" s="74"/>
    </row>
    <row r="81" spans="1:40">
      <c r="A81" s="68"/>
      <c r="B81" s="68" t="s">
        <v>53</v>
      </c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4"/>
      <c r="AH81" s="74"/>
      <c r="AI81" s="74"/>
      <c r="AJ81" s="74"/>
      <c r="AK81" s="74"/>
      <c r="AL81" s="74"/>
      <c r="AM81" s="74"/>
      <c r="AN81" s="74"/>
    </row>
    <row r="82" spans="1:40">
      <c r="A82" s="68"/>
      <c r="B82" s="68" t="s">
        <v>79</v>
      </c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4"/>
      <c r="AH82" s="74"/>
      <c r="AI82" s="74"/>
      <c r="AJ82" s="74"/>
      <c r="AK82" s="74"/>
      <c r="AL82" s="74"/>
      <c r="AM82" s="74"/>
      <c r="AN82" s="74"/>
    </row>
    <row r="83" spans="1:40">
      <c r="A83" s="68"/>
      <c r="B83" s="68" t="s">
        <v>80</v>
      </c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4"/>
      <c r="AH83" s="74"/>
      <c r="AI83" s="74"/>
      <c r="AJ83" s="74"/>
      <c r="AK83" s="74"/>
      <c r="AL83" s="74"/>
      <c r="AM83" s="74"/>
      <c r="AN83" s="74"/>
    </row>
    <row r="84" spans="1:40">
      <c r="A84" s="68"/>
      <c r="B84" s="68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4"/>
      <c r="AH84" s="74"/>
      <c r="AI84" s="74"/>
      <c r="AJ84" s="74"/>
      <c r="AK84" s="74"/>
      <c r="AL84" s="74"/>
      <c r="AM84" s="74"/>
      <c r="AN84" s="74"/>
    </row>
    <row r="85" spans="1:40" ht="12" thickBot="1">
      <c r="A85" s="68" t="s">
        <v>82</v>
      </c>
      <c r="B85" s="68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4"/>
      <c r="AF85" s="74"/>
      <c r="AG85" s="74"/>
      <c r="AH85" s="74"/>
      <c r="AI85" s="74"/>
      <c r="AJ85" s="74"/>
      <c r="AK85" s="74"/>
      <c r="AL85" s="74"/>
      <c r="AM85" s="74"/>
      <c r="AN85" s="74"/>
    </row>
    <row r="86" spans="1:40">
      <c r="A86" s="86"/>
      <c r="B86" s="86" t="s">
        <v>51</v>
      </c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8"/>
      <c r="AH86" s="88"/>
      <c r="AI86" s="88"/>
      <c r="AJ86" s="88"/>
      <c r="AK86" s="88"/>
      <c r="AL86" s="88"/>
      <c r="AM86" s="88"/>
      <c r="AN86" s="88"/>
    </row>
    <row r="87" spans="1:40">
      <c r="A87" s="68"/>
      <c r="B87" s="68" t="s">
        <v>52</v>
      </c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4"/>
      <c r="AH87" s="74"/>
      <c r="AI87" s="74"/>
      <c r="AJ87" s="74"/>
      <c r="AK87" s="74"/>
      <c r="AL87" s="74"/>
      <c r="AM87" s="74"/>
      <c r="AN87" s="74"/>
    </row>
    <row r="88" spans="1:40">
      <c r="A88" s="68"/>
      <c r="B88" s="68" t="s">
        <v>53</v>
      </c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4"/>
      <c r="AH88" s="74"/>
      <c r="AI88" s="74"/>
      <c r="AJ88" s="74"/>
      <c r="AK88" s="74"/>
      <c r="AL88" s="74"/>
      <c r="AM88" s="74"/>
      <c r="AN88" s="74"/>
    </row>
    <row r="89" spans="1:40">
      <c r="A89" s="68"/>
      <c r="B89" s="68" t="s">
        <v>79</v>
      </c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4"/>
      <c r="AH89" s="74"/>
      <c r="AI89" s="74"/>
      <c r="AJ89" s="74"/>
      <c r="AK89" s="74"/>
      <c r="AL89" s="74"/>
      <c r="AM89" s="74"/>
      <c r="AN89" s="74"/>
    </row>
    <row r="90" spans="1:40">
      <c r="A90" s="68"/>
      <c r="B90" s="68" t="s">
        <v>80</v>
      </c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4"/>
      <c r="AH90" s="74"/>
      <c r="AI90" s="74"/>
      <c r="AJ90" s="74"/>
      <c r="AK90" s="74"/>
      <c r="AL90" s="74"/>
      <c r="AM90" s="74"/>
      <c r="AN90" s="74"/>
    </row>
    <row r="91" spans="1:40">
      <c r="A91" s="68"/>
      <c r="B91" s="68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4"/>
      <c r="AH91" s="74"/>
      <c r="AI91" s="74"/>
      <c r="AJ91" s="74"/>
      <c r="AK91" s="74"/>
      <c r="AL91" s="74"/>
      <c r="AM91" s="74"/>
      <c r="AN91" s="74"/>
    </row>
    <row r="92" spans="1:40" ht="12" thickBot="1">
      <c r="A92" s="68" t="s">
        <v>83</v>
      </c>
      <c r="B92" s="68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4"/>
      <c r="AF92" s="74"/>
      <c r="AG92" s="74"/>
      <c r="AH92" s="74"/>
      <c r="AI92" s="74"/>
      <c r="AJ92" s="74"/>
      <c r="AK92" s="74"/>
      <c r="AL92" s="74"/>
      <c r="AM92" s="74"/>
      <c r="AN92" s="74"/>
    </row>
    <row r="93" spans="1:40">
      <c r="A93" s="86"/>
      <c r="B93" s="86" t="s">
        <v>51</v>
      </c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8"/>
      <c r="AH93" s="88"/>
      <c r="AI93" s="88"/>
      <c r="AJ93" s="88"/>
      <c r="AK93" s="88"/>
      <c r="AL93" s="88"/>
      <c r="AM93" s="88"/>
      <c r="AN93" s="88"/>
    </row>
    <row r="94" spans="1:40">
      <c r="A94" s="68"/>
      <c r="B94" s="68" t="s">
        <v>52</v>
      </c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4"/>
      <c r="AH94" s="74"/>
      <c r="AI94" s="74"/>
      <c r="AJ94" s="74"/>
      <c r="AK94" s="74"/>
      <c r="AL94" s="74"/>
      <c r="AM94" s="74"/>
      <c r="AN94" s="74"/>
    </row>
    <row r="95" spans="1:40">
      <c r="A95" s="68"/>
      <c r="B95" s="68" t="s">
        <v>53</v>
      </c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4"/>
      <c r="AH95" s="74"/>
      <c r="AI95" s="74"/>
      <c r="AJ95" s="74"/>
      <c r="AK95" s="74"/>
      <c r="AL95" s="74"/>
      <c r="AM95" s="74"/>
      <c r="AN95" s="74"/>
    </row>
    <row r="96" spans="1:40">
      <c r="A96" s="68"/>
      <c r="B96" s="68" t="s">
        <v>79</v>
      </c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4"/>
      <c r="AH96" s="74"/>
      <c r="AI96" s="74"/>
      <c r="AJ96" s="74"/>
      <c r="AK96" s="74"/>
      <c r="AL96" s="74"/>
      <c r="AM96" s="74"/>
      <c r="AN96" s="74"/>
    </row>
    <row r="97" spans="1:40">
      <c r="A97" s="68"/>
      <c r="B97" s="68" t="s">
        <v>80</v>
      </c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4"/>
      <c r="AH97" s="74"/>
      <c r="AI97" s="74"/>
      <c r="AJ97" s="74"/>
      <c r="AK97" s="74"/>
      <c r="AL97" s="74"/>
      <c r="AM97" s="74"/>
      <c r="AN97" s="74"/>
    </row>
    <row r="98" spans="1:40">
      <c r="A98" s="68"/>
      <c r="B98" s="68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4"/>
      <c r="AH98" s="74"/>
      <c r="AI98" s="74"/>
      <c r="AJ98" s="74"/>
      <c r="AK98" s="74"/>
      <c r="AL98" s="74"/>
      <c r="AM98" s="74"/>
      <c r="AN98" s="74"/>
    </row>
    <row r="99" spans="1:40" ht="12" thickBot="1">
      <c r="A99" s="68" t="s">
        <v>84</v>
      </c>
      <c r="B99" s="68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4"/>
      <c r="AF99" s="74"/>
      <c r="AG99" s="74"/>
      <c r="AH99" s="74"/>
      <c r="AI99" s="74"/>
      <c r="AJ99" s="74"/>
      <c r="AK99" s="74"/>
      <c r="AL99" s="74"/>
      <c r="AM99" s="74"/>
      <c r="AN99" s="74"/>
    </row>
    <row r="100" spans="1:40">
      <c r="A100" s="86"/>
      <c r="B100" s="86" t="s">
        <v>51</v>
      </c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8"/>
      <c r="AH100" s="88"/>
      <c r="AI100" s="88"/>
      <c r="AJ100" s="88"/>
      <c r="AK100" s="88"/>
      <c r="AL100" s="88"/>
      <c r="AM100" s="88"/>
      <c r="AN100" s="88"/>
    </row>
    <row r="101" spans="1:40">
      <c r="A101" s="68"/>
      <c r="B101" s="68" t="s">
        <v>52</v>
      </c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4"/>
      <c r="AH101" s="74"/>
      <c r="AI101" s="74"/>
      <c r="AJ101" s="74"/>
      <c r="AK101" s="74"/>
      <c r="AL101" s="74"/>
      <c r="AM101" s="74"/>
      <c r="AN101" s="74"/>
    </row>
    <row r="102" spans="1:40">
      <c r="A102" s="68"/>
      <c r="B102" s="68" t="s">
        <v>53</v>
      </c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4"/>
      <c r="AH102" s="74"/>
      <c r="AI102" s="74"/>
      <c r="AJ102" s="74"/>
      <c r="AK102" s="74"/>
      <c r="AL102" s="74"/>
      <c r="AM102" s="74"/>
      <c r="AN102" s="74"/>
    </row>
    <row r="103" spans="1:40">
      <c r="A103" s="68"/>
      <c r="B103" s="68" t="s">
        <v>79</v>
      </c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4"/>
      <c r="AH103" s="74"/>
      <c r="AI103" s="74"/>
      <c r="AJ103" s="74"/>
      <c r="AK103" s="74"/>
      <c r="AL103" s="74"/>
      <c r="AM103" s="74"/>
      <c r="AN103" s="74"/>
    </row>
    <row r="104" spans="1:40">
      <c r="A104" s="68"/>
      <c r="B104" s="68" t="s">
        <v>80</v>
      </c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4"/>
      <c r="AH104" s="74"/>
      <c r="AI104" s="74"/>
      <c r="AJ104" s="74"/>
      <c r="AK104" s="74"/>
      <c r="AL104" s="74"/>
      <c r="AM104" s="74"/>
      <c r="AN104" s="74"/>
    </row>
    <row r="105" spans="1:40">
      <c r="A105" s="68"/>
      <c r="B105" s="68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4"/>
      <c r="AH105" s="74"/>
      <c r="AI105" s="74"/>
      <c r="AJ105" s="74"/>
      <c r="AK105" s="74"/>
      <c r="AL105" s="74"/>
      <c r="AM105" s="74"/>
      <c r="AN105" s="74"/>
    </row>
    <row r="106" spans="1:40" ht="12" thickBot="1">
      <c r="A106" s="68" t="s">
        <v>85</v>
      </c>
      <c r="B106" s="68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</row>
    <row r="107" spans="1:40">
      <c r="A107" s="86"/>
      <c r="B107" s="86" t="s">
        <v>51</v>
      </c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8"/>
      <c r="AH107" s="88"/>
      <c r="AI107" s="88"/>
      <c r="AJ107" s="88"/>
      <c r="AK107" s="88"/>
      <c r="AL107" s="88"/>
      <c r="AM107" s="88"/>
      <c r="AN107" s="88"/>
    </row>
    <row r="108" spans="1:40">
      <c r="A108" s="68"/>
      <c r="B108" s="68" t="s">
        <v>52</v>
      </c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4"/>
      <c r="AH108" s="74"/>
      <c r="AI108" s="74"/>
      <c r="AJ108" s="74"/>
      <c r="AK108" s="74"/>
      <c r="AL108" s="74"/>
      <c r="AM108" s="74"/>
      <c r="AN108" s="74"/>
    </row>
    <row r="109" spans="1:40">
      <c r="A109" s="68"/>
      <c r="B109" s="68" t="s">
        <v>53</v>
      </c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4"/>
      <c r="AH109" s="74"/>
      <c r="AI109" s="74"/>
      <c r="AJ109" s="74"/>
      <c r="AK109" s="74"/>
      <c r="AL109" s="74"/>
      <c r="AM109" s="74"/>
      <c r="AN109" s="74"/>
    </row>
    <row r="110" spans="1:40">
      <c r="A110" s="68"/>
      <c r="B110" s="68" t="s">
        <v>79</v>
      </c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4"/>
      <c r="AH110" s="74"/>
      <c r="AI110" s="74"/>
      <c r="AJ110" s="74"/>
      <c r="AK110" s="74"/>
      <c r="AL110" s="74"/>
      <c r="AM110" s="74"/>
      <c r="AN110" s="74"/>
    </row>
    <row r="111" spans="1:40">
      <c r="A111" s="68"/>
      <c r="B111" s="68" t="s">
        <v>80</v>
      </c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4"/>
      <c r="AH111" s="74"/>
      <c r="AI111" s="74"/>
      <c r="AJ111" s="74"/>
      <c r="AK111" s="74"/>
      <c r="AL111" s="74"/>
      <c r="AM111" s="74"/>
      <c r="AN111" s="74"/>
    </row>
    <row r="112" spans="1:40">
      <c r="A112" s="68"/>
      <c r="B112" s="68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4"/>
      <c r="AH112" s="74"/>
      <c r="AI112" s="74"/>
      <c r="AJ112" s="74"/>
      <c r="AK112" s="74"/>
      <c r="AL112" s="74"/>
      <c r="AM112" s="74"/>
      <c r="AN112" s="74"/>
    </row>
    <row r="113" spans="1:40" ht="12" thickBot="1">
      <c r="A113" s="68" t="s">
        <v>86</v>
      </c>
      <c r="B113" s="68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</row>
    <row r="114" spans="1:40">
      <c r="A114" s="86"/>
      <c r="B114" s="86" t="s">
        <v>51</v>
      </c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8"/>
      <c r="AH114" s="88"/>
      <c r="AI114" s="88"/>
      <c r="AJ114" s="88"/>
      <c r="AK114" s="88"/>
      <c r="AL114" s="88"/>
      <c r="AM114" s="88"/>
      <c r="AN114" s="88"/>
    </row>
    <row r="115" spans="1:40">
      <c r="A115" s="68"/>
      <c r="B115" s="68" t="s">
        <v>52</v>
      </c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4"/>
      <c r="AH115" s="74"/>
      <c r="AI115" s="74"/>
      <c r="AJ115" s="74"/>
      <c r="AK115" s="74"/>
      <c r="AL115" s="74"/>
      <c r="AM115" s="74"/>
      <c r="AN115" s="74"/>
    </row>
    <row r="116" spans="1:40">
      <c r="A116" s="68"/>
      <c r="B116" s="68" t="s">
        <v>53</v>
      </c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4"/>
      <c r="AH116" s="74"/>
      <c r="AI116" s="74"/>
      <c r="AJ116" s="74"/>
      <c r="AK116" s="74"/>
      <c r="AL116" s="74"/>
      <c r="AM116" s="74"/>
      <c r="AN116" s="74"/>
    </row>
    <row r="117" spans="1:40">
      <c r="A117" s="68"/>
      <c r="B117" s="68" t="s">
        <v>79</v>
      </c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4"/>
      <c r="AH117" s="74"/>
      <c r="AI117" s="74"/>
      <c r="AJ117" s="74"/>
      <c r="AK117" s="74"/>
      <c r="AL117" s="74"/>
      <c r="AM117" s="74"/>
      <c r="AN117" s="74"/>
    </row>
    <row r="118" spans="1:40">
      <c r="A118" s="68"/>
      <c r="B118" s="68" t="s">
        <v>80</v>
      </c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4"/>
      <c r="AH118" s="74"/>
      <c r="AI118" s="74"/>
      <c r="AJ118" s="74"/>
      <c r="AK118" s="74"/>
      <c r="AL118" s="74"/>
      <c r="AM118" s="74"/>
      <c r="AN118" s="74"/>
    </row>
    <row r="119" spans="1:40">
      <c r="A119" s="68"/>
    </row>
    <row r="123" spans="1:40">
      <c r="B123" s="64" t="s">
        <v>87</v>
      </c>
      <c r="C123" s="78">
        <f>C78+C71</f>
        <v>0</v>
      </c>
      <c r="D123" s="78">
        <f t="shared" ref="D123:AN123" si="21">D78+D71</f>
        <v>0</v>
      </c>
      <c r="E123" s="78">
        <f t="shared" si="21"/>
        <v>0</v>
      </c>
      <c r="F123" s="78">
        <f t="shared" si="21"/>
        <v>0</v>
      </c>
      <c r="G123" s="78">
        <f t="shared" si="21"/>
        <v>0</v>
      </c>
      <c r="H123" s="78">
        <f t="shared" si="21"/>
        <v>0</v>
      </c>
      <c r="I123" s="78">
        <f t="shared" si="21"/>
        <v>0</v>
      </c>
      <c r="J123" s="78">
        <f t="shared" si="21"/>
        <v>0</v>
      </c>
      <c r="K123" s="78">
        <f t="shared" si="21"/>
        <v>0</v>
      </c>
      <c r="L123" s="78">
        <f t="shared" si="21"/>
        <v>0</v>
      </c>
      <c r="M123" s="78">
        <f t="shared" si="21"/>
        <v>0</v>
      </c>
      <c r="N123" s="78">
        <f t="shared" si="21"/>
        <v>0</v>
      </c>
      <c r="O123" s="78">
        <f t="shared" si="21"/>
        <v>0</v>
      </c>
      <c r="P123" s="78">
        <f t="shared" si="21"/>
        <v>0</v>
      </c>
      <c r="Q123" s="78">
        <f t="shared" si="21"/>
        <v>0</v>
      </c>
      <c r="R123" s="78">
        <f t="shared" si="21"/>
        <v>0</v>
      </c>
      <c r="S123" s="78">
        <f t="shared" si="21"/>
        <v>0</v>
      </c>
      <c r="T123" s="78">
        <f t="shared" si="21"/>
        <v>0</v>
      </c>
      <c r="U123" s="78">
        <f t="shared" si="21"/>
        <v>0</v>
      </c>
      <c r="V123" s="78">
        <f t="shared" si="21"/>
        <v>0</v>
      </c>
      <c r="W123" s="78">
        <f t="shared" si="21"/>
        <v>0</v>
      </c>
      <c r="X123" s="78">
        <f t="shared" si="21"/>
        <v>0</v>
      </c>
      <c r="Y123" s="78">
        <f t="shared" si="21"/>
        <v>0</v>
      </c>
      <c r="Z123" s="78">
        <f t="shared" si="21"/>
        <v>0</v>
      </c>
      <c r="AA123" s="78">
        <f t="shared" si="21"/>
        <v>0</v>
      </c>
      <c r="AB123" s="78">
        <f t="shared" si="21"/>
        <v>0</v>
      </c>
      <c r="AC123" s="78">
        <f t="shared" si="21"/>
        <v>0</v>
      </c>
      <c r="AD123" s="78">
        <f t="shared" si="21"/>
        <v>0</v>
      </c>
      <c r="AE123" s="78">
        <f>AE78+AE71</f>
        <v>0</v>
      </c>
      <c r="AF123" s="78">
        <f t="shared" si="21"/>
        <v>0</v>
      </c>
      <c r="AG123" s="89">
        <f t="shared" si="21"/>
        <v>0</v>
      </c>
      <c r="AH123" s="89">
        <f t="shared" si="21"/>
        <v>0</v>
      </c>
      <c r="AI123" s="89">
        <f t="shared" si="21"/>
        <v>0</v>
      </c>
      <c r="AJ123" s="89">
        <f t="shared" si="21"/>
        <v>0</v>
      </c>
      <c r="AK123" s="89">
        <f t="shared" si="21"/>
        <v>0</v>
      </c>
      <c r="AL123" s="89">
        <f t="shared" si="21"/>
        <v>0</v>
      </c>
      <c r="AM123" s="89">
        <f t="shared" si="21"/>
        <v>0</v>
      </c>
      <c r="AN123" s="89">
        <f t="shared" si="21"/>
        <v>0</v>
      </c>
    </row>
    <row r="124" spans="1:40">
      <c r="B124" s="64" t="s">
        <v>88</v>
      </c>
      <c r="C124" s="78">
        <f>C85+C92</f>
        <v>0</v>
      </c>
      <c r="D124" s="78">
        <f t="shared" ref="D124:AN124" si="22">D85+D92</f>
        <v>0</v>
      </c>
      <c r="E124" s="78">
        <f t="shared" si="22"/>
        <v>0</v>
      </c>
      <c r="F124" s="78">
        <f t="shared" si="22"/>
        <v>0</v>
      </c>
      <c r="G124" s="78">
        <f t="shared" si="22"/>
        <v>0</v>
      </c>
      <c r="H124" s="78">
        <f t="shared" si="22"/>
        <v>0</v>
      </c>
      <c r="I124" s="78">
        <f t="shared" si="22"/>
        <v>0</v>
      </c>
      <c r="J124" s="78">
        <f t="shared" si="22"/>
        <v>0</v>
      </c>
      <c r="K124" s="78">
        <f t="shared" si="22"/>
        <v>0</v>
      </c>
      <c r="L124" s="78">
        <f t="shared" si="22"/>
        <v>0</v>
      </c>
      <c r="M124" s="78">
        <f t="shared" si="22"/>
        <v>0</v>
      </c>
      <c r="N124" s="78">
        <f t="shared" si="22"/>
        <v>0</v>
      </c>
      <c r="O124" s="78">
        <f t="shared" si="22"/>
        <v>0</v>
      </c>
      <c r="P124" s="78">
        <f t="shared" si="22"/>
        <v>0</v>
      </c>
      <c r="Q124" s="78">
        <f t="shared" si="22"/>
        <v>0</v>
      </c>
      <c r="R124" s="78">
        <f t="shared" si="22"/>
        <v>0</v>
      </c>
      <c r="S124" s="78">
        <f t="shared" si="22"/>
        <v>0</v>
      </c>
      <c r="T124" s="78">
        <f t="shared" si="22"/>
        <v>0</v>
      </c>
      <c r="U124" s="78">
        <f t="shared" si="22"/>
        <v>0</v>
      </c>
      <c r="V124" s="78">
        <f t="shared" si="22"/>
        <v>0</v>
      </c>
      <c r="W124" s="78">
        <f t="shared" si="22"/>
        <v>0</v>
      </c>
      <c r="X124" s="78">
        <f t="shared" si="22"/>
        <v>0</v>
      </c>
      <c r="Y124" s="78">
        <f t="shared" si="22"/>
        <v>0</v>
      </c>
      <c r="Z124" s="78">
        <f t="shared" si="22"/>
        <v>0</v>
      </c>
      <c r="AA124" s="78">
        <f t="shared" si="22"/>
        <v>0</v>
      </c>
      <c r="AB124" s="78">
        <f t="shared" si="22"/>
        <v>0</v>
      </c>
      <c r="AC124" s="78">
        <f t="shared" si="22"/>
        <v>0</v>
      </c>
      <c r="AD124" s="78">
        <f t="shared" si="22"/>
        <v>0</v>
      </c>
      <c r="AE124" s="78">
        <f t="shared" si="22"/>
        <v>0</v>
      </c>
      <c r="AF124" s="78">
        <f t="shared" si="22"/>
        <v>0</v>
      </c>
      <c r="AG124" s="89">
        <f t="shared" si="22"/>
        <v>0</v>
      </c>
      <c r="AH124" s="89">
        <f t="shared" si="22"/>
        <v>0</v>
      </c>
      <c r="AI124" s="89">
        <f t="shared" si="22"/>
        <v>0</v>
      </c>
      <c r="AJ124" s="89">
        <f t="shared" si="22"/>
        <v>0</v>
      </c>
      <c r="AK124" s="89">
        <f t="shared" si="22"/>
        <v>0</v>
      </c>
      <c r="AL124" s="89">
        <f t="shared" si="22"/>
        <v>0</v>
      </c>
      <c r="AM124" s="89">
        <f t="shared" si="22"/>
        <v>0</v>
      </c>
      <c r="AN124" s="89">
        <f t="shared" si="22"/>
        <v>0</v>
      </c>
    </row>
    <row r="125" spans="1:40">
      <c r="B125" s="64" t="s">
        <v>89</v>
      </c>
      <c r="C125" s="78">
        <f>C99+C106</f>
        <v>0</v>
      </c>
      <c r="D125" s="78">
        <f t="shared" ref="D125:AN125" si="23">D99+D106</f>
        <v>0</v>
      </c>
      <c r="E125" s="78">
        <f t="shared" si="23"/>
        <v>0</v>
      </c>
      <c r="F125" s="78">
        <f t="shared" si="23"/>
        <v>0</v>
      </c>
      <c r="G125" s="78">
        <f t="shared" si="23"/>
        <v>0</v>
      </c>
      <c r="H125" s="78">
        <f t="shared" si="23"/>
        <v>0</v>
      </c>
      <c r="I125" s="78">
        <f t="shared" si="23"/>
        <v>0</v>
      </c>
      <c r="J125" s="78">
        <f t="shared" si="23"/>
        <v>0</v>
      </c>
      <c r="K125" s="78">
        <f t="shared" si="23"/>
        <v>0</v>
      </c>
      <c r="L125" s="78">
        <f t="shared" si="23"/>
        <v>0</v>
      </c>
      <c r="M125" s="78">
        <f t="shared" si="23"/>
        <v>0</v>
      </c>
      <c r="N125" s="78">
        <f t="shared" si="23"/>
        <v>0</v>
      </c>
      <c r="O125" s="78">
        <f t="shared" si="23"/>
        <v>0</v>
      </c>
      <c r="P125" s="78">
        <f t="shared" si="23"/>
        <v>0</v>
      </c>
      <c r="Q125" s="78">
        <f t="shared" si="23"/>
        <v>0</v>
      </c>
      <c r="R125" s="78">
        <f t="shared" si="23"/>
        <v>0</v>
      </c>
      <c r="S125" s="78">
        <f t="shared" si="23"/>
        <v>0</v>
      </c>
      <c r="T125" s="78">
        <f t="shared" si="23"/>
        <v>0</v>
      </c>
      <c r="U125" s="78">
        <f t="shared" si="23"/>
        <v>0</v>
      </c>
      <c r="V125" s="78">
        <f t="shared" si="23"/>
        <v>0</v>
      </c>
      <c r="W125" s="78">
        <f t="shared" si="23"/>
        <v>0</v>
      </c>
      <c r="X125" s="78">
        <f t="shared" si="23"/>
        <v>0</v>
      </c>
      <c r="Y125" s="78">
        <f t="shared" si="23"/>
        <v>0</v>
      </c>
      <c r="Z125" s="78">
        <f t="shared" si="23"/>
        <v>0</v>
      </c>
      <c r="AA125" s="78">
        <f t="shared" si="23"/>
        <v>0</v>
      </c>
      <c r="AB125" s="78">
        <f t="shared" si="23"/>
        <v>0</v>
      </c>
      <c r="AC125" s="78">
        <f t="shared" si="23"/>
        <v>0</v>
      </c>
      <c r="AD125" s="78">
        <f t="shared" si="23"/>
        <v>0</v>
      </c>
      <c r="AE125" s="78">
        <f t="shared" si="23"/>
        <v>0</v>
      </c>
      <c r="AF125" s="78">
        <f t="shared" si="23"/>
        <v>0</v>
      </c>
      <c r="AG125" s="89">
        <f t="shared" si="23"/>
        <v>0</v>
      </c>
      <c r="AH125" s="89">
        <f t="shared" si="23"/>
        <v>0</v>
      </c>
      <c r="AI125" s="89">
        <f t="shared" si="23"/>
        <v>0</v>
      </c>
      <c r="AJ125" s="89">
        <f t="shared" si="23"/>
        <v>0</v>
      </c>
      <c r="AK125" s="89">
        <f t="shared" si="23"/>
        <v>0</v>
      </c>
      <c r="AL125" s="89">
        <f t="shared" si="23"/>
        <v>0</v>
      </c>
      <c r="AM125" s="89">
        <f t="shared" si="23"/>
        <v>0</v>
      </c>
      <c r="AN125" s="89">
        <f t="shared" si="23"/>
        <v>0</v>
      </c>
    </row>
    <row r="126" spans="1:40">
      <c r="B126" s="64" t="s">
        <v>90</v>
      </c>
      <c r="C126" s="78">
        <f>C113</f>
        <v>0</v>
      </c>
      <c r="D126" s="78">
        <f t="shared" ref="D126:AN126" si="24">D113</f>
        <v>0</v>
      </c>
      <c r="E126" s="78">
        <f t="shared" si="24"/>
        <v>0</v>
      </c>
      <c r="F126" s="78">
        <f t="shared" si="24"/>
        <v>0</v>
      </c>
      <c r="G126" s="78">
        <f t="shared" si="24"/>
        <v>0</v>
      </c>
      <c r="H126" s="78">
        <f t="shared" si="24"/>
        <v>0</v>
      </c>
      <c r="I126" s="78">
        <f t="shared" si="24"/>
        <v>0</v>
      </c>
      <c r="J126" s="78">
        <f t="shared" si="24"/>
        <v>0</v>
      </c>
      <c r="K126" s="78">
        <f t="shared" si="24"/>
        <v>0</v>
      </c>
      <c r="L126" s="78">
        <f t="shared" si="24"/>
        <v>0</v>
      </c>
      <c r="M126" s="78">
        <f t="shared" si="24"/>
        <v>0</v>
      </c>
      <c r="N126" s="78">
        <f t="shared" si="24"/>
        <v>0</v>
      </c>
      <c r="O126" s="78">
        <f t="shared" si="24"/>
        <v>0</v>
      </c>
      <c r="P126" s="78">
        <f t="shared" si="24"/>
        <v>0</v>
      </c>
      <c r="Q126" s="78">
        <f t="shared" si="24"/>
        <v>0</v>
      </c>
      <c r="R126" s="78">
        <f t="shared" si="24"/>
        <v>0</v>
      </c>
      <c r="S126" s="78">
        <f t="shared" si="24"/>
        <v>0</v>
      </c>
      <c r="T126" s="78">
        <f t="shared" si="24"/>
        <v>0</v>
      </c>
      <c r="U126" s="78">
        <f t="shared" si="24"/>
        <v>0</v>
      </c>
      <c r="V126" s="78">
        <f t="shared" si="24"/>
        <v>0</v>
      </c>
      <c r="W126" s="78">
        <f t="shared" si="24"/>
        <v>0</v>
      </c>
      <c r="X126" s="78">
        <f t="shared" si="24"/>
        <v>0</v>
      </c>
      <c r="Y126" s="78">
        <f t="shared" si="24"/>
        <v>0</v>
      </c>
      <c r="Z126" s="78">
        <f t="shared" si="24"/>
        <v>0</v>
      </c>
      <c r="AA126" s="78">
        <f t="shared" si="24"/>
        <v>0</v>
      </c>
      <c r="AB126" s="78">
        <f t="shared" si="24"/>
        <v>0</v>
      </c>
      <c r="AC126" s="78">
        <f t="shared" si="24"/>
        <v>0</v>
      </c>
      <c r="AD126" s="78">
        <f t="shared" si="24"/>
        <v>0</v>
      </c>
      <c r="AE126" s="78">
        <f t="shared" si="24"/>
        <v>0</v>
      </c>
      <c r="AF126" s="78">
        <f t="shared" si="24"/>
        <v>0</v>
      </c>
      <c r="AG126" s="89">
        <f t="shared" si="24"/>
        <v>0</v>
      </c>
      <c r="AH126" s="89">
        <f t="shared" si="24"/>
        <v>0</v>
      </c>
      <c r="AI126" s="89">
        <f t="shared" si="24"/>
        <v>0</v>
      </c>
      <c r="AJ126" s="89">
        <f t="shared" si="24"/>
        <v>0</v>
      </c>
      <c r="AK126" s="89">
        <f t="shared" si="24"/>
        <v>0</v>
      </c>
      <c r="AL126" s="89">
        <f t="shared" si="24"/>
        <v>0</v>
      </c>
      <c r="AM126" s="89">
        <f t="shared" si="24"/>
        <v>0</v>
      </c>
      <c r="AN126" s="89">
        <f t="shared" si="24"/>
        <v>0</v>
      </c>
    </row>
    <row r="127" spans="1:40">
      <c r="B127" s="64" t="s">
        <v>91</v>
      </c>
      <c r="C127" s="78">
        <f t="shared" ref="C127:AD127" si="25">C19-SUM(C123:C126)</f>
        <v>2525</v>
      </c>
      <c r="D127" s="78">
        <f t="shared" si="25"/>
        <v>2373</v>
      </c>
      <c r="E127" s="78">
        <f t="shared" si="25"/>
        <v>2549</v>
      </c>
      <c r="F127" s="78">
        <f t="shared" si="25"/>
        <v>2737.28</v>
      </c>
      <c r="G127" s="78">
        <f t="shared" si="25"/>
        <v>2980.3809999999999</v>
      </c>
      <c r="H127" s="78">
        <f t="shared" si="25"/>
        <v>3257.8020000000001</v>
      </c>
      <c r="I127" s="78">
        <f t="shared" si="25"/>
        <v>2739.5419999999999</v>
      </c>
      <c r="J127" s="78">
        <f t="shared" si="25"/>
        <v>3678.7370000000001</v>
      </c>
      <c r="K127" s="78">
        <f t="shared" si="25"/>
        <v>4331.1367989999999</v>
      </c>
      <c r="L127" s="78">
        <f t="shared" si="25"/>
        <v>4397.5659999999998</v>
      </c>
      <c r="M127" s="78">
        <f t="shared" si="25"/>
        <v>4640.6530000000002</v>
      </c>
      <c r="N127" s="78">
        <f t="shared" si="25"/>
        <v>5775.259</v>
      </c>
      <c r="O127" s="78">
        <f t="shared" si="25"/>
        <v>7473.4449999999997</v>
      </c>
      <c r="P127" s="78">
        <f t="shared" si="25"/>
        <v>8028.6050000000005</v>
      </c>
      <c r="Q127" s="78">
        <f t="shared" si="25"/>
        <v>8299.92</v>
      </c>
      <c r="R127" s="78">
        <f t="shared" si="25"/>
        <v>8538.1450000000004</v>
      </c>
      <c r="S127" s="78">
        <f t="shared" si="25"/>
        <v>7959.8330000000005</v>
      </c>
      <c r="T127" s="78">
        <f t="shared" si="25"/>
        <v>7805.0480000000007</v>
      </c>
      <c r="U127" s="78">
        <f t="shared" si="25"/>
        <v>8192.898000000001</v>
      </c>
      <c r="V127" s="78">
        <f t="shared" si="25"/>
        <v>9056.2049999999999</v>
      </c>
      <c r="W127" s="78">
        <f t="shared" si="25"/>
        <v>9336.5689999999995</v>
      </c>
      <c r="X127" s="78">
        <f t="shared" si="25"/>
        <v>6942.5330000000004</v>
      </c>
      <c r="Y127" s="78">
        <f t="shared" si="25"/>
        <v>7209.1720000000005</v>
      </c>
      <c r="Z127" s="78">
        <f t="shared" si="25"/>
        <v>7249.473</v>
      </c>
      <c r="AA127" s="78">
        <f t="shared" si="25"/>
        <v>6838.2270000000008</v>
      </c>
      <c r="AB127" s="78">
        <f t="shared" si="25"/>
        <v>8807.7828759999993</v>
      </c>
      <c r="AC127" s="78">
        <f t="shared" si="25"/>
        <v>9084.1308360000003</v>
      </c>
      <c r="AD127" s="78">
        <f t="shared" si="25"/>
        <v>6900.1256819999999</v>
      </c>
      <c r="AE127" s="78"/>
      <c r="AF127" s="78"/>
      <c r="AG127" s="89"/>
      <c r="AH127" s="89"/>
      <c r="AI127" s="89"/>
      <c r="AJ127" s="89"/>
      <c r="AK127" s="89"/>
      <c r="AL127" s="89"/>
      <c r="AM127" s="89"/>
      <c r="AN127" s="89"/>
    </row>
    <row r="128" spans="1:40">
      <c r="B128" s="64" t="s">
        <v>92</v>
      </c>
      <c r="AE128" s="78">
        <f>AE19-SUM(AE123:AE126)</f>
        <v>6800.5717279999999</v>
      </c>
      <c r="AF128" s="78">
        <f>AF19-SUM(AF123:AF126)</f>
        <v>6355.2675419999996</v>
      </c>
      <c r="AG128" s="89">
        <f>AG19-SUM(AG123:AG126)</f>
        <v>6725.0713709999991</v>
      </c>
      <c r="AH128" s="89">
        <f t="shared" ref="AH128:AN128" si="26">AH19-SUM(AH123:AH126)</f>
        <v>6440</v>
      </c>
      <c r="AI128" s="89">
        <f t="shared" si="26"/>
        <v>6050</v>
      </c>
      <c r="AJ128" s="89">
        <f t="shared" si="26"/>
        <v>6075</v>
      </c>
      <c r="AK128" s="89">
        <f t="shared" si="26"/>
        <v>6150</v>
      </c>
      <c r="AL128" s="89">
        <f t="shared" si="26"/>
        <v>6225</v>
      </c>
      <c r="AM128" s="89">
        <f t="shared" si="26"/>
        <v>6250</v>
      </c>
      <c r="AN128" s="89">
        <f t="shared" si="26"/>
        <v>6300</v>
      </c>
    </row>
    <row r="131" spans="2:43">
      <c r="B131" s="64" t="s">
        <v>93</v>
      </c>
      <c r="C131" s="78">
        <f>'[3]EU Rapeseed'!B$37+'EU Palm Oil'!B9+'EU Palm Oil'!B22+'[2]EU Soy Complex'!AE$36+'[4]EU Sun Complex'!B$37</f>
        <v>852</v>
      </c>
      <c r="D131" s="78">
        <f>'[3]EU Rapeseed'!C$37+'EU Palm Oil'!C9+'EU Palm Oil'!C22+'[2]EU Soy Complex'!AF$36+'[4]EU Sun Complex'!C$37</f>
        <v>877</v>
      </c>
      <c r="E131" s="78">
        <f>'[3]EU Rapeseed'!D$37+'EU Palm Oil'!D9+'EU Palm Oil'!D22+'[2]EU Soy Complex'!AG$36+'[4]EU Sun Complex'!D$37</f>
        <v>944</v>
      </c>
      <c r="F131" s="78">
        <f>'[3]EU Rapeseed'!E$37+'EU Palm Oil'!E9+'EU Palm Oil'!E22+'[2]EU Soy Complex'!AH$36+'[4]EU Sun Complex'!E$37</f>
        <v>1040</v>
      </c>
      <c r="G131" s="78">
        <f>'[3]EU Rapeseed'!F$37+'EU Palm Oil'!F9+'EU Palm Oil'!F22+'[2]EU Soy Complex'!AI$36+'[4]EU Sun Complex'!F$37</f>
        <v>1001</v>
      </c>
      <c r="H131" s="78">
        <f>'[3]EU Rapeseed'!G$37+'EU Palm Oil'!G9+'EU Palm Oil'!G22+'[2]EU Soy Complex'!AJ$36+'[4]EU Sun Complex'!G$37</f>
        <v>1005</v>
      </c>
      <c r="I131" s="78">
        <f>'[3]EU Rapeseed'!H$37+'EU Palm Oil'!H9+'EU Palm Oil'!H22+'[2]EU Soy Complex'!AK$36+'[4]EU Sun Complex'!H$37</f>
        <v>1606</v>
      </c>
      <c r="J131" s="78">
        <f>'[3]EU Rapeseed'!I$37+'EU Palm Oil'!I9+'EU Palm Oil'!I22+'[2]EU Soy Complex'!AL$36+'[4]EU Sun Complex'!I$37</f>
        <v>1777</v>
      </c>
      <c r="K131" s="78">
        <f>'[3]EU Rapeseed'!J$37+'EU Palm Oil'!J9+'EU Palm Oil'!J22+'[2]EU Soy Complex'!AM$36+'[4]EU Sun Complex'!J$37</f>
        <v>1883</v>
      </c>
      <c r="L131" s="78">
        <f>'[3]EU Rapeseed'!K$37+'EU Palm Oil'!K9+'EU Palm Oil'!K22+'[2]EU Soy Complex'!AN$36+'[4]EU Sun Complex'!K$37</f>
        <v>2290</v>
      </c>
      <c r="M131" s="78">
        <f>'[3]EU Rapeseed'!L$37+'EU Palm Oil'!L9+'EU Palm Oil'!L22+'[2]EU Soy Complex'!AO$36+'[4]EU Sun Complex'!L$37</f>
        <v>3064</v>
      </c>
      <c r="N131" s="78">
        <f>'[3]EU Rapeseed'!M$37+'EU Palm Oil'!M9+'EU Palm Oil'!M22+'[2]EU Soy Complex'!AP$36+'[4]EU Sun Complex'!M$37</f>
        <v>4353</v>
      </c>
      <c r="O131" s="78">
        <f>'[3]EU Rapeseed'!N$37+'EU Palm Oil'!N9+'EU Palm Oil'!N22+'[2]EU Soy Complex'!AQ$36+'[4]EU Sun Complex'!N$37</f>
        <v>6402</v>
      </c>
      <c r="P131" s="78">
        <f>'[3]EU Rapeseed'!O$37+'EU Palm Oil'!O9+'EU Palm Oil'!O22+'[2]EU Soy Complex'!AR$36+'[4]EU Sun Complex'!O$37</f>
        <v>8069</v>
      </c>
      <c r="Q131" s="78">
        <f>'[3]EU Rapeseed'!P$37+'EU Palm Oil'!P9+'EU Palm Oil'!P22+'[2]EU Soy Complex'!AS$36+'[4]EU Sun Complex'!P$37</f>
        <v>8842</v>
      </c>
      <c r="R131" s="78">
        <f>'[3]EU Rapeseed'!Q$37+'EU Palm Oil'!Q9+'EU Palm Oil'!Q22+'[2]EU Soy Complex'!AT$36+'[4]EU Sun Complex'!Q$37</f>
        <v>10351</v>
      </c>
      <c r="S131" s="78">
        <f>'[3]EU Rapeseed'!R$37+'EU Palm Oil'!R9+'EU Palm Oil'!R22+'[2]EU Soy Complex'!AU$36+'[4]EU Sun Complex'!R$37</f>
        <v>11124</v>
      </c>
      <c r="T131" s="78">
        <f>'[3]EU Rapeseed'!S$37+'EU Palm Oil'!S9+'EU Palm Oil'!S22+'[2]EU Soy Complex'!AV$36+'[4]EU Sun Complex'!S$37</f>
        <v>10370</v>
      </c>
      <c r="U131" s="78">
        <f>'[3]EU Rapeseed'!T$37+'EU Palm Oil'!T9+'EU Palm Oil'!T22+'[2]EU Soy Complex'!AW$36+'[4]EU Sun Complex'!T$37</f>
        <v>10350</v>
      </c>
      <c r="V131" s="78">
        <f>'[3]EU Rapeseed'!U$37+'EU Palm Oil'!U9+'EU Palm Oil'!U22+'[2]EU Soy Complex'!AX$36+'[4]EU Sun Complex'!U$37</f>
        <v>11075</v>
      </c>
      <c r="W131" s="78">
        <f>'[3]EU Rapeseed'!V$37+'EU Palm Oil'!V9+'EU Palm Oil'!V22+'[2]EU Soy Complex'!AY$36+'[4]EU Sun Complex'!V$37</f>
        <v>11565</v>
      </c>
      <c r="X131" s="78">
        <f>'[3]EU Rapeseed'!W$37+'EU Palm Oil'!W9+'EU Palm Oil'!W22+'[2]EU Soy Complex'!AZ$36+'[4]EU Sun Complex'!W$37</f>
        <v>12045</v>
      </c>
      <c r="Y131" s="78">
        <f>'[3]EU Rapeseed'!X$37+'EU Palm Oil'!X9+'EU Palm Oil'!X22+'[2]EU Soy Complex'!BA$36+'[4]EU Sun Complex'!X$37</f>
        <v>12200</v>
      </c>
      <c r="Z131" s="78">
        <f>'[3]EU Rapeseed'!Y$37+'EU Palm Oil'!Y9+'EU Palm Oil'!Y22+'[2]EU Soy Complex'!BB$36+'[4]EU Sun Complex'!Y$37</f>
        <v>12100</v>
      </c>
      <c r="AA131" s="78">
        <f>'[3]EU Rapeseed'!Z$37+'EU Palm Oil'!Z9+'EU Palm Oil'!Z22+'[2]EU Soy Complex'!BC$36+'[4]EU Sun Complex'!Z$37</f>
        <v>12160</v>
      </c>
      <c r="AB131" s="78">
        <f>'[3]EU Rapeseed'!AA$37+'EU Palm Oil'!AA9+'EU Palm Oil'!AA22+'[2]EU Soy Complex'!BD$36+'[4]EU Sun Complex'!AA$37</f>
        <v>12585</v>
      </c>
      <c r="AC131" s="78">
        <f>'[3]EU Rapeseed'!AB$37+'EU Palm Oil'!AB9+'EU Palm Oil'!AB22+'[2]EU Soy Complex'!BE$36+'[4]EU Sun Complex'!AB$37</f>
        <v>12435</v>
      </c>
      <c r="AD131" s="78">
        <f>'[3]EU Rapeseed'!AC$37+'EU Palm Oil'!AC9+'EU Palm Oil'!AC22+'[2]EU Soy Complex'!BF$36+'[4]EU Sun Complex'!AC$37</f>
        <v>12420</v>
      </c>
      <c r="AE131" s="78">
        <f>'[3]EU Rapeseed'!AD$37+'EU Palm Oil'!AD9+'EU Palm Oil'!AD22+'[2]EU Soy Complex'!BG$36+'[4]EU Sun Complex'!AD$37</f>
        <v>11110</v>
      </c>
      <c r="AF131" s="78">
        <f>'[3]EU Rapeseed'!AE$37+'EU Palm Oil'!AE9+'EU Palm Oil'!AE22+'[2]EU Soy Complex'!BH$36+'[4]EU Sun Complex'!AE$37</f>
        <v>11160</v>
      </c>
      <c r="AG131" s="78">
        <f>'[3]EU Rapeseed'!AF$37+'EU Palm Oil'!AF9+'EU Palm Oil'!AF22+'[2]EU Soy Complex'!BI$36+'[4]EU Sun Complex'!AF$37</f>
        <v>11185</v>
      </c>
      <c r="AH131" s="78">
        <f>'[3]EU Rapeseed'!AG$37+'EU Palm Oil'!AG9+'EU Palm Oil'!AG22+'[2]EU Soy Complex'!BJ$36+'[4]EU Sun Complex'!AG$37</f>
        <v>10310</v>
      </c>
      <c r="AI131" s="78">
        <f>'[3]EU Rapeseed'!AH$37+'EU Palm Oil'!AH9+'EU Palm Oil'!AH22+'[2]EU Soy Complex'!BK$36+'[4]EU Sun Complex'!AH$37</f>
        <v>10335</v>
      </c>
      <c r="AJ131" s="78">
        <f>'[3]EU Rapeseed'!AI$37+'EU Palm Oil'!AI9+'EU Palm Oil'!AI22+'[2]EU Soy Complex'!BL$36+'[4]EU Sun Complex'!AI$37</f>
        <v>10810</v>
      </c>
      <c r="AK131" s="78">
        <f>'[3]EU Rapeseed'!AJ$37+'EU Palm Oil'!AJ9+'EU Palm Oil'!AJ22+'[2]EU Soy Complex'!BM$36+'[4]EU Sun Complex'!AJ$37</f>
        <v>10785</v>
      </c>
      <c r="AL131" s="78">
        <f>'[3]EU Rapeseed'!AK$37+'EU Palm Oil'!AK9+'EU Palm Oil'!AK22+'[2]EU Soy Complex'!BN$36+'[4]EU Sun Complex'!AK$37</f>
        <v>10760</v>
      </c>
      <c r="AM131" s="78">
        <f>'[3]EU Rapeseed'!AL$37+'EU Palm Oil'!AL9+'EU Palm Oil'!AL22+'[2]EU Soy Complex'!BO$36+'[4]EU Sun Complex'!AL$37</f>
        <v>10735</v>
      </c>
      <c r="AN131" s="78">
        <f>'[3]EU Rapeseed'!AM$37+'EU Palm Oil'!AM9+'EU Palm Oil'!AM22+'[2]EU Soy Complex'!BP$36+'[4]EU Sun Complex'!AM$37</f>
        <v>10710</v>
      </c>
    </row>
    <row r="132" spans="2:43">
      <c r="B132" s="64" t="s">
        <v>94</v>
      </c>
      <c r="C132" s="78">
        <f>C33-C131</f>
        <v>10415.354970856934</v>
      </c>
      <c r="D132" s="78">
        <f t="shared" ref="D132:AN132" si="27">D33-D131</f>
        <v>11076.608322957767</v>
      </c>
      <c r="E132" s="78">
        <f t="shared" si="27"/>
        <v>11691.624633142799</v>
      </c>
      <c r="F132" s="78">
        <f t="shared" si="27"/>
        <v>11129.985350273182</v>
      </c>
      <c r="G132" s="78">
        <f t="shared" si="27"/>
        <v>11799.710156317029</v>
      </c>
      <c r="H132" s="78">
        <f t="shared" si="27"/>
        <v>11983.456053930826</v>
      </c>
      <c r="I132" s="78">
        <f t="shared" si="27"/>
        <v>10919.342812000341</v>
      </c>
      <c r="J132" s="78">
        <f t="shared" si="27"/>
        <v>11910.408581929707</v>
      </c>
      <c r="K132" s="78">
        <f t="shared" si="27"/>
        <v>12248.970567255048</v>
      </c>
      <c r="L132" s="78">
        <f t="shared" si="27"/>
        <v>12033.048504278517</v>
      </c>
      <c r="M132" s="78">
        <f t="shared" si="27"/>
        <v>11694.426775255826</v>
      </c>
      <c r="N132" s="78">
        <f t="shared" si="27"/>
        <v>12422.932672378734</v>
      </c>
      <c r="O132" s="78">
        <f t="shared" si="27"/>
        <v>13322.177071417413</v>
      </c>
      <c r="P132" s="78">
        <f t="shared" si="27"/>
        <v>13135.383623059664</v>
      </c>
      <c r="Q132" s="78">
        <f t="shared" si="27"/>
        <v>13181.556409451819</v>
      </c>
      <c r="R132" s="78">
        <f t="shared" si="27"/>
        <v>13474.150735491359</v>
      </c>
      <c r="S132" s="78">
        <f t="shared" si="27"/>
        <v>13781.950892519548</v>
      </c>
      <c r="T132" s="78">
        <f t="shared" si="27"/>
        <v>13292.489383058335</v>
      </c>
      <c r="U132" s="78">
        <f t="shared" si="27"/>
        <v>13902.703825377823</v>
      </c>
      <c r="V132" s="78">
        <f t="shared" si="27"/>
        <v>14529.397000000001</v>
      </c>
      <c r="W132" s="78">
        <f t="shared" si="27"/>
        <v>15018.219786516853</v>
      </c>
      <c r="X132" s="78">
        <f t="shared" si="27"/>
        <v>13851.4215432526</v>
      </c>
      <c r="Y132" s="78">
        <f t="shared" si="27"/>
        <v>12941.922244147157</v>
      </c>
      <c r="Z132" s="78">
        <f t="shared" si="27"/>
        <v>13110.94055793291</v>
      </c>
      <c r="AA132" s="78">
        <f t="shared" si="27"/>
        <v>12134.238478025301</v>
      </c>
      <c r="AB132" s="78">
        <f t="shared" si="27"/>
        <v>12671.92111352213</v>
      </c>
      <c r="AC132" s="78">
        <f t="shared" si="27"/>
        <v>12482.737875331797</v>
      </c>
      <c r="AD132" s="78">
        <f t="shared" si="27"/>
        <v>13773.022413181516</v>
      </c>
      <c r="AE132" s="78">
        <f t="shared" si="27"/>
        <v>13404.001407470139</v>
      </c>
      <c r="AF132" s="78">
        <f t="shared" si="27"/>
        <v>13345.360422496829</v>
      </c>
      <c r="AG132" s="78">
        <f t="shared" si="27"/>
        <v>13973.152282127667</v>
      </c>
      <c r="AH132" s="78">
        <f t="shared" si="27"/>
        <v>15113.751428571435</v>
      </c>
      <c r="AI132" s="78">
        <f t="shared" si="27"/>
        <v>15560.631578947377</v>
      </c>
      <c r="AJ132" s="78">
        <f t="shared" si="27"/>
        <v>16159.833082706777</v>
      </c>
      <c r="AK132" s="78">
        <f t="shared" si="27"/>
        <v>17064.541353383465</v>
      </c>
      <c r="AL132" s="78">
        <f t="shared" si="27"/>
        <v>17586.249624060158</v>
      </c>
      <c r="AM132" s="78">
        <f t="shared" si="27"/>
        <v>18533.957894736857</v>
      </c>
      <c r="AN132" s="78">
        <f t="shared" si="27"/>
        <v>19203.666165413553</v>
      </c>
      <c r="AO132" s="78"/>
      <c r="AP132" s="78"/>
      <c r="AQ132" s="7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95A15-A4F3-44DD-8219-EAB9274096FF}">
  <dimension ref="A1:AM97"/>
  <sheetViews>
    <sheetView workbookViewId="0">
      <pane xSplit="1" ySplit="3" topLeftCell="B10" activePane="bottomRight" state="frozen"/>
      <selection activeCell="X71" sqref="X71:AM72"/>
      <selection pane="topRight" activeCell="X71" sqref="X71:AM72"/>
      <selection pane="bottomLeft" activeCell="X71" sqref="X71:AM72"/>
      <selection pane="bottomRight" activeCell="X71" sqref="X71:AM72"/>
    </sheetView>
  </sheetViews>
  <sheetFormatPr defaultColWidth="8.875" defaultRowHeight="15.75"/>
  <cols>
    <col min="1" max="1" width="28.125" customWidth="1"/>
    <col min="2" max="27" width="8.875" customWidth="1"/>
    <col min="32" max="39" width="8.875" style="91"/>
  </cols>
  <sheetData>
    <row r="1" spans="1:39" ht="16.5" thickBot="1">
      <c r="A1" s="90" t="s">
        <v>95</v>
      </c>
    </row>
    <row r="2" spans="1:39" ht="16.5" thickBot="1">
      <c r="A2" s="92"/>
      <c r="B2" s="93" t="s">
        <v>2</v>
      </c>
      <c r="C2" s="94" t="s">
        <v>3</v>
      </c>
      <c r="D2" s="93" t="s">
        <v>4</v>
      </c>
      <c r="E2" s="94" t="s">
        <v>5</v>
      </c>
      <c r="F2" s="93" t="s">
        <v>6</v>
      </c>
      <c r="G2" s="94" t="s">
        <v>7</v>
      </c>
      <c r="H2" s="93" t="s">
        <v>8</v>
      </c>
      <c r="I2" s="94" t="s">
        <v>9</v>
      </c>
      <c r="J2" s="93" t="s">
        <v>10</v>
      </c>
      <c r="K2" s="94" t="s">
        <v>11</v>
      </c>
      <c r="L2" s="93" t="s">
        <v>12</v>
      </c>
      <c r="M2" s="94" t="s">
        <v>13</v>
      </c>
      <c r="N2" s="93" t="s">
        <v>14</v>
      </c>
      <c r="O2" s="94" t="s">
        <v>15</v>
      </c>
      <c r="P2" s="93" t="s">
        <v>16</v>
      </c>
      <c r="Q2" s="94" t="s">
        <v>17</v>
      </c>
      <c r="R2" s="93" t="s">
        <v>18</v>
      </c>
      <c r="S2" s="94" t="s">
        <v>19</v>
      </c>
      <c r="T2" s="93" t="s">
        <v>20</v>
      </c>
      <c r="U2" s="94" t="s">
        <v>21</v>
      </c>
      <c r="V2" s="93" t="s">
        <v>22</v>
      </c>
      <c r="W2" s="94" t="s">
        <v>23</v>
      </c>
      <c r="X2" s="93" t="s">
        <v>24</v>
      </c>
      <c r="Y2" s="94" t="s">
        <v>25</v>
      </c>
      <c r="Z2" s="93" t="s">
        <v>26</v>
      </c>
      <c r="AA2" s="94" t="s">
        <v>27</v>
      </c>
      <c r="AB2" s="94" t="s">
        <v>60</v>
      </c>
      <c r="AC2" s="94" t="s">
        <v>61</v>
      </c>
      <c r="AD2" s="94" t="s">
        <v>30</v>
      </c>
      <c r="AE2" s="94" t="s">
        <v>31</v>
      </c>
      <c r="AF2" s="94" t="s">
        <v>32</v>
      </c>
      <c r="AG2" s="94" t="s">
        <v>96</v>
      </c>
      <c r="AH2" s="94" t="s">
        <v>97</v>
      </c>
      <c r="AI2" s="94" t="s">
        <v>98</v>
      </c>
      <c r="AJ2" s="94" t="s">
        <v>99</v>
      </c>
      <c r="AK2" s="94" t="s">
        <v>100</v>
      </c>
      <c r="AL2" s="94" t="s">
        <v>101</v>
      </c>
      <c r="AM2" s="94" t="s">
        <v>102</v>
      </c>
    </row>
    <row r="3" spans="1:39">
      <c r="A3" s="90" t="s">
        <v>103</v>
      </c>
    </row>
    <row r="4" spans="1:39">
      <c r="A4" s="95" t="s">
        <v>104</v>
      </c>
      <c r="B4" s="96">
        <v>105</v>
      </c>
      <c r="C4" s="96">
        <f>B14</f>
        <v>129</v>
      </c>
      <c r="D4" s="96">
        <f t="shared" ref="D4:AE4" si="0">C14</f>
        <v>133</v>
      </c>
      <c r="E4" s="96">
        <f t="shared" si="0"/>
        <v>135</v>
      </c>
      <c r="F4" s="96">
        <f t="shared" si="0"/>
        <v>161</v>
      </c>
      <c r="G4" s="96">
        <f t="shared" si="0"/>
        <v>166</v>
      </c>
      <c r="H4" s="96">
        <f t="shared" si="0"/>
        <v>175</v>
      </c>
      <c r="I4" s="96">
        <f t="shared" si="0"/>
        <v>179</v>
      </c>
      <c r="J4" s="96">
        <f t="shared" si="0"/>
        <v>220</v>
      </c>
      <c r="K4" s="96">
        <f t="shared" si="0"/>
        <v>231</v>
      </c>
      <c r="L4" s="96">
        <f t="shared" si="0"/>
        <v>264</v>
      </c>
      <c r="M4" s="96">
        <f t="shared" si="0"/>
        <v>285</v>
      </c>
      <c r="N4" s="96">
        <f t="shared" si="0"/>
        <v>340</v>
      </c>
      <c r="O4" s="96">
        <f t="shared" si="0"/>
        <v>414</v>
      </c>
      <c r="P4" s="96">
        <f t="shared" si="0"/>
        <v>373</v>
      </c>
      <c r="Q4" s="96">
        <f t="shared" si="0"/>
        <v>449</v>
      </c>
      <c r="R4" s="96">
        <f t="shared" si="0"/>
        <v>586</v>
      </c>
      <c r="S4" s="96">
        <f t="shared" si="0"/>
        <v>664</v>
      </c>
      <c r="T4" s="96">
        <f t="shared" si="0"/>
        <v>658</v>
      </c>
      <c r="U4" s="96">
        <f t="shared" si="0"/>
        <v>646</v>
      </c>
      <c r="V4" s="96">
        <f t="shared" si="0"/>
        <v>573</v>
      </c>
      <c r="W4" s="96">
        <f t="shared" si="0"/>
        <v>630</v>
      </c>
      <c r="X4" s="96">
        <f t="shared" si="0"/>
        <v>556</v>
      </c>
      <c r="Y4" s="96">
        <f t="shared" si="0"/>
        <v>425</v>
      </c>
      <c r="Z4" s="96">
        <f t="shared" si="0"/>
        <v>498</v>
      </c>
      <c r="AA4" s="96">
        <f t="shared" si="0"/>
        <v>496</v>
      </c>
      <c r="AB4" s="96">
        <f t="shared" si="0"/>
        <v>752</v>
      </c>
      <c r="AC4" s="96">
        <f t="shared" si="0"/>
        <v>1137</v>
      </c>
      <c r="AD4" s="96">
        <f t="shared" si="0"/>
        <v>568</v>
      </c>
      <c r="AE4" s="96">
        <f t="shared" si="0"/>
        <v>559</v>
      </c>
      <c r="AF4" s="96">
        <f>AE14</f>
        <v>610</v>
      </c>
      <c r="AG4" s="96">
        <f>AF14</f>
        <v>462</v>
      </c>
      <c r="AH4" s="97">
        <f t="shared" ref="AH4:AM4" si="1">AG14</f>
        <v>450</v>
      </c>
      <c r="AI4" s="97">
        <f t="shared" si="1"/>
        <v>450</v>
      </c>
      <c r="AJ4" s="97">
        <f t="shared" si="1"/>
        <v>450</v>
      </c>
      <c r="AK4" s="97">
        <f t="shared" si="1"/>
        <v>450</v>
      </c>
      <c r="AL4" s="97">
        <f t="shared" si="1"/>
        <v>450</v>
      </c>
      <c r="AM4" s="97">
        <f t="shared" si="1"/>
        <v>450</v>
      </c>
    </row>
    <row r="5" spans="1:39">
      <c r="A5" s="90" t="s">
        <v>105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Z5" s="98">
        <v>0</v>
      </c>
      <c r="AA5" s="98">
        <v>0</v>
      </c>
      <c r="AB5" s="98">
        <v>0</v>
      </c>
      <c r="AC5" s="98">
        <v>0</v>
      </c>
      <c r="AD5" s="98">
        <v>0</v>
      </c>
      <c r="AE5" s="98">
        <v>0</v>
      </c>
      <c r="AF5" s="98">
        <v>0</v>
      </c>
      <c r="AG5" s="99">
        <v>0</v>
      </c>
      <c r="AH5" s="99">
        <v>0</v>
      </c>
      <c r="AI5" s="99">
        <v>0</v>
      </c>
      <c r="AJ5" s="99">
        <v>0</v>
      </c>
      <c r="AK5" s="99">
        <v>0</v>
      </c>
      <c r="AL5" s="99">
        <v>0</v>
      </c>
      <c r="AM5" s="99">
        <v>0</v>
      </c>
    </row>
    <row r="6" spans="1:39">
      <c r="A6" s="90" t="s">
        <v>106</v>
      </c>
      <c r="B6" s="98">
        <v>1784</v>
      </c>
      <c r="C6" s="98">
        <v>1770</v>
      </c>
      <c r="D6" s="98">
        <v>1922</v>
      </c>
      <c r="E6" s="98">
        <v>2087</v>
      </c>
      <c r="F6" s="98">
        <v>2224</v>
      </c>
      <c r="G6" s="98">
        <v>2314</v>
      </c>
      <c r="H6" s="98">
        <v>2078</v>
      </c>
      <c r="I6" s="98">
        <v>2885</v>
      </c>
      <c r="J6" s="98">
        <v>2978</v>
      </c>
      <c r="K6" s="98">
        <v>3006</v>
      </c>
      <c r="L6" s="98">
        <v>3411</v>
      </c>
      <c r="M6" s="98">
        <v>4031</v>
      </c>
      <c r="N6" s="98">
        <v>4276</v>
      </c>
      <c r="O6" s="98">
        <v>4339</v>
      </c>
      <c r="P6" s="98">
        <v>4967</v>
      </c>
      <c r="Q6" s="98">
        <v>5509</v>
      </c>
      <c r="R6" s="98">
        <v>5442</v>
      </c>
      <c r="S6" s="98">
        <v>4944</v>
      </c>
      <c r="T6" s="98">
        <v>5707</v>
      </c>
      <c r="U6" s="98">
        <v>6812</v>
      </c>
      <c r="V6" s="98">
        <v>6969</v>
      </c>
      <c r="W6" s="98">
        <f t="shared" ref="W6:AF6" si="2">W48</f>
        <v>4896.7660000000005</v>
      </c>
      <c r="X6" s="98">
        <f t="shared" si="2"/>
        <v>4537.1570000000002</v>
      </c>
      <c r="Y6" s="98">
        <f t="shared" si="2"/>
        <v>4203.62</v>
      </c>
      <c r="Z6" s="98">
        <f t="shared" si="2"/>
        <v>3878.7870000000003</v>
      </c>
      <c r="AA6" s="98">
        <f t="shared" si="2"/>
        <v>5288.4959999999992</v>
      </c>
      <c r="AB6" s="98">
        <f t="shared" si="2"/>
        <v>5131.2879999999996</v>
      </c>
      <c r="AC6" s="98">
        <f t="shared" si="2"/>
        <v>3812.018</v>
      </c>
      <c r="AD6" s="98">
        <f t="shared" si="2"/>
        <v>3096.2420000000002</v>
      </c>
      <c r="AE6" s="98">
        <f t="shared" si="2"/>
        <v>2627.8470000000002</v>
      </c>
      <c r="AF6" s="98">
        <f t="shared" si="2"/>
        <v>2300.049</v>
      </c>
      <c r="AG6" s="99">
        <v>2100</v>
      </c>
      <c r="AH6" s="99">
        <v>2050</v>
      </c>
      <c r="AI6" s="99">
        <v>2000</v>
      </c>
      <c r="AJ6" s="99">
        <v>1950</v>
      </c>
      <c r="AK6" s="99">
        <v>1900</v>
      </c>
      <c r="AL6" s="99">
        <v>1850</v>
      </c>
      <c r="AM6" s="99">
        <v>1800</v>
      </c>
    </row>
    <row r="7" spans="1:39">
      <c r="A7" s="95" t="s">
        <v>107</v>
      </c>
      <c r="B7" s="96">
        <f>SUM(B4:B6)</f>
        <v>1889</v>
      </c>
      <c r="C7" s="96">
        <f t="shared" ref="C7:AM7" si="3">SUM(C4:C6)</f>
        <v>1899</v>
      </c>
      <c r="D7" s="96">
        <f t="shared" si="3"/>
        <v>2055</v>
      </c>
      <c r="E7" s="96">
        <f t="shared" si="3"/>
        <v>2222</v>
      </c>
      <c r="F7" s="96">
        <f t="shared" si="3"/>
        <v>2385</v>
      </c>
      <c r="G7" s="96">
        <f t="shared" si="3"/>
        <v>2480</v>
      </c>
      <c r="H7" s="96">
        <f t="shared" si="3"/>
        <v>2253</v>
      </c>
      <c r="I7" s="96">
        <f t="shared" si="3"/>
        <v>3064</v>
      </c>
      <c r="J7" s="96">
        <f t="shared" si="3"/>
        <v>3198</v>
      </c>
      <c r="K7" s="96">
        <f t="shared" si="3"/>
        <v>3237</v>
      </c>
      <c r="L7" s="96">
        <f t="shared" si="3"/>
        <v>3675</v>
      </c>
      <c r="M7" s="96">
        <f t="shared" si="3"/>
        <v>4316</v>
      </c>
      <c r="N7" s="96">
        <f t="shared" si="3"/>
        <v>4616</v>
      </c>
      <c r="O7" s="96">
        <f t="shared" si="3"/>
        <v>4753</v>
      </c>
      <c r="P7" s="96">
        <f t="shared" si="3"/>
        <v>5340</v>
      </c>
      <c r="Q7" s="96">
        <f t="shared" si="3"/>
        <v>5958</v>
      </c>
      <c r="R7" s="96">
        <f t="shared" si="3"/>
        <v>6028</v>
      </c>
      <c r="S7" s="96">
        <f t="shared" si="3"/>
        <v>5608</v>
      </c>
      <c r="T7" s="96">
        <f t="shared" si="3"/>
        <v>6365</v>
      </c>
      <c r="U7" s="96">
        <f t="shared" si="3"/>
        <v>7458</v>
      </c>
      <c r="V7" s="96">
        <f t="shared" si="3"/>
        <v>7542</v>
      </c>
      <c r="W7" s="96">
        <f t="shared" si="3"/>
        <v>5526.7660000000005</v>
      </c>
      <c r="X7" s="96">
        <f t="shared" si="3"/>
        <v>5093.1570000000002</v>
      </c>
      <c r="Y7" s="96">
        <f t="shared" si="3"/>
        <v>4628.62</v>
      </c>
      <c r="Z7" s="96">
        <f t="shared" si="3"/>
        <v>4376.7870000000003</v>
      </c>
      <c r="AA7" s="96">
        <f t="shared" si="3"/>
        <v>5784.4959999999992</v>
      </c>
      <c r="AB7" s="96">
        <f t="shared" si="3"/>
        <v>5883.2879999999996</v>
      </c>
      <c r="AC7" s="96">
        <f t="shared" si="3"/>
        <v>4949.018</v>
      </c>
      <c r="AD7" s="96">
        <f t="shared" si="3"/>
        <v>3664.2420000000002</v>
      </c>
      <c r="AE7" s="96">
        <f t="shared" si="3"/>
        <v>3186.8470000000002</v>
      </c>
      <c r="AF7" s="96">
        <f t="shared" si="3"/>
        <v>2910.049</v>
      </c>
      <c r="AG7" s="97">
        <f t="shared" si="3"/>
        <v>2562</v>
      </c>
      <c r="AH7" s="97">
        <f t="shared" si="3"/>
        <v>2500</v>
      </c>
      <c r="AI7" s="97">
        <f t="shared" si="3"/>
        <v>2450</v>
      </c>
      <c r="AJ7" s="97">
        <f t="shared" si="3"/>
        <v>2400</v>
      </c>
      <c r="AK7" s="97">
        <f t="shared" si="3"/>
        <v>2350</v>
      </c>
      <c r="AL7" s="97">
        <f t="shared" si="3"/>
        <v>2300</v>
      </c>
      <c r="AM7" s="97">
        <f t="shared" si="3"/>
        <v>2250</v>
      </c>
    </row>
    <row r="8" spans="1:39">
      <c r="A8" s="90" t="s">
        <v>108</v>
      </c>
      <c r="B8" s="98">
        <f>B9+B10+B11</f>
        <v>1697</v>
      </c>
      <c r="C8" s="98">
        <f t="shared" ref="C8:V8" si="4">C9+C10+C11</f>
        <v>1712</v>
      </c>
      <c r="D8" s="98">
        <f t="shared" si="4"/>
        <v>1868</v>
      </c>
      <c r="E8" s="98">
        <f t="shared" si="4"/>
        <v>1970</v>
      </c>
      <c r="F8" s="98">
        <f t="shared" si="4"/>
        <v>2134</v>
      </c>
      <c r="G8" s="98">
        <f t="shared" si="4"/>
        <v>2211</v>
      </c>
      <c r="H8" s="98">
        <f t="shared" si="4"/>
        <v>2019</v>
      </c>
      <c r="I8" s="98">
        <f t="shared" si="4"/>
        <v>2790</v>
      </c>
      <c r="J8" s="98">
        <f t="shared" si="4"/>
        <v>2921</v>
      </c>
      <c r="K8" s="98">
        <f t="shared" si="4"/>
        <v>2918</v>
      </c>
      <c r="L8" s="98">
        <f t="shared" si="4"/>
        <v>3322</v>
      </c>
      <c r="M8" s="98">
        <f t="shared" si="4"/>
        <v>3874</v>
      </c>
      <c r="N8" s="98">
        <f t="shared" si="4"/>
        <v>4110</v>
      </c>
      <c r="O8" s="98">
        <f t="shared" si="4"/>
        <v>4218</v>
      </c>
      <c r="P8" s="98">
        <f t="shared" si="4"/>
        <v>4757</v>
      </c>
      <c r="Q8" s="98">
        <f t="shared" si="4"/>
        <v>5241</v>
      </c>
      <c r="R8" s="98">
        <f t="shared" si="4"/>
        <v>5220</v>
      </c>
      <c r="S8" s="98">
        <f t="shared" si="4"/>
        <v>4750</v>
      </c>
      <c r="T8" s="98">
        <f t="shared" si="4"/>
        <v>5550</v>
      </c>
      <c r="U8" s="98">
        <f t="shared" si="4"/>
        <v>6750</v>
      </c>
      <c r="V8" s="98">
        <f t="shared" si="4"/>
        <v>6750</v>
      </c>
      <c r="W8" s="98">
        <f>W13-W12</f>
        <v>4965.5350000000008</v>
      </c>
      <c r="X8" s="98">
        <f t="shared" ref="X8:AF8" si="5">X13-X12</f>
        <v>4661.0410000000002</v>
      </c>
      <c r="Y8" s="98">
        <f t="shared" si="5"/>
        <v>4116.415</v>
      </c>
      <c r="Z8" s="98">
        <f t="shared" si="5"/>
        <v>3868.7880000000005</v>
      </c>
      <c r="AA8" s="98">
        <f t="shared" si="5"/>
        <v>5025.8839999999991</v>
      </c>
      <c r="AB8" s="98">
        <f t="shared" si="5"/>
        <v>4736.4019999999991</v>
      </c>
      <c r="AC8" s="98">
        <f t="shared" si="5"/>
        <v>4369.3760000000002</v>
      </c>
      <c r="AD8" s="98">
        <f t="shared" si="5"/>
        <v>3093.4610000000002</v>
      </c>
      <c r="AE8" s="98">
        <f t="shared" si="5"/>
        <v>2559.8340000000003</v>
      </c>
      <c r="AF8" s="98">
        <f t="shared" si="5"/>
        <v>2433.134</v>
      </c>
      <c r="AG8" s="99">
        <f>AG13-AG12</f>
        <v>2099.5</v>
      </c>
      <c r="AH8" s="99">
        <f t="shared" ref="AH8:AM8" si="6">AH13-AH12</f>
        <v>2040</v>
      </c>
      <c r="AI8" s="99">
        <f t="shared" si="6"/>
        <v>1990</v>
      </c>
      <c r="AJ8" s="99">
        <f t="shared" si="6"/>
        <v>1940</v>
      </c>
      <c r="AK8" s="99">
        <f t="shared" si="6"/>
        <v>1890</v>
      </c>
      <c r="AL8" s="99">
        <f t="shared" si="6"/>
        <v>1840</v>
      </c>
      <c r="AM8" s="99">
        <f t="shared" si="6"/>
        <v>1790</v>
      </c>
    </row>
    <row r="9" spans="1:39">
      <c r="A9" s="90" t="s">
        <v>109</v>
      </c>
      <c r="B9" s="98">
        <v>392</v>
      </c>
      <c r="C9" s="98">
        <v>370</v>
      </c>
      <c r="D9" s="98">
        <v>420</v>
      </c>
      <c r="E9" s="98">
        <v>456</v>
      </c>
      <c r="F9" s="98">
        <v>473</v>
      </c>
      <c r="G9" s="98">
        <v>474</v>
      </c>
      <c r="H9" s="98">
        <v>238</v>
      </c>
      <c r="I9" s="98">
        <v>271</v>
      </c>
      <c r="J9" s="98">
        <v>293</v>
      </c>
      <c r="K9" s="98">
        <v>467</v>
      </c>
      <c r="L9" s="98">
        <v>634</v>
      </c>
      <c r="M9" s="98">
        <v>993</v>
      </c>
      <c r="N9" s="98">
        <v>1224</v>
      </c>
      <c r="O9" s="98">
        <v>1362</v>
      </c>
      <c r="P9" s="98">
        <v>1777</v>
      </c>
      <c r="Q9" s="98">
        <v>2210</v>
      </c>
      <c r="R9" s="98">
        <v>2200</v>
      </c>
      <c r="S9" s="98">
        <v>1700</v>
      </c>
      <c r="T9" s="98">
        <v>2400</v>
      </c>
      <c r="U9" s="98">
        <v>3200</v>
      </c>
      <c r="V9" s="98">
        <v>3250</v>
      </c>
      <c r="W9" s="98">
        <v>3400</v>
      </c>
      <c r="X9" s="98">
        <v>3400</v>
      </c>
      <c r="Y9" s="98">
        <v>3400</v>
      </c>
      <c r="Z9" s="98">
        <v>3450</v>
      </c>
      <c r="AA9" s="98">
        <v>4000</v>
      </c>
      <c r="AB9" s="98">
        <v>3900</v>
      </c>
      <c r="AC9" s="98">
        <v>3860</v>
      </c>
      <c r="AD9" s="98">
        <v>2600</v>
      </c>
      <c r="AE9" s="98">
        <v>2200</v>
      </c>
      <c r="AF9" s="98">
        <v>2100</v>
      </c>
      <c r="AG9" s="99">
        <v>1775</v>
      </c>
      <c r="AH9" s="99">
        <v>1750</v>
      </c>
      <c r="AI9" s="99">
        <v>1725</v>
      </c>
      <c r="AJ9" s="99">
        <v>1700</v>
      </c>
      <c r="AK9" s="99">
        <v>1675</v>
      </c>
      <c r="AL9" s="99">
        <v>1650</v>
      </c>
      <c r="AM9" s="99">
        <v>1625</v>
      </c>
    </row>
    <row r="10" spans="1:39">
      <c r="A10" s="90" t="s">
        <v>110</v>
      </c>
      <c r="B10" s="98">
        <v>1300</v>
      </c>
      <c r="C10" s="98">
        <v>1337</v>
      </c>
      <c r="D10" s="98">
        <v>1443</v>
      </c>
      <c r="E10" s="98">
        <v>1509</v>
      </c>
      <c r="F10" s="98">
        <v>1656</v>
      </c>
      <c r="G10" s="98">
        <v>1732</v>
      </c>
      <c r="H10" s="98">
        <v>1748</v>
      </c>
      <c r="I10" s="98">
        <v>2301</v>
      </c>
      <c r="J10" s="98">
        <v>2381</v>
      </c>
      <c r="K10" s="98">
        <v>2193</v>
      </c>
      <c r="L10" s="98">
        <v>2428</v>
      </c>
      <c r="M10" s="98">
        <v>2620</v>
      </c>
      <c r="N10" s="98">
        <v>2646</v>
      </c>
      <c r="O10" s="98">
        <v>2656</v>
      </c>
      <c r="P10" s="98">
        <v>2720</v>
      </c>
      <c r="Q10" s="98">
        <v>2750</v>
      </c>
      <c r="R10" s="98">
        <v>2750</v>
      </c>
      <c r="S10" s="98">
        <v>2800</v>
      </c>
      <c r="T10" s="98">
        <v>2900</v>
      </c>
      <c r="U10" s="98">
        <v>3300</v>
      </c>
      <c r="V10" s="98">
        <v>3250</v>
      </c>
      <c r="W10" s="98">
        <v>1300</v>
      </c>
      <c r="X10" s="98">
        <v>1000</v>
      </c>
      <c r="Y10" s="98">
        <v>500</v>
      </c>
      <c r="Z10" s="98">
        <v>200</v>
      </c>
      <c r="AA10" s="98">
        <v>800</v>
      </c>
      <c r="AB10" s="98">
        <v>600</v>
      </c>
      <c r="AC10" s="98">
        <v>300</v>
      </c>
      <c r="AD10" s="98">
        <v>200</v>
      </c>
      <c r="AE10" s="98">
        <v>150</v>
      </c>
      <c r="AF10" s="98">
        <v>130</v>
      </c>
      <c r="AG10" s="99">
        <v>125</v>
      </c>
      <c r="AH10" s="99">
        <v>120</v>
      </c>
      <c r="AI10" s="99">
        <v>115</v>
      </c>
      <c r="AJ10" s="99">
        <v>110</v>
      </c>
      <c r="AK10" s="99">
        <v>105</v>
      </c>
      <c r="AL10" s="99">
        <v>100</v>
      </c>
      <c r="AM10" s="99">
        <v>95</v>
      </c>
    </row>
    <row r="11" spans="1:39">
      <c r="A11" s="90" t="s">
        <v>111</v>
      </c>
      <c r="B11" s="98">
        <v>5</v>
      </c>
      <c r="C11" s="98">
        <v>5</v>
      </c>
      <c r="D11" s="98">
        <v>5</v>
      </c>
      <c r="E11" s="98">
        <v>5</v>
      </c>
      <c r="F11" s="98">
        <v>5</v>
      </c>
      <c r="G11" s="98">
        <v>5</v>
      </c>
      <c r="H11" s="98">
        <v>33</v>
      </c>
      <c r="I11" s="98">
        <v>218</v>
      </c>
      <c r="J11" s="98">
        <v>247</v>
      </c>
      <c r="K11" s="98">
        <v>258</v>
      </c>
      <c r="L11" s="98">
        <v>260</v>
      </c>
      <c r="M11" s="98">
        <v>261</v>
      </c>
      <c r="N11" s="98">
        <v>240</v>
      </c>
      <c r="O11" s="98">
        <v>200</v>
      </c>
      <c r="P11" s="98">
        <v>260</v>
      </c>
      <c r="Q11" s="98">
        <v>281</v>
      </c>
      <c r="R11" s="98">
        <v>270</v>
      </c>
      <c r="S11" s="98">
        <v>250</v>
      </c>
      <c r="T11" s="98">
        <v>250</v>
      </c>
      <c r="U11" s="98">
        <v>250</v>
      </c>
      <c r="V11" s="98">
        <v>250</v>
      </c>
      <c r="W11" s="98">
        <f>W8-W9-W10</f>
        <v>265.53500000000076</v>
      </c>
      <c r="X11" s="98">
        <f t="shared" ref="X11:AF11" si="7">X8-X9-X10</f>
        <v>261.04100000000017</v>
      </c>
      <c r="Y11" s="98">
        <f t="shared" si="7"/>
        <v>216.41499999999996</v>
      </c>
      <c r="Z11" s="98">
        <f t="shared" si="7"/>
        <v>218.78800000000047</v>
      </c>
      <c r="AA11" s="98">
        <f t="shared" si="7"/>
        <v>225.88399999999911</v>
      </c>
      <c r="AB11" s="98">
        <f t="shared" si="7"/>
        <v>236.40199999999913</v>
      </c>
      <c r="AC11" s="98">
        <f t="shared" si="7"/>
        <v>209.3760000000002</v>
      </c>
      <c r="AD11" s="98">
        <f t="shared" si="7"/>
        <v>293.46100000000024</v>
      </c>
      <c r="AE11" s="98">
        <f t="shared" si="7"/>
        <v>209.83400000000029</v>
      </c>
      <c r="AF11" s="98">
        <f t="shared" si="7"/>
        <v>203.13400000000001</v>
      </c>
      <c r="AG11" s="99">
        <f>AG8-AG9-AG10</f>
        <v>199.5</v>
      </c>
      <c r="AH11" s="99">
        <f t="shared" ref="AH11:AM11" si="8">AH8-AH9-AH10</f>
        <v>170</v>
      </c>
      <c r="AI11" s="99">
        <f t="shared" si="8"/>
        <v>150</v>
      </c>
      <c r="AJ11" s="99">
        <f t="shared" si="8"/>
        <v>130</v>
      </c>
      <c r="AK11" s="99">
        <f t="shared" si="8"/>
        <v>110</v>
      </c>
      <c r="AL11" s="99">
        <f t="shared" si="8"/>
        <v>90</v>
      </c>
      <c r="AM11" s="99">
        <f t="shared" si="8"/>
        <v>70</v>
      </c>
    </row>
    <row r="12" spans="1:39">
      <c r="A12" s="90" t="s">
        <v>112</v>
      </c>
      <c r="B12" s="98">
        <v>63</v>
      </c>
      <c r="C12" s="98">
        <v>54</v>
      </c>
      <c r="D12" s="98">
        <v>52</v>
      </c>
      <c r="E12" s="98">
        <v>91</v>
      </c>
      <c r="F12" s="98">
        <v>85</v>
      </c>
      <c r="G12" s="98">
        <v>94</v>
      </c>
      <c r="H12" s="98">
        <v>55</v>
      </c>
      <c r="I12" s="98">
        <v>54</v>
      </c>
      <c r="J12" s="98">
        <v>46</v>
      </c>
      <c r="K12" s="98">
        <v>55</v>
      </c>
      <c r="L12" s="98">
        <v>68</v>
      </c>
      <c r="M12" s="98">
        <v>102</v>
      </c>
      <c r="N12" s="98">
        <v>92</v>
      </c>
      <c r="O12" s="98">
        <v>162</v>
      </c>
      <c r="P12" s="98">
        <v>134</v>
      </c>
      <c r="Q12" s="98">
        <v>131</v>
      </c>
      <c r="R12" s="98">
        <v>144</v>
      </c>
      <c r="S12" s="98">
        <v>200</v>
      </c>
      <c r="T12" s="98">
        <v>169</v>
      </c>
      <c r="U12" s="98">
        <v>135</v>
      </c>
      <c r="V12" s="98">
        <v>162</v>
      </c>
      <c r="W12" s="98">
        <f t="shared" ref="W12:AF12" si="9">W64</f>
        <v>5.230999999999999</v>
      </c>
      <c r="X12" s="98">
        <f t="shared" si="9"/>
        <v>7.1160000000000005</v>
      </c>
      <c r="Y12" s="98">
        <f t="shared" si="9"/>
        <v>14.205000000000002</v>
      </c>
      <c r="Z12" s="98">
        <f t="shared" si="9"/>
        <v>11.999000000000001</v>
      </c>
      <c r="AA12" s="98">
        <f t="shared" si="9"/>
        <v>6.6120000000000001</v>
      </c>
      <c r="AB12" s="98">
        <f t="shared" si="9"/>
        <v>9.8859999999999992</v>
      </c>
      <c r="AC12" s="98">
        <f t="shared" si="9"/>
        <v>11.641999999999999</v>
      </c>
      <c r="AD12" s="98">
        <f t="shared" si="9"/>
        <v>11.780999999999999</v>
      </c>
      <c r="AE12" s="98">
        <f t="shared" si="9"/>
        <v>17.012999999999998</v>
      </c>
      <c r="AF12" s="98">
        <f t="shared" si="9"/>
        <v>14.914999999999999</v>
      </c>
      <c r="AG12" s="99">
        <v>12.5</v>
      </c>
      <c r="AH12" s="99">
        <v>10</v>
      </c>
      <c r="AI12" s="99">
        <v>10</v>
      </c>
      <c r="AJ12" s="99">
        <v>10</v>
      </c>
      <c r="AK12" s="99">
        <v>10</v>
      </c>
      <c r="AL12" s="99">
        <v>10</v>
      </c>
      <c r="AM12" s="99">
        <v>10</v>
      </c>
    </row>
    <row r="13" spans="1:39">
      <c r="A13" s="95" t="s">
        <v>113</v>
      </c>
      <c r="B13" s="96">
        <f>B12+B8</f>
        <v>1760</v>
      </c>
      <c r="C13" s="96">
        <f t="shared" ref="C13:V13" si="10">C12+C8</f>
        <v>1766</v>
      </c>
      <c r="D13" s="96">
        <f t="shared" si="10"/>
        <v>1920</v>
      </c>
      <c r="E13" s="96">
        <f t="shared" si="10"/>
        <v>2061</v>
      </c>
      <c r="F13" s="96">
        <f t="shared" si="10"/>
        <v>2219</v>
      </c>
      <c r="G13" s="96">
        <f t="shared" si="10"/>
        <v>2305</v>
      </c>
      <c r="H13" s="96">
        <f t="shared" si="10"/>
        <v>2074</v>
      </c>
      <c r="I13" s="96">
        <f t="shared" si="10"/>
        <v>2844</v>
      </c>
      <c r="J13" s="96">
        <f t="shared" si="10"/>
        <v>2967</v>
      </c>
      <c r="K13" s="96">
        <f t="shared" si="10"/>
        <v>2973</v>
      </c>
      <c r="L13" s="96">
        <f t="shared" si="10"/>
        <v>3390</v>
      </c>
      <c r="M13" s="96">
        <f t="shared" si="10"/>
        <v>3976</v>
      </c>
      <c r="N13" s="96">
        <f t="shared" si="10"/>
        <v>4202</v>
      </c>
      <c r="O13" s="96">
        <f t="shared" si="10"/>
        <v>4380</v>
      </c>
      <c r="P13" s="96">
        <f t="shared" si="10"/>
        <v>4891</v>
      </c>
      <c r="Q13" s="96">
        <f t="shared" si="10"/>
        <v>5372</v>
      </c>
      <c r="R13" s="96">
        <f t="shared" si="10"/>
        <v>5364</v>
      </c>
      <c r="S13" s="96">
        <f t="shared" si="10"/>
        <v>4950</v>
      </c>
      <c r="T13" s="96">
        <f t="shared" si="10"/>
        <v>5719</v>
      </c>
      <c r="U13" s="96">
        <f t="shared" si="10"/>
        <v>6885</v>
      </c>
      <c r="V13" s="96">
        <f t="shared" si="10"/>
        <v>6912</v>
      </c>
      <c r="W13" s="96">
        <f>W7-W14</f>
        <v>4970.7660000000005</v>
      </c>
      <c r="X13" s="96">
        <f t="shared" ref="X13:AF13" si="11">X7-X14</f>
        <v>4668.1570000000002</v>
      </c>
      <c r="Y13" s="96">
        <f t="shared" si="11"/>
        <v>4130.62</v>
      </c>
      <c r="Z13" s="96">
        <f t="shared" si="11"/>
        <v>3880.7870000000003</v>
      </c>
      <c r="AA13" s="96">
        <f t="shared" si="11"/>
        <v>5032.4959999999992</v>
      </c>
      <c r="AB13" s="96">
        <f t="shared" si="11"/>
        <v>4746.2879999999996</v>
      </c>
      <c r="AC13" s="96">
        <f t="shared" si="11"/>
        <v>4381.018</v>
      </c>
      <c r="AD13" s="96">
        <f t="shared" si="11"/>
        <v>3105.2420000000002</v>
      </c>
      <c r="AE13" s="96">
        <f t="shared" si="11"/>
        <v>2576.8470000000002</v>
      </c>
      <c r="AF13" s="96">
        <f t="shared" si="11"/>
        <v>2448.049</v>
      </c>
      <c r="AG13" s="97">
        <f>AG7-AG14</f>
        <v>2112</v>
      </c>
      <c r="AH13" s="97">
        <f t="shared" ref="AH13:AM13" si="12">AH7-AH14</f>
        <v>2050</v>
      </c>
      <c r="AI13" s="97">
        <f t="shared" si="12"/>
        <v>2000</v>
      </c>
      <c r="AJ13" s="97">
        <f t="shared" si="12"/>
        <v>1950</v>
      </c>
      <c r="AK13" s="97">
        <f t="shared" si="12"/>
        <v>1900</v>
      </c>
      <c r="AL13" s="97">
        <f t="shared" si="12"/>
        <v>1850</v>
      </c>
      <c r="AM13" s="97">
        <f t="shared" si="12"/>
        <v>1800</v>
      </c>
    </row>
    <row r="14" spans="1:39">
      <c r="A14" s="90" t="s">
        <v>114</v>
      </c>
      <c r="B14" s="98">
        <f>B7-B13</f>
        <v>129</v>
      </c>
      <c r="C14" s="98">
        <f t="shared" ref="C14:V14" si="13">C7-C13</f>
        <v>133</v>
      </c>
      <c r="D14" s="98">
        <f t="shared" si="13"/>
        <v>135</v>
      </c>
      <c r="E14" s="98">
        <f t="shared" si="13"/>
        <v>161</v>
      </c>
      <c r="F14" s="98">
        <f t="shared" si="13"/>
        <v>166</v>
      </c>
      <c r="G14" s="98">
        <f t="shared" si="13"/>
        <v>175</v>
      </c>
      <c r="H14" s="98">
        <f t="shared" si="13"/>
        <v>179</v>
      </c>
      <c r="I14" s="98">
        <f t="shared" si="13"/>
        <v>220</v>
      </c>
      <c r="J14" s="98">
        <f t="shared" si="13"/>
        <v>231</v>
      </c>
      <c r="K14" s="98">
        <f t="shared" si="13"/>
        <v>264</v>
      </c>
      <c r="L14" s="98">
        <f t="shared" si="13"/>
        <v>285</v>
      </c>
      <c r="M14" s="98">
        <f t="shared" si="13"/>
        <v>340</v>
      </c>
      <c r="N14" s="98">
        <f t="shared" si="13"/>
        <v>414</v>
      </c>
      <c r="O14" s="98">
        <f t="shared" si="13"/>
        <v>373</v>
      </c>
      <c r="P14" s="98">
        <f t="shared" si="13"/>
        <v>449</v>
      </c>
      <c r="Q14" s="98">
        <f t="shared" si="13"/>
        <v>586</v>
      </c>
      <c r="R14" s="98">
        <f t="shared" si="13"/>
        <v>664</v>
      </c>
      <c r="S14" s="98">
        <f t="shared" si="13"/>
        <v>658</v>
      </c>
      <c r="T14" s="98">
        <f t="shared" si="13"/>
        <v>646</v>
      </c>
      <c r="U14" s="98">
        <f t="shared" si="13"/>
        <v>573</v>
      </c>
      <c r="V14" s="98">
        <f t="shared" si="13"/>
        <v>630</v>
      </c>
      <c r="W14" s="98">
        <v>556</v>
      </c>
      <c r="X14" s="98">
        <v>425</v>
      </c>
      <c r="Y14" s="98">
        <v>498</v>
      </c>
      <c r="Z14" s="98">
        <v>496</v>
      </c>
      <c r="AA14" s="98">
        <v>752</v>
      </c>
      <c r="AB14" s="98">
        <v>1137</v>
      </c>
      <c r="AC14" s="98">
        <v>568</v>
      </c>
      <c r="AD14" s="98">
        <v>559</v>
      </c>
      <c r="AE14" s="98">
        <v>610</v>
      </c>
      <c r="AF14" s="98">
        <v>462</v>
      </c>
      <c r="AG14" s="99">
        <v>450</v>
      </c>
      <c r="AH14" s="99">
        <v>450</v>
      </c>
      <c r="AI14" s="99">
        <v>450</v>
      </c>
      <c r="AJ14" s="99">
        <v>450</v>
      </c>
      <c r="AK14" s="99">
        <v>450</v>
      </c>
      <c r="AL14" s="99">
        <v>450</v>
      </c>
      <c r="AM14" s="99">
        <v>450</v>
      </c>
    </row>
    <row r="15" spans="1:39" ht="16.5" thickBot="1">
      <c r="A15" s="90" t="s">
        <v>115</v>
      </c>
      <c r="B15" s="100">
        <f>B14/(C13/365)</f>
        <v>26.661947904869759</v>
      </c>
      <c r="C15" s="100">
        <f t="shared" ref="C15:AM15" si="14">C14/(D13/365)</f>
        <v>25.283854166666668</v>
      </c>
      <c r="D15" s="100">
        <f t="shared" si="14"/>
        <v>23.908296943231441</v>
      </c>
      <c r="E15" s="100">
        <f t="shared" si="14"/>
        <v>26.482649842271293</v>
      </c>
      <c r="F15" s="100">
        <f t="shared" si="14"/>
        <v>26.286334056399134</v>
      </c>
      <c r="G15" s="100">
        <f t="shared" si="14"/>
        <v>30.797974927675988</v>
      </c>
      <c r="H15" s="100">
        <f t="shared" si="14"/>
        <v>22.972925457102672</v>
      </c>
      <c r="I15" s="100">
        <f t="shared" si="14"/>
        <v>27.064374789349511</v>
      </c>
      <c r="J15" s="100">
        <f t="shared" si="14"/>
        <v>28.360242179616545</v>
      </c>
      <c r="K15" s="100">
        <f t="shared" si="14"/>
        <v>28.424778761061944</v>
      </c>
      <c r="L15" s="100">
        <f t="shared" si="14"/>
        <v>26.163229376257544</v>
      </c>
      <c r="M15" s="100">
        <f t="shared" si="14"/>
        <v>29.533555449785815</v>
      </c>
      <c r="N15" s="100">
        <f t="shared" si="14"/>
        <v>34.5</v>
      </c>
      <c r="O15" s="100">
        <f t="shared" si="14"/>
        <v>27.835820895522389</v>
      </c>
      <c r="P15" s="100">
        <f t="shared" si="14"/>
        <v>30.507259865971704</v>
      </c>
      <c r="Q15" s="100">
        <f t="shared" si="14"/>
        <v>39.875093214019387</v>
      </c>
      <c r="R15" s="100">
        <f t="shared" si="14"/>
        <v>48.961616161616163</v>
      </c>
      <c r="S15" s="100">
        <f t="shared" si="14"/>
        <v>41.995104039167686</v>
      </c>
      <c r="T15" s="100">
        <f t="shared" si="14"/>
        <v>34.246913580246911</v>
      </c>
      <c r="U15" s="100">
        <f t="shared" si="14"/>
        <v>30.258246527777779</v>
      </c>
      <c r="V15" s="100">
        <f t="shared" si="14"/>
        <v>46.26047574961283</v>
      </c>
      <c r="W15" s="100">
        <f t="shared" si="14"/>
        <v>43.473259361242562</v>
      </c>
      <c r="X15" s="100">
        <f t="shared" si="14"/>
        <v>37.554894906817864</v>
      </c>
      <c r="Y15" s="100">
        <f t="shared" si="14"/>
        <v>46.83843766741127</v>
      </c>
      <c r="Z15" s="100">
        <f t="shared" si="14"/>
        <v>35.974196502093598</v>
      </c>
      <c r="AA15" s="100">
        <f t="shared" si="14"/>
        <v>57.830456137512094</v>
      </c>
      <c r="AB15" s="100">
        <f t="shared" si="14"/>
        <v>94.72798331346732</v>
      </c>
      <c r="AC15" s="100">
        <f t="shared" si="14"/>
        <v>66.764522700646197</v>
      </c>
      <c r="AD15" s="100">
        <f t="shared" si="14"/>
        <v>79.180098779632615</v>
      </c>
      <c r="AE15" s="100">
        <f t="shared" si="14"/>
        <v>90.949976899972185</v>
      </c>
      <c r="AF15" s="100">
        <f t="shared" si="14"/>
        <v>79.84375</v>
      </c>
      <c r="AG15" s="101">
        <f t="shared" si="14"/>
        <v>80.121951219512198</v>
      </c>
      <c r="AH15" s="101">
        <f t="shared" si="14"/>
        <v>82.125</v>
      </c>
      <c r="AI15" s="101">
        <f t="shared" si="14"/>
        <v>84.230769230769226</v>
      </c>
      <c r="AJ15" s="101">
        <f t="shared" si="14"/>
        <v>86.44736842105263</v>
      </c>
      <c r="AK15" s="101">
        <f t="shared" si="14"/>
        <v>88.78378378378379</v>
      </c>
      <c r="AL15" s="101">
        <f t="shared" si="14"/>
        <v>91.25</v>
      </c>
      <c r="AM15" s="101" t="e">
        <f t="shared" si="14"/>
        <v>#DIV/0!</v>
      </c>
    </row>
    <row r="16" spans="1:39">
      <c r="A16" s="102" t="s">
        <v>116</v>
      </c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4"/>
      <c r="AG16" s="104"/>
      <c r="AH16" s="104"/>
      <c r="AI16" s="104"/>
      <c r="AJ16" s="104"/>
      <c r="AK16" s="104"/>
      <c r="AL16" s="104"/>
      <c r="AM16" s="104"/>
    </row>
    <row r="17" spans="1:39">
      <c r="A17" s="95" t="s">
        <v>117</v>
      </c>
      <c r="B17" s="96">
        <v>23</v>
      </c>
      <c r="C17" s="96">
        <f t="shared" ref="C17:AM17" si="15">B27</f>
        <v>20</v>
      </c>
      <c r="D17" s="96">
        <f t="shared" si="15"/>
        <v>27</v>
      </c>
      <c r="E17" s="96">
        <f t="shared" si="15"/>
        <v>18</v>
      </c>
      <c r="F17" s="96">
        <f t="shared" si="15"/>
        <v>9</v>
      </c>
      <c r="G17" s="96">
        <f t="shared" si="15"/>
        <v>11</v>
      </c>
      <c r="H17" s="96">
        <f t="shared" si="15"/>
        <v>22</v>
      </c>
      <c r="I17" s="96">
        <f t="shared" si="15"/>
        <v>22</v>
      </c>
      <c r="J17" s="96">
        <f t="shared" si="15"/>
        <v>54</v>
      </c>
      <c r="K17" s="96">
        <f t="shared" si="15"/>
        <v>59</v>
      </c>
      <c r="L17" s="96">
        <f t="shared" si="15"/>
        <v>53</v>
      </c>
      <c r="M17" s="96">
        <f t="shared" si="15"/>
        <v>56</v>
      </c>
      <c r="N17" s="96">
        <f t="shared" si="15"/>
        <v>55</v>
      </c>
      <c r="O17" s="96">
        <f t="shared" si="15"/>
        <v>31</v>
      </c>
      <c r="P17" s="96">
        <f t="shared" si="15"/>
        <v>50</v>
      </c>
      <c r="Q17" s="96">
        <f t="shared" si="15"/>
        <v>65</v>
      </c>
      <c r="R17" s="96">
        <f t="shared" si="15"/>
        <v>76</v>
      </c>
      <c r="S17" s="96">
        <f t="shared" si="15"/>
        <v>54</v>
      </c>
      <c r="T17" s="96">
        <f t="shared" si="15"/>
        <v>40</v>
      </c>
      <c r="U17" s="96">
        <f t="shared" si="15"/>
        <v>31</v>
      </c>
      <c r="V17" s="96">
        <f t="shared" si="15"/>
        <v>99</v>
      </c>
      <c r="W17" s="96">
        <f t="shared" si="15"/>
        <v>99</v>
      </c>
      <c r="X17" s="96">
        <f t="shared" si="15"/>
        <v>101</v>
      </c>
      <c r="Y17" s="96">
        <f t="shared" si="15"/>
        <v>145</v>
      </c>
      <c r="Z17" s="96">
        <f t="shared" si="15"/>
        <v>156</v>
      </c>
      <c r="AA17" s="96">
        <f t="shared" si="15"/>
        <v>163</v>
      </c>
      <c r="AB17" s="96">
        <f t="shared" si="15"/>
        <v>131</v>
      </c>
      <c r="AC17" s="96">
        <f t="shared" si="15"/>
        <v>128</v>
      </c>
      <c r="AD17" s="96">
        <f t="shared" si="15"/>
        <v>118</v>
      </c>
      <c r="AE17" s="96">
        <f t="shared" si="15"/>
        <v>86</v>
      </c>
      <c r="AF17" s="96">
        <f t="shared" si="15"/>
        <v>78</v>
      </c>
      <c r="AG17" s="96">
        <f t="shared" si="15"/>
        <v>101</v>
      </c>
      <c r="AH17" s="97">
        <f t="shared" si="15"/>
        <v>90</v>
      </c>
      <c r="AI17" s="97">
        <f t="shared" si="15"/>
        <v>90</v>
      </c>
      <c r="AJ17" s="97">
        <f t="shared" si="15"/>
        <v>90</v>
      </c>
      <c r="AK17" s="97">
        <f t="shared" si="15"/>
        <v>90</v>
      </c>
      <c r="AL17" s="97">
        <f t="shared" si="15"/>
        <v>90</v>
      </c>
      <c r="AM17" s="97">
        <f t="shared" si="15"/>
        <v>90</v>
      </c>
    </row>
    <row r="18" spans="1:39">
      <c r="A18" s="90" t="s">
        <v>105</v>
      </c>
      <c r="B18" s="98">
        <v>13</v>
      </c>
      <c r="C18" s="98">
        <v>3</v>
      </c>
      <c r="D18" s="98">
        <v>5</v>
      </c>
      <c r="E18" s="98">
        <v>5</v>
      </c>
      <c r="F18" s="98">
        <v>5</v>
      </c>
      <c r="G18" s="98">
        <v>6</v>
      </c>
      <c r="H18" s="98">
        <v>6</v>
      </c>
      <c r="I18" s="98">
        <v>13</v>
      </c>
      <c r="J18" s="98">
        <v>26</v>
      </c>
      <c r="K18" s="98">
        <v>5</v>
      </c>
      <c r="L18" s="98">
        <v>22</v>
      </c>
      <c r="M18" s="98">
        <v>21</v>
      </c>
      <c r="N18" s="98">
        <v>7</v>
      </c>
      <c r="O18" s="98">
        <v>8</v>
      </c>
      <c r="P18" s="98">
        <v>11</v>
      </c>
      <c r="Q18" s="98">
        <v>11</v>
      </c>
      <c r="R18" s="98">
        <v>11</v>
      </c>
      <c r="S18" s="98">
        <v>0</v>
      </c>
      <c r="T18" s="98">
        <v>4</v>
      </c>
      <c r="U18" s="98">
        <v>0</v>
      </c>
      <c r="V18" s="98">
        <v>1</v>
      </c>
      <c r="W18" s="98">
        <v>12</v>
      </c>
      <c r="X18" s="98">
        <v>0</v>
      </c>
      <c r="Y18" s="98">
        <v>0</v>
      </c>
      <c r="Z18" s="98">
        <v>0</v>
      </c>
      <c r="AA18" s="98">
        <v>0</v>
      </c>
      <c r="AB18" s="98">
        <v>0</v>
      </c>
      <c r="AC18" s="98">
        <v>0</v>
      </c>
      <c r="AD18" s="98">
        <v>0</v>
      </c>
      <c r="AE18" s="98">
        <v>0</v>
      </c>
      <c r="AF18" s="98">
        <v>0</v>
      </c>
      <c r="AG18" s="99">
        <v>0</v>
      </c>
      <c r="AH18" s="99">
        <v>0</v>
      </c>
      <c r="AI18" s="99">
        <v>0</v>
      </c>
      <c r="AJ18" s="99">
        <v>0</v>
      </c>
      <c r="AK18" s="99">
        <v>0</v>
      </c>
      <c r="AL18" s="99">
        <v>0</v>
      </c>
      <c r="AM18" s="99">
        <v>0</v>
      </c>
    </row>
    <row r="19" spans="1:39">
      <c r="A19" s="90" t="s">
        <v>106</v>
      </c>
      <c r="B19" s="98">
        <v>386</v>
      </c>
      <c r="C19" s="98">
        <v>326</v>
      </c>
      <c r="D19" s="98">
        <v>391</v>
      </c>
      <c r="E19" s="98">
        <v>413</v>
      </c>
      <c r="F19" s="98">
        <v>408</v>
      </c>
      <c r="G19" s="98">
        <v>540</v>
      </c>
      <c r="H19" s="98">
        <v>429</v>
      </c>
      <c r="I19" s="98">
        <v>467</v>
      </c>
      <c r="J19" s="98">
        <v>587</v>
      </c>
      <c r="K19" s="98">
        <v>603</v>
      </c>
      <c r="L19" s="98">
        <v>629</v>
      </c>
      <c r="M19" s="98">
        <v>623</v>
      </c>
      <c r="N19" s="98">
        <v>592</v>
      </c>
      <c r="O19" s="98">
        <v>639</v>
      </c>
      <c r="P19" s="98">
        <v>631</v>
      </c>
      <c r="Q19" s="98">
        <v>637</v>
      </c>
      <c r="R19" s="98">
        <v>543</v>
      </c>
      <c r="S19" s="98">
        <v>554</v>
      </c>
      <c r="T19" s="98">
        <v>580</v>
      </c>
      <c r="U19" s="98">
        <v>697</v>
      </c>
      <c r="V19" s="98">
        <v>624</v>
      </c>
      <c r="W19" s="98">
        <f t="shared" ref="W19:AE19" si="16">W80</f>
        <v>648.274</v>
      </c>
      <c r="X19" s="98">
        <f t="shared" si="16"/>
        <v>703.59</v>
      </c>
      <c r="Y19" s="98">
        <f t="shared" si="16"/>
        <v>722.27700000000004</v>
      </c>
      <c r="Z19" s="98">
        <f t="shared" si="16"/>
        <v>713.84</v>
      </c>
      <c r="AA19" s="98">
        <f t="shared" si="16"/>
        <v>692.21600000000001</v>
      </c>
      <c r="AB19" s="98">
        <f t="shared" si="16"/>
        <v>698.87799999999993</v>
      </c>
      <c r="AC19" s="98">
        <f t="shared" si="16"/>
        <v>681.85299999999995</v>
      </c>
      <c r="AD19" s="98">
        <f t="shared" si="16"/>
        <v>635.25099999999998</v>
      </c>
      <c r="AE19" s="98">
        <f t="shared" si="16"/>
        <v>632.73099999999999</v>
      </c>
      <c r="AF19" s="98">
        <f>AF80</f>
        <v>593.65100000000007</v>
      </c>
      <c r="AG19" s="99">
        <f>[5]psd!P5</f>
        <v>605</v>
      </c>
      <c r="AH19" s="99">
        <v>600</v>
      </c>
      <c r="AI19" s="99">
        <v>600</v>
      </c>
      <c r="AJ19" s="99">
        <v>600</v>
      </c>
      <c r="AK19" s="99">
        <v>600</v>
      </c>
      <c r="AL19" s="99">
        <v>600</v>
      </c>
      <c r="AM19" s="99">
        <v>600</v>
      </c>
    </row>
    <row r="20" spans="1:39">
      <c r="A20" s="95" t="s">
        <v>107</v>
      </c>
      <c r="B20" s="96">
        <f t="shared" ref="B20:AD20" si="17">SUM(B17:B19)</f>
        <v>422</v>
      </c>
      <c r="C20" s="96">
        <f t="shared" si="17"/>
        <v>349</v>
      </c>
      <c r="D20" s="96">
        <f t="shared" si="17"/>
        <v>423</v>
      </c>
      <c r="E20" s="96">
        <f t="shared" si="17"/>
        <v>436</v>
      </c>
      <c r="F20" s="96">
        <f t="shared" si="17"/>
        <v>422</v>
      </c>
      <c r="G20" s="96">
        <f t="shared" si="17"/>
        <v>557</v>
      </c>
      <c r="H20" s="96">
        <f t="shared" si="17"/>
        <v>457</v>
      </c>
      <c r="I20" s="96">
        <f t="shared" si="17"/>
        <v>502</v>
      </c>
      <c r="J20" s="96">
        <f t="shared" si="17"/>
        <v>667</v>
      </c>
      <c r="K20" s="96">
        <f t="shared" si="17"/>
        <v>667</v>
      </c>
      <c r="L20" s="96">
        <f t="shared" si="17"/>
        <v>704</v>
      </c>
      <c r="M20" s="96">
        <f t="shared" si="17"/>
        <v>700</v>
      </c>
      <c r="N20" s="96">
        <f t="shared" si="17"/>
        <v>654</v>
      </c>
      <c r="O20" s="96">
        <f t="shared" si="17"/>
        <v>678</v>
      </c>
      <c r="P20" s="96">
        <f t="shared" si="17"/>
        <v>692</v>
      </c>
      <c r="Q20" s="96">
        <f t="shared" si="17"/>
        <v>713</v>
      </c>
      <c r="R20" s="96">
        <f t="shared" si="17"/>
        <v>630</v>
      </c>
      <c r="S20" s="96">
        <f t="shared" si="17"/>
        <v>608</v>
      </c>
      <c r="T20" s="96">
        <f t="shared" si="17"/>
        <v>624</v>
      </c>
      <c r="U20" s="96">
        <f t="shared" si="17"/>
        <v>728</v>
      </c>
      <c r="V20" s="96">
        <f t="shared" si="17"/>
        <v>724</v>
      </c>
      <c r="W20" s="96">
        <f t="shared" si="17"/>
        <v>759.274</v>
      </c>
      <c r="X20" s="96">
        <f t="shared" si="17"/>
        <v>804.59</v>
      </c>
      <c r="Y20" s="96">
        <f t="shared" si="17"/>
        <v>867.27700000000004</v>
      </c>
      <c r="Z20" s="96">
        <f t="shared" si="17"/>
        <v>869.84</v>
      </c>
      <c r="AA20" s="96">
        <f t="shared" si="17"/>
        <v>855.21600000000001</v>
      </c>
      <c r="AB20" s="96">
        <f t="shared" si="17"/>
        <v>829.87799999999993</v>
      </c>
      <c r="AC20" s="96">
        <f t="shared" si="17"/>
        <v>809.85299999999995</v>
      </c>
      <c r="AD20" s="96">
        <f t="shared" si="17"/>
        <v>753.25099999999998</v>
      </c>
      <c r="AE20" s="96">
        <f t="shared" ref="AE20:AM20" si="18">SUM(AE17:AE19)</f>
        <v>718.73099999999999</v>
      </c>
      <c r="AF20" s="96">
        <f t="shared" si="18"/>
        <v>671.65100000000007</v>
      </c>
      <c r="AG20" s="97">
        <f t="shared" si="18"/>
        <v>706</v>
      </c>
      <c r="AH20" s="97">
        <f t="shared" si="18"/>
        <v>690</v>
      </c>
      <c r="AI20" s="97">
        <f t="shared" si="18"/>
        <v>690</v>
      </c>
      <c r="AJ20" s="97">
        <f t="shared" si="18"/>
        <v>690</v>
      </c>
      <c r="AK20" s="97">
        <f t="shared" si="18"/>
        <v>690</v>
      </c>
      <c r="AL20" s="97">
        <f t="shared" si="18"/>
        <v>690</v>
      </c>
      <c r="AM20" s="97">
        <f t="shared" si="18"/>
        <v>690</v>
      </c>
    </row>
    <row r="21" spans="1:39">
      <c r="A21" s="90" t="s">
        <v>108</v>
      </c>
      <c r="B21" s="98">
        <f t="shared" ref="B21:V21" si="19">B22+B23+B24</f>
        <v>402</v>
      </c>
      <c r="C21" s="98">
        <f t="shared" si="19"/>
        <v>322</v>
      </c>
      <c r="D21" s="98">
        <f t="shared" si="19"/>
        <v>405</v>
      </c>
      <c r="E21" s="98">
        <f t="shared" si="19"/>
        <v>427</v>
      </c>
      <c r="F21" s="98">
        <f t="shared" si="19"/>
        <v>411</v>
      </c>
      <c r="G21" s="98">
        <f t="shared" si="19"/>
        <v>535</v>
      </c>
      <c r="H21" s="98">
        <f t="shared" si="19"/>
        <v>434</v>
      </c>
      <c r="I21" s="98">
        <f t="shared" si="19"/>
        <v>446</v>
      </c>
      <c r="J21" s="98">
        <f t="shared" si="19"/>
        <v>605</v>
      </c>
      <c r="K21" s="98">
        <f t="shared" si="19"/>
        <v>613</v>
      </c>
      <c r="L21" s="98">
        <f t="shared" si="19"/>
        <v>647</v>
      </c>
      <c r="M21" s="98">
        <f t="shared" si="19"/>
        <v>643</v>
      </c>
      <c r="N21" s="98">
        <f t="shared" si="19"/>
        <v>623</v>
      </c>
      <c r="O21" s="98">
        <f t="shared" si="19"/>
        <v>624</v>
      </c>
      <c r="P21" s="98">
        <f t="shared" si="19"/>
        <v>623</v>
      </c>
      <c r="Q21" s="98">
        <f t="shared" si="19"/>
        <v>626</v>
      </c>
      <c r="R21" s="98">
        <f t="shared" si="19"/>
        <v>564</v>
      </c>
      <c r="S21" s="98">
        <f t="shared" si="19"/>
        <v>547</v>
      </c>
      <c r="T21" s="98">
        <f t="shared" si="19"/>
        <v>579</v>
      </c>
      <c r="U21" s="98">
        <f t="shared" si="19"/>
        <v>616</v>
      </c>
      <c r="V21" s="98">
        <f t="shared" si="19"/>
        <v>615</v>
      </c>
      <c r="W21" s="98">
        <f>W26-W25</f>
        <v>642.27300000000002</v>
      </c>
      <c r="X21" s="98">
        <f t="shared" ref="X21:AF21" si="20">X26-X25</f>
        <v>649.15899999999999</v>
      </c>
      <c r="Y21" s="98">
        <f t="shared" si="20"/>
        <v>698.22700000000009</v>
      </c>
      <c r="Z21" s="98">
        <f t="shared" si="20"/>
        <v>696.62800000000004</v>
      </c>
      <c r="AA21" s="98">
        <f t="shared" si="20"/>
        <v>714.35900000000004</v>
      </c>
      <c r="AB21" s="98">
        <f t="shared" si="20"/>
        <v>693.76699999999994</v>
      </c>
      <c r="AC21" s="98">
        <f t="shared" si="20"/>
        <v>683.77099999999996</v>
      </c>
      <c r="AD21" s="98">
        <f t="shared" si="20"/>
        <v>662.81200000000001</v>
      </c>
      <c r="AE21" s="98">
        <f t="shared" si="20"/>
        <v>623.02099999999996</v>
      </c>
      <c r="AF21" s="98">
        <f t="shared" si="20"/>
        <v>559.42400000000009</v>
      </c>
      <c r="AG21" s="99">
        <f>AG26-AG25</f>
        <v>601</v>
      </c>
      <c r="AH21" s="99">
        <f t="shared" ref="AH21:AM21" si="21">AH26-AH25</f>
        <v>585</v>
      </c>
      <c r="AI21" s="99">
        <f t="shared" si="21"/>
        <v>585</v>
      </c>
      <c r="AJ21" s="99">
        <f t="shared" si="21"/>
        <v>585</v>
      </c>
      <c r="AK21" s="99">
        <f t="shared" si="21"/>
        <v>585</v>
      </c>
      <c r="AL21" s="99">
        <f t="shared" si="21"/>
        <v>585</v>
      </c>
      <c r="AM21" s="99">
        <f t="shared" si="21"/>
        <v>585</v>
      </c>
    </row>
    <row r="22" spans="1:39">
      <c r="A22" s="90" t="s">
        <v>109</v>
      </c>
      <c r="B22" s="98">
        <v>145</v>
      </c>
      <c r="C22" s="98">
        <v>125</v>
      </c>
      <c r="D22" s="98">
        <v>159</v>
      </c>
      <c r="E22" s="98">
        <v>162</v>
      </c>
      <c r="F22" s="98">
        <v>158</v>
      </c>
      <c r="G22" s="98">
        <v>168</v>
      </c>
      <c r="H22" s="98">
        <v>165</v>
      </c>
      <c r="I22" s="98">
        <v>168</v>
      </c>
      <c r="J22" s="98">
        <v>183</v>
      </c>
      <c r="K22" s="98">
        <v>193</v>
      </c>
      <c r="L22" s="98">
        <v>209</v>
      </c>
      <c r="M22" s="98">
        <v>208</v>
      </c>
      <c r="N22" s="98">
        <v>205</v>
      </c>
      <c r="O22" s="98">
        <v>203</v>
      </c>
      <c r="P22" s="98">
        <v>202</v>
      </c>
      <c r="Q22" s="98">
        <v>205</v>
      </c>
      <c r="R22" s="98">
        <v>174</v>
      </c>
      <c r="S22" s="98">
        <v>200</v>
      </c>
      <c r="T22" s="98">
        <v>200</v>
      </c>
      <c r="U22" s="98">
        <v>210</v>
      </c>
      <c r="V22" s="98">
        <v>200</v>
      </c>
      <c r="W22" s="98">
        <v>250</v>
      </c>
      <c r="X22" s="98">
        <v>250</v>
      </c>
      <c r="Y22" s="98">
        <v>300</v>
      </c>
      <c r="Z22" s="98">
        <v>280</v>
      </c>
      <c r="AA22" s="98">
        <v>285</v>
      </c>
      <c r="AB22" s="98">
        <v>285</v>
      </c>
      <c r="AC22" s="98">
        <v>285</v>
      </c>
      <c r="AD22" s="98">
        <v>285</v>
      </c>
      <c r="AE22" s="98">
        <v>285</v>
      </c>
      <c r="AF22" s="98">
        <v>285</v>
      </c>
      <c r="AG22" s="99">
        <v>285</v>
      </c>
      <c r="AH22" s="99">
        <v>285</v>
      </c>
      <c r="AI22" s="99">
        <v>285</v>
      </c>
      <c r="AJ22" s="99">
        <v>285</v>
      </c>
      <c r="AK22" s="99">
        <v>285</v>
      </c>
      <c r="AL22" s="99">
        <v>285</v>
      </c>
      <c r="AM22" s="99">
        <v>285</v>
      </c>
    </row>
    <row r="23" spans="1:39">
      <c r="A23" s="90" t="s">
        <v>110</v>
      </c>
      <c r="B23" s="98">
        <v>255</v>
      </c>
      <c r="C23" s="98">
        <v>196</v>
      </c>
      <c r="D23" s="98">
        <v>240</v>
      </c>
      <c r="E23" s="98">
        <v>260</v>
      </c>
      <c r="F23" s="98">
        <v>248</v>
      </c>
      <c r="G23" s="98">
        <v>362</v>
      </c>
      <c r="H23" s="98">
        <v>264</v>
      </c>
      <c r="I23" s="98">
        <v>277</v>
      </c>
      <c r="J23" s="98">
        <v>417</v>
      </c>
      <c r="K23" s="98">
        <v>405</v>
      </c>
      <c r="L23" s="98">
        <v>422</v>
      </c>
      <c r="M23" s="98">
        <v>419</v>
      </c>
      <c r="N23" s="98">
        <v>401</v>
      </c>
      <c r="O23" s="98">
        <v>405</v>
      </c>
      <c r="P23" s="98">
        <v>405</v>
      </c>
      <c r="Q23" s="98">
        <v>405</v>
      </c>
      <c r="R23" s="98">
        <v>374</v>
      </c>
      <c r="S23" s="98">
        <v>332</v>
      </c>
      <c r="T23" s="98">
        <v>363</v>
      </c>
      <c r="U23" s="98">
        <v>388</v>
      </c>
      <c r="V23" s="98">
        <v>400</v>
      </c>
      <c r="W23" s="98">
        <f t="shared" ref="W23:AC23" si="22">W21-W22-W24</f>
        <v>12.273000000000025</v>
      </c>
      <c r="X23" s="98">
        <f t="shared" si="22"/>
        <v>10.158999999999992</v>
      </c>
      <c r="Y23" s="98">
        <f t="shared" si="22"/>
        <v>15.227000000000089</v>
      </c>
      <c r="Z23" s="98">
        <f t="shared" si="22"/>
        <v>38.628000000000043</v>
      </c>
      <c r="AA23" s="98">
        <f t="shared" si="22"/>
        <v>54.359000000000037</v>
      </c>
      <c r="AB23" s="98">
        <f t="shared" si="22"/>
        <v>30.766999999999939</v>
      </c>
      <c r="AC23" s="98">
        <f t="shared" si="22"/>
        <v>18.770999999999958</v>
      </c>
      <c r="AD23" s="98">
        <f>AD21-AD22-AD24</f>
        <v>77.812000000000012</v>
      </c>
      <c r="AE23" s="98">
        <f t="shared" ref="AE23:AF23" si="23">AE21-AE22-AE24</f>
        <v>38.020999999999958</v>
      </c>
      <c r="AF23" s="98">
        <f t="shared" si="23"/>
        <v>24.424000000000092</v>
      </c>
      <c r="AG23" s="99">
        <f>AG21-AG22-AG24</f>
        <v>66</v>
      </c>
      <c r="AH23" s="99">
        <f t="shared" ref="AH23:AM23" si="24">AH21-AH22-AH24</f>
        <v>50</v>
      </c>
      <c r="AI23" s="99">
        <f t="shared" si="24"/>
        <v>50</v>
      </c>
      <c r="AJ23" s="99">
        <f t="shared" si="24"/>
        <v>50</v>
      </c>
      <c r="AK23" s="99">
        <f t="shared" si="24"/>
        <v>50</v>
      </c>
      <c r="AL23" s="99">
        <f t="shared" si="24"/>
        <v>50</v>
      </c>
      <c r="AM23" s="99">
        <f t="shared" si="24"/>
        <v>50</v>
      </c>
    </row>
    <row r="24" spans="1:39">
      <c r="A24" s="90" t="s">
        <v>111</v>
      </c>
      <c r="B24" s="98">
        <v>2</v>
      </c>
      <c r="C24" s="98">
        <v>1</v>
      </c>
      <c r="D24" s="98">
        <v>6</v>
      </c>
      <c r="E24" s="98">
        <v>5</v>
      </c>
      <c r="F24" s="98">
        <v>5</v>
      </c>
      <c r="G24" s="98">
        <v>5</v>
      </c>
      <c r="H24" s="98">
        <v>5</v>
      </c>
      <c r="I24" s="98">
        <v>1</v>
      </c>
      <c r="J24" s="98">
        <v>5</v>
      </c>
      <c r="K24" s="98">
        <v>15</v>
      </c>
      <c r="L24" s="98">
        <v>16</v>
      </c>
      <c r="M24" s="98">
        <v>16</v>
      </c>
      <c r="N24" s="98">
        <v>17</v>
      </c>
      <c r="O24" s="98">
        <v>16</v>
      </c>
      <c r="P24" s="98">
        <v>16</v>
      </c>
      <c r="Q24" s="98">
        <v>16</v>
      </c>
      <c r="R24" s="98">
        <v>16</v>
      </c>
      <c r="S24" s="98">
        <v>15</v>
      </c>
      <c r="T24" s="98">
        <v>16</v>
      </c>
      <c r="U24" s="98">
        <v>18</v>
      </c>
      <c r="V24" s="98">
        <v>15</v>
      </c>
      <c r="W24" s="98">
        <v>380</v>
      </c>
      <c r="X24" s="98">
        <v>389</v>
      </c>
      <c r="Y24" s="98">
        <v>383</v>
      </c>
      <c r="Z24" s="98">
        <v>378</v>
      </c>
      <c r="AA24" s="98">
        <v>375</v>
      </c>
      <c r="AB24" s="98">
        <v>378</v>
      </c>
      <c r="AC24" s="98">
        <v>380</v>
      </c>
      <c r="AD24" s="98">
        <v>300</v>
      </c>
      <c r="AE24" s="98">
        <v>300</v>
      </c>
      <c r="AF24" s="98">
        <v>250</v>
      </c>
      <c r="AG24" s="99">
        <v>250</v>
      </c>
      <c r="AH24" s="99">
        <v>250</v>
      </c>
      <c r="AI24" s="99">
        <v>250</v>
      </c>
      <c r="AJ24" s="99">
        <v>250</v>
      </c>
      <c r="AK24" s="99">
        <v>250</v>
      </c>
      <c r="AL24" s="99">
        <v>250</v>
      </c>
      <c r="AM24" s="99">
        <v>250</v>
      </c>
    </row>
    <row r="25" spans="1:39">
      <c r="A25" s="90" t="s">
        <v>112</v>
      </c>
      <c r="B25" s="98">
        <v>0</v>
      </c>
      <c r="C25" s="98">
        <v>0</v>
      </c>
      <c r="D25" s="98">
        <v>0</v>
      </c>
      <c r="E25" s="98">
        <v>0</v>
      </c>
      <c r="F25" s="98">
        <v>0</v>
      </c>
      <c r="G25" s="98">
        <v>0</v>
      </c>
      <c r="H25" s="98">
        <v>1</v>
      </c>
      <c r="I25" s="98">
        <v>2</v>
      </c>
      <c r="J25" s="98">
        <v>3</v>
      </c>
      <c r="K25" s="98">
        <v>1</v>
      </c>
      <c r="L25" s="98">
        <v>1</v>
      </c>
      <c r="M25" s="98">
        <v>2</v>
      </c>
      <c r="N25" s="98">
        <v>0</v>
      </c>
      <c r="O25" s="98">
        <v>4</v>
      </c>
      <c r="P25" s="98">
        <v>4</v>
      </c>
      <c r="Q25" s="98">
        <v>11</v>
      </c>
      <c r="R25" s="98">
        <v>12</v>
      </c>
      <c r="S25" s="98">
        <v>21</v>
      </c>
      <c r="T25" s="98">
        <v>14</v>
      </c>
      <c r="U25" s="98">
        <v>13</v>
      </c>
      <c r="V25" s="98">
        <v>10</v>
      </c>
      <c r="W25" s="98">
        <f t="shared" ref="W25:AF25" si="25">W96</f>
        <v>16.001000000000001</v>
      </c>
      <c r="X25" s="98">
        <f t="shared" si="25"/>
        <v>10.431000000000003</v>
      </c>
      <c r="Y25" s="98">
        <f t="shared" si="25"/>
        <v>13.05</v>
      </c>
      <c r="Z25" s="98">
        <f t="shared" si="25"/>
        <v>10.212</v>
      </c>
      <c r="AA25" s="98">
        <f t="shared" si="25"/>
        <v>9.8569999999999993</v>
      </c>
      <c r="AB25" s="98">
        <f t="shared" si="25"/>
        <v>8.1109999999999989</v>
      </c>
      <c r="AC25" s="98">
        <f t="shared" si="25"/>
        <v>8.0820000000000007</v>
      </c>
      <c r="AD25" s="98">
        <f t="shared" si="25"/>
        <v>4.4390000000000001</v>
      </c>
      <c r="AE25" s="98">
        <f t="shared" si="25"/>
        <v>17.71</v>
      </c>
      <c r="AF25" s="98">
        <f t="shared" si="25"/>
        <v>11.227</v>
      </c>
      <c r="AG25" s="99">
        <v>15</v>
      </c>
      <c r="AH25" s="99">
        <v>15</v>
      </c>
      <c r="AI25" s="99">
        <v>15</v>
      </c>
      <c r="AJ25" s="99">
        <v>15</v>
      </c>
      <c r="AK25" s="99">
        <v>15</v>
      </c>
      <c r="AL25" s="99">
        <v>15</v>
      </c>
      <c r="AM25" s="99">
        <v>15</v>
      </c>
    </row>
    <row r="26" spans="1:39">
      <c r="A26" s="95" t="s">
        <v>113</v>
      </c>
      <c r="B26" s="96">
        <f t="shared" ref="B26:V26" si="26">B25+B21</f>
        <v>402</v>
      </c>
      <c r="C26" s="96">
        <f t="shared" si="26"/>
        <v>322</v>
      </c>
      <c r="D26" s="96">
        <f t="shared" si="26"/>
        <v>405</v>
      </c>
      <c r="E26" s="96">
        <f t="shared" si="26"/>
        <v>427</v>
      </c>
      <c r="F26" s="96">
        <f t="shared" si="26"/>
        <v>411</v>
      </c>
      <c r="G26" s="96">
        <f t="shared" si="26"/>
        <v>535</v>
      </c>
      <c r="H26" s="96">
        <f t="shared" si="26"/>
        <v>435</v>
      </c>
      <c r="I26" s="96">
        <f t="shared" si="26"/>
        <v>448</v>
      </c>
      <c r="J26" s="96">
        <f t="shared" si="26"/>
        <v>608</v>
      </c>
      <c r="K26" s="96">
        <f t="shared" si="26"/>
        <v>614</v>
      </c>
      <c r="L26" s="96">
        <f t="shared" si="26"/>
        <v>648</v>
      </c>
      <c r="M26" s="96">
        <f t="shared" si="26"/>
        <v>645</v>
      </c>
      <c r="N26" s="96">
        <f t="shared" si="26"/>
        <v>623</v>
      </c>
      <c r="O26" s="96">
        <f t="shared" si="26"/>
        <v>628</v>
      </c>
      <c r="P26" s="96">
        <f t="shared" si="26"/>
        <v>627</v>
      </c>
      <c r="Q26" s="96">
        <f t="shared" si="26"/>
        <v>637</v>
      </c>
      <c r="R26" s="96">
        <f t="shared" si="26"/>
        <v>576</v>
      </c>
      <c r="S26" s="96">
        <f t="shared" si="26"/>
        <v>568</v>
      </c>
      <c r="T26" s="96">
        <f t="shared" si="26"/>
        <v>593</v>
      </c>
      <c r="U26" s="96">
        <f t="shared" si="26"/>
        <v>629</v>
      </c>
      <c r="V26" s="96">
        <f t="shared" si="26"/>
        <v>625</v>
      </c>
      <c r="W26" s="96">
        <f>W20-W27</f>
        <v>658.274</v>
      </c>
      <c r="X26" s="96">
        <f t="shared" ref="X26:AC26" si="27">X20-X27</f>
        <v>659.59</v>
      </c>
      <c r="Y26" s="96">
        <f t="shared" si="27"/>
        <v>711.27700000000004</v>
      </c>
      <c r="Z26" s="96">
        <f t="shared" si="27"/>
        <v>706.84</v>
      </c>
      <c r="AA26" s="96">
        <f t="shared" si="27"/>
        <v>724.21600000000001</v>
      </c>
      <c r="AB26" s="96">
        <f t="shared" si="27"/>
        <v>701.87799999999993</v>
      </c>
      <c r="AC26" s="96">
        <f t="shared" si="27"/>
        <v>691.85299999999995</v>
      </c>
      <c r="AD26" s="96">
        <f>AD20-AD27</f>
        <v>667.25099999999998</v>
      </c>
      <c r="AE26" s="96">
        <f t="shared" ref="AE26:AF26" si="28">AE20-AE27</f>
        <v>640.73099999999999</v>
      </c>
      <c r="AF26" s="96">
        <f t="shared" si="28"/>
        <v>570.65100000000007</v>
      </c>
      <c r="AG26" s="97">
        <f>AG20-AG27</f>
        <v>616</v>
      </c>
      <c r="AH26" s="97">
        <f t="shared" ref="AH26:AM26" si="29">AH20-AH27</f>
        <v>600</v>
      </c>
      <c r="AI26" s="97">
        <f t="shared" si="29"/>
        <v>600</v>
      </c>
      <c r="AJ26" s="97">
        <f t="shared" si="29"/>
        <v>600</v>
      </c>
      <c r="AK26" s="97">
        <f t="shared" si="29"/>
        <v>600</v>
      </c>
      <c r="AL26" s="97">
        <f t="shared" si="29"/>
        <v>600</v>
      </c>
      <c r="AM26" s="97">
        <f t="shared" si="29"/>
        <v>600</v>
      </c>
    </row>
    <row r="27" spans="1:39">
      <c r="A27" s="90" t="s">
        <v>118</v>
      </c>
      <c r="B27" s="98">
        <f t="shared" ref="B27:V27" si="30">B20-B26</f>
        <v>20</v>
      </c>
      <c r="C27" s="98">
        <f t="shared" si="30"/>
        <v>27</v>
      </c>
      <c r="D27" s="98">
        <f t="shared" si="30"/>
        <v>18</v>
      </c>
      <c r="E27" s="98">
        <f t="shared" si="30"/>
        <v>9</v>
      </c>
      <c r="F27" s="98">
        <f t="shared" si="30"/>
        <v>11</v>
      </c>
      <c r="G27" s="98">
        <f t="shared" si="30"/>
        <v>22</v>
      </c>
      <c r="H27" s="98">
        <f t="shared" si="30"/>
        <v>22</v>
      </c>
      <c r="I27" s="98">
        <f t="shared" si="30"/>
        <v>54</v>
      </c>
      <c r="J27" s="98">
        <f t="shared" si="30"/>
        <v>59</v>
      </c>
      <c r="K27" s="98">
        <f t="shared" si="30"/>
        <v>53</v>
      </c>
      <c r="L27" s="98">
        <f t="shared" si="30"/>
        <v>56</v>
      </c>
      <c r="M27" s="98">
        <f t="shared" si="30"/>
        <v>55</v>
      </c>
      <c r="N27" s="98">
        <f t="shared" si="30"/>
        <v>31</v>
      </c>
      <c r="O27" s="98">
        <f t="shared" si="30"/>
        <v>50</v>
      </c>
      <c r="P27" s="98">
        <f t="shared" si="30"/>
        <v>65</v>
      </c>
      <c r="Q27" s="98">
        <f t="shared" si="30"/>
        <v>76</v>
      </c>
      <c r="R27" s="98">
        <f t="shared" si="30"/>
        <v>54</v>
      </c>
      <c r="S27" s="98">
        <f t="shared" si="30"/>
        <v>40</v>
      </c>
      <c r="T27" s="98">
        <f t="shared" si="30"/>
        <v>31</v>
      </c>
      <c r="U27" s="98">
        <f t="shared" si="30"/>
        <v>99</v>
      </c>
      <c r="V27" s="98">
        <f t="shared" si="30"/>
        <v>99</v>
      </c>
      <c r="W27" s="98">
        <v>101</v>
      </c>
      <c r="X27" s="98">
        <v>145</v>
      </c>
      <c r="Y27" s="98">
        <v>156</v>
      </c>
      <c r="Z27" s="98">
        <v>163</v>
      </c>
      <c r="AA27" s="98">
        <v>131</v>
      </c>
      <c r="AB27" s="98">
        <v>128</v>
      </c>
      <c r="AC27" s="98">
        <v>118</v>
      </c>
      <c r="AD27" s="98">
        <v>86</v>
      </c>
      <c r="AE27" s="98">
        <v>78</v>
      </c>
      <c r="AF27" s="98">
        <v>101</v>
      </c>
      <c r="AG27" s="99">
        <v>90</v>
      </c>
      <c r="AH27" s="99">
        <v>90</v>
      </c>
      <c r="AI27" s="99">
        <v>90</v>
      </c>
      <c r="AJ27" s="99">
        <v>90</v>
      </c>
      <c r="AK27" s="99">
        <v>90</v>
      </c>
      <c r="AL27" s="99">
        <v>90</v>
      </c>
      <c r="AM27" s="99">
        <v>90</v>
      </c>
    </row>
    <row r="28" spans="1:39" ht="16.5" thickBot="1">
      <c r="A28" s="90" t="s">
        <v>115</v>
      </c>
      <c r="B28" s="100">
        <f t="shared" ref="B28:AM28" si="31">B27/(C26/365)</f>
        <v>22.670807453416149</v>
      </c>
      <c r="C28" s="100">
        <f t="shared" si="31"/>
        <v>24.333333333333332</v>
      </c>
      <c r="D28" s="100">
        <f t="shared" si="31"/>
        <v>15.386416861826698</v>
      </c>
      <c r="E28" s="100">
        <f t="shared" si="31"/>
        <v>7.9927007299270079</v>
      </c>
      <c r="F28" s="100">
        <f t="shared" si="31"/>
        <v>7.5046728971962615</v>
      </c>
      <c r="G28" s="100">
        <f t="shared" si="31"/>
        <v>18.459770114942526</v>
      </c>
      <c r="H28" s="100">
        <f t="shared" si="31"/>
        <v>17.924107142857142</v>
      </c>
      <c r="I28" s="100">
        <f t="shared" si="31"/>
        <v>32.417763157894733</v>
      </c>
      <c r="J28" s="100">
        <f t="shared" si="31"/>
        <v>35.073289902280131</v>
      </c>
      <c r="K28" s="100">
        <f t="shared" si="31"/>
        <v>29.853395061728396</v>
      </c>
      <c r="L28" s="100">
        <f t="shared" si="31"/>
        <v>31.689922480620154</v>
      </c>
      <c r="M28" s="100">
        <f t="shared" si="31"/>
        <v>32.223113964687002</v>
      </c>
      <c r="N28" s="100">
        <f t="shared" si="31"/>
        <v>18.017515923566879</v>
      </c>
      <c r="O28" s="100">
        <f t="shared" si="31"/>
        <v>29.106858054226475</v>
      </c>
      <c r="P28" s="100">
        <f t="shared" si="31"/>
        <v>37.244897959183675</v>
      </c>
      <c r="Q28" s="100">
        <f t="shared" si="31"/>
        <v>48.159722222222221</v>
      </c>
      <c r="R28" s="100">
        <f t="shared" si="31"/>
        <v>34.700704225352112</v>
      </c>
      <c r="S28" s="100">
        <f t="shared" si="31"/>
        <v>24.620573355817875</v>
      </c>
      <c r="T28" s="100">
        <f t="shared" si="31"/>
        <v>17.988871224165344</v>
      </c>
      <c r="U28" s="100">
        <f t="shared" si="31"/>
        <v>57.816000000000003</v>
      </c>
      <c r="V28" s="100">
        <f t="shared" si="31"/>
        <v>54.893554963434681</v>
      </c>
      <c r="W28" s="100">
        <f t="shared" si="31"/>
        <v>55.890780636455972</v>
      </c>
      <c r="X28" s="100">
        <f t="shared" si="31"/>
        <v>74.408423160034701</v>
      </c>
      <c r="Y28" s="100">
        <f t="shared" si="31"/>
        <v>80.555712749702906</v>
      </c>
      <c r="Z28" s="100">
        <f t="shared" si="31"/>
        <v>82.150905254785869</v>
      </c>
      <c r="AA28" s="100">
        <f t="shared" si="31"/>
        <v>68.124374891362891</v>
      </c>
      <c r="AB28" s="100">
        <f t="shared" si="31"/>
        <v>67.528795856923367</v>
      </c>
      <c r="AC28" s="100">
        <f t="shared" si="31"/>
        <v>64.548423306971443</v>
      </c>
      <c r="AD28" s="100">
        <f t="shared" si="31"/>
        <v>48.990918185634847</v>
      </c>
      <c r="AE28" s="100">
        <f t="shared" si="31"/>
        <v>49.890388345941737</v>
      </c>
      <c r="AF28" s="100">
        <f t="shared" si="31"/>
        <v>59.845779220779221</v>
      </c>
      <c r="AG28" s="101">
        <f t="shared" si="31"/>
        <v>54.75</v>
      </c>
      <c r="AH28" s="101">
        <f t="shared" si="31"/>
        <v>54.75</v>
      </c>
      <c r="AI28" s="101">
        <f t="shared" si="31"/>
        <v>54.75</v>
      </c>
      <c r="AJ28" s="101">
        <f t="shared" si="31"/>
        <v>54.75</v>
      </c>
      <c r="AK28" s="101">
        <f t="shared" si="31"/>
        <v>54.75</v>
      </c>
      <c r="AL28" s="101">
        <f t="shared" si="31"/>
        <v>54.75</v>
      </c>
      <c r="AM28" s="101" t="e">
        <f t="shared" si="31"/>
        <v>#DIV/0!</v>
      </c>
    </row>
    <row r="29" spans="1:39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4"/>
      <c r="AG29" s="104"/>
      <c r="AH29" s="104"/>
      <c r="AI29" s="104"/>
      <c r="AJ29" s="104"/>
      <c r="AK29" s="104"/>
      <c r="AL29" s="104"/>
      <c r="AM29" s="104"/>
    </row>
    <row r="30" spans="1:39">
      <c r="A30" s="90" t="s">
        <v>119</v>
      </c>
    </row>
    <row r="34" spans="1:39" s="105" customFormat="1" ht="13.5" thickBot="1">
      <c r="A34" s="105" t="s">
        <v>120</v>
      </c>
      <c r="AD34" s="106"/>
      <c r="AE34" s="106"/>
    </row>
    <row r="35" spans="1:39" s="108" customFormat="1" ht="13.5" thickBot="1">
      <c r="A35" s="107"/>
      <c r="B35" s="107" t="str">
        <f t="shared" ref="B35:AD35" si="32">B2</f>
        <v xml:space="preserve">93/94 </v>
      </c>
      <c r="C35" s="107" t="str">
        <f t="shared" si="32"/>
        <v xml:space="preserve">94/95 </v>
      </c>
      <c r="D35" s="107" t="str">
        <f t="shared" si="32"/>
        <v xml:space="preserve">95/96 </v>
      </c>
      <c r="E35" s="107" t="str">
        <f t="shared" si="32"/>
        <v xml:space="preserve">96/97 </v>
      </c>
      <c r="F35" s="107" t="str">
        <f t="shared" si="32"/>
        <v xml:space="preserve">97/98 </v>
      </c>
      <c r="G35" s="107" t="str">
        <f t="shared" si="32"/>
        <v xml:space="preserve">98/99 </v>
      </c>
      <c r="H35" s="107" t="str">
        <f t="shared" si="32"/>
        <v xml:space="preserve">99/00 </v>
      </c>
      <c r="I35" s="107" t="str">
        <f t="shared" si="32"/>
        <v xml:space="preserve">00/01 </v>
      </c>
      <c r="J35" s="107" t="str">
        <f t="shared" si="32"/>
        <v xml:space="preserve">01/02 </v>
      </c>
      <c r="K35" s="107" t="str">
        <f t="shared" si="32"/>
        <v xml:space="preserve">02/03 </v>
      </c>
      <c r="L35" s="107" t="str">
        <f t="shared" si="32"/>
        <v xml:space="preserve">03/04 </v>
      </c>
      <c r="M35" s="107" t="str">
        <f t="shared" si="32"/>
        <v xml:space="preserve">04/05 </v>
      </c>
      <c r="N35" s="107" t="str">
        <f t="shared" si="32"/>
        <v xml:space="preserve">05/06 </v>
      </c>
      <c r="O35" s="107" t="str">
        <f t="shared" si="32"/>
        <v xml:space="preserve">06/07 </v>
      </c>
      <c r="P35" s="107" t="str">
        <f t="shared" si="32"/>
        <v xml:space="preserve">07/08 </v>
      </c>
      <c r="Q35" s="107" t="str">
        <f t="shared" si="32"/>
        <v xml:space="preserve">08/09 </v>
      </c>
      <c r="R35" s="107" t="str">
        <f t="shared" si="32"/>
        <v xml:space="preserve">09/10 </v>
      </c>
      <c r="S35" s="107" t="str">
        <f t="shared" si="32"/>
        <v xml:space="preserve">10/11 </v>
      </c>
      <c r="T35" s="107" t="str">
        <f t="shared" si="32"/>
        <v xml:space="preserve">11/12 </v>
      </c>
      <c r="U35" s="107" t="str">
        <f t="shared" si="32"/>
        <v xml:space="preserve">12/13 </v>
      </c>
      <c r="V35" s="107" t="str">
        <f t="shared" si="32"/>
        <v xml:space="preserve">13/14 </v>
      </c>
      <c r="W35" s="107" t="str">
        <f t="shared" si="32"/>
        <v xml:space="preserve">14/15 </v>
      </c>
      <c r="X35" s="107" t="str">
        <f t="shared" si="32"/>
        <v xml:space="preserve">15/16 </v>
      </c>
      <c r="Y35" s="107" t="str">
        <f t="shared" si="32"/>
        <v xml:space="preserve">16/17 </v>
      </c>
      <c r="Z35" s="107" t="str">
        <f t="shared" si="32"/>
        <v xml:space="preserve">17/18 </v>
      </c>
      <c r="AA35" s="107" t="str">
        <f t="shared" si="32"/>
        <v xml:space="preserve">18/19 </v>
      </c>
      <c r="AB35" s="107" t="str">
        <f t="shared" si="32"/>
        <v xml:space="preserve">19/20 </v>
      </c>
      <c r="AC35" s="107" t="str">
        <f t="shared" si="32"/>
        <v xml:space="preserve">20/21 </v>
      </c>
      <c r="AD35" s="107" t="str">
        <f t="shared" si="32"/>
        <v>21/22</v>
      </c>
      <c r="AE35" s="107" t="str">
        <f>AE2</f>
        <v>22/23</v>
      </c>
      <c r="AF35" s="107" t="str">
        <f t="shared" ref="AF35:AM35" si="33">AF2</f>
        <v>23/24</v>
      </c>
      <c r="AG35" s="107" t="str">
        <f t="shared" si="33"/>
        <v>24/25</v>
      </c>
      <c r="AH35" s="107" t="str">
        <f t="shared" si="33"/>
        <v>25/26</v>
      </c>
      <c r="AI35" s="107" t="str">
        <f t="shared" si="33"/>
        <v>26/27</v>
      </c>
      <c r="AJ35" s="107" t="str">
        <f t="shared" si="33"/>
        <v>27/28</v>
      </c>
      <c r="AK35" s="107" t="str">
        <f t="shared" si="33"/>
        <v>28/29</v>
      </c>
      <c r="AL35" s="107" t="str">
        <f t="shared" si="33"/>
        <v>29/30</v>
      </c>
      <c r="AM35" s="107" t="str">
        <f t="shared" si="33"/>
        <v>30/31</v>
      </c>
    </row>
    <row r="36" spans="1:39" s="106" customFormat="1" ht="12.75">
      <c r="A36" s="106" t="s">
        <v>121</v>
      </c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>
        <v>352.39</v>
      </c>
      <c r="X36" s="109">
        <v>472.12299999999999</v>
      </c>
      <c r="Y36" s="109">
        <v>307.745</v>
      </c>
      <c r="Z36" s="109">
        <v>301.06099999999998</v>
      </c>
      <c r="AA36" s="109">
        <v>356.27600000000001</v>
      </c>
      <c r="AB36" s="109">
        <v>514.88699999999994</v>
      </c>
      <c r="AC36" s="109">
        <v>473.92700000000002</v>
      </c>
      <c r="AD36" s="109">
        <v>259.41899999999998</v>
      </c>
      <c r="AE36" s="109">
        <v>266.94600000000003</v>
      </c>
      <c r="AF36" s="109">
        <v>173.191</v>
      </c>
      <c r="AG36" s="109">
        <v>163.65199999999999</v>
      </c>
      <c r="AH36" s="110">
        <f t="shared" ref="AH36:AH39" si="34">AH$48*(SUM(AB36:AF36)/SUM(AB$48:AF$48))</f>
        <v>203.98820824161848</v>
      </c>
      <c r="AI36" s="110">
        <f t="shared" ref="AI36:AI46" si="35">AI$48*(SUM(AC36:AG36)/SUM(AC$48:AG$48))</f>
        <v>191.89437890907652</v>
      </c>
      <c r="AJ36" s="110">
        <f t="shared" ref="AJ36:AM46" si="36">AJ$48*(SUM(AD36:AH36)/SUM(AD$48:AH$48))</f>
        <v>170.93880536520584</v>
      </c>
      <c r="AK36" s="110">
        <f t="shared" si="36"/>
        <v>171.45638626561583</v>
      </c>
      <c r="AL36" s="110">
        <f t="shared" si="36"/>
        <v>160.74723553268032</v>
      </c>
      <c r="AM36" s="110">
        <f t="shared" si="36"/>
        <v>162.34736018067298</v>
      </c>
    </row>
    <row r="37" spans="1:39" s="106" customFormat="1" ht="12.75">
      <c r="A37" s="106" t="s">
        <v>122</v>
      </c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>
        <v>361.96600000000001</v>
      </c>
      <c r="X37" s="109">
        <v>443.00400000000002</v>
      </c>
      <c r="Y37" s="109">
        <v>356.03699999999998</v>
      </c>
      <c r="Z37" s="109">
        <v>427.74599999999998</v>
      </c>
      <c r="AA37" s="109">
        <v>502.149</v>
      </c>
      <c r="AB37" s="109">
        <v>389.77199999999999</v>
      </c>
      <c r="AC37" s="109">
        <v>402.31200000000001</v>
      </c>
      <c r="AD37" s="109">
        <v>274.73399999999998</v>
      </c>
      <c r="AE37" s="109">
        <v>185.29599999999999</v>
      </c>
      <c r="AF37" s="109">
        <v>246.74799999999999</v>
      </c>
      <c r="AG37" s="109">
        <v>175.49799999999999</v>
      </c>
      <c r="AH37" s="110">
        <f t="shared" si="34"/>
        <v>181.09192521867172</v>
      </c>
      <c r="AI37" s="110">
        <f t="shared" si="35"/>
        <v>184.35327503509581</v>
      </c>
      <c r="AJ37" s="110">
        <f t="shared" si="36"/>
        <v>170.32560779058119</v>
      </c>
      <c r="AK37" s="110">
        <f t="shared" si="36"/>
        <v>166.87967466765872</v>
      </c>
      <c r="AL37" s="110">
        <f t="shared" si="36"/>
        <v>170.41564851108348</v>
      </c>
      <c r="AM37" s="110">
        <f t="shared" si="36"/>
        <v>158.06672688816136</v>
      </c>
    </row>
    <row r="38" spans="1:39" s="106" customFormat="1" ht="12.75">
      <c r="A38" s="106" t="s">
        <v>123</v>
      </c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>
        <v>405.19499999999999</v>
      </c>
      <c r="X38" s="109">
        <v>400.93</v>
      </c>
      <c r="Y38" s="109">
        <v>348.41699999999997</v>
      </c>
      <c r="Z38" s="109">
        <v>304.18200000000002</v>
      </c>
      <c r="AA38" s="109">
        <v>356.02199999999999</v>
      </c>
      <c r="AB38" s="109">
        <v>387.16399999999999</v>
      </c>
      <c r="AC38" s="109">
        <v>393.33600000000001</v>
      </c>
      <c r="AD38" s="109">
        <v>247.95599999999999</v>
      </c>
      <c r="AE38" s="109">
        <v>272.33800000000002</v>
      </c>
      <c r="AF38" s="109">
        <v>146.64400000000001</v>
      </c>
      <c r="AG38" s="109">
        <v>160.76499999999999</v>
      </c>
      <c r="AH38" s="110">
        <f t="shared" si="34"/>
        <v>174.87889749334076</v>
      </c>
      <c r="AI38" s="110">
        <f t="shared" si="35"/>
        <v>175.23325657376401</v>
      </c>
      <c r="AJ38" s="110">
        <f t="shared" si="36"/>
        <v>160.58916862220673</v>
      </c>
      <c r="AK38" s="110">
        <f t="shared" si="36"/>
        <v>159.48266644925167</v>
      </c>
      <c r="AL38" s="110">
        <f t="shared" si="36"/>
        <v>145.52855443039033</v>
      </c>
      <c r="AM38" s="110">
        <f t="shared" si="36"/>
        <v>149.57081804494135</v>
      </c>
    </row>
    <row r="39" spans="1:39" s="106" customFormat="1" ht="12.75">
      <c r="A39" s="106" t="s">
        <v>124</v>
      </c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>
        <v>375.584</v>
      </c>
      <c r="X39" s="109">
        <v>448.54</v>
      </c>
      <c r="Y39" s="109">
        <v>350.39400000000001</v>
      </c>
      <c r="Z39" s="109">
        <v>325.98</v>
      </c>
      <c r="AA39" s="109">
        <v>398.83699999999999</v>
      </c>
      <c r="AB39" s="109">
        <v>453.64400000000001</v>
      </c>
      <c r="AC39" s="109">
        <v>299.59899999999999</v>
      </c>
      <c r="AD39" s="109">
        <v>217.339</v>
      </c>
      <c r="AE39" s="109">
        <v>236.71</v>
      </c>
      <c r="AF39" s="109">
        <v>205.923</v>
      </c>
      <c r="AG39" s="109">
        <v>155.041</v>
      </c>
      <c r="AH39" s="110">
        <f t="shared" si="34"/>
        <v>170.74408791330029</v>
      </c>
      <c r="AI39" s="110">
        <f t="shared" si="35"/>
        <v>159.95974786734592</v>
      </c>
      <c r="AJ39" s="110">
        <f t="shared" si="36"/>
        <v>157.89424445746678</v>
      </c>
      <c r="AK39" s="110">
        <f t="shared" si="36"/>
        <v>159.22860153076246</v>
      </c>
      <c r="AL39" s="110">
        <f t="shared" si="36"/>
        <v>151.12331186521419</v>
      </c>
      <c r="AM39" s="110">
        <f t="shared" si="36"/>
        <v>144.5161827183976</v>
      </c>
    </row>
    <row r="40" spans="1:39" s="106" customFormat="1" ht="12.75">
      <c r="A40" s="106" t="s">
        <v>125</v>
      </c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>
        <v>351.62299999999999</v>
      </c>
      <c r="X40" s="109">
        <v>421.762</v>
      </c>
      <c r="Y40" s="109">
        <v>329.017</v>
      </c>
      <c r="Z40" s="109">
        <v>262.827</v>
      </c>
      <c r="AA40" s="109">
        <v>429.88499999999999</v>
      </c>
      <c r="AB40" s="109">
        <v>486.38499999999999</v>
      </c>
      <c r="AC40" s="109">
        <v>316.70800000000003</v>
      </c>
      <c r="AD40" s="109">
        <v>199.84899999999999</v>
      </c>
      <c r="AE40" s="109">
        <v>218.035</v>
      </c>
      <c r="AF40" s="109">
        <v>159.98699999999999</v>
      </c>
      <c r="AG40" s="110">
        <f t="shared" ref="AG40:AH45" si="37">AG$48*(SUM(AA40:AE40)/SUM(AA$48:AE$48))</f>
        <v>173.72364882129293</v>
      </c>
      <c r="AH40" s="110">
        <f t="shared" si="37"/>
        <v>166.84753460804117</v>
      </c>
      <c r="AI40" s="110">
        <f t="shared" si="35"/>
        <v>153.31381893562227</v>
      </c>
      <c r="AJ40" s="110">
        <f t="shared" si="36"/>
        <v>147.11203846113798</v>
      </c>
      <c r="AK40" s="110">
        <f t="shared" si="36"/>
        <v>149.54313567246137</v>
      </c>
      <c r="AL40" s="110">
        <f t="shared" si="36"/>
        <v>142.48206672182747</v>
      </c>
      <c r="AM40" s="110">
        <f t="shared" si="36"/>
        <v>142.29723176974005</v>
      </c>
    </row>
    <row r="41" spans="1:39" s="106" customFormat="1" ht="12.75">
      <c r="A41" s="106" t="s">
        <v>126</v>
      </c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>
        <v>397.32499999999999</v>
      </c>
      <c r="X41" s="109">
        <v>353.58800000000002</v>
      </c>
      <c r="Y41" s="109">
        <v>306.709</v>
      </c>
      <c r="Z41" s="109">
        <v>311.31099999999998</v>
      </c>
      <c r="AA41" s="109">
        <v>457.40699999999998</v>
      </c>
      <c r="AB41" s="109">
        <v>420.24099999999999</v>
      </c>
      <c r="AC41" s="109">
        <v>275.90300000000002</v>
      </c>
      <c r="AD41" s="109">
        <v>211.37299999999999</v>
      </c>
      <c r="AE41" s="109">
        <v>207.983</v>
      </c>
      <c r="AF41" s="109">
        <v>161.715</v>
      </c>
      <c r="AG41" s="110">
        <f t="shared" si="37"/>
        <v>165.52028170528689</v>
      </c>
      <c r="AH41" s="110">
        <f t="shared" si="37"/>
        <v>154.31262068700505</v>
      </c>
      <c r="AI41" s="110">
        <f t="shared" si="35"/>
        <v>146.73978702667895</v>
      </c>
      <c r="AJ41" s="110">
        <f t="shared" si="36"/>
        <v>144.30283356940504</v>
      </c>
      <c r="AK41" s="110">
        <f t="shared" si="36"/>
        <v>143.43105494906658</v>
      </c>
      <c r="AL41" s="110">
        <f t="shared" si="36"/>
        <v>137.43132051863367</v>
      </c>
      <c r="AM41" s="110">
        <f t="shared" si="36"/>
        <v>135.77518402873966</v>
      </c>
    </row>
    <row r="42" spans="1:39" s="106" customFormat="1" ht="12.75">
      <c r="A42" s="106" t="s">
        <v>127</v>
      </c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>
        <v>414.65499999999997</v>
      </c>
      <c r="X42" s="109">
        <v>366.47899999999998</v>
      </c>
      <c r="Y42" s="109">
        <v>296.03399999999999</v>
      </c>
      <c r="Z42" s="109">
        <v>332.327</v>
      </c>
      <c r="AA42" s="109">
        <v>444.63099999999997</v>
      </c>
      <c r="AB42" s="109">
        <v>349.80700000000002</v>
      </c>
      <c r="AC42" s="109">
        <v>238.70599999999999</v>
      </c>
      <c r="AD42" s="109">
        <v>218.91399999999999</v>
      </c>
      <c r="AE42" s="109">
        <v>257.142</v>
      </c>
      <c r="AF42" s="109">
        <v>167.78399999999999</v>
      </c>
      <c r="AG42" s="110">
        <f t="shared" si="37"/>
        <v>158.81626132353597</v>
      </c>
      <c r="AH42" s="110">
        <f t="shared" si="37"/>
        <v>148.89241125534289</v>
      </c>
      <c r="AI42" s="110">
        <f t="shared" si="35"/>
        <v>149.44756090898179</v>
      </c>
      <c r="AJ42" s="110">
        <f t="shared" si="36"/>
        <v>152.41489060899536</v>
      </c>
      <c r="AK42" s="110">
        <f t="shared" si="36"/>
        <v>151.28831717024022</v>
      </c>
      <c r="AL42" s="110">
        <f t="shared" si="36"/>
        <v>138.27886576103475</v>
      </c>
      <c r="AM42" s="110">
        <f t="shared" si="36"/>
        <v>136.95469942807733</v>
      </c>
    </row>
    <row r="43" spans="1:39" s="106" customFormat="1" ht="12.75">
      <c r="A43" s="106" t="s">
        <v>128</v>
      </c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>
        <v>413.7</v>
      </c>
      <c r="X43" s="109">
        <v>343.858</v>
      </c>
      <c r="Y43" s="109">
        <v>375.93799999999999</v>
      </c>
      <c r="Z43" s="109">
        <v>308.62299999999999</v>
      </c>
      <c r="AA43" s="109">
        <v>512.08799999999997</v>
      </c>
      <c r="AB43" s="109">
        <v>452.22199999999998</v>
      </c>
      <c r="AC43" s="109">
        <v>261.363</v>
      </c>
      <c r="AD43" s="109">
        <v>325.26900000000001</v>
      </c>
      <c r="AE43" s="109">
        <v>209.54900000000001</v>
      </c>
      <c r="AF43" s="109">
        <v>224.178</v>
      </c>
      <c r="AG43" s="110">
        <f t="shared" si="37"/>
        <v>185.26013696907842</v>
      </c>
      <c r="AH43" s="110">
        <f t="shared" si="37"/>
        <v>177.91666499680213</v>
      </c>
      <c r="AI43" s="110">
        <f t="shared" si="35"/>
        <v>173.02032740865968</v>
      </c>
      <c r="AJ43" s="110">
        <f t="shared" si="36"/>
        <v>179.74471488933898</v>
      </c>
      <c r="AK43" s="110">
        <f t="shared" si="36"/>
        <v>166.35431907030238</v>
      </c>
      <c r="AL43" s="110">
        <f t="shared" si="36"/>
        <v>167.23206899199965</v>
      </c>
      <c r="AM43" s="110">
        <f t="shared" si="36"/>
        <v>158.81330940015269</v>
      </c>
    </row>
    <row r="44" spans="1:39" s="106" customFormat="1" ht="12.75">
      <c r="A44" s="106" t="s">
        <v>129</v>
      </c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>
        <v>492.18599999999998</v>
      </c>
      <c r="X44" s="109">
        <v>311.92700000000002</v>
      </c>
      <c r="Y44" s="109">
        <v>398.35199999999998</v>
      </c>
      <c r="Z44" s="109">
        <v>351.74599999999998</v>
      </c>
      <c r="AA44" s="109">
        <v>402.25099999999998</v>
      </c>
      <c r="AB44" s="109">
        <v>388.14100000000002</v>
      </c>
      <c r="AC44" s="109">
        <v>297.66800000000001</v>
      </c>
      <c r="AD44" s="109">
        <v>266.80599999999998</v>
      </c>
      <c r="AE44" s="109">
        <v>166.62100000000001</v>
      </c>
      <c r="AF44" s="109">
        <v>139.69200000000001</v>
      </c>
      <c r="AG44" s="110">
        <f t="shared" si="37"/>
        <v>160.10924794087117</v>
      </c>
      <c r="AH44" s="110">
        <f t="shared" si="37"/>
        <v>152.10319244312814</v>
      </c>
      <c r="AI44" s="110">
        <f t="shared" si="35"/>
        <v>147.94556661691664</v>
      </c>
      <c r="AJ44" s="110">
        <f t="shared" si="36"/>
        <v>141.80850494292071</v>
      </c>
      <c r="AK44" s="110">
        <f t="shared" si="36"/>
        <v>131.45952203394398</v>
      </c>
      <c r="AL44" s="110">
        <f t="shared" si="36"/>
        <v>131.92901755521515</v>
      </c>
      <c r="AM44" s="110">
        <f t="shared" si="36"/>
        <v>132.01668611600053</v>
      </c>
    </row>
    <row r="45" spans="1:39" s="106" customFormat="1" ht="12.75">
      <c r="A45" s="106" t="s">
        <v>130</v>
      </c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>
        <v>449.154</v>
      </c>
      <c r="X45" s="109">
        <v>274.10899999999998</v>
      </c>
      <c r="Y45" s="109">
        <v>417.26400000000001</v>
      </c>
      <c r="Z45" s="109">
        <v>279.23500000000001</v>
      </c>
      <c r="AA45" s="109">
        <v>440.471</v>
      </c>
      <c r="AB45" s="109">
        <v>430.411</v>
      </c>
      <c r="AC45" s="109">
        <v>296.53800000000001</v>
      </c>
      <c r="AD45" s="109">
        <v>303.69</v>
      </c>
      <c r="AE45" s="109">
        <v>197.578</v>
      </c>
      <c r="AF45" s="109">
        <v>237.822</v>
      </c>
      <c r="AG45" s="110">
        <f t="shared" si="37"/>
        <v>175.59951595245732</v>
      </c>
      <c r="AH45" s="110">
        <f t="shared" si="37"/>
        <v>177.12626309537256</v>
      </c>
      <c r="AI45" s="110">
        <f t="shared" si="35"/>
        <v>173.82519483169642</v>
      </c>
      <c r="AJ45" s="110">
        <f t="shared" si="36"/>
        <v>174.88226017671792</v>
      </c>
      <c r="AK45" s="110">
        <f t="shared" si="36"/>
        <v>164.9868215382325</v>
      </c>
      <c r="AL45" s="110">
        <f t="shared" si="36"/>
        <v>167.07826886239209</v>
      </c>
      <c r="AM45" s="110">
        <f t="shared" si="36"/>
        <v>155.95561000700582</v>
      </c>
    </row>
    <row r="46" spans="1:39" s="106" customFormat="1" ht="12.75">
      <c r="A46" s="106" t="s">
        <v>131</v>
      </c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>
        <v>465.38600000000002</v>
      </c>
      <c r="X46" s="109">
        <v>332.27499999999998</v>
      </c>
      <c r="Y46" s="109">
        <v>367.096</v>
      </c>
      <c r="Z46" s="109">
        <v>335.89299999999997</v>
      </c>
      <c r="AA46" s="109">
        <v>506.53</v>
      </c>
      <c r="AB46" s="109">
        <v>464.75599999999997</v>
      </c>
      <c r="AC46" s="109">
        <v>286.06299999999999</v>
      </c>
      <c r="AD46" s="109">
        <v>261.94499999999999</v>
      </c>
      <c r="AE46" s="109">
        <v>172.78700000000001</v>
      </c>
      <c r="AF46" s="109">
        <v>192.768</v>
      </c>
      <c r="AG46" s="110">
        <f>AG$48*(SUM(AA46:AE46)/SUM(AA$48:AE$48))</f>
        <v>178.06121009580576</v>
      </c>
      <c r="AH46" s="110">
        <f>AH$48*(SUM(AB46:AF46)/SUM(AB$48:AF$48))</f>
        <v>166.52796673441208</v>
      </c>
      <c r="AI46" s="110">
        <f t="shared" si="35"/>
        <v>156.66073343263466</v>
      </c>
      <c r="AJ46" s="110">
        <f t="shared" si="36"/>
        <v>155.70497844027437</v>
      </c>
      <c r="AK46" s="110">
        <f t="shared" si="36"/>
        <v>148.66806201280636</v>
      </c>
      <c r="AL46" s="110">
        <f t="shared" si="36"/>
        <v>151.15191708238922</v>
      </c>
      <c r="AM46" s="110">
        <f t="shared" si="36"/>
        <v>145.01213112886796</v>
      </c>
    </row>
    <row r="47" spans="1:39" s="106" customFormat="1" ht="12.75">
      <c r="A47" s="106" t="s">
        <v>132</v>
      </c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>
        <v>417.60199999999998</v>
      </c>
      <c r="X47" s="109">
        <v>368.56200000000001</v>
      </c>
      <c r="Y47" s="109">
        <v>350.61700000000002</v>
      </c>
      <c r="Z47" s="109">
        <v>337.85599999999999</v>
      </c>
      <c r="AA47" s="109">
        <v>481.94900000000001</v>
      </c>
      <c r="AB47" s="109">
        <v>393.858</v>
      </c>
      <c r="AC47" s="109">
        <v>269.89499999999998</v>
      </c>
      <c r="AD47" s="109">
        <v>308.94799999999998</v>
      </c>
      <c r="AE47" s="109">
        <v>236.86199999999999</v>
      </c>
      <c r="AF47" s="109">
        <v>243.59700000000001</v>
      </c>
      <c r="AG47" s="110">
        <f>AG48-SUM(AG36:AG46)</f>
        <v>247.95369719167161</v>
      </c>
      <c r="AH47" s="110">
        <f>AH48-SUM(AH36:AH46)</f>
        <v>175.57022731296456</v>
      </c>
      <c r="AI47" s="110">
        <f t="shared" ref="AI47:AM47" si="38">AI48-SUM(AI36:AI46)</f>
        <v>187.60635245352728</v>
      </c>
      <c r="AJ47" s="110">
        <f t="shared" si="38"/>
        <v>194.28195267574915</v>
      </c>
      <c r="AK47" s="110">
        <f t="shared" si="38"/>
        <v>187.22143863965789</v>
      </c>
      <c r="AL47" s="110">
        <f t="shared" si="38"/>
        <v>186.60172416713954</v>
      </c>
      <c r="AM47" s="110">
        <f t="shared" si="38"/>
        <v>178.67406028924279</v>
      </c>
    </row>
    <row r="48" spans="1:39" s="109" customFormat="1" ht="13.5" thickBot="1">
      <c r="A48" s="111" t="s">
        <v>133</v>
      </c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>
        <f t="shared" ref="W48:Y48" si="39">SUM(W36:W47)</f>
        <v>4896.7660000000005</v>
      </c>
      <c r="X48" s="111">
        <f t="shared" si="39"/>
        <v>4537.1570000000002</v>
      </c>
      <c r="Y48" s="111">
        <f t="shared" si="39"/>
        <v>4203.62</v>
      </c>
      <c r="Z48" s="111">
        <f>SUM(Z36:Z47)</f>
        <v>3878.7870000000003</v>
      </c>
      <c r="AA48" s="111">
        <f>SUM(AA36:AA47)</f>
        <v>5288.4959999999992</v>
      </c>
      <c r="AB48" s="111">
        <f t="shared" ref="AB48:AD48" si="40">SUM(AB36:AB47)</f>
        <v>5131.2879999999996</v>
      </c>
      <c r="AC48" s="111">
        <f t="shared" si="40"/>
        <v>3812.018</v>
      </c>
      <c r="AD48" s="111">
        <f t="shared" si="40"/>
        <v>3096.2420000000002</v>
      </c>
      <c r="AE48" s="111">
        <f>SUM(AE36:AE47)</f>
        <v>2627.8470000000002</v>
      </c>
      <c r="AF48" s="111">
        <f>SUM(AF36:AF47)</f>
        <v>2300.049</v>
      </c>
      <c r="AG48" s="112">
        <f>AG6</f>
        <v>2100</v>
      </c>
      <c r="AH48" s="112">
        <f t="shared" ref="AH48:AM48" si="41">AH6</f>
        <v>2050</v>
      </c>
      <c r="AI48" s="112">
        <f t="shared" si="41"/>
        <v>2000</v>
      </c>
      <c r="AJ48" s="112">
        <f t="shared" si="41"/>
        <v>1950</v>
      </c>
      <c r="AK48" s="112">
        <f t="shared" si="41"/>
        <v>1900</v>
      </c>
      <c r="AL48" s="112">
        <f t="shared" si="41"/>
        <v>1850</v>
      </c>
      <c r="AM48" s="112">
        <f t="shared" si="41"/>
        <v>1800</v>
      </c>
    </row>
    <row r="49" spans="1:39" ht="16.5" thickTop="1"/>
    <row r="50" spans="1:39" ht="16.5" thickBot="1">
      <c r="A50" s="105" t="s">
        <v>134</v>
      </c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6"/>
      <c r="AE50" s="106"/>
      <c r="AF50" s="105"/>
    </row>
    <row r="51" spans="1:39" ht="16.5" thickBot="1">
      <c r="A51" s="107"/>
      <c r="B51" s="107" t="str">
        <f>B$2</f>
        <v xml:space="preserve">93/94 </v>
      </c>
      <c r="C51" s="107" t="str">
        <f t="shared" ref="C51:AM51" si="42">C$2</f>
        <v xml:space="preserve">94/95 </v>
      </c>
      <c r="D51" s="107" t="str">
        <f t="shared" si="42"/>
        <v xml:space="preserve">95/96 </v>
      </c>
      <c r="E51" s="107" t="str">
        <f t="shared" si="42"/>
        <v xml:space="preserve">96/97 </v>
      </c>
      <c r="F51" s="107" t="str">
        <f t="shared" si="42"/>
        <v xml:space="preserve">97/98 </v>
      </c>
      <c r="G51" s="107" t="str">
        <f t="shared" si="42"/>
        <v xml:space="preserve">98/99 </v>
      </c>
      <c r="H51" s="107" t="str">
        <f t="shared" si="42"/>
        <v xml:space="preserve">99/00 </v>
      </c>
      <c r="I51" s="107" t="str">
        <f t="shared" si="42"/>
        <v xml:space="preserve">00/01 </v>
      </c>
      <c r="J51" s="107" t="str">
        <f t="shared" si="42"/>
        <v xml:space="preserve">01/02 </v>
      </c>
      <c r="K51" s="107" t="str">
        <f t="shared" si="42"/>
        <v xml:space="preserve">02/03 </v>
      </c>
      <c r="L51" s="107" t="str">
        <f t="shared" si="42"/>
        <v xml:space="preserve">03/04 </v>
      </c>
      <c r="M51" s="107" t="str">
        <f t="shared" si="42"/>
        <v xml:space="preserve">04/05 </v>
      </c>
      <c r="N51" s="107" t="str">
        <f t="shared" si="42"/>
        <v xml:space="preserve">05/06 </v>
      </c>
      <c r="O51" s="107" t="str">
        <f t="shared" si="42"/>
        <v xml:space="preserve">06/07 </v>
      </c>
      <c r="P51" s="107" t="str">
        <f t="shared" si="42"/>
        <v xml:space="preserve">07/08 </v>
      </c>
      <c r="Q51" s="107" t="str">
        <f t="shared" si="42"/>
        <v xml:space="preserve">08/09 </v>
      </c>
      <c r="R51" s="107" t="str">
        <f t="shared" si="42"/>
        <v xml:space="preserve">09/10 </v>
      </c>
      <c r="S51" s="107" t="str">
        <f t="shared" si="42"/>
        <v xml:space="preserve">10/11 </v>
      </c>
      <c r="T51" s="107" t="str">
        <f t="shared" si="42"/>
        <v xml:space="preserve">11/12 </v>
      </c>
      <c r="U51" s="107" t="str">
        <f t="shared" si="42"/>
        <v xml:space="preserve">12/13 </v>
      </c>
      <c r="V51" s="107" t="str">
        <f t="shared" si="42"/>
        <v xml:space="preserve">13/14 </v>
      </c>
      <c r="W51" s="107" t="str">
        <f t="shared" si="42"/>
        <v xml:space="preserve">14/15 </v>
      </c>
      <c r="X51" s="107" t="str">
        <f t="shared" si="42"/>
        <v xml:space="preserve">15/16 </v>
      </c>
      <c r="Y51" s="107" t="str">
        <f t="shared" si="42"/>
        <v xml:space="preserve">16/17 </v>
      </c>
      <c r="Z51" s="107" t="str">
        <f t="shared" si="42"/>
        <v xml:space="preserve">17/18 </v>
      </c>
      <c r="AA51" s="107" t="str">
        <f t="shared" si="42"/>
        <v xml:space="preserve">18/19 </v>
      </c>
      <c r="AB51" s="107" t="str">
        <f t="shared" si="42"/>
        <v xml:space="preserve">19/20 </v>
      </c>
      <c r="AC51" s="107" t="str">
        <f t="shared" si="42"/>
        <v xml:space="preserve">20/21 </v>
      </c>
      <c r="AD51" s="113" t="str">
        <f t="shared" si="42"/>
        <v>21/22</v>
      </c>
      <c r="AE51" s="113" t="str">
        <f t="shared" si="42"/>
        <v>22/23</v>
      </c>
      <c r="AF51" s="107" t="str">
        <f t="shared" si="42"/>
        <v>23/24</v>
      </c>
      <c r="AG51" s="107" t="str">
        <f t="shared" si="42"/>
        <v>24/25</v>
      </c>
      <c r="AH51" s="107" t="str">
        <f t="shared" si="42"/>
        <v>25/26</v>
      </c>
      <c r="AI51" s="107" t="str">
        <f t="shared" si="42"/>
        <v>26/27</v>
      </c>
      <c r="AJ51" s="107" t="str">
        <f t="shared" si="42"/>
        <v>27/28</v>
      </c>
      <c r="AK51" s="107" t="str">
        <f t="shared" si="42"/>
        <v>28/29</v>
      </c>
      <c r="AL51" s="107" t="str">
        <f t="shared" si="42"/>
        <v>29/30</v>
      </c>
      <c r="AM51" s="107" t="str">
        <f t="shared" si="42"/>
        <v>30/31</v>
      </c>
    </row>
    <row r="52" spans="1:39">
      <c r="A52" s="106" t="s">
        <v>121</v>
      </c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9">
        <v>4.8000000000000001E-2</v>
      </c>
      <c r="X52" s="109">
        <v>0.161</v>
      </c>
      <c r="Y52" s="109">
        <v>1.1990000000000001</v>
      </c>
      <c r="Z52" s="109">
        <v>1.927</v>
      </c>
      <c r="AA52" s="109">
        <v>0.65100000000000002</v>
      </c>
      <c r="AB52" s="109">
        <v>1.4510000000000001</v>
      </c>
      <c r="AC52" s="109">
        <v>0.125</v>
      </c>
      <c r="AD52" s="109">
        <v>0.50800000000000001</v>
      </c>
      <c r="AE52" s="109">
        <v>1.631</v>
      </c>
      <c r="AF52" s="109">
        <v>0.70399999999999996</v>
      </c>
      <c r="AG52" s="109">
        <v>1.5780000000000001</v>
      </c>
      <c r="AH52" s="110">
        <f t="shared" ref="AH52:AH55" si="43">AH$64*(SUM(AB52:AF52)/SUM(AB$64:AF$64))</f>
        <v>0.67737633551512177</v>
      </c>
      <c r="AI52" s="110">
        <f t="shared" ref="AI52:AI62" si="44">AI$64*(SUM(AC52:AG52)/SUM(AC$64:AG$64))</f>
        <v>0.66999749451002943</v>
      </c>
      <c r="AJ52" s="110">
        <f t="shared" ref="AJ52:AM62" si="45">AJ$64*(SUM(AD52:AH52)/SUM(AD$64:AH$64))</f>
        <v>0.77004279410882548</v>
      </c>
      <c r="AK52" s="110">
        <f t="shared" si="45"/>
        <v>0.81647324610808236</v>
      </c>
      <c r="AL52" s="110">
        <f t="shared" si="45"/>
        <v>0.76624865002768905</v>
      </c>
      <c r="AM52" s="110">
        <f t="shared" si="45"/>
        <v>0.85940759433182079</v>
      </c>
    </row>
    <row r="53" spans="1:39">
      <c r="A53" s="106" t="s">
        <v>122</v>
      </c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9">
        <v>0.34399999999999997</v>
      </c>
      <c r="X53" s="109">
        <v>0.16700000000000001</v>
      </c>
      <c r="Y53" s="109">
        <v>2.7789999999999999</v>
      </c>
      <c r="Z53" s="109">
        <v>1.6759999999999999</v>
      </c>
      <c r="AA53" s="109">
        <v>0.09</v>
      </c>
      <c r="AB53" s="109">
        <v>3.9239999999999999</v>
      </c>
      <c r="AC53" s="109">
        <v>0.153</v>
      </c>
      <c r="AD53" s="109">
        <v>3.1989999999999998</v>
      </c>
      <c r="AE53" s="109">
        <v>1.07</v>
      </c>
      <c r="AF53" s="109">
        <v>0.38900000000000001</v>
      </c>
      <c r="AG53" s="109">
        <v>2.1629999999999998</v>
      </c>
      <c r="AH53" s="110">
        <f t="shared" si="43"/>
        <v>1.338964084798504</v>
      </c>
      <c r="AI53" s="110">
        <f t="shared" si="44"/>
        <v>1.0278404150270446</v>
      </c>
      <c r="AJ53" s="110">
        <f t="shared" si="45"/>
        <v>1.2324554191723938</v>
      </c>
      <c r="AK53" s="110">
        <f t="shared" si="45"/>
        <v>0.92953444152007636</v>
      </c>
      <c r="AL53" s="110">
        <f t="shared" si="45"/>
        <v>1.0713680952709121</v>
      </c>
      <c r="AM53" s="110">
        <f t="shared" si="45"/>
        <v>1.2746274972415275</v>
      </c>
    </row>
    <row r="54" spans="1:39">
      <c r="A54" s="106" t="s">
        <v>123</v>
      </c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9">
        <v>0.53100000000000003</v>
      </c>
      <c r="X54" s="109">
        <v>5.8000000000000003E-2</v>
      </c>
      <c r="Y54" s="109">
        <v>0.88400000000000001</v>
      </c>
      <c r="Z54" s="109">
        <v>1.863</v>
      </c>
      <c r="AA54" s="109">
        <v>0.192</v>
      </c>
      <c r="AB54" s="109">
        <v>2.8210000000000002</v>
      </c>
      <c r="AC54" s="109">
        <v>0.65900000000000003</v>
      </c>
      <c r="AD54" s="109">
        <v>0.16600000000000001</v>
      </c>
      <c r="AE54" s="109">
        <v>7.8E-2</v>
      </c>
      <c r="AF54" s="109">
        <v>1.83</v>
      </c>
      <c r="AG54" s="109">
        <v>2.6349999999999998</v>
      </c>
      <c r="AH54" s="110">
        <f t="shared" si="43"/>
        <v>0.8513573585541947</v>
      </c>
      <c r="AI54" s="110">
        <f t="shared" si="44"/>
        <v>0.79114530368012259</v>
      </c>
      <c r="AJ54" s="110">
        <f t="shared" si="45"/>
        <v>0.83981896095005115</v>
      </c>
      <c r="AK54" s="110">
        <f t="shared" si="45"/>
        <v>0.96006436056284794</v>
      </c>
      <c r="AL54" s="110">
        <f t="shared" si="45"/>
        <v>1.210018570614712</v>
      </c>
      <c r="AM54" s="110">
        <f t="shared" si="45"/>
        <v>1.1575973302375651</v>
      </c>
    </row>
    <row r="55" spans="1:39">
      <c r="A55" s="106" t="s">
        <v>124</v>
      </c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9">
        <v>6.0999999999999999E-2</v>
      </c>
      <c r="X55" s="109">
        <v>0.26500000000000001</v>
      </c>
      <c r="Y55" s="109">
        <v>0.55300000000000005</v>
      </c>
      <c r="Z55" s="109">
        <v>1.181</v>
      </c>
      <c r="AA55" s="109">
        <v>0.17199999999999999</v>
      </c>
      <c r="AB55" s="109">
        <v>0.17299999999999999</v>
      </c>
      <c r="AC55" s="109">
        <v>3.0049999999999999</v>
      </c>
      <c r="AD55" s="109">
        <v>2E-3</v>
      </c>
      <c r="AE55" s="109">
        <v>0.51700000000000002</v>
      </c>
      <c r="AF55" s="109">
        <v>2.1389999999999998</v>
      </c>
      <c r="AG55" s="109">
        <v>1.3169999999999999</v>
      </c>
      <c r="AH55" s="110">
        <f t="shared" si="43"/>
        <v>0.89458436163526833</v>
      </c>
      <c r="AI55" s="110">
        <f t="shared" si="44"/>
        <v>1.0287247056049285</v>
      </c>
      <c r="AJ55" s="110">
        <f t="shared" si="45"/>
        <v>0.73548677092770898</v>
      </c>
      <c r="AK55" s="110">
        <f t="shared" si="45"/>
        <v>0.91517803862298963</v>
      </c>
      <c r="AL55" s="110">
        <f t="shared" si="45"/>
        <v>1.0650171276091449</v>
      </c>
      <c r="AM55" s="110">
        <f t="shared" si="45"/>
        <v>0.93161407176969424</v>
      </c>
    </row>
    <row r="56" spans="1:39">
      <c r="A56" s="106" t="s">
        <v>125</v>
      </c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9">
        <v>6.9000000000000006E-2</v>
      </c>
      <c r="X56" s="109">
        <v>0.28000000000000003</v>
      </c>
      <c r="Y56" s="109">
        <v>0.64500000000000002</v>
      </c>
      <c r="Z56" s="109">
        <v>0.67700000000000005</v>
      </c>
      <c r="AA56" s="109">
        <v>1.0289999999999999</v>
      </c>
      <c r="AB56" s="109">
        <v>0.18</v>
      </c>
      <c r="AC56" s="109">
        <v>1.19</v>
      </c>
      <c r="AD56" s="109">
        <v>5.3999999999999999E-2</v>
      </c>
      <c r="AE56" s="109">
        <v>1.383</v>
      </c>
      <c r="AF56" s="109">
        <v>0.32600000000000001</v>
      </c>
      <c r="AG56" s="110">
        <f>AG$64*(SUM(AA56:AE56)/SUM(AA$64:AE$64))-0.4</f>
        <v>0.44220325288931062</v>
      </c>
      <c r="AH56" s="110">
        <f>AH$64*(SUM(AB56:AF56)/SUM(AB$64:AF$64))</f>
        <v>0.48024893848582861</v>
      </c>
      <c r="AI56" s="110">
        <f t="shared" si="44"/>
        <v>0.50039104108846011</v>
      </c>
      <c r="AJ56" s="110">
        <f t="shared" si="45"/>
        <v>0.40560228841624846</v>
      </c>
      <c r="AK56" s="110">
        <f t="shared" si="45"/>
        <v>0.48609971324014395</v>
      </c>
      <c r="AL56" s="110">
        <f t="shared" si="45"/>
        <v>0.37524088145603895</v>
      </c>
      <c r="AM56" s="110">
        <f t="shared" si="45"/>
        <v>0.44086575887999846</v>
      </c>
    </row>
    <row r="57" spans="1:39">
      <c r="A57" s="106" t="s">
        <v>126</v>
      </c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9">
        <v>0.28299999999999997</v>
      </c>
      <c r="X57" s="109">
        <v>2.3530000000000002</v>
      </c>
      <c r="Y57" s="109">
        <v>0.03</v>
      </c>
      <c r="Z57" s="109">
        <v>1.179</v>
      </c>
      <c r="AA57" s="109">
        <v>0.19900000000000001</v>
      </c>
      <c r="AB57" s="109">
        <v>0.27900000000000003</v>
      </c>
      <c r="AC57" s="109">
        <v>0.67</v>
      </c>
      <c r="AD57" s="109">
        <v>0.21199999999999999</v>
      </c>
      <c r="AE57" s="109">
        <v>0.57999999999999996</v>
      </c>
      <c r="AF57" s="109">
        <v>1.841</v>
      </c>
      <c r="AG57" s="110">
        <f t="shared" ref="AG57" si="46">AG$64*(SUM(AA57:AE57)/SUM(AA$64:AE$64))-0.2</f>
        <v>0.22593178065830616</v>
      </c>
      <c r="AH57" s="110">
        <f t="shared" ref="AH57:AH62" si="47">AH$64*(SUM(AB57:AF57)/SUM(AB$64:AF$64))</f>
        <v>0.54907491147661602</v>
      </c>
      <c r="AI57" s="110">
        <f t="shared" si="44"/>
        <v>0.52010018727186125</v>
      </c>
      <c r="AJ57" s="110">
        <f t="shared" si="45"/>
        <v>0.51473465724220602</v>
      </c>
      <c r="AK57" s="110">
        <f t="shared" si="45"/>
        <v>0.57678445387204058</v>
      </c>
      <c r="AL57" s="110">
        <f t="shared" si="45"/>
        <v>0.63586894307219199</v>
      </c>
      <c r="AM57" s="110">
        <f t="shared" si="45"/>
        <v>0.45459542676591053</v>
      </c>
    </row>
    <row r="58" spans="1:39">
      <c r="A58" s="106" t="s">
        <v>127</v>
      </c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9">
        <v>1.5940000000000001</v>
      </c>
      <c r="X58" s="109">
        <v>0.184</v>
      </c>
      <c r="Y58" s="109">
        <v>1.371</v>
      </c>
      <c r="Z58" s="109">
        <v>0.81399999999999995</v>
      </c>
      <c r="AA58" s="109">
        <v>1.196</v>
      </c>
      <c r="AB58" s="109">
        <v>0.105</v>
      </c>
      <c r="AC58" s="109">
        <v>0.78300000000000003</v>
      </c>
      <c r="AD58" s="109">
        <v>0.13800000000000001</v>
      </c>
      <c r="AE58" s="109">
        <v>5.0780000000000003</v>
      </c>
      <c r="AF58" s="109">
        <v>1.218</v>
      </c>
      <c r="AG58" s="110">
        <f>AG$64*(SUM(AA58:AE58)/SUM(AA$64:AE$64))-0.3</f>
        <v>1.3027329890750698</v>
      </c>
      <c r="AH58" s="110">
        <f t="shared" si="47"/>
        <v>1.122369207658231</v>
      </c>
      <c r="AI58" s="110">
        <f t="shared" si="44"/>
        <v>1.2556532680542762</v>
      </c>
      <c r="AJ58" s="110">
        <f t="shared" si="45"/>
        <v>1.3380510499680254</v>
      </c>
      <c r="AK58" s="110">
        <f t="shared" si="45"/>
        <v>1.5485123649325725</v>
      </c>
      <c r="AL58" s="110">
        <f t="shared" si="45"/>
        <v>1.0862677897336239</v>
      </c>
      <c r="AM58" s="110">
        <f t="shared" si="45"/>
        <v>1.2509178818453668</v>
      </c>
    </row>
    <row r="59" spans="1:39">
      <c r="A59" s="106" t="s">
        <v>128</v>
      </c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9">
        <v>0.30099999999999999</v>
      </c>
      <c r="X59" s="109">
        <v>0.84899999999999998</v>
      </c>
      <c r="Y59" s="109">
        <v>0.65900000000000003</v>
      </c>
      <c r="Z59" s="109">
        <v>1.0649999999999999</v>
      </c>
      <c r="AA59" s="109">
        <v>0.86399999999999999</v>
      </c>
      <c r="AB59" s="109">
        <v>0.08</v>
      </c>
      <c r="AC59" s="109">
        <v>0.61099999999999999</v>
      </c>
      <c r="AD59" s="109">
        <v>1.6659999999999999</v>
      </c>
      <c r="AE59" s="109">
        <v>1.0129999999999999</v>
      </c>
      <c r="AF59" s="109">
        <v>0.97399999999999998</v>
      </c>
      <c r="AG59" s="110">
        <f t="shared" ref="AG59:AG62" si="48">AG$64*(SUM(AA59:AE59)/SUM(AA$64:AE$64))-0.3</f>
        <v>0.62958513366354052</v>
      </c>
      <c r="AH59" s="110">
        <f t="shared" si="47"/>
        <v>0.66587979214249582</v>
      </c>
      <c r="AI59" s="110">
        <f t="shared" si="44"/>
        <v>0.7212252042952263</v>
      </c>
      <c r="AJ59" s="110">
        <f t="shared" si="45"/>
        <v>0.74740064429398356</v>
      </c>
      <c r="AK59" s="110">
        <f t="shared" si="45"/>
        <v>0.62142083102087031</v>
      </c>
      <c r="AL59" s="110">
        <f t="shared" si="45"/>
        <v>0.65106518756339748</v>
      </c>
      <c r="AM59" s="110">
        <f t="shared" si="45"/>
        <v>0.64485935341259359</v>
      </c>
    </row>
    <row r="60" spans="1:39">
      <c r="A60" s="106" t="s">
        <v>129</v>
      </c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9">
        <v>0.372</v>
      </c>
      <c r="X60" s="109">
        <v>9.7000000000000003E-2</v>
      </c>
      <c r="Y60" s="109">
        <v>0.34200000000000003</v>
      </c>
      <c r="Z60" s="109">
        <v>0.1</v>
      </c>
      <c r="AA60" s="109">
        <v>0.106</v>
      </c>
      <c r="AB60" s="109">
        <v>0.13600000000000001</v>
      </c>
      <c r="AC60" s="109">
        <v>0.58199999999999996</v>
      </c>
      <c r="AD60" s="109">
        <v>2.3010000000000002</v>
      </c>
      <c r="AE60" s="109">
        <v>1.155</v>
      </c>
      <c r="AF60" s="109">
        <v>0.57599999999999996</v>
      </c>
      <c r="AG60" s="110">
        <f t="shared" si="48"/>
        <v>0.63968454701935595</v>
      </c>
      <c r="AH60" s="110">
        <f t="shared" si="47"/>
        <v>0.72811441359964435</v>
      </c>
      <c r="AI60" s="110">
        <f t="shared" si="44"/>
        <v>0.77429729068390385</v>
      </c>
      <c r="AJ60" s="110">
        <f t="shared" si="45"/>
        <v>0.81556872337884567</v>
      </c>
      <c r="AK60" s="110">
        <f t="shared" si="45"/>
        <v>0.60115109134272438</v>
      </c>
      <c r="AL60" s="110">
        <f t="shared" si="45"/>
        <v>0.61546024117073062</v>
      </c>
      <c r="AM60" s="110">
        <f t="shared" si="45"/>
        <v>0.67786972686180458</v>
      </c>
    </row>
    <row r="61" spans="1:39">
      <c r="A61" s="106" t="s">
        <v>130</v>
      </c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9">
        <v>0.19700000000000001</v>
      </c>
      <c r="X61" s="109">
        <v>0.52100000000000002</v>
      </c>
      <c r="Y61" s="109">
        <v>0.629</v>
      </c>
      <c r="Z61" s="109">
        <v>0.11700000000000001</v>
      </c>
      <c r="AA61" s="109">
        <v>0.128</v>
      </c>
      <c r="AB61" s="109">
        <v>4.8000000000000001E-2</v>
      </c>
      <c r="AC61" s="109">
        <v>2.448</v>
      </c>
      <c r="AD61" s="109">
        <v>0.36199999999999999</v>
      </c>
      <c r="AE61" s="109">
        <v>1.903</v>
      </c>
      <c r="AF61" s="109">
        <v>1.4450000000000001</v>
      </c>
      <c r="AG61" s="110">
        <f t="shared" si="48"/>
        <v>0.77339199775178291</v>
      </c>
      <c r="AH61" s="110">
        <f t="shared" si="47"/>
        <v>0.9513006422735566</v>
      </c>
      <c r="AI61" s="110">
        <f t="shared" si="44"/>
        <v>1.0215607725386189</v>
      </c>
      <c r="AJ61" s="110">
        <f t="shared" si="45"/>
        <v>0.82083895543284746</v>
      </c>
      <c r="AK61" s="110">
        <f t="shared" si="45"/>
        <v>0.94590138023281156</v>
      </c>
      <c r="AL61" s="110">
        <f t="shared" si="45"/>
        <v>0.87295869859737119</v>
      </c>
      <c r="AM61" s="110">
        <f t="shared" si="45"/>
        <v>0.8596178568056414</v>
      </c>
    </row>
    <row r="62" spans="1:39">
      <c r="A62" s="106" t="s">
        <v>131</v>
      </c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9">
        <v>1.198</v>
      </c>
      <c r="X62" s="109">
        <v>1.45</v>
      </c>
      <c r="Y62" s="109">
        <v>0.318</v>
      </c>
      <c r="Z62" s="109">
        <v>0.21199999999999999</v>
      </c>
      <c r="AA62" s="109">
        <v>0.13400000000000001</v>
      </c>
      <c r="AB62" s="109">
        <v>0.502</v>
      </c>
      <c r="AC62" s="109">
        <v>1.3640000000000001</v>
      </c>
      <c r="AD62" s="109">
        <v>1.62</v>
      </c>
      <c r="AE62" s="109">
        <v>0.95599999999999996</v>
      </c>
      <c r="AF62" s="109">
        <v>1.0640000000000001</v>
      </c>
      <c r="AG62" s="110">
        <f t="shared" si="48"/>
        <v>0.70467207643938612</v>
      </c>
      <c r="AH62" s="110">
        <f t="shared" si="47"/>
        <v>0.84399957079571419</v>
      </c>
      <c r="AI62" s="110">
        <f t="shared" si="44"/>
        <v>0.84135415490403764</v>
      </c>
      <c r="AJ62" s="110">
        <f t="shared" si="45"/>
        <v>0.7836807151950792</v>
      </c>
      <c r="AK62" s="110">
        <f t="shared" si="45"/>
        <v>0.68448901132103102</v>
      </c>
      <c r="AL62" s="110">
        <f t="shared" si="45"/>
        <v>0.73808351778006054</v>
      </c>
      <c r="AM62" s="110">
        <f t="shared" si="45"/>
        <v>0.7348943864105234</v>
      </c>
    </row>
    <row r="63" spans="1:39">
      <c r="A63" s="106" t="s">
        <v>132</v>
      </c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9">
        <v>0.23300000000000001</v>
      </c>
      <c r="X63" s="109">
        <v>0.73099999999999998</v>
      </c>
      <c r="Y63" s="109">
        <v>4.7960000000000003</v>
      </c>
      <c r="Z63" s="109">
        <v>1.1879999999999999</v>
      </c>
      <c r="AA63" s="109">
        <v>1.851</v>
      </c>
      <c r="AB63" s="109">
        <v>0.187</v>
      </c>
      <c r="AC63" s="109">
        <v>5.1999999999999998E-2</v>
      </c>
      <c r="AD63" s="109">
        <v>1.5529999999999999</v>
      </c>
      <c r="AE63" s="109">
        <v>1.649</v>
      </c>
      <c r="AF63" s="109">
        <v>2.4089999999999998</v>
      </c>
      <c r="AG63" s="110">
        <f>AG64-SUM(AG52:AG62)</f>
        <v>8.8798222503246649E-2</v>
      </c>
      <c r="AH63" s="110">
        <f>AH64-SUM(AH52:AH62)</f>
        <v>0.89673038306482411</v>
      </c>
      <c r="AI63" s="110">
        <f t="shared" ref="AI63:AM63" si="49">AI64-SUM(AI52:AI62)</f>
        <v>0.84771016234149066</v>
      </c>
      <c r="AJ63" s="110">
        <f t="shared" si="49"/>
        <v>0.99631902091378599</v>
      </c>
      <c r="AK63" s="110">
        <f t="shared" si="49"/>
        <v>0.91439106722381069</v>
      </c>
      <c r="AL63" s="110">
        <f t="shared" si="49"/>
        <v>0.91240229710412812</v>
      </c>
      <c r="AM63" s="110">
        <f t="shared" si="49"/>
        <v>0.71313311543755376</v>
      </c>
    </row>
    <row r="64" spans="1:39" ht="16.5" thickBot="1">
      <c r="A64" s="111" t="s">
        <v>133</v>
      </c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>
        <f t="shared" ref="W64:Y64" si="50">SUM(W52:W63)</f>
        <v>5.230999999999999</v>
      </c>
      <c r="X64" s="111">
        <f t="shared" si="50"/>
        <v>7.1160000000000005</v>
      </c>
      <c r="Y64" s="111">
        <f t="shared" si="50"/>
        <v>14.205000000000002</v>
      </c>
      <c r="Z64" s="111">
        <f>SUM(Z52:Z63)</f>
        <v>11.999000000000001</v>
      </c>
      <c r="AA64" s="111">
        <f t="shared" ref="AA64:AF64" si="51">SUM(AA52:AA63)</f>
        <v>6.6120000000000001</v>
      </c>
      <c r="AB64" s="111">
        <f t="shared" si="51"/>
        <v>9.8859999999999992</v>
      </c>
      <c r="AC64" s="111">
        <f t="shared" si="51"/>
        <v>11.641999999999999</v>
      </c>
      <c r="AD64" s="111">
        <f t="shared" si="51"/>
        <v>11.780999999999999</v>
      </c>
      <c r="AE64" s="111">
        <f t="shared" si="51"/>
        <v>17.012999999999998</v>
      </c>
      <c r="AF64" s="111">
        <f t="shared" si="51"/>
        <v>14.914999999999999</v>
      </c>
      <c r="AG64" s="112">
        <f>AG12</f>
        <v>12.5</v>
      </c>
      <c r="AH64" s="112">
        <f>AH12</f>
        <v>10</v>
      </c>
      <c r="AI64" s="112">
        <f t="shared" ref="AI64:AM64" si="52">AI12</f>
        <v>10</v>
      </c>
      <c r="AJ64" s="112">
        <f t="shared" si="52"/>
        <v>10</v>
      </c>
      <c r="AK64" s="112">
        <f t="shared" si="52"/>
        <v>10</v>
      </c>
      <c r="AL64" s="112">
        <f t="shared" si="52"/>
        <v>10</v>
      </c>
      <c r="AM64" s="112">
        <f t="shared" si="52"/>
        <v>10</v>
      </c>
    </row>
    <row r="65" spans="1:39" ht="16.5" thickTop="1"/>
    <row r="66" spans="1:39" ht="16.5" thickBot="1">
      <c r="A66" s="105" t="s">
        <v>135</v>
      </c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6"/>
      <c r="AE66" s="106"/>
      <c r="AF66" s="105"/>
      <c r="AG66" s="105"/>
      <c r="AH66" s="105"/>
      <c r="AI66" s="105"/>
      <c r="AJ66" s="105"/>
      <c r="AK66" s="105"/>
      <c r="AL66" s="105"/>
      <c r="AM66" s="105"/>
    </row>
    <row r="67" spans="1:39" ht="16.5" thickBot="1">
      <c r="A67" s="107" t="s">
        <v>136</v>
      </c>
      <c r="B67" s="107" t="str">
        <f t="shared" ref="B67:AL67" si="53">B2</f>
        <v xml:space="preserve">93/94 </v>
      </c>
      <c r="C67" s="107" t="str">
        <f t="shared" si="53"/>
        <v xml:space="preserve">94/95 </v>
      </c>
      <c r="D67" s="107" t="str">
        <f t="shared" si="53"/>
        <v xml:space="preserve">95/96 </v>
      </c>
      <c r="E67" s="107" t="str">
        <f t="shared" si="53"/>
        <v xml:space="preserve">96/97 </v>
      </c>
      <c r="F67" s="107" t="str">
        <f t="shared" si="53"/>
        <v xml:space="preserve">97/98 </v>
      </c>
      <c r="G67" s="107" t="str">
        <f t="shared" si="53"/>
        <v xml:space="preserve">98/99 </v>
      </c>
      <c r="H67" s="107" t="str">
        <f t="shared" si="53"/>
        <v xml:space="preserve">99/00 </v>
      </c>
      <c r="I67" s="107" t="str">
        <f t="shared" si="53"/>
        <v xml:space="preserve">00/01 </v>
      </c>
      <c r="J67" s="107" t="str">
        <f t="shared" si="53"/>
        <v xml:space="preserve">01/02 </v>
      </c>
      <c r="K67" s="107" t="str">
        <f t="shared" si="53"/>
        <v xml:space="preserve">02/03 </v>
      </c>
      <c r="L67" s="107" t="str">
        <f t="shared" si="53"/>
        <v xml:space="preserve">03/04 </v>
      </c>
      <c r="M67" s="107" t="str">
        <f t="shared" si="53"/>
        <v xml:space="preserve">04/05 </v>
      </c>
      <c r="N67" s="107" t="str">
        <f t="shared" si="53"/>
        <v xml:space="preserve">05/06 </v>
      </c>
      <c r="O67" s="107" t="str">
        <f t="shared" si="53"/>
        <v xml:space="preserve">06/07 </v>
      </c>
      <c r="P67" s="107" t="str">
        <f t="shared" si="53"/>
        <v xml:space="preserve">07/08 </v>
      </c>
      <c r="Q67" s="107" t="str">
        <f t="shared" si="53"/>
        <v xml:space="preserve">08/09 </v>
      </c>
      <c r="R67" s="107" t="str">
        <f t="shared" si="53"/>
        <v xml:space="preserve">09/10 </v>
      </c>
      <c r="S67" s="107" t="str">
        <f t="shared" si="53"/>
        <v xml:space="preserve">10/11 </v>
      </c>
      <c r="T67" s="107" t="str">
        <f t="shared" si="53"/>
        <v xml:space="preserve">11/12 </v>
      </c>
      <c r="U67" s="107" t="str">
        <f t="shared" si="53"/>
        <v xml:space="preserve">12/13 </v>
      </c>
      <c r="V67" s="107" t="str">
        <f t="shared" si="53"/>
        <v xml:space="preserve">13/14 </v>
      </c>
      <c r="W67" s="107" t="str">
        <f t="shared" si="53"/>
        <v xml:space="preserve">14/15 </v>
      </c>
      <c r="X67" s="107" t="str">
        <f t="shared" si="53"/>
        <v xml:space="preserve">15/16 </v>
      </c>
      <c r="Y67" s="107" t="str">
        <f t="shared" si="53"/>
        <v xml:space="preserve">16/17 </v>
      </c>
      <c r="Z67" s="107" t="str">
        <f t="shared" si="53"/>
        <v xml:space="preserve">17/18 </v>
      </c>
      <c r="AA67" s="107" t="str">
        <f t="shared" si="53"/>
        <v xml:space="preserve">18/19 </v>
      </c>
      <c r="AB67" s="107" t="str">
        <f t="shared" si="53"/>
        <v xml:space="preserve">19/20 </v>
      </c>
      <c r="AC67" s="107" t="str">
        <f t="shared" si="53"/>
        <v xml:space="preserve">20/21 </v>
      </c>
      <c r="AD67" s="107" t="str">
        <f t="shared" si="53"/>
        <v>21/22</v>
      </c>
      <c r="AE67" s="107" t="str">
        <f t="shared" si="53"/>
        <v>22/23</v>
      </c>
      <c r="AF67" s="107" t="str">
        <f t="shared" si="53"/>
        <v>23/24</v>
      </c>
      <c r="AG67" s="107" t="str">
        <f t="shared" si="53"/>
        <v>24/25</v>
      </c>
      <c r="AH67" s="107" t="str">
        <f t="shared" si="53"/>
        <v>25/26</v>
      </c>
      <c r="AI67" s="107" t="str">
        <f t="shared" si="53"/>
        <v>26/27</v>
      </c>
      <c r="AJ67" s="107" t="str">
        <f t="shared" si="53"/>
        <v>27/28</v>
      </c>
      <c r="AK67" s="107" t="str">
        <f t="shared" si="53"/>
        <v>28/29</v>
      </c>
      <c r="AL67" s="107" t="str">
        <f t="shared" si="53"/>
        <v>29/30</v>
      </c>
      <c r="AM67" s="107" t="str">
        <f>AM2</f>
        <v>30/31</v>
      </c>
    </row>
    <row r="68" spans="1:39">
      <c r="A68" s="106" t="s">
        <v>121</v>
      </c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>
        <v>67.393000000000001</v>
      </c>
      <c r="X68" s="109">
        <v>54.569000000000003</v>
      </c>
      <c r="Y68" s="109">
        <v>71.465000000000003</v>
      </c>
      <c r="Z68" s="109">
        <v>71.512</v>
      </c>
      <c r="AA68" s="109">
        <v>60.113</v>
      </c>
      <c r="AB68" s="109">
        <v>65.659000000000006</v>
      </c>
      <c r="AC68" s="109">
        <v>44.609000000000002</v>
      </c>
      <c r="AD68" s="109">
        <v>61.906999999999996</v>
      </c>
      <c r="AE68" s="109">
        <v>56.082000000000001</v>
      </c>
      <c r="AF68" s="109">
        <v>54.48</v>
      </c>
      <c r="AG68" s="109">
        <v>50.170999999999999</v>
      </c>
      <c r="AH68" s="110">
        <f t="shared" ref="AH68:AH77" si="54">AH$48*(SUM(AB68:AF68)/SUM(AB$48:AF$48))</f>
        <v>34.160174626184123</v>
      </c>
      <c r="AI68" s="110">
        <f t="shared" ref="AI68:AI78" si="55">AI$48*(SUM(AC68:AG68)/SUM(AC$48:AG$48))</f>
        <v>38.353330717595291</v>
      </c>
      <c r="AJ68" s="110">
        <f t="shared" ref="AJ68:AM78" si="56">AJ$48*(SUM(AD68:AH68)/SUM(AD$48:AH$48))</f>
        <v>41.133125032840852</v>
      </c>
      <c r="AK68" s="110">
        <f t="shared" si="56"/>
        <v>40.004740986301087</v>
      </c>
      <c r="AL68" s="110">
        <f t="shared" si="56"/>
        <v>38.831607062307832</v>
      </c>
      <c r="AM68" s="110">
        <f t="shared" si="56"/>
        <v>36.688026845325851</v>
      </c>
    </row>
    <row r="69" spans="1:39">
      <c r="A69" s="106" t="s">
        <v>122</v>
      </c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>
        <v>51.652000000000001</v>
      </c>
      <c r="X69" s="109">
        <v>63.942999999999998</v>
      </c>
      <c r="Y69" s="109">
        <v>57.323</v>
      </c>
      <c r="Z69" s="109">
        <v>69.290000000000006</v>
      </c>
      <c r="AA69" s="109">
        <v>64.090999999999994</v>
      </c>
      <c r="AB69" s="109">
        <v>48.212000000000003</v>
      </c>
      <c r="AC69" s="109">
        <v>59.658000000000001</v>
      </c>
      <c r="AD69" s="109">
        <v>66.825999999999993</v>
      </c>
      <c r="AE69" s="109">
        <v>69.463999999999999</v>
      </c>
      <c r="AF69" s="109">
        <v>41.777999999999999</v>
      </c>
      <c r="AG69" s="109">
        <v>66.759</v>
      </c>
      <c r="AH69" s="110">
        <f t="shared" si="54"/>
        <v>34.546918204061846</v>
      </c>
      <c r="AI69" s="110">
        <f t="shared" si="55"/>
        <v>43.697128533865431</v>
      </c>
      <c r="AJ69" s="110">
        <f t="shared" si="56"/>
        <v>44.74888821680193</v>
      </c>
      <c r="AK69" s="110">
        <f t="shared" si="56"/>
        <v>43.949283221476513</v>
      </c>
      <c r="AL69" s="110">
        <f t="shared" si="56"/>
        <v>41.185419382759555</v>
      </c>
      <c r="AM69" s="110">
        <f t="shared" si="56"/>
        <v>42.066219271717031</v>
      </c>
    </row>
    <row r="70" spans="1:39">
      <c r="A70" s="106" t="s">
        <v>123</v>
      </c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>
        <v>53.457000000000001</v>
      </c>
      <c r="X70" s="109">
        <v>62.418999999999997</v>
      </c>
      <c r="Y70" s="109">
        <v>58.548999999999999</v>
      </c>
      <c r="Z70" s="109">
        <v>61.636000000000003</v>
      </c>
      <c r="AA70" s="109">
        <v>65.281999999999996</v>
      </c>
      <c r="AB70" s="109">
        <v>42.680999999999997</v>
      </c>
      <c r="AC70" s="109">
        <v>64.143000000000001</v>
      </c>
      <c r="AD70" s="109">
        <v>68.165000000000006</v>
      </c>
      <c r="AE70" s="109">
        <v>44.293999999999997</v>
      </c>
      <c r="AF70" s="109">
        <v>45.158999999999999</v>
      </c>
      <c r="AG70" s="109">
        <v>45.759</v>
      </c>
      <c r="AH70" s="110">
        <f t="shared" si="54"/>
        <v>31.949779825411536</v>
      </c>
      <c r="AI70" s="110">
        <f t="shared" si="55"/>
        <v>38.392222360312267</v>
      </c>
      <c r="AJ70" s="110">
        <f t="shared" si="56"/>
        <v>37.69361088723921</v>
      </c>
      <c r="AK70" s="110">
        <f t="shared" si="56"/>
        <v>35.255124633132063</v>
      </c>
      <c r="AL70" s="110">
        <f t="shared" si="56"/>
        <v>35.390620196595378</v>
      </c>
      <c r="AM70" s="110">
        <f t="shared" si="56"/>
        <v>34.028952787097118</v>
      </c>
    </row>
    <row r="71" spans="1:39">
      <c r="A71" s="106" t="s">
        <v>124</v>
      </c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>
        <v>63.978000000000002</v>
      </c>
      <c r="X71" s="109">
        <v>43.783000000000001</v>
      </c>
      <c r="Y71" s="109">
        <v>58.594999999999999</v>
      </c>
      <c r="Z71" s="109">
        <v>80.643000000000001</v>
      </c>
      <c r="AA71" s="109">
        <v>57.436</v>
      </c>
      <c r="AB71" s="109">
        <v>71.835999999999999</v>
      </c>
      <c r="AC71" s="109">
        <v>48.548999999999999</v>
      </c>
      <c r="AD71" s="109">
        <v>52.320999999999998</v>
      </c>
      <c r="AE71" s="109">
        <v>68.486000000000004</v>
      </c>
      <c r="AF71" s="109">
        <v>33.375</v>
      </c>
      <c r="AG71" s="109">
        <v>24.751999999999999</v>
      </c>
      <c r="AH71" s="110">
        <f t="shared" si="54"/>
        <v>33.173078396486822</v>
      </c>
      <c r="AI71" s="110">
        <f t="shared" si="55"/>
        <v>32.646448561568917</v>
      </c>
      <c r="AJ71" s="110">
        <f t="shared" si="56"/>
        <v>33.974381009411047</v>
      </c>
      <c r="AK71" s="110">
        <f t="shared" si="56"/>
        <v>33.004624815064695</v>
      </c>
      <c r="AL71" s="110">
        <f t="shared" si="56"/>
        <v>28.091567620480784</v>
      </c>
      <c r="AM71" s="110">
        <f t="shared" si="56"/>
        <v>28.359095900855667</v>
      </c>
    </row>
    <row r="72" spans="1:39">
      <c r="A72" s="106" t="s">
        <v>125</v>
      </c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>
        <v>49.515999999999998</v>
      </c>
      <c r="X72" s="109">
        <v>57.497</v>
      </c>
      <c r="Y72" s="109">
        <v>52.384999999999998</v>
      </c>
      <c r="Z72" s="109">
        <v>60.76</v>
      </c>
      <c r="AA72" s="109">
        <v>64.257999999999996</v>
      </c>
      <c r="AB72" s="109">
        <v>57.722000000000001</v>
      </c>
      <c r="AC72" s="109">
        <v>75.977999999999994</v>
      </c>
      <c r="AD72" s="109">
        <v>34.524999999999999</v>
      </c>
      <c r="AE72" s="109">
        <v>44.756</v>
      </c>
      <c r="AF72" s="109">
        <v>56.902000000000001</v>
      </c>
      <c r="AG72" s="110">
        <f t="shared" ref="AG72:AG77" si="57">AG$48*(SUM(AA72:AE72)/SUM(AA$48:AE$48))</f>
        <v>29.17443776376609</v>
      </c>
      <c r="AH72" s="110">
        <f t="shared" si="54"/>
        <v>32.607159334075305</v>
      </c>
      <c r="AI72" s="110">
        <f t="shared" si="55"/>
        <v>34.634434023810599</v>
      </c>
      <c r="AJ72" s="110">
        <f t="shared" si="56"/>
        <v>31.709100417687953</v>
      </c>
      <c r="AK72" s="110">
        <f t="shared" si="56"/>
        <v>33.972214500943025</v>
      </c>
      <c r="AL72" s="110">
        <f t="shared" si="56"/>
        <v>32.91332505719722</v>
      </c>
      <c r="AM72" s="110">
        <f t="shared" si="56"/>
        <v>29.177522287250934</v>
      </c>
    </row>
    <row r="73" spans="1:39">
      <c r="A73" s="106" t="s">
        <v>126</v>
      </c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>
        <v>63.433</v>
      </c>
      <c r="X73" s="109">
        <v>66.174999999999997</v>
      </c>
      <c r="Y73" s="109">
        <v>64.725999999999999</v>
      </c>
      <c r="Z73" s="109">
        <v>66.853999999999999</v>
      </c>
      <c r="AA73" s="109">
        <v>49.701999999999998</v>
      </c>
      <c r="AB73" s="109">
        <v>78.760999999999996</v>
      </c>
      <c r="AC73" s="109">
        <v>50.972000000000001</v>
      </c>
      <c r="AD73" s="109">
        <v>49.539000000000001</v>
      </c>
      <c r="AE73" s="109">
        <v>50.392000000000003</v>
      </c>
      <c r="AF73" s="109">
        <v>35.887</v>
      </c>
      <c r="AG73" s="110">
        <f t="shared" si="57"/>
        <v>29.398266406646531</v>
      </c>
      <c r="AH73" s="110">
        <f t="shared" si="54"/>
        <v>32.083768775073018</v>
      </c>
      <c r="AI73" s="110">
        <f t="shared" si="55"/>
        <v>31.025523308815796</v>
      </c>
      <c r="AJ73" s="110">
        <f t="shared" si="56"/>
        <v>31.60265380631904</v>
      </c>
      <c r="AK73" s="110">
        <f t="shared" si="56"/>
        <v>30.664167738351857</v>
      </c>
      <c r="AL73" s="110">
        <f t="shared" si="56"/>
        <v>28.460908477371657</v>
      </c>
      <c r="AM73" s="110">
        <f t="shared" si="56"/>
        <v>27.859388406337125</v>
      </c>
    </row>
    <row r="74" spans="1:39">
      <c r="A74" s="106" t="s">
        <v>127</v>
      </c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>
        <v>46.692999999999998</v>
      </c>
      <c r="X74" s="109">
        <v>58.277999999999999</v>
      </c>
      <c r="Y74" s="109">
        <v>45.472999999999999</v>
      </c>
      <c r="Z74" s="109">
        <v>46.637</v>
      </c>
      <c r="AA74" s="109">
        <v>64.807000000000002</v>
      </c>
      <c r="AB74" s="109">
        <v>41.859000000000002</v>
      </c>
      <c r="AC74" s="109">
        <v>62.707000000000001</v>
      </c>
      <c r="AD74" s="109">
        <v>51.887999999999998</v>
      </c>
      <c r="AE74" s="109">
        <v>56.463999999999999</v>
      </c>
      <c r="AF74" s="109">
        <v>58.104999999999997</v>
      </c>
      <c r="AG74" s="110">
        <f t="shared" si="57"/>
        <v>29.225580556638636</v>
      </c>
      <c r="AH74" s="110">
        <f t="shared" si="54"/>
        <v>32.744893691707489</v>
      </c>
      <c r="AI74" s="110">
        <f t="shared" si="55"/>
        <v>37.081901287074956</v>
      </c>
      <c r="AJ74" s="110">
        <f t="shared" si="56"/>
        <v>36.588510396734044</v>
      </c>
      <c r="AK74" s="110">
        <f t="shared" si="56"/>
        <v>36.638781725094731</v>
      </c>
      <c r="AL74" s="110">
        <f t="shared" si="56"/>
        <v>34.464250021753458</v>
      </c>
      <c r="AM74" s="110">
        <f t="shared" si="56"/>
        <v>31.010340178304979</v>
      </c>
    </row>
    <row r="75" spans="1:39">
      <c r="A75" s="106" t="s">
        <v>128</v>
      </c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>
        <v>53.128</v>
      </c>
      <c r="X75" s="109">
        <v>54.256999999999998</v>
      </c>
      <c r="Y75" s="109">
        <v>70.527000000000001</v>
      </c>
      <c r="Z75" s="109">
        <v>53.25</v>
      </c>
      <c r="AA75" s="109">
        <v>52.841000000000001</v>
      </c>
      <c r="AB75" s="109">
        <v>52.715000000000003</v>
      </c>
      <c r="AC75" s="109">
        <v>51.863999999999997</v>
      </c>
      <c r="AD75" s="109">
        <v>55.445999999999998</v>
      </c>
      <c r="AE75" s="109">
        <v>39.258000000000003</v>
      </c>
      <c r="AF75" s="109">
        <v>45.8</v>
      </c>
      <c r="AG75" s="110">
        <f t="shared" si="57"/>
        <v>26.531533971597657</v>
      </c>
      <c r="AH75" s="110">
        <f t="shared" si="54"/>
        <v>29.610832957515584</v>
      </c>
      <c r="AI75" s="110">
        <f t="shared" si="55"/>
        <v>31.414621646255636</v>
      </c>
      <c r="AJ75" s="110">
        <f t="shared" si="56"/>
        <v>31.497952094166415</v>
      </c>
      <c r="AK75" s="110">
        <f t="shared" si="56"/>
        <v>29.605665037223748</v>
      </c>
      <c r="AL75" s="110">
        <f t="shared" si="56"/>
        <v>29.325019549296378</v>
      </c>
      <c r="AM75" s="110">
        <f t="shared" si="56"/>
        <v>26.758909027216628</v>
      </c>
    </row>
    <row r="76" spans="1:39">
      <c r="A76" s="106" t="s">
        <v>129</v>
      </c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>
        <v>52.966999999999999</v>
      </c>
      <c r="X76" s="109">
        <v>59.192</v>
      </c>
      <c r="Y76" s="109">
        <v>62.756999999999998</v>
      </c>
      <c r="Z76" s="109">
        <v>60.993000000000002</v>
      </c>
      <c r="AA76" s="109">
        <v>46.314</v>
      </c>
      <c r="AB76" s="109">
        <v>62.857999999999997</v>
      </c>
      <c r="AC76" s="109">
        <v>58.021000000000001</v>
      </c>
      <c r="AD76" s="109">
        <v>37.299999999999997</v>
      </c>
      <c r="AE76" s="109">
        <v>44.805999999999997</v>
      </c>
      <c r="AF76" s="109">
        <v>39.716999999999999</v>
      </c>
      <c r="AG76" s="110">
        <f t="shared" si="57"/>
        <v>26.234253334015499</v>
      </c>
      <c r="AH76" s="110">
        <f t="shared" si="54"/>
        <v>29.323161461443451</v>
      </c>
      <c r="AI76" s="110">
        <f t="shared" si="55"/>
        <v>29.574619189684089</v>
      </c>
      <c r="AJ76" s="110">
        <f t="shared" si="56"/>
        <v>28.412016427869059</v>
      </c>
      <c r="AK76" s="110">
        <f t="shared" si="56"/>
        <v>29.097995194373709</v>
      </c>
      <c r="AL76" s="110">
        <f t="shared" si="56"/>
        <v>27.262654557115294</v>
      </c>
      <c r="AM76" s="110">
        <f t="shared" si="56"/>
        <v>25.675568209329445</v>
      </c>
    </row>
    <row r="77" spans="1:39">
      <c r="A77" s="106" t="s">
        <v>130</v>
      </c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>
        <v>50.573</v>
      </c>
      <c r="X77" s="109">
        <v>58.137</v>
      </c>
      <c r="Y77" s="109">
        <v>68.253</v>
      </c>
      <c r="Z77" s="109">
        <v>50.624000000000002</v>
      </c>
      <c r="AA77" s="109">
        <v>63.643999999999998</v>
      </c>
      <c r="AB77" s="109">
        <v>61.854999999999997</v>
      </c>
      <c r="AC77" s="109">
        <v>55.569000000000003</v>
      </c>
      <c r="AD77" s="109">
        <v>53.128999999999998</v>
      </c>
      <c r="AE77" s="109">
        <v>46.738999999999997</v>
      </c>
      <c r="AF77" s="109">
        <v>57.148000000000003</v>
      </c>
      <c r="AG77" s="110">
        <f t="shared" si="57"/>
        <v>29.563480778683338</v>
      </c>
      <c r="AH77" s="110">
        <f t="shared" si="54"/>
        <v>33.157734305768152</v>
      </c>
      <c r="AI77" s="110">
        <f t="shared" si="55"/>
        <v>34.751115125100981</v>
      </c>
      <c r="AJ77" s="110">
        <f t="shared" si="56"/>
        <v>35.19654282008964</v>
      </c>
      <c r="AK77" s="110">
        <f t="shared" si="56"/>
        <v>34.535685061328401</v>
      </c>
      <c r="AL77" s="110">
        <f t="shared" si="56"/>
        <v>33.765342365679047</v>
      </c>
      <c r="AM77" s="110">
        <f t="shared" si="56"/>
        <v>30.096820456374687</v>
      </c>
    </row>
    <row r="78" spans="1:39">
      <c r="A78" s="106" t="s">
        <v>131</v>
      </c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>
        <v>47.359000000000002</v>
      </c>
      <c r="X78" s="109">
        <v>56.878999999999998</v>
      </c>
      <c r="Y78" s="109">
        <v>58.158000000000001</v>
      </c>
      <c r="Z78" s="109">
        <v>46.790999999999997</v>
      </c>
      <c r="AA78" s="109">
        <v>46.802999999999997</v>
      </c>
      <c r="AB78" s="109">
        <v>59.247999999999998</v>
      </c>
      <c r="AC78" s="109">
        <v>47.207999999999998</v>
      </c>
      <c r="AD78" s="109">
        <v>50.192</v>
      </c>
      <c r="AE78" s="109">
        <v>29.835999999999999</v>
      </c>
      <c r="AF78" s="109">
        <v>46.536000000000001</v>
      </c>
      <c r="AG78" s="110">
        <f>AG$48*(SUM(AA78:AE78)/SUM(AA$48:AE$48))</f>
        <v>24.549277203408252</v>
      </c>
      <c r="AH78" s="110">
        <f>AH$48*(SUM(AB78:AF78)/SUM(AB$48:AF$48))</f>
        <v>28.153385978465582</v>
      </c>
      <c r="AI78" s="110">
        <f t="shared" si="55"/>
        <v>28.461403159294179</v>
      </c>
      <c r="AJ78" s="110">
        <f t="shared" si="56"/>
        <v>28.714147416815383</v>
      </c>
      <c r="AK78" s="110">
        <f t="shared" si="56"/>
        <v>27.019438172033677</v>
      </c>
      <c r="AL78" s="110">
        <f t="shared" si="56"/>
        <v>27.823551163294454</v>
      </c>
      <c r="AM78" s="110">
        <f t="shared" si="56"/>
        <v>24.641577347403075</v>
      </c>
    </row>
    <row r="79" spans="1:39">
      <c r="A79" s="106" t="s">
        <v>132</v>
      </c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>
        <v>48.125</v>
      </c>
      <c r="X79" s="109">
        <v>68.460999999999999</v>
      </c>
      <c r="Y79" s="109">
        <v>54.066000000000003</v>
      </c>
      <c r="Z79" s="109">
        <v>44.85</v>
      </c>
      <c r="AA79" s="109">
        <v>56.924999999999997</v>
      </c>
      <c r="AB79" s="109">
        <v>55.472000000000001</v>
      </c>
      <c r="AC79" s="109">
        <v>62.575000000000003</v>
      </c>
      <c r="AD79" s="109">
        <v>54.012999999999998</v>
      </c>
      <c r="AE79" s="109">
        <v>82.153999999999996</v>
      </c>
      <c r="AF79" s="109">
        <v>78.763999999999996</v>
      </c>
      <c r="AG79" s="110">
        <f>AG80-SUM(AG68:AG78)</f>
        <v>222.88216998524399</v>
      </c>
      <c r="AH79" s="110">
        <f>AH80-SUM(AH68:AH78)</f>
        <v>248.48911244380707</v>
      </c>
      <c r="AI79" s="110">
        <f t="shared" ref="AI79:AM79" si="58">AI80-SUM(AI68:AI78)</f>
        <v>219.9672520866219</v>
      </c>
      <c r="AJ79" s="110">
        <f t="shared" si="58"/>
        <v>218.72907147402549</v>
      </c>
      <c r="AK79" s="110">
        <f t="shared" si="58"/>
        <v>226.25227891467648</v>
      </c>
      <c r="AL79" s="110">
        <f t="shared" si="58"/>
        <v>242.48573454614899</v>
      </c>
      <c r="AM79" s="110">
        <f t="shared" si="58"/>
        <v>263.63757928278744</v>
      </c>
    </row>
    <row r="80" spans="1:39" ht="16.5" thickBot="1">
      <c r="A80" s="111" t="s">
        <v>133</v>
      </c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>
        <f t="shared" ref="W80" si="59">SUM(W68:W79)</f>
        <v>648.274</v>
      </c>
      <c r="X80" s="111">
        <f t="shared" ref="X80:Y80" si="60">SUM(X68:X79)</f>
        <v>703.59</v>
      </c>
      <c r="Y80" s="111">
        <f t="shared" si="60"/>
        <v>722.27700000000004</v>
      </c>
      <c r="Z80" s="111">
        <f>SUM(Z68:Z79)</f>
        <v>713.84</v>
      </c>
      <c r="AA80" s="111">
        <f>SUM(AA68:AA79)</f>
        <v>692.21600000000001</v>
      </c>
      <c r="AB80" s="111">
        <f t="shared" ref="AB80:AD80" si="61">SUM(AB68:AB79)</f>
        <v>698.87799999999993</v>
      </c>
      <c r="AC80" s="111">
        <f t="shared" si="61"/>
        <v>681.85299999999995</v>
      </c>
      <c r="AD80" s="111">
        <f t="shared" si="61"/>
        <v>635.25099999999998</v>
      </c>
      <c r="AE80" s="111">
        <f>SUM(AE68:AE79)</f>
        <v>632.73099999999999</v>
      </c>
      <c r="AF80" s="111">
        <f>SUM(AF68:AF79)</f>
        <v>593.65100000000007</v>
      </c>
      <c r="AG80" s="112">
        <f t="shared" ref="AG80:AL80" si="62">AG19</f>
        <v>605</v>
      </c>
      <c r="AH80" s="112">
        <f t="shared" si="62"/>
        <v>600</v>
      </c>
      <c r="AI80" s="112">
        <f t="shared" si="62"/>
        <v>600</v>
      </c>
      <c r="AJ80" s="112">
        <f t="shared" si="62"/>
        <v>600</v>
      </c>
      <c r="AK80" s="112">
        <f t="shared" si="62"/>
        <v>600</v>
      </c>
      <c r="AL80" s="112">
        <f t="shared" si="62"/>
        <v>600</v>
      </c>
      <c r="AM80" s="112">
        <f>AM19</f>
        <v>600</v>
      </c>
    </row>
    <row r="81" spans="1:39" ht="16.5" thickTop="1"/>
    <row r="82" spans="1:39" ht="16.5" thickBot="1">
      <c r="A82" s="105" t="s">
        <v>137</v>
      </c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6"/>
      <c r="AE82" s="106"/>
      <c r="AF82" s="105"/>
    </row>
    <row r="83" spans="1:39" ht="16.5" thickBot="1">
      <c r="A83" s="107"/>
      <c r="B83" s="107" t="str">
        <f>B$2</f>
        <v xml:space="preserve">93/94 </v>
      </c>
      <c r="C83" s="107" t="str">
        <f t="shared" ref="C83:AM83" si="63">C$2</f>
        <v xml:space="preserve">94/95 </v>
      </c>
      <c r="D83" s="107" t="str">
        <f t="shared" si="63"/>
        <v xml:space="preserve">95/96 </v>
      </c>
      <c r="E83" s="107" t="str">
        <f t="shared" si="63"/>
        <v xml:space="preserve">96/97 </v>
      </c>
      <c r="F83" s="107" t="str">
        <f t="shared" si="63"/>
        <v xml:space="preserve">97/98 </v>
      </c>
      <c r="G83" s="107" t="str">
        <f t="shared" si="63"/>
        <v xml:space="preserve">98/99 </v>
      </c>
      <c r="H83" s="107" t="str">
        <f t="shared" si="63"/>
        <v xml:space="preserve">99/00 </v>
      </c>
      <c r="I83" s="107" t="str">
        <f t="shared" si="63"/>
        <v xml:space="preserve">00/01 </v>
      </c>
      <c r="J83" s="107" t="str">
        <f t="shared" si="63"/>
        <v xml:space="preserve">01/02 </v>
      </c>
      <c r="K83" s="107" t="str">
        <f t="shared" si="63"/>
        <v xml:space="preserve">02/03 </v>
      </c>
      <c r="L83" s="107" t="str">
        <f t="shared" si="63"/>
        <v xml:space="preserve">03/04 </v>
      </c>
      <c r="M83" s="107" t="str">
        <f t="shared" si="63"/>
        <v xml:space="preserve">04/05 </v>
      </c>
      <c r="N83" s="107" t="str">
        <f t="shared" si="63"/>
        <v xml:space="preserve">05/06 </v>
      </c>
      <c r="O83" s="107" t="str">
        <f t="shared" si="63"/>
        <v xml:space="preserve">06/07 </v>
      </c>
      <c r="P83" s="107" t="str">
        <f t="shared" si="63"/>
        <v xml:space="preserve">07/08 </v>
      </c>
      <c r="Q83" s="107" t="str">
        <f t="shared" si="63"/>
        <v xml:space="preserve">08/09 </v>
      </c>
      <c r="R83" s="107" t="str">
        <f t="shared" si="63"/>
        <v xml:space="preserve">09/10 </v>
      </c>
      <c r="S83" s="107" t="str">
        <f t="shared" si="63"/>
        <v xml:space="preserve">10/11 </v>
      </c>
      <c r="T83" s="107" t="str">
        <f t="shared" si="63"/>
        <v xml:space="preserve">11/12 </v>
      </c>
      <c r="U83" s="107" t="str">
        <f t="shared" si="63"/>
        <v xml:space="preserve">12/13 </v>
      </c>
      <c r="V83" s="107" t="str">
        <f t="shared" si="63"/>
        <v xml:space="preserve">13/14 </v>
      </c>
      <c r="W83" s="107" t="str">
        <f t="shared" si="63"/>
        <v xml:space="preserve">14/15 </v>
      </c>
      <c r="X83" s="107" t="str">
        <f t="shared" si="63"/>
        <v xml:space="preserve">15/16 </v>
      </c>
      <c r="Y83" s="107" t="str">
        <f t="shared" si="63"/>
        <v xml:space="preserve">16/17 </v>
      </c>
      <c r="Z83" s="107" t="str">
        <f t="shared" si="63"/>
        <v xml:space="preserve">17/18 </v>
      </c>
      <c r="AA83" s="107" t="str">
        <f t="shared" si="63"/>
        <v xml:space="preserve">18/19 </v>
      </c>
      <c r="AB83" s="107" t="str">
        <f t="shared" si="63"/>
        <v xml:space="preserve">19/20 </v>
      </c>
      <c r="AC83" s="107" t="str">
        <f t="shared" si="63"/>
        <v xml:space="preserve">20/21 </v>
      </c>
      <c r="AD83" s="113" t="str">
        <f t="shared" si="63"/>
        <v>21/22</v>
      </c>
      <c r="AE83" s="113" t="str">
        <f t="shared" si="63"/>
        <v>22/23</v>
      </c>
      <c r="AF83" s="107" t="str">
        <f t="shared" si="63"/>
        <v>23/24</v>
      </c>
      <c r="AG83" s="107" t="str">
        <f t="shared" si="63"/>
        <v>24/25</v>
      </c>
      <c r="AH83" s="107" t="str">
        <f t="shared" si="63"/>
        <v>25/26</v>
      </c>
      <c r="AI83" s="107" t="str">
        <f t="shared" si="63"/>
        <v>26/27</v>
      </c>
      <c r="AJ83" s="107" t="str">
        <f t="shared" si="63"/>
        <v>27/28</v>
      </c>
      <c r="AK83" s="107" t="str">
        <f t="shared" si="63"/>
        <v>28/29</v>
      </c>
      <c r="AL83" s="107" t="str">
        <f t="shared" si="63"/>
        <v>29/30</v>
      </c>
      <c r="AM83" s="107" t="str">
        <f t="shared" si="63"/>
        <v>30/31</v>
      </c>
    </row>
    <row r="84" spans="1:39">
      <c r="A84" s="106" t="s">
        <v>121</v>
      </c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9">
        <v>1.645</v>
      </c>
      <c r="X84" s="109">
        <v>2.016</v>
      </c>
      <c r="Y84" s="109">
        <v>0.753</v>
      </c>
      <c r="Z84" s="109">
        <v>1.3680000000000001</v>
      </c>
      <c r="AA84" s="109">
        <v>0.81899999999999995</v>
      </c>
      <c r="AB84" s="109">
        <v>0.74099999999999999</v>
      </c>
      <c r="AC84" s="109">
        <v>1.05</v>
      </c>
      <c r="AD84" s="109">
        <v>0.68500000000000005</v>
      </c>
      <c r="AE84" s="109">
        <v>0.215</v>
      </c>
      <c r="AF84" s="109">
        <v>0.95599999999999996</v>
      </c>
      <c r="AG84" s="109">
        <v>0.98899999999999999</v>
      </c>
      <c r="AH84" s="110">
        <f t="shared" ref="AH84:AH87" si="64">AH$64*(SUM(AB84:AF84)/SUM(AB$64:AF$64))</f>
        <v>0.5590385823995585</v>
      </c>
      <c r="AI84" s="110">
        <f t="shared" ref="AI84:AI94" si="65">AI$64*(SUM(AC84:AG84)/SUM(AC$64:AG$64))</f>
        <v>0.574051966809627</v>
      </c>
      <c r="AJ84" s="110">
        <f t="shared" ref="AJ84:AM94" si="66">AJ$64*(SUM(AD84:AH84)/SUM(AD$64:AH$64))</f>
        <v>0.51413532637550152</v>
      </c>
      <c r="AK84" s="110">
        <f t="shared" si="66"/>
        <v>0.51112723493033863</v>
      </c>
      <c r="AL84" s="110">
        <f t="shared" si="66"/>
        <v>0.62565982331876446</v>
      </c>
      <c r="AM84" s="110">
        <f t="shared" si="66"/>
        <v>0.59949583057429057</v>
      </c>
    </row>
    <row r="85" spans="1:39">
      <c r="A85" s="106" t="s">
        <v>122</v>
      </c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9">
        <v>0.75</v>
      </c>
      <c r="X85" s="109">
        <v>0.34599999999999997</v>
      </c>
      <c r="Y85" s="109">
        <v>0.53400000000000003</v>
      </c>
      <c r="Z85" s="109">
        <v>0.86899999999999999</v>
      </c>
      <c r="AA85" s="109">
        <v>1.2170000000000001</v>
      </c>
      <c r="AB85" s="109">
        <v>0.65200000000000002</v>
      </c>
      <c r="AC85" s="109">
        <v>0.64300000000000002</v>
      </c>
      <c r="AD85" s="109">
        <v>0.60099999999999998</v>
      </c>
      <c r="AE85" s="109">
        <v>0.23699999999999999</v>
      </c>
      <c r="AF85" s="109">
        <v>0.68500000000000005</v>
      </c>
      <c r="AG85" s="109">
        <v>1.0840000000000001</v>
      </c>
      <c r="AH85" s="110">
        <f t="shared" si="64"/>
        <v>0.43196345632079963</v>
      </c>
      <c r="AI85" s="110">
        <f t="shared" si="65"/>
        <v>0.47899072968710854</v>
      </c>
      <c r="AJ85" s="110">
        <f t="shared" si="66"/>
        <v>0.45899552271153465</v>
      </c>
      <c r="AK85" s="110">
        <f t="shared" si="66"/>
        <v>0.45274635034579819</v>
      </c>
      <c r="AL85" s="110">
        <f t="shared" si="66"/>
        <v>0.5467124808359215</v>
      </c>
      <c r="AM85" s="110">
        <f t="shared" si="66"/>
        <v>0.55365639220290297</v>
      </c>
    </row>
    <row r="86" spans="1:39">
      <c r="A86" s="106" t="s">
        <v>123</v>
      </c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9">
        <v>1.117</v>
      </c>
      <c r="X86" s="109">
        <v>0.55500000000000005</v>
      </c>
      <c r="Y86" s="109">
        <v>0.214</v>
      </c>
      <c r="Z86" s="109">
        <v>0.99299999999999999</v>
      </c>
      <c r="AA86" s="109">
        <v>0.57599999999999996</v>
      </c>
      <c r="AB86" s="109">
        <v>0.92600000000000005</v>
      </c>
      <c r="AC86" s="109">
        <v>0.69299999999999995</v>
      </c>
      <c r="AD86" s="109">
        <v>0.34</v>
      </c>
      <c r="AE86" s="109">
        <v>0.112</v>
      </c>
      <c r="AF86" s="109">
        <v>0.95899999999999996</v>
      </c>
      <c r="AG86" s="109">
        <v>0.35899999999999999</v>
      </c>
      <c r="AH86" s="110">
        <f t="shared" si="64"/>
        <v>0.46446035225408905</v>
      </c>
      <c r="AI86" s="110">
        <f t="shared" si="65"/>
        <v>0.36300128222133793</v>
      </c>
      <c r="AJ86" s="110">
        <f t="shared" si="66"/>
        <v>0.33748589349697</v>
      </c>
      <c r="AK86" s="110">
        <f t="shared" si="66"/>
        <v>0.35038517949888665</v>
      </c>
      <c r="AL86" s="110">
        <f t="shared" si="66"/>
        <v>0.43245624453059245</v>
      </c>
      <c r="AM86" s="110">
        <f t="shared" si="66"/>
        <v>0.35701575380405404</v>
      </c>
    </row>
    <row r="87" spans="1:39">
      <c r="A87" s="106" t="s">
        <v>124</v>
      </c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9">
        <v>0.73399999999999999</v>
      </c>
      <c r="X87" s="109">
        <v>0.61199999999999999</v>
      </c>
      <c r="Y87" s="109">
        <v>1.079</v>
      </c>
      <c r="Z87" s="109">
        <v>1.034</v>
      </c>
      <c r="AA87" s="109">
        <v>0.44900000000000001</v>
      </c>
      <c r="AB87" s="109">
        <v>0.96799999999999997</v>
      </c>
      <c r="AC87" s="109">
        <v>0.54200000000000004</v>
      </c>
      <c r="AD87" s="109">
        <v>0.189</v>
      </c>
      <c r="AE87" s="109">
        <v>1.077</v>
      </c>
      <c r="AF87" s="109">
        <v>1.2370000000000001</v>
      </c>
      <c r="AG87" s="109">
        <v>1.0389999999999999</v>
      </c>
      <c r="AH87" s="110">
        <f t="shared" si="64"/>
        <v>0.61514171405797324</v>
      </c>
      <c r="AI87" s="110">
        <f t="shared" si="65"/>
        <v>0.60190712001296953</v>
      </c>
      <c r="AJ87" s="110">
        <f t="shared" si="66"/>
        <v>0.62788166473711615</v>
      </c>
      <c r="AK87" s="110">
        <f t="shared" si="66"/>
        <v>0.70932650929268981</v>
      </c>
      <c r="AL87" s="110">
        <f t="shared" si="66"/>
        <v>0.71774457873518394</v>
      </c>
      <c r="AM87" s="110">
        <f t="shared" si="66"/>
        <v>0.68442990630490463</v>
      </c>
    </row>
    <row r="88" spans="1:39">
      <c r="A88" s="106" t="s">
        <v>125</v>
      </c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9">
        <v>1.363</v>
      </c>
      <c r="X88" s="109">
        <v>1.351</v>
      </c>
      <c r="Y88" s="109">
        <v>0.88600000000000001</v>
      </c>
      <c r="Z88" s="109">
        <v>0.64</v>
      </c>
      <c r="AA88" s="109">
        <v>0.622</v>
      </c>
      <c r="AB88" s="109">
        <v>0.432</v>
      </c>
      <c r="AC88" s="109">
        <v>0.68899999999999995</v>
      </c>
      <c r="AD88" s="109">
        <v>0.187</v>
      </c>
      <c r="AE88" s="109">
        <v>5.2759999999999998</v>
      </c>
      <c r="AF88" s="109">
        <v>0.88300000000000001</v>
      </c>
      <c r="AG88" s="110">
        <f>AG$64*(SUM(AA88:AE88)/SUM(AA$64:AE$64))-0.4</f>
        <v>1.1820950574349247</v>
      </c>
      <c r="AH88" s="110">
        <f>AH$64*(SUM(AB88:AF88)/SUM(AB$64:AF$64))</f>
        <v>1.1445958581786411</v>
      </c>
      <c r="AI88" s="110">
        <f t="shared" si="65"/>
        <v>1.2110499561443346</v>
      </c>
      <c r="AJ88" s="110">
        <f t="shared" si="66"/>
        <v>1.3098960738892849</v>
      </c>
      <c r="AK88" s="110">
        <f t="shared" si="66"/>
        <v>1.5050507344257</v>
      </c>
      <c r="AL88" s="110">
        <f t="shared" si="66"/>
        <v>0.99810797625136027</v>
      </c>
      <c r="AM88" s="110">
        <f t="shared" si="66"/>
        <v>1.2100357485853115</v>
      </c>
    </row>
    <row r="89" spans="1:39">
      <c r="A89" s="106" t="s">
        <v>126</v>
      </c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9">
        <v>0.98299999999999998</v>
      </c>
      <c r="X89" s="109">
        <v>0.35499999999999998</v>
      </c>
      <c r="Y89" s="109">
        <v>0.67400000000000004</v>
      </c>
      <c r="Z89" s="109">
        <v>1.2769999999999999</v>
      </c>
      <c r="AA89" s="109">
        <v>0.79500000000000004</v>
      </c>
      <c r="AB89" s="109">
        <v>0.96199999999999997</v>
      </c>
      <c r="AC89" s="109">
        <v>1.123</v>
      </c>
      <c r="AD89" s="109">
        <v>0.26300000000000001</v>
      </c>
      <c r="AE89" s="109">
        <v>2.7759999999999998</v>
      </c>
      <c r="AF89" s="109">
        <v>0.86399999999999999</v>
      </c>
      <c r="AG89" s="110">
        <f t="shared" ref="AG89" si="67">AG$64*(SUM(AA89:AE89)/SUM(AA$64:AE$64))-0.2</f>
        <v>1.0995310359363475</v>
      </c>
      <c r="AH89" s="110">
        <f t="shared" ref="AH89:AH94" si="68">AH$64*(SUM(AB89:AF89)/SUM(AB$64:AF$64))</f>
        <v>0.91788402287045701</v>
      </c>
      <c r="AI89" s="110">
        <f t="shared" si="65"/>
        <v>0.9027915632689788</v>
      </c>
      <c r="AJ89" s="110">
        <f t="shared" si="66"/>
        <v>0.89420094833131492</v>
      </c>
      <c r="AK89" s="110">
        <f t="shared" si="66"/>
        <v>1.0182229189290033</v>
      </c>
      <c r="AL89" s="110">
        <f t="shared" si="66"/>
        <v>0.81484064624350738</v>
      </c>
      <c r="AM89" s="110">
        <f t="shared" si="66"/>
        <v>0.92050104558782886</v>
      </c>
    </row>
    <row r="90" spans="1:39">
      <c r="A90" s="106" t="s">
        <v>127</v>
      </c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9">
        <v>1.796</v>
      </c>
      <c r="X90" s="109">
        <v>1.347</v>
      </c>
      <c r="Y90" s="109">
        <v>0.56200000000000006</v>
      </c>
      <c r="Z90" s="109">
        <v>0.44500000000000001</v>
      </c>
      <c r="AA90" s="109">
        <v>1.2589999999999999</v>
      </c>
      <c r="AB90" s="109">
        <v>0.377</v>
      </c>
      <c r="AC90" s="109">
        <v>0.61499999999999999</v>
      </c>
      <c r="AD90" s="109">
        <v>0.193</v>
      </c>
      <c r="AE90" s="109">
        <v>1.0289999999999999</v>
      </c>
      <c r="AF90" s="109">
        <v>1.0169999999999999</v>
      </c>
      <c r="AG90" s="110">
        <f>AG$64*(SUM(AA90:AE90)/SUM(AA$64:AE$64))-0.3</f>
        <v>0.46250570836407073</v>
      </c>
      <c r="AH90" s="110">
        <f t="shared" si="68"/>
        <v>0.4952710884927265</v>
      </c>
      <c r="AI90" s="110">
        <f t="shared" si="65"/>
        <v>0.48879245823408218</v>
      </c>
      <c r="AJ90" s="110">
        <f t="shared" si="66"/>
        <v>0.48283115541041205</v>
      </c>
      <c r="AK90" s="110">
        <f t="shared" si="66"/>
        <v>0.54208872774118078</v>
      </c>
      <c r="AL90" s="110">
        <f t="shared" si="66"/>
        <v>0.5131760708005384</v>
      </c>
      <c r="AM90" s="110">
        <f t="shared" si="66"/>
        <v>0.47075983585570902</v>
      </c>
    </row>
    <row r="91" spans="1:39">
      <c r="A91" s="106" t="s">
        <v>128</v>
      </c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9">
        <v>1.5720000000000001</v>
      </c>
      <c r="X91" s="109">
        <v>1.2609999999999999</v>
      </c>
      <c r="Y91" s="109">
        <v>0.53900000000000003</v>
      </c>
      <c r="Z91" s="109">
        <v>0.46200000000000002</v>
      </c>
      <c r="AA91" s="109">
        <v>0.56699999999999995</v>
      </c>
      <c r="AB91" s="109">
        <v>0.56799999999999995</v>
      </c>
      <c r="AC91" s="109">
        <v>0.74199999999999999</v>
      </c>
      <c r="AD91" s="109">
        <v>0.36299999999999999</v>
      </c>
      <c r="AE91" s="109">
        <v>1.3839999999999999</v>
      </c>
      <c r="AF91" s="109">
        <v>1.0229999999999999</v>
      </c>
      <c r="AG91" s="110">
        <f t="shared" ref="AG91:AG94" si="69">AG$64*(SUM(AA91:AE91)/SUM(AA$64:AE$64))-0.3</f>
        <v>0.49565813046685642</v>
      </c>
      <c r="AH91" s="110">
        <f t="shared" si="68"/>
        <v>0.62541195947085249</v>
      </c>
      <c r="AI91" s="110">
        <f t="shared" si="65"/>
        <v>0.59065572069193617</v>
      </c>
      <c r="AJ91" s="110">
        <f t="shared" si="66"/>
        <v>0.58769503993984329</v>
      </c>
      <c r="AK91" s="110">
        <f t="shared" si="66"/>
        <v>0.63927575132390346</v>
      </c>
      <c r="AL91" s="110">
        <f t="shared" si="66"/>
        <v>0.57866774372019314</v>
      </c>
      <c r="AM91" s="110">
        <f t="shared" si="66"/>
        <v>0.55975173369397935</v>
      </c>
    </row>
    <row r="92" spans="1:39">
      <c r="A92" s="106" t="s">
        <v>129</v>
      </c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9">
        <v>0.8</v>
      </c>
      <c r="X92" s="109">
        <v>0.54</v>
      </c>
      <c r="Y92" s="109">
        <v>2.9769999999999999</v>
      </c>
      <c r="Z92" s="109">
        <v>0.56599999999999995</v>
      </c>
      <c r="AA92" s="109">
        <v>0.94099999999999995</v>
      </c>
      <c r="AB92" s="109">
        <v>0.36499999999999999</v>
      </c>
      <c r="AC92" s="109">
        <v>0.44</v>
      </c>
      <c r="AD92" s="109">
        <v>0.42299999999999999</v>
      </c>
      <c r="AE92" s="109">
        <v>1.6559999999999999</v>
      </c>
      <c r="AF92" s="109">
        <v>0.70599999999999996</v>
      </c>
      <c r="AG92" s="110">
        <f t="shared" si="69"/>
        <v>0.53978817578248517</v>
      </c>
      <c r="AH92" s="110">
        <f t="shared" si="68"/>
        <v>0.55030120943636285</v>
      </c>
      <c r="AI92" s="110">
        <f t="shared" si="65"/>
        <v>0.55486111859552334</v>
      </c>
      <c r="AJ92" s="110">
        <f t="shared" si="66"/>
        <v>0.58528136434908362</v>
      </c>
      <c r="AK92" s="110">
        <f t="shared" si="66"/>
        <v>0.62192688020959386</v>
      </c>
      <c r="AL92" s="110">
        <f t="shared" si="66"/>
        <v>0.51140501056578502</v>
      </c>
      <c r="AM92" s="110">
        <f t="shared" si="66"/>
        <v>0.5432683330234378</v>
      </c>
    </row>
    <row r="93" spans="1:39">
      <c r="A93" s="106" t="s">
        <v>130</v>
      </c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9">
        <v>3.02</v>
      </c>
      <c r="X93" s="109">
        <v>1.1080000000000001</v>
      </c>
      <c r="Y93" s="109">
        <v>1</v>
      </c>
      <c r="Z93" s="109">
        <v>0.43</v>
      </c>
      <c r="AA93" s="109">
        <v>1.012</v>
      </c>
      <c r="AB93" s="109">
        <v>0.80300000000000005</v>
      </c>
      <c r="AC93" s="109">
        <v>0.308</v>
      </c>
      <c r="AD93" s="109">
        <v>0.48599999999999999</v>
      </c>
      <c r="AE93" s="109">
        <v>1.8939999999999999</v>
      </c>
      <c r="AF93" s="109">
        <v>0.61299999999999999</v>
      </c>
      <c r="AG93" s="110">
        <f t="shared" si="69"/>
        <v>0.68864474654863539</v>
      </c>
      <c r="AH93" s="110">
        <f t="shared" si="68"/>
        <v>0.62909085335009263</v>
      </c>
      <c r="AI93" s="110">
        <f t="shared" si="65"/>
        <v>0.5880008764128215</v>
      </c>
      <c r="AJ93" s="110">
        <f t="shared" si="66"/>
        <v>0.65108000421373657</v>
      </c>
      <c r="AK93" s="110">
        <f t="shared" si="66"/>
        <v>0.68490974053385945</v>
      </c>
      <c r="AL93" s="110">
        <f t="shared" si="66"/>
        <v>0.55208856231390513</v>
      </c>
      <c r="AM93" s="110">
        <f t="shared" si="66"/>
        <v>0.61747166115412289</v>
      </c>
    </row>
    <row r="94" spans="1:39">
      <c r="A94" s="106" t="s">
        <v>131</v>
      </c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9">
        <v>0.53300000000000003</v>
      </c>
      <c r="X94" s="109">
        <v>0.61399999999999999</v>
      </c>
      <c r="Y94" s="109">
        <v>1.3460000000000001</v>
      </c>
      <c r="Z94" s="109">
        <v>1.3160000000000001</v>
      </c>
      <c r="AA94" s="109">
        <v>0.80600000000000005</v>
      </c>
      <c r="AB94" s="109">
        <v>0.60099999999999998</v>
      </c>
      <c r="AC94" s="109">
        <v>0.48</v>
      </c>
      <c r="AD94" s="109">
        <v>0.35299999999999998</v>
      </c>
      <c r="AE94" s="109">
        <v>0.90300000000000002</v>
      </c>
      <c r="AF94" s="109">
        <v>0.94799999999999995</v>
      </c>
      <c r="AG94" s="110">
        <f t="shared" si="69"/>
        <v>0.39005339515930743</v>
      </c>
      <c r="AH94" s="110">
        <f t="shared" si="68"/>
        <v>0.50354859972101718</v>
      </c>
      <c r="AI94" s="110">
        <f t="shared" si="65"/>
        <v>0.45305940887522772</v>
      </c>
      <c r="AJ94" s="110">
        <f t="shared" si="66"/>
        <v>0.46785210392549714</v>
      </c>
      <c r="AK94" s="110">
        <f t="shared" si="66"/>
        <v>0.49631548453398405</v>
      </c>
      <c r="AL94" s="110">
        <f t="shared" si="66"/>
        <v>0.4811483946148305</v>
      </c>
      <c r="AM94" s="110">
        <f t="shared" si="66"/>
        <v>0.44015790327905402</v>
      </c>
    </row>
    <row r="95" spans="1:39">
      <c r="A95" s="106" t="s">
        <v>132</v>
      </c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9">
        <v>1.6879999999999999</v>
      </c>
      <c r="X95" s="109">
        <v>0.32600000000000001</v>
      </c>
      <c r="Y95" s="109">
        <v>2.4860000000000002</v>
      </c>
      <c r="Z95" s="109">
        <v>0.81200000000000006</v>
      </c>
      <c r="AA95" s="109">
        <v>0.79400000000000004</v>
      </c>
      <c r="AB95" s="109">
        <v>0.71599999999999997</v>
      </c>
      <c r="AC95" s="109">
        <v>0.75700000000000001</v>
      </c>
      <c r="AD95" s="109">
        <v>0.35599999999999998</v>
      </c>
      <c r="AE95" s="109">
        <v>1.151</v>
      </c>
      <c r="AF95" s="109">
        <v>1.3360000000000001</v>
      </c>
      <c r="AG95" s="110">
        <f>AG96-SUM(AG84:AG94)</f>
        <v>6.6707237503073724</v>
      </c>
      <c r="AH95" s="110">
        <f>AH96-SUM(AH84:AH94)</f>
        <v>8.0632923034474295</v>
      </c>
      <c r="AI95" s="110">
        <f t="shared" ref="AI95:AM95" si="70">AI96-SUM(AI84:AI94)</f>
        <v>8.1928377990460532</v>
      </c>
      <c r="AJ95" s="110">
        <f t="shared" si="70"/>
        <v>8.0826649026197046</v>
      </c>
      <c r="AK95" s="110">
        <f t="shared" si="70"/>
        <v>7.4686244882350632</v>
      </c>
      <c r="AL95" s="110">
        <f t="shared" si="70"/>
        <v>8.2279924680694165</v>
      </c>
      <c r="AM95" s="110">
        <f t="shared" si="70"/>
        <v>8.043455855934404</v>
      </c>
    </row>
    <row r="96" spans="1:39" ht="16.5" thickBot="1">
      <c r="A96" s="111" t="s">
        <v>133</v>
      </c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>
        <f t="shared" ref="W96" si="71">SUM(W84:W95)</f>
        <v>16.001000000000001</v>
      </c>
      <c r="X96" s="111">
        <f t="shared" ref="X96:Y96" si="72">SUM(X84:X95)</f>
        <v>10.431000000000003</v>
      </c>
      <c r="Y96" s="111">
        <f t="shared" si="72"/>
        <v>13.05</v>
      </c>
      <c r="Z96" s="111">
        <f>SUM(Z84:Z95)</f>
        <v>10.212</v>
      </c>
      <c r="AA96" s="111">
        <f t="shared" ref="AA96:AF96" si="73">SUM(AA84:AA95)</f>
        <v>9.8569999999999993</v>
      </c>
      <c r="AB96" s="111">
        <f t="shared" si="73"/>
        <v>8.1109999999999989</v>
      </c>
      <c r="AC96" s="111">
        <f t="shared" si="73"/>
        <v>8.0820000000000007</v>
      </c>
      <c r="AD96" s="111">
        <f t="shared" si="73"/>
        <v>4.4390000000000001</v>
      </c>
      <c r="AE96" s="111">
        <f t="shared" si="73"/>
        <v>17.71</v>
      </c>
      <c r="AF96" s="111">
        <f t="shared" si="73"/>
        <v>11.227</v>
      </c>
      <c r="AG96" s="112">
        <f t="shared" ref="AG96:AL96" si="74">AG25</f>
        <v>15</v>
      </c>
      <c r="AH96" s="112">
        <f t="shared" si="74"/>
        <v>15</v>
      </c>
      <c r="AI96" s="112">
        <f t="shared" si="74"/>
        <v>15</v>
      </c>
      <c r="AJ96" s="112">
        <f t="shared" si="74"/>
        <v>15</v>
      </c>
      <c r="AK96" s="112">
        <f t="shared" si="74"/>
        <v>15</v>
      </c>
      <c r="AL96" s="112">
        <f t="shared" si="74"/>
        <v>15</v>
      </c>
      <c r="AM96" s="112">
        <f>AM25</f>
        <v>15</v>
      </c>
    </row>
    <row r="97" ht="16.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4</vt:i4>
      </vt:variant>
    </vt:vector>
  </HeadingPairs>
  <TitlesOfParts>
    <vt:vector size="8" baseType="lpstr">
      <vt:lpstr>Oilseed</vt:lpstr>
      <vt:lpstr>Protein Meal</vt:lpstr>
      <vt:lpstr>Vegetable Oil</vt:lpstr>
      <vt:lpstr>EU Palm Oil</vt:lpstr>
      <vt:lpstr>Chart1</vt:lpstr>
      <vt:lpstr>Chart - Per Cap - Total </vt:lpstr>
      <vt:lpstr>Chart2</vt:lpstr>
      <vt:lpstr>Chart3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2025-07-15T09:36:01Z</dcterms:created>
  <dcterms:modified xsi:type="dcterms:W3CDTF">2025-07-15T09:36:32Z</dcterms:modified>
</cp:coreProperties>
</file>