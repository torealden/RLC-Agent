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09F5CA9C-AB26-4E61-A38E-330CAF3B0A6C}" xr6:coauthVersionLast="47" xr6:coauthVersionMax="47" xr10:uidLastSave="{00000000-0000-0000-0000-000000000000}"/>
  <bookViews>
    <workbookView xWindow="1545" yWindow="630" windowWidth="27240" windowHeight="14550" xr2:uid="{02A1BD72-2284-4B0B-93F5-A86E4A2DC5C5}"/>
  </bookViews>
  <sheets>
    <sheet name="Data" sheetId="1" r:id="rId1"/>
    <sheet name="Quarterly Residual" sheetId="2" r:id="rId2"/>
    <sheet name="SepNov Res vs Expo Change" sheetId="3" r:id="rId3"/>
    <sheet name="Crop Rev vs Sep-Feb Residual" sheetId="4" r:id="rId4"/>
    <sheet name="Crop Rev vs Sep-May Residual" sheetId="5" r:id="rId5"/>
    <sheet name="Crop Rev vs MY Residual" sheetId="6" r:id="rId6"/>
    <sheet name="DecFeb Res vs Expo Change" sheetId="7" r:id="rId7"/>
    <sheet name="MarMay vs Expo Change" sheetId="8" r:id="rId8"/>
    <sheet name="MarMay vs. Census - Inspections" sheetId="9" r:id="rId9"/>
    <sheet name="MarMay Res vs 1st Half Res" sheetId="10" r:id="rId10"/>
    <sheet name="JunAug Res vs Expo Change" sheetId="11" r:id="rId11"/>
    <sheet name="Q1 Res Use vs Q2 Res Use" sheetId="12" r:id="rId12"/>
    <sheet name="SepNov Res vs Early Harvest" sheetId="13" r:id="rId13"/>
  </sheets>
  <externalReferences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11" i="1" l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Y92" i="1" s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AY109" i="1"/>
  <c r="AY90" i="1" s="1"/>
  <c r="AY95" i="1" s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AX103" i="1"/>
  <c r="AW103" i="1"/>
  <c r="AV103" i="1"/>
  <c r="AU103" i="1"/>
  <c r="AT103" i="1"/>
  <c r="AS103" i="1"/>
  <c r="AR103" i="1"/>
  <c r="AQ103" i="1"/>
  <c r="AA103" i="1"/>
  <c r="Z103" i="1"/>
  <c r="Y103" i="1"/>
  <c r="X103" i="1"/>
  <c r="W103" i="1"/>
  <c r="V103" i="1"/>
  <c r="U103" i="1"/>
  <c r="E103" i="1"/>
  <c r="D103" i="1"/>
  <c r="C103" i="1"/>
  <c r="B103" i="1"/>
  <c r="AY102" i="1"/>
  <c r="AY103" i="1" s="1"/>
  <c r="AX102" i="1"/>
  <c r="AV102" i="1"/>
  <c r="AU102" i="1"/>
  <c r="AT102" i="1"/>
  <c r="AS102" i="1"/>
  <c r="AR102" i="1"/>
  <c r="AQ102" i="1"/>
  <c r="AP102" i="1"/>
  <c r="AP103" i="1" s="1"/>
  <c r="AO102" i="1"/>
  <c r="AO103" i="1" s="1"/>
  <c r="AN102" i="1"/>
  <c r="AN103" i="1" s="1"/>
  <c r="AM102" i="1"/>
  <c r="AM103" i="1" s="1"/>
  <c r="AL102" i="1"/>
  <c r="AL103" i="1" s="1"/>
  <c r="AK102" i="1"/>
  <c r="AK103" i="1" s="1"/>
  <c r="AJ102" i="1"/>
  <c r="AJ103" i="1" s="1"/>
  <c r="AI102" i="1"/>
  <c r="AI103" i="1" s="1"/>
  <c r="AH102" i="1"/>
  <c r="AH103" i="1" s="1"/>
  <c r="AG102" i="1"/>
  <c r="AG103" i="1" s="1"/>
  <c r="AF102" i="1"/>
  <c r="AF103" i="1" s="1"/>
  <c r="AE102" i="1"/>
  <c r="AE103" i="1" s="1"/>
  <c r="AD102" i="1"/>
  <c r="AD103" i="1" s="1"/>
  <c r="AC102" i="1"/>
  <c r="AC103" i="1" s="1"/>
  <c r="AB102" i="1"/>
  <c r="AB103" i="1" s="1"/>
  <c r="AA102" i="1"/>
  <c r="Z102" i="1"/>
  <c r="Y102" i="1"/>
  <c r="X102" i="1"/>
  <c r="W102" i="1"/>
  <c r="V102" i="1"/>
  <c r="U102" i="1"/>
  <c r="T102" i="1"/>
  <c r="T103" i="1" s="1"/>
  <c r="S102" i="1"/>
  <c r="S103" i="1" s="1"/>
  <c r="R102" i="1"/>
  <c r="R103" i="1" s="1"/>
  <c r="Q102" i="1"/>
  <c r="Q103" i="1" s="1"/>
  <c r="P102" i="1"/>
  <c r="P103" i="1" s="1"/>
  <c r="O102" i="1"/>
  <c r="O103" i="1" s="1"/>
  <c r="N102" i="1"/>
  <c r="N103" i="1" s="1"/>
  <c r="M102" i="1"/>
  <c r="M103" i="1" s="1"/>
  <c r="L102" i="1"/>
  <c r="L103" i="1" s="1"/>
  <c r="K102" i="1"/>
  <c r="K103" i="1" s="1"/>
  <c r="J102" i="1"/>
  <c r="J103" i="1" s="1"/>
  <c r="I102" i="1"/>
  <c r="I103" i="1" s="1"/>
  <c r="H102" i="1"/>
  <c r="H103" i="1" s="1"/>
  <c r="G102" i="1"/>
  <c r="G103" i="1" s="1"/>
  <c r="F102" i="1"/>
  <c r="F103" i="1" s="1"/>
  <c r="E102" i="1"/>
  <c r="D102" i="1"/>
  <c r="C102" i="1"/>
  <c r="B102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AG86" i="1"/>
  <c r="AF86" i="1"/>
  <c r="AE86" i="1"/>
  <c r="AD86" i="1"/>
  <c r="AY84" i="1"/>
  <c r="AR82" i="1"/>
  <c r="V82" i="1"/>
  <c r="AY81" i="1"/>
  <c r="AX81" i="1"/>
  <c r="AW81" i="1"/>
  <c r="AV81" i="1"/>
  <c r="AE81" i="1"/>
  <c r="AD81" i="1"/>
  <c r="AC81" i="1"/>
  <c r="AB81" i="1"/>
  <c r="AA81" i="1"/>
  <c r="Z81" i="1"/>
  <c r="V78" i="1"/>
  <c r="U78" i="1"/>
  <c r="T78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AY76" i="1"/>
  <c r="AX76" i="1"/>
  <c r="AW76" i="1"/>
  <c r="AV76" i="1"/>
  <c r="AU76" i="1"/>
  <c r="AT76" i="1"/>
  <c r="AS76" i="1"/>
  <c r="AS86" i="1" s="1"/>
  <c r="AR76" i="1"/>
  <c r="AR86" i="1" s="1"/>
  <c r="AQ76" i="1"/>
  <c r="AQ86" i="1" s="1"/>
  <c r="AP76" i="1"/>
  <c r="AP86" i="1" s="1"/>
  <c r="AO76" i="1"/>
  <c r="AO86" i="1" s="1"/>
  <c r="AN76" i="1"/>
  <c r="AN86" i="1" s="1"/>
  <c r="AM76" i="1"/>
  <c r="AM86" i="1" s="1"/>
  <c r="AL76" i="1"/>
  <c r="AL86" i="1" s="1"/>
  <c r="AK76" i="1"/>
  <c r="AK86" i="1" s="1"/>
  <c r="AJ76" i="1"/>
  <c r="AJ86" i="1" s="1"/>
  <c r="AI76" i="1"/>
  <c r="AI86" i="1" s="1"/>
  <c r="AH76" i="1"/>
  <c r="AG76" i="1"/>
  <c r="AF76" i="1"/>
  <c r="AE76" i="1"/>
  <c r="AD76" i="1"/>
  <c r="AC76" i="1"/>
  <c r="AB76" i="1"/>
  <c r="AA76" i="1"/>
  <c r="Z76" i="1"/>
  <c r="Y76" i="1"/>
  <c r="X76" i="1"/>
  <c r="W76" i="1"/>
  <c r="W86" i="1" s="1"/>
  <c r="V76" i="1"/>
  <c r="V86" i="1" s="1"/>
  <c r="U76" i="1"/>
  <c r="U86" i="1" s="1"/>
  <c r="T76" i="1"/>
  <c r="T86" i="1" s="1"/>
  <c r="AY75" i="1"/>
  <c r="AY83" i="1" s="1"/>
  <c r="AX75" i="1"/>
  <c r="AX82" i="1" s="1"/>
  <c r="AW75" i="1"/>
  <c r="AV75" i="1"/>
  <c r="AU75" i="1"/>
  <c r="AU82" i="1" s="1"/>
  <c r="AT75" i="1"/>
  <c r="AT82" i="1" s="1"/>
  <c r="AS75" i="1"/>
  <c r="AS82" i="1" s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Z82" i="1" s="1"/>
  <c r="Y75" i="1"/>
  <c r="Y82" i="1" s="1"/>
  <c r="X75" i="1"/>
  <c r="X84" i="1" s="1"/>
  <c r="W75" i="1"/>
  <c r="W78" i="1" s="1"/>
  <c r="V75" i="1"/>
  <c r="U75" i="1"/>
  <c r="T75" i="1"/>
  <c r="AY74" i="1"/>
  <c r="AX74" i="1"/>
  <c r="AW74" i="1"/>
  <c r="AV74" i="1"/>
  <c r="AU74" i="1"/>
  <c r="AU81" i="1" s="1"/>
  <c r="AT74" i="1"/>
  <c r="AT81" i="1" s="1"/>
  <c r="AS74" i="1"/>
  <c r="AS81" i="1" s="1"/>
  <c r="AR74" i="1"/>
  <c r="AR81" i="1" s="1"/>
  <c r="AQ74" i="1"/>
  <c r="AQ84" i="1" s="1"/>
  <c r="AP74" i="1"/>
  <c r="AP84" i="1" s="1"/>
  <c r="AO74" i="1"/>
  <c r="AO82" i="1" s="1"/>
  <c r="AN74" i="1"/>
  <c r="AM74" i="1"/>
  <c r="AM82" i="1" s="1"/>
  <c r="AL74" i="1"/>
  <c r="AL82" i="1" s="1"/>
  <c r="AK74" i="1"/>
  <c r="AJ74" i="1"/>
  <c r="AJ83" i="1" s="1"/>
  <c r="AI74" i="1"/>
  <c r="AI81" i="1" s="1"/>
  <c r="AH74" i="1"/>
  <c r="AG74" i="1"/>
  <c r="AF74" i="1"/>
  <c r="AE74" i="1"/>
  <c r="AD74" i="1"/>
  <c r="AC74" i="1"/>
  <c r="AB74" i="1"/>
  <c r="AA74" i="1"/>
  <c r="Z74" i="1"/>
  <c r="Y74" i="1"/>
  <c r="Y81" i="1" s="1"/>
  <c r="X74" i="1"/>
  <c r="X81" i="1" s="1"/>
  <c r="W74" i="1"/>
  <c r="W81" i="1" s="1"/>
  <c r="V74" i="1"/>
  <c r="V81" i="1" s="1"/>
  <c r="U74" i="1"/>
  <c r="U84" i="1" s="1"/>
  <c r="T74" i="1"/>
  <c r="T84" i="1" s="1"/>
  <c r="AY71" i="1"/>
  <c r="AX71" i="1"/>
  <c r="AW71" i="1"/>
  <c r="AV71" i="1"/>
  <c r="AU71" i="1"/>
  <c r="AT71" i="1"/>
  <c r="AS71" i="1"/>
  <c r="AR71" i="1"/>
  <c r="AO58" i="1"/>
  <c r="AN58" i="1"/>
  <c r="AM58" i="1"/>
  <c r="AL58" i="1"/>
  <c r="AK58" i="1"/>
  <c r="AJ58" i="1"/>
  <c r="AI58" i="1"/>
  <c r="AU57" i="1"/>
  <c r="AD57" i="1"/>
  <c r="AC57" i="1"/>
  <c r="AB57" i="1"/>
  <c r="AA57" i="1"/>
  <c r="Z57" i="1"/>
  <c r="Y57" i="1"/>
  <c r="X57" i="1"/>
  <c r="W57" i="1"/>
  <c r="V57" i="1"/>
  <c r="AJ56" i="1"/>
  <c r="AX55" i="1"/>
  <c r="AW55" i="1"/>
  <c r="AV55" i="1"/>
  <c r="U55" i="1"/>
  <c r="U62" i="1" s="1"/>
  <c r="AN42" i="1"/>
  <c r="AK42" i="1"/>
  <c r="AJ42" i="1"/>
  <c r="AI42" i="1"/>
  <c r="AH42" i="1"/>
  <c r="AG42" i="1"/>
  <c r="AF42" i="1"/>
  <c r="T42" i="1"/>
  <c r="AY41" i="1"/>
  <c r="AX41" i="1"/>
  <c r="AW41" i="1"/>
  <c r="AD41" i="1"/>
  <c r="AC41" i="1"/>
  <c r="AB41" i="1"/>
  <c r="AA41" i="1"/>
  <c r="Z41" i="1"/>
  <c r="Y41" i="1"/>
  <c r="X41" i="1"/>
  <c r="AJ40" i="1"/>
  <c r="AI40" i="1"/>
  <c r="AH40" i="1"/>
  <c r="AG40" i="1"/>
  <c r="AF40" i="1"/>
  <c r="AE40" i="1"/>
  <c r="AX39" i="1"/>
  <c r="AW39" i="1"/>
  <c r="AV39" i="1"/>
  <c r="AU39" i="1"/>
  <c r="AT39" i="1"/>
  <c r="AS39" i="1"/>
  <c r="AR39" i="1"/>
  <c r="AA39" i="1"/>
  <c r="AA46" i="1" s="1"/>
  <c r="Z39" i="1"/>
  <c r="Y39" i="1"/>
  <c r="X39" i="1"/>
  <c r="W39" i="1"/>
  <c r="V39" i="1"/>
  <c r="U39" i="1"/>
  <c r="T39" i="1"/>
  <c r="X29" i="1"/>
  <c r="AS28" i="1"/>
  <c r="AR28" i="1"/>
  <c r="AQ28" i="1"/>
  <c r="AO24" i="1"/>
  <c r="AN24" i="1"/>
  <c r="AM24" i="1"/>
  <c r="AL24" i="1"/>
  <c r="AK24" i="1"/>
  <c r="AJ24" i="1"/>
  <c r="AI24" i="1"/>
  <c r="AH24" i="1"/>
  <c r="AH58" i="1" s="1"/>
  <c r="AG24" i="1"/>
  <c r="AG58" i="1" s="1"/>
  <c r="AF24" i="1"/>
  <c r="AF58" i="1" s="1"/>
  <c r="T24" i="1"/>
  <c r="T58" i="1" s="1"/>
  <c r="AU23" i="1"/>
  <c r="AT23" i="1"/>
  <c r="AS23" i="1"/>
  <c r="AD23" i="1"/>
  <c r="AC23" i="1"/>
  <c r="AB23" i="1"/>
  <c r="AA23" i="1"/>
  <c r="Z23" i="1"/>
  <c r="Y23" i="1"/>
  <c r="X23" i="1"/>
  <c r="W23" i="1"/>
  <c r="V23" i="1"/>
  <c r="AN22" i="1"/>
  <c r="AN56" i="1" s="1"/>
  <c r="AK22" i="1"/>
  <c r="AJ22" i="1"/>
  <c r="AJ33" i="1" s="1"/>
  <c r="AI22" i="1"/>
  <c r="AH22" i="1"/>
  <c r="AG22" i="1"/>
  <c r="AX21" i="1"/>
  <c r="AW21" i="1"/>
  <c r="AV21" i="1"/>
  <c r="AR21" i="1"/>
  <c r="AQ21" i="1"/>
  <c r="AP21" i="1"/>
  <c r="AA21" i="1"/>
  <c r="Z21" i="1"/>
  <c r="Z55" i="1" s="1"/>
  <c r="Y21" i="1"/>
  <c r="X21" i="1"/>
  <c r="X28" i="1" s="1"/>
  <c r="W21" i="1"/>
  <c r="W55" i="1" s="1"/>
  <c r="V21" i="1"/>
  <c r="U21" i="1"/>
  <c r="AY18" i="1"/>
  <c r="AK18" i="1"/>
  <c r="AJ18" i="1"/>
  <c r="AG18" i="1"/>
  <c r="AD18" i="1"/>
  <c r="AC18" i="1"/>
  <c r="AB18" i="1"/>
  <c r="AX17" i="1"/>
  <c r="AW17" i="1"/>
  <c r="AV17" i="1"/>
  <c r="AT17" i="1"/>
  <c r="AS17" i="1"/>
  <c r="AL17" i="1"/>
  <c r="AA17" i="1"/>
  <c r="X17" i="1"/>
  <c r="AX15" i="1"/>
  <c r="AW15" i="1"/>
  <c r="AV15" i="1"/>
  <c r="AL15" i="1"/>
  <c r="AB15" i="1"/>
  <c r="AA15" i="1"/>
  <c r="Z15" i="1"/>
  <c r="AV14" i="1"/>
  <c r="AU14" i="1"/>
  <c r="AT14" i="1"/>
  <c r="Z14" i="1"/>
  <c r="AX13" i="1"/>
  <c r="AW13" i="1"/>
  <c r="AV13" i="1"/>
  <c r="AU13" i="1"/>
  <c r="AT13" i="1"/>
  <c r="AM13" i="1"/>
  <c r="AJ13" i="1"/>
  <c r="AI13" i="1"/>
  <c r="AH13" i="1"/>
  <c r="AB13" i="1"/>
  <c r="AW12" i="1"/>
  <c r="AS12" i="1"/>
  <c r="AR12" i="1"/>
  <c r="AQ12" i="1"/>
  <c r="AM12" i="1"/>
  <c r="AL12" i="1"/>
  <c r="AK12" i="1"/>
  <c r="AJ12" i="1"/>
  <c r="AI12" i="1"/>
  <c r="AH12" i="1"/>
  <c r="W12" i="1"/>
  <c r="V12" i="1"/>
  <c r="U12" i="1"/>
  <c r="AX9" i="1"/>
  <c r="AW9" i="1"/>
  <c r="AK9" i="1"/>
  <c r="AH9" i="1"/>
  <c r="Z9" i="1"/>
  <c r="X9" i="1"/>
  <c r="AY8" i="1"/>
  <c r="AX8" i="1"/>
  <c r="AW8" i="1"/>
  <c r="AV8" i="1"/>
  <c r="AU8" i="1"/>
  <c r="AU17" i="1" s="1"/>
  <c r="AT8" i="1"/>
  <c r="AT42" i="1" s="1"/>
  <c r="AS8" i="1"/>
  <c r="AS42" i="1" s="1"/>
  <c r="AR8" i="1"/>
  <c r="AR42" i="1" s="1"/>
  <c r="AQ8" i="1"/>
  <c r="AP8" i="1"/>
  <c r="AO8" i="1"/>
  <c r="AO42" i="1" s="1"/>
  <c r="AN8" i="1"/>
  <c r="AN18" i="1" s="1"/>
  <c r="AM8" i="1"/>
  <c r="AL8" i="1"/>
  <c r="AK8" i="1"/>
  <c r="AJ8" i="1"/>
  <c r="AI8" i="1"/>
  <c r="AH8" i="1"/>
  <c r="AH15" i="1" s="1"/>
  <c r="AG8" i="1"/>
  <c r="AF8" i="1"/>
  <c r="AE8" i="1"/>
  <c r="AD8" i="1"/>
  <c r="AC8" i="1"/>
  <c r="AB8" i="1"/>
  <c r="AA8" i="1"/>
  <c r="Z8" i="1"/>
  <c r="Y8" i="1"/>
  <c r="Y17" i="1" s="1"/>
  <c r="X8" i="1"/>
  <c r="X42" i="1" s="1"/>
  <c r="W8" i="1"/>
  <c r="W42" i="1" s="1"/>
  <c r="V8" i="1"/>
  <c r="V42" i="1" s="1"/>
  <c r="U8" i="1"/>
  <c r="U24" i="1" s="1"/>
  <c r="U58" i="1" s="1"/>
  <c r="T8" i="1"/>
  <c r="AY7" i="1"/>
  <c r="AY23" i="1" s="1"/>
  <c r="AY57" i="1" s="1"/>
  <c r="AX7" i="1"/>
  <c r="AX23" i="1" s="1"/>
  <c r="AX57" i="1" s="1"/>
  <c r="AW7" i="1"/>
  <c r="AV7" i="1"/>
  <c r="AU7" i="1"/>
  <c r="AT7" i="1"/>
  <c r="AT18" i="1" s="1"/>
  <c r="AS7" i="1"/>
  <c r="AS18" i="1" s="1"/>
  <c r="AR7" i="1"/>
  <c r="AQ7" i="1"/>
  <c r="AP7" i="1"/>
  <c r="AP18" i="1" s="1"/>
  <c r="AO7" i="1"/>
  <c r="AN7" i="1"/>
  <c r="AM7" i="1"/>
  <c r="AL7" i="1"/>
  <c r="AK7" i="1"/>
  <c r="AJ7" i="1"/>
  <c r="AJ23" i="1" s="1"/>
  <c r="AI7" i="1"/>
  <c r="AI23" i="1" s="1"/>
  <c r="AH7" i="1"/>
  <c r="AH41" i="1" s="1"/>
  <c r="AH52" i="1" s="1"/>
  <c r="AG7" i="1"/>
  <c r="AG41" i="1" s="1"/>
  <c r="AG52" i="1" s="1"/>
  <c r="AF7" i="1"/>
  <c r="AF41" i="1" s="1"/>
  <c r="AF52" i="1" s="1"/>
  <c r="AE7" i="1"/>
  <c r="AE41" i="1" s="1"/>
  <c r="AD7" i="1"/>
  <c r="AC7" i="1"/>
  <c r="AB7" i="1"/>
  <c r="AB17" i="1" s="1"/>
  <c r="AA7" i="1"/>
  <c r="AA18" i="1" s="1"/>
  <c r="Z7" i="1"/>
  <c r="Z18" i="1" s="1"/>
  <c r="Y7" i="1"/>
  <c r="X7" i="1"/>
  <c r="X18" i="1" s="1"/>
  <c r="W7" i="1"/>
  <c r="W18" i="1" s="1"/>
  <c r="V7" i="1"/>
  <c r="U7" i="1"/>
  <c r="U23" i="1" s="1"/>
  <c r="U34" i="1" s="1"/>
  <c r="T7" i="1"/>
  <c r="AY6" i="1"/>
  <c r="AX6" i="1"/>
  <c r="AW6" i="1"/>
  <c r="AV6" i="1"/>
  <c r="AU6" i="1"/>
  <c r="AT6" i="1"/>
  <c r="AS6" i="1"/>
  <c r="AS22" i="1" s="1"/>
  <c r="AR6" i="1"/>
  <c r="AR40" i="1" s="1"/>
  <c r="AQ6" i="1"/>
  <c r="AQ40" i="1" s="1"/>
  <c r="AP6" i="1"/>
  <c r="AP40" i="1" s="1"/>
  <c r="AO6" i="1"/>
  <c r="AN6" i="1"/>
  <c r="AM6" i="1"/>
  <c r="AL6" i="1"/>
  <c r="AK6" i="1"/>
  <c r="AJ6" i="1"/>
  <c r="AI6" i="1"/>
  <c r="AH6" i="1"/>
  <c r="AG6" i="1"/>
  <c r="AF6" i="1"/>
  <c r="AF9" i="1" s="1"/>
  <c r="AE6" i="1"/>
  <c r="AD6" i="1"/>
  <c r="AD17" i="1" s="1"/>
  <c r="AC6" i="1"/>
  <c r="AB6" i="1"/>
  <c r="AA6" i="1"/>
  <c r="Z6" i="1"/>
  <c r="Y6" i="1"/>
  <c r="X6" i="1"/>
  <c r="X22" i="1" s="1"/>
  <c r="W6" i="1"/>
  <c r="W9" i="1" s="1"/>
  <c r="V6" i="1"/>
  <c r="V40" i="1" s="1"/>
  <c r="U6" i="1"/>
  <c r="U40" i="1" s="1"/>
  <c r="T6" i="1"/>
  <c r="T22" i="1" s="1"/>
  <c r="AY5" i="1"/>
  <c r="AY12" i="1" s="1"/>
  <c r="AX5" i="1"/>
  <c r="AW5" i="1"/>
  <c r="AV5" i="1"/>
  <c r="AV12" i="1" s="1"/>
  <c r="AU5" i="1"/>
  <c r="AT5" i="1"/>
  <c r="AT12" i="1" s="1"/>
  <c r="AS5" i="1"/>
  <c r="AS21" i="1" s="1"/>
  <c r="AR5" i="1"/>
  <c r="AQ5" i="1"/>
  <c r="AP5" i="1"/>
  <c r="AP12" i="1" s="1"/>
  <c r="AO5" i="1"/>
  <c r="AN5" i="1"/>
  <c r="AN14" i="1" s="1"/>
  <c r="AM5" i="1"/>
  <c r="AL5" i="1"/>
  <c r="AK5" i="1"/>
  <c r="AJ5" i="1"/>
  <c r="AI5" i="1"/>
  <c r="AH5" i="1"/>
  <c r="AH14" i="1" s="1"/>
  <c r="AG5" i="1"/>
  <c r="AF5" i="1"/>
  <c r="AF12" i="1" s="1"/>
  <c r="AE5" i="1"/>
  <c r="AE12" i="1" s="1"/>
  <c r="AD5" i="1"/>
  <c r="AC5" i="1"/>
  <c r="AC15" i="1" s="1"/>
  <c r="AB5" i="1"/>
  <c r="AA5" i="1"/>
  <c r="Z5" i="1"/>
  <c r="Y5" i="1"/>
  <c r="X5" i="1"/>
  <c r="W5" i="1"/>
  <c r="V5" i="1"/>
  <c r="U5" i="1"/>
  <c r="T5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Z62" i="1" l="1"/>
  <c r="AI34" i="1"/>
  <c r="AI57" i="1"/>
  <c r="AI68" i="1" s="1"/>
  <c r="AS25" i="1"/>
  <c r="Y43" i="1"/>
  <c r="V30" i="1"/>
  <c r="AR51" i="1"/>
  <c r="W62" i="1"/>
  <c r="AY91" i="1"/>
  <c r="AY97" i="1" s="1"/>
  <c r="AE52" i="1"/>
  <c r="T56" i="1"/>
  <c r="T33" i="1"/>
  <c r="U51" i="1"/>
  <c r="AQ51" i="1"/>
  <c r="AD14" i="1"/>
  <c r="AD12" i="1"/>
  <c r="AD13" i="1"/>
  <c r="AD15" i="1"/>
  <c r="AI33" i="1"/>
  <c r="AI83" i="1"/>
  <c r="V24" i="1"/>
  <c r="V58" i="1" s="1"/>
  <c r="V68" i="1" s="1"/>
  <c r="AG12" i="1"/>
  <c r="AG14" i="1"/>
  <c r="AG13" i="1"/>
  <c r="AG39" i="1"/>
  <c r="AG15" i="1"/>
  <c r="Y24" i="1"/>
  <c r="Y58" i="1" s="1"/>
  <c r="AK82" i="1"/>
  <c r="AK84" i="1"/>
  <c r="AK81" i="1"/>
  <c r="AK78" i="1"/>
  <c r="AB82" i="1"/>
  <c r="AB84" i="1"/>
  <c r="AB83" i="1"/>
  <c r="AK41" i="1"/>
  <c r="AK52" i="1" s="1"/>
  <c r="AC78" i="1"/>
  <c r="AC83" i="1"/>
  <c r="AC84" i="1"/>
  <c r="AN81" i="1"/>
  <c r="AN83" i="1"/>
  <c r="AN84" i="1"/>
  <c r="AN78" i="1"/>
  <c r="AA40" i="1"/>
  <c r="U41" i="1"/>
  <c r="U52" i="1" s="1"/>
  <c r="X78" i="1"/>
  <c r="T18" i="1"/>
  <c r="T23" i="1"/>
  <c r="W41" i="1"/>
  <c r="W52" i="1" s="1"/>
  <c r="X46" i="1"/>
  <c r="AV62" i="1"/>
  <c r="AR78" i="1"/>
  <c r="V84" i="1"/>
  <c r="T47" i="1"/>
  <c r="V47" i="1"/>
  <c r="V49" i="1"/>
  <c r="V48" i="1"/>
  <c r="Z42" i="1"/>
  <c r="Z52" i="1" s="1"/>
  <c r="AL83" i="1"/>
  <c r="Y42" i="1"/>
  <c r="Z40" i="1"/>
  <c r="T46" i="1"/>
  <c r="AK39" i="1"/>
  <c r="AW52" i="1"/>
  <c r="X30" i="1"/>
  <c r="AI14" i="1"/>
  <c r="AB21" i="1"/>
  <c r="AL41" i="1"/>
  <c r="AS40" i="1"/>
  <c r="AY13" i="1"/>
  <c r="V41" i="1"/>
  <c r="V52" i="1" s="1"/>
  <c r="AW62" i="1"/>
  <c r="AS78" i="1"/>
  <c r="AR18" i="1"/>
  <c r="AR41" i="1"/>
  <c r="AR52" i="1" s="1"/>
  <c r="AR23" i="1"/>
  <c r="AV28" i="1"/>
  <c r="Y52" i="1"/>
  <c r="AX62" i="1"/>
  <c r="Z86" i="1"/>
  <c r="AV86" i="1"/>
  <c r="AT78" i="1"/>
  <c r="AO40" i="1"/>
  <c r="AO51" i="1" s="1"/>
  <c r="AO17" i="1"/>
  <c r="AO22" i="1"/>
  <c r="AH78" i="1"/>
  <c r="AH82" i="1"/>
  <c r="AH84" i="1"/>
  <c r="AR17" i="1"/>
  <c r="V51" i="1"/>
  <c r="AK33" i="1"/>
  <c r="AK56" i="1"/>
  <c r="AW78" i="1"/>
  <c r="AW82" i="1"/>
  <c r="AJ57" i="1"/>
  <c r="AJ68" i="1" s="1"/>
  <c r="AJ34" i="1"/>
  <c r="AW42" i="1"/>
  <c r="AJ39" i="1"/>
  <c r="AF15" i="1"/>
  <c r="AG21" i="1"/>
  <c r="AP81" i="1"/>
  <c r="AP83" i="1"/>
  <c r="AP78" i="1"/>
  <c r="T14" i="1"/>
  <c r="AO9" i="1"/>
  <c r="AO13" i="1"/>
  <c r="AO39" i="1"/>
  <c r="AO21" i="1"/>
  <c r="AO12" i="1"/>
  <c r="AY15" i="1"/>
  <c r="AU49" i="1"/>
  <c r="AU46" i="1"/>
  <c r="AU43" i="1"/>
  <c r="AU78" i="1"/>
  <c r="AC12" i="1"/>
  <c r="AC9" i="1"/>
  <c r="AC14" i="1"/>
  <c r="AC13" i="1"/>
  <c r="AC39" i="1"/>
  <c r="AP22" i="1"/>
  <c r="AP17" i="1"/>
  <c r="AH33" i="1"/>
  <c r="AF51" i="1"/>
  <c r="V55" i="1"/>
  <c r="AH81" i="1"/>
  <c r="Y84" i="1"/>
  <c r="AY14" i="1"/>
  <c r="U43" i="1"/>
  <c r="U47" i="1"/>
  <c r="U49" i="1"/>
  <c r="U48" i="1"/>
  <c r="X55" i="1"/>
  <c r="Z78" i="1"/>
  <c r="Z84" i="1"/>
  <c r="U42" i="1"/>
  <c r="AA78" i="1"/>
  <c r="AA84" i="1"/>
  <c r="AR48" i="1"/>
  <c r="AX91" i="1"/>
  <c r="AX97" i="1" s="1"/>
  <c r="AW40" i="1"/>
  <c r="AW51" i="1" s="1"/>
  <c r="AD21" i="1"/>
  <c r="Z46" i="1"/>
  <c r="Y34" i="1"/>
  <c r="AA28" i="1"/>
  <c r="Y78" i="1"/>
  <c r="AR47" i="1"/>
  <c r="AR49" i="1"/>
  <c r="AR43" i="1"/>
  <c r="AA82" i="1"/>
  <c r="V18" i="1"/>
  <c r="V9" i="1"/>
  <c r="AE18" i="1"/>
  <c r="AE23" i="1"/>
  <c r="AV46" i="1"/>
  <c r="AR84" i="1"/>
  <c r="AE51" i="1"/>
  <c r="AG78" i="1"/>
  <c r="AG84" i="1"/>
  <c r="AG82" i="1"/>
  <c r="AV78" i="1"/>
  <c r="AV82" i="1"/>
  <c r="AK83" i="1"/>
  <c r="AV42" i="1"/>
  <c r="AV49" i="1" s="1"/>
  <c r="AY78" i="1"/>
  <c r="AA68" i="1"/>
  <c r="AO15" i="1"/>
  <c r="AQ83" i="1"/>
  <c r="AQ81" i="1"/>
  <c r="AQ78" i="1"/>
  <c r="T9" i="1"/>
  <c r="T13" i="1"/>
  <c r="T15" i="1"/>
  <c r="T12" i="1"/>
  <c r="AG9" i="1"/>
  <c r="AF18" i="1"/>
  <c r="AY21" i="1"/>
  <c r="AW48" i="1"/>
  <c r="AW46" i="1"/>
  <c r="AW43" i="1"/>
  <c r="AW47" i="1"/>
  <c r="Y48" i="1"/>
  <c r="AU68" i="1"/>
  <c r="AS84" i="1"/>
  <c r="AJ67" i="1"/>
  <c r="AG81" i="1"/>
  <c r="X56" i="1"/>
  <c r="X67" i="1" s="1"/>
  <c r="X33" i="1"/>
  <c r="AJ51" i="1"/>
  <c r="AA55" i="1"/>
  <c r="AE82" i="1"/>
  <c r="AE84" i="1"/>
  <c r="AE83" i="1"/>
  <c r="X82" i="1"/>
  <c r="AD39" i="1"/>
  <c r="AD9" i="1"/>
  <c r="AE13" i="1"/>
  <c r="AE17" i="1"/>
  <c r="AE15" i="1"/>
  <c r="U14" i="1"/>
  <c r="AD34" i="1"/>
  <c r="AX28" i="1"/>
  <c r="AX30" i="1"/>
  <c r="AN82" i="1"/>
  <c r="AI15" i="1"/>
  <c r="AF23" i="1"/>
  <c r="AL18" i="1"/>
  <c r="AL42" i="1"/>
  <c r="V17" i="1"/>
  <c r="AA25" i="1"/>
  <c r="AX46" i="1"/>
  <c r="AX48" i="1"/>
  <c r="Z48" i="1"/>
  <c r="AP82" i="1"/>
  <c r="AT84" i="1"/>
  <c r="AQ42" i="1"/>
  <c r="AQ24" i="1"/>
  <c r="AQ58" i="1" s="1"/>
  <c r="AG51" i="1"/>
  <c r="Y28" i="1"/>
  <c r="AI41" i="1"/>
  <c r="AI52" i="1" s="1"/>
  <c r="AI18" i="1"/>
  <c r="AS30" i="1"/>
  <c r="X68" i="1"/>
  <c r="Y68" i="1"/>
  <c r="AL84" i="1"/>
  <c r="AL81" i="1"/>
  <c r="AL78" i="1"/>
  <c r="AA42" i="1"/>
  <c r="AA43" i="1" s="1"/>
  <c r="AB42" i="1"/>
  <c r="AB52" i="1" s="1"/>
  <c r="Y46" i="1"/>
  <c r="AD78" i="1"/>
  <c r="AD84" i="1"/>
  <c r="AD83" i="1"/>
  <c r="AX83" i="1"/>
  <c r="U18" i="1"/>
  <c r="AA48" i="1"/>
  <c r="AP29" i="1"/>
  <c r="AP55" i="1"/>
  <c r="AN12" i="1"/>
  <c r="V14" i="1"/>
  <c r="AW28" i="1"/>
  <c r="AW25" i="1"/>
  <c r="AJ17" i="1"/>
  <c r="AJ15" i="1"/>
  <c r="AJ14" i="1"/>
  <c r="AO14" i="1"/>
  <c r="AK17" i="1"/>
  <c r="AK15" i="1"/>
  <c r="AK14" i="1"/>
  <c r="AK40" i="1"/>
  <c r="AM18" i="1"/>
  <c r="AM42" i="1"/>
  <c r="AS9" i="1"/>
  <c r="AP14" i="1"/>
  <c r="W17" i="1"/>
  <c r="AX18" i="1"/>
  <c r="W22" i="1"/>
  <c r="W25" i="1" s="1"/>
  <c r="AP23" i="1"/>
  <c r="AP31" i="1" s="1"/>
  <c r="AX31" i="1"/>
  <c r="AY39" i="1"/>
  <c r="AX49" i="1"/>
  <c r="AQ82" i="1"/>
  <c r="AU84" i="1"/>
  <c r="AS56" i="1"/>
  <c r="Y55" i="1"/>
  <c r="Y40" i="1"/>
  <c r="Y51" i="1" s="1"/>
  <c r="X47" i="1"/>
  <c r="AM41" i="1"/>
  <c r="W82" i="1"/>
  <c r="T81" i="1"/>
  <c r="T83" i="1"/>
  <c r="T82" i="1"/>
  <c r="U83" i="1"/>
  <c r="U81" i="1"/>
  <c r="U82" i="1"/>
  <c r="AE9" i="1"/>
  <c r="AS47" i="1"/>
  <c r="AS49" i="1"/>
  <c r="AS46" i="1"/>
  <c r="AS43" i="1"/>
  <c r="W84" i="1"/>
  <c r="W14" i="1"/>
  <c r="AT15" i="1"/>
  <c r="AT21" i="1"/>
  <c r="AD22" i="1"/>
  <c r="AP28" i="1"/>
  <c r="T40" i="1"/>
  <c r="AG56" i="1"/>
  <c r="AD82" i="1"/>
  <c r="AV84" i="1"/>
  <c r="V29" i="1"/>
  <c r="V28" i="1"/>
  <c r="AG83" i="1"/>
  <c r="AH83" i="1"/>
  <c r="AJ82" i="1"/>
  <c r="AJ84" i="1"/>
  <c r="AJ81" i="1"/>
  <c r="AJ78" i="1"/>
  <c r="Z28" i="1"/>
  <c r="AM84" i="1"/>
  <c r="AM81" i="1"/>
  <c r="AM78" i="1"/>
  <c r="AV40" i="1"/>
  <c r="AC21" i="1"/>
  <c r="AY42" i="1"/>
  <c r="AY52" i="1" s="1"/>
  <c r="U46" i="1"/>
  <c r="AO81" i="1"/>
  <c r="AO83" i="1"/>
  <c r="AO84" i="1"/>
  <c r="AO78" i="1"/>
  <c r="W46" i="1"/>
  <c r="AN13" i="1"/>
  <c r="AN9" i="1"/>
  <c r="AN15" i="1"/>
  <c r="AN39" i="1"/>
  <c r="AN21" i="1"/>
  <c r="AQ18" i="1"/>
  <c r="AQ17" i="1"/>
  <c r="AQ41" i="1"/>
  <c r="AQ52" i="1" s="1"/>
  <c r="AF17" i="1"/>
  <c r="AF13" i="1"/>
  <c r="AT46" i="1"/>
  <c r="T17" i="1"/>
  <c r="AS29" i="1"/>
  <c r="AS31" i="1"/>
  <c r="AS55" i="1"/>
  <c r="X15" i="1"/>
  <c r="X12" i="1"/>
  <c r="X14" i="1"/>
  <c r="AV18" i="1"/>
  <c r="AV23" i="1"/>
  <c r="AR9" i="1"/>
  <c r="AU15" i="1"/>
  <c r="AU12" i="1"/>
  <c r="AU21" i="1"/>
  <c r="AQ14" i="1"/>
  <c r="AA14" i="1"/>
  <c r="AA9" i="1"/>
  <c r="AA12" i="1"/>
  <c r="AA13" i="1"/>
  <c r="AW14" i="1"/>
  <c r="AM14" i="1"/>
  <c r="AM40" i="1"/>
  <c r="AM17" i="1"/>
  <c r="AM22" i="1"/>
  <c r="AU9" i="1"/>
  <c r="X13" i="1"/>
  <c r="AR14" i="1"/>
  <c r="T21" i="1"/>
  <c r="AE22" i="1"/>
  <c r="AS57" i="1"/>
  <c r="AS68" i="1" s="1"/>
  <c r="W40" i="1"/>
  <c r="W51" i="1" s="1"/>
  <c r="AP41" i="1"/>
  <c r="AP52" i="1" s="1"/>
  <c r="AH56" i="1"/>
  <c r="AE78" i="1"/>
  <c r="AW84" i="1"/>
  <c r="W28" i="1"/>
  <c r="AY9" i="1"/>
  <c r="AI78" i="1"/>
  <c r="AI82" i="1"/>
  <c r="AI84" i="1"/>
  <c r="AU42" i="1"/>
  <c r="AU24" i="1"/>
  <c r="AU58" i="1" s="1"/>
  <c r="AT40" i="1"/>
  <c r="AU40" i="1"/>
  <c r="AM83" i="1"/>
  <c r="AX42" i="1"/>
  <c r="AX52" i="1" s="1"/>
  <c r="AC42" i="1"/>
  <c r="AC52" i="1" s="1"/>
  <c r="X34" i="1"/>
  <c r="T41" i="1"/>
  <c r="T52" i="1" s="1"/>
  <c r="V46" i="1"/>
  <c r="AD68" i="1"/>
  <c r="U57" i="1"/>
  <c r="U68" i="1" s="1"/>
  <c r="X52" i="1"/>
  <c r="AP9" i="1"/>
  <c r="AP13" i="1"/>
  <c r="AP15" i="1"/>
  <c r="AP39" i="1"/>
  <c r="AR24" i="1"/>
  <c r="AR58" i="1" s="1"/>
  <c r="U17" i="1"/>
  <c r="Y15" i="1"/>
  <c r="Y12" i="1"/>
  <c r="Y9" i="1"/>
  <c r="Y14" i="1"/>
  <c r="AW18" i="1"/>
  <c r="AW23" i="1"/>
  <c r="Z12" i="1"/>
  <c r="Z13" i="1"/>
  <c r="AL9" i="1"/>
  <c r="AL14" i="1"/>
  <c r="AL40" i="1"/>
  <c r="AL51" i="1" s="1"/>
  <c r="AL22" i="1"/>
  <c r="AT9" i="1"/>
  <c r="AQ23" i="1"/>
  <c r="AB12" i="1"/>
  <c r="AB14" i="1"/>
  <c r="AB9" i="1"/>
  <c r="AB39" i="1"/>
  <c r="AX12" i="1"/>
  <c r="AX14" i="1"/>
  <c r="AN40" i="1"/>
  <c r="AN17" i="1"/>
  <c r="AP42" i="1"/>
  <c r="AP24" i="1"/>
  <c r="AP58" i="1" s="1"/>
  <c r="AV9" i="1"/>
  <c r="Y13" i="1"/>
  <c r="AS14" i="1"/>
  <c r="Z17" i="1"/>
  <c r="U28" i="1"/>
  <c r="U30" i="1"/>
  <c r="AF22" i="1"/>
  <c r="AT34" i="1"/>
  <c r="AT57" i="1"/>
  <c r="AD40" i="1"/>
  <c r="AV41" i="1"/>
  <c r="AR46" i="1"/>
  <c r="AI56" i="1"/>
  <c r="AF78" i="1"/>
  <c r="AF82" i="1"/>
  <c r="AF84" i="1"/>
  <c r="AH86" i="1"/>
  <c r="AF81" i="1"/>
  <c r="AF83" i="1"/>
  <c r="AX84" i="1"/>
  <c r="AL39" i="1"/>
  <c r="AB40" i="1"/>
  <c r="AB51" i="1" s="1"/>
  <c r="AX40" i="1"/>
  <c r="AN41" i="1"/>
  <c r="AN52" i="1" s="1"/>
  <c r="AD42" i="1"/>
  <c r="AD52" i="1" s="1"/>
  <c r="AH18" i="1"/>
  <c r="AH51" i="1"/>
  <c r="X86" i="1"/>
  <c r="AT86" i="1"/>
  <c r="AM39" i="1"/>
  <c r="AC40" i="1"/>
  <c r="AY40" i="1"/>
  <c r="AO41" i="1"/>
  <c r="AO52" i="1" s="1"/>
  <c r="AE42" i="1"/>
  <c r="AS34" i="1"/>
  <c r="Y86" i="1"/>
  <c r="AU86" i="1"/>
  <c r="AU34" i="1"/>
  <c r="AA86" i="1"/>
  <c r="AW86" i="1"/>
  <c r="Z83" i="1"/>
  <c r="AV83" i="1"/>
  <c r="AB86" i="1"/>
  <c r="AX86" i="1"/>
  <c r="AC86" i="1"/>
  <c r="AR29" i="1"/>
  <c r="U9" i="1"/>
  <c r="U13" i="1"/>
  <c r="U15" i="1"/>
  <c r="AQ9" i="1"/>
  <c r="AQ13" i="1"/>
  <c r="AQ15" i="1"/>
  <c r="AG17" i="1"/>
  <c r="AS41" i="1"/>
  <c r="AS52" i="1" s="1"/>
  <c r="AQ55" i="1"/>
  <c r="AA83" i="1"/>
  <c r="AW83" i="1"/>
  <c r="AY86" i="1"/>
  <c r="V13" i="1"/>
  <c r="V15" i="1"/>
  <c r="AR13" i="1"/>
  <c r="AR15" i="1"/>
  <c r="AH17" i="1"/>
  <c r="AT41" i="1"/>
  <c r="AT52" i="1" s="1"/>
  <c r="AR55" i="1"/>
  <c r="AB78" i="1"/>
  <c r="AX78" i="1"/>
  <c r="W13" i="1"/>
  <c r="W15" i="1"/>
  <c r="AS13" i="1"/>
  <c r="AS15" i="1"/>
  <c r="AI17" i="1"/>
  <c r="Y18" i="1"/>
  <c r="AU18" i="1"/>
  <c r="AQ39" i="1"/>
  <c r="AU41" i="1"/>
  <c r="AC82" i="1"/>
  <c r="AY82" i="1"/>
  <c r="AI9" i="1"/>
  <c r="AK13" i="1"/>
  <c r="AM15" i="1"/>
  <c r="AC17" i="1"/>
  <c r="AY17" i="1"/>
  <c r="AO18" i="1"/>
  <c r="AE21" i="1"/>
  <c r="U22" i="1"/>
  <c r="U25" i="1" s="1"/>
  <c r="AQ22" i="1"/>
  <c r="AQ25" i="1" s="1"/>
  <c r="AG23" i="1"/>
  <c r="W24" i="1"/>
  <c r="W58" i="1" s="1"/>
  <c r="W68" i="1" s="1"/>
  <c r="AS24" i="1"/>
  <c r="AS58" i="1" s="1"/>
  <c r="AE39" i="1"/>
  <c r="AJ9" i="1"/>
  <c r="AL13" i="1"/>
  <c r="AF21" i="1"/>
  <c r="V22" i="1"/>
  <c r="AR22" i="1"/>
  <c r="AH23" i="1"/>
  <c r="X24" i="1"/>
  <c r="X58" i="1" s="1"/>
  <c r="AT24" i="1"/>
  <c r="AT58" i="1" s="1"/>
  <c r="AF39" i="1"/>
  <c r="AH21" i="1"/>
  <c r="AT22" i="1"/>
  <c r="AV24" i="1"/>
  <c r="AV58" i="1" s="1"/>
  <c r="AH39" i="1"/>
  <c r="V83" i="1"/>
  <c r="AR83" i="1"/>
  <c r="AM9" i="1"/>
  <c r="AE14" i="1"/>
  <c r="AI21" i="1"/>
  <c r="Y22" i="1"/>
  <c r="Y29" i="1" s="1"/>
  <c r="AU22" i="1"/>
  <c r="AK23" i="1"/>
  <c r="AA24" i="1"/>
  <c r="AA58" i="1" s="1"/>
  <c r="AW24" i="1"/>
  <c r="AW58" i="1" s="1"/>
  <c r="AI39" i="1"/>
  <c r="W83" i="1"/>
  <c r="AS83" i="1"/>
  <c r="Z24" i="1"/>
  <c r="Z58" i="1" s="1"/>
  <c r="Z68" i="1" s="1"/>
  <c r="AF14" i="1"/>
  <c r="AJ21" i="1"/>
  <c r="Z22" i="1"/>
  <c r="AV22" i="1"/>
  <c r="AL23" i="1"/>
  <c r="AB24" i="1"/>
  <c r="AB58" i="1" s="1"/>
  <c r="AB68" i="1" s="1"/>
  <c r="AX24" i="1"/>
  <c r="X83" i="1"/>
  <c r="AT83" i="1"/>
  <c r="AJ41" i="1"/>
  <c r="AJ52" i="1" s="1"/>
  <c r="AK21" i="1"/>
  <c r="AA22" i="1"/>
  <c r="AA31" i="1" s="1"/>
  <c r="AW22" i="1"/>
  <c r="AM23" i="1"/>
  <c r="AC24" i="1"/>
  <c r="AC58" i="1" s="1"/>
  <c r="AC68" i="1" s="1"/>
  <c r="AY24" i="1"/>
  <c r="Y83" i="1"/>
  <c r="AU83" i="1"/>
  <c r="X40" i="1"/>
  <c r="X51" i="1" s="1"/>
  <c r="AL21" i="1"/>
  <c r="AB22" i="1"/>
  <c r="AX22" i="1"/>
  <c r="AN23" i="1"/>
  <c r="AD24" i="1"/>
  <c r="AD58" i="1" s="1"/>
  <c r="AM21" i="1"/>
  <c r="AC22" i="1"/>
  <c r="AY22" i="1"/>
  <c r="AO23" i="1"/>
  <c r="AE24" i="1"/>
  <c r="AE58" i="1" s="1"/>
  <c r="AN29" i="1" l="1"/>
  <c r="AN25" i="1"/>
  <c r="AN31" i="1"/>
  <c r="AN30" i="1"/>
  <c r="AN28" i="1"/>
  <c r="AN55" i="1"/>
  <c r="AK55" i="1"/>
  <c r="AK29" i="1"/>
  <c r="AK25" i="1"/>
  <c r="AK30" i="1"/>
  <c r="AK31" i="1"/>
  <c r="AK28" i="1"/>
  <c r="AP59" i="1"/>
  <c r="AP63" i="1"/>
  <c r="AP65" i="1"/>
  <c r="AP64" i="1"/>
  <c r="AP62" i="1"/>
  <c r="AU47" i="1"/>
  <c r="AU51" i="1"/>
  <c r="AX58" i="1"/>
  <c r="AX68" i="1" s="1"/>
  <c r="AX34" i="1"/>
  <c r="V63" i="1"/>
  <c r="V62" i="1"/>
  <c r="V64" i="1"/>
  <c r="AG57" i="1"/>
  <c r="AG68" i="1" s="1"/>
  <c r="AG34" i="1"/>
  <c r="AW56" i="1"/>
  <c r="AW29" i="1"/>
  <c r="AW33" i="1"/>
  <c r="AN43" i="1"/>
  <c r="AN47" i="1"/>
  <c r="AN49" i="1"/>
  <c r="AN46" i="1"/>
  <c r="AN48" i="1"/>
  <c r="AY46" i="1"/>
  <c r="AY43" i="1"/>
  <c r="AY47" i="1"/>
  <c r="AY49" i="1"/>
  <c r="AY48" i="1"/>
  <c r="V31" i="1"/>
  <c r="AY56" i="1"/>
  <c r="AY67" i="1" s="1"/>
  <c r="AY33" i="1"/>
  <c r="AA49" i="1"/>
  <c r="AV56" i="1"/>
  <c r="AV29" i="1"/>
  <c r="AV33" i="1"/>
  <c r="AV30" i="1"/>
  <c r="AC34" i="1"/>
  <c r="AM55" i="1"/>
  <c r="AM25" i="1"/>
  <c r="AM31" i="1"/>
  <c r="AM30" i="1"/>
  <c r="AM28" i="1"/>
  <c r="AM29" i="1"/>
  <c r="AU52" i="1"/>
  <c r="AA52" i="1"/>
  <c r="AD28" i="1"/>
  <c r="AD30" i="1"/>
  <c r="AD55" i="1"/>
  <c r="AD31" i="1"/>
  <c r="AD25" i="1"/>
  <c r="AD29" i="1"/>
  <c r="AN57" i="1"/>
  <c r="AN34" i="1"/>
  <c r="AN33" i="1"/>
  <c r="AI51" i="1"/>
  <c r="AV51" i="1"/>
  <c r="AP51" i="1"/>
  <c r="AJ43" i="1"/>
  <c r="AJ48" i="1"/>
  <c r="AJ46" i="1"/>
  <c r="AJ47" i="1"/>
  <c r="AJ49" i="1"/>
  <c r="AM57" i="1"/>
  <c r="AM68" i="1" s="1"/>
  <c r="AM34" i="1"/>
  <c r="AR62" i="1"/>
  <c r="AR64" i="1"/>
  <c r="AR59" i="1"/>
  <c r="Z43" i="1"/>
  <c r="T48" i="1"/>
  <c r="AL43" i="1"/>
  <c r="AL47" i="1"/>
  <c r="AL49" i="1"/>
  <c r="AL48" i="1"/>
  <c r="AL46" i="1"/>
  <c r="AE33" i="1"/>
  <c r="AE56" i="1"/>
  <c r="AA29" i="1"/>
  <c r="AK51" i="1"/>
  <c r="X31" i="1"/>
  <c r="AA30" i="1"/>
  <c r="AX56" i="1"/>
  <c r="AX29" i="1"/>
  <c r="AX33" i="1"/>
  <c r="AX25" i="1"/>
  <c r="W30" i="1"/>
  <c r="T51" i="1"/>
  <c r="AY28" i="1"/>
  <c r="AY25" i="1"/>
  <c r="AY31" i="1"/>
  <c r="AY29" i="1"/>
  <c r="AY55" i="1"/>
  <c r="AY30" i="1"/>
  <c r="AP43" i="1"/>
  <c r="AP47" i="1"/>
  <c r="AP49" i="1"/>
  <c r="AP46" i="1"/>
  <c r="AP48" i="1"/>
  <c r="Z34" i="1"/>
  <c r="AA34" i="1"/>
  <c r="AF33" i="1"/>
  <c r="AF56" i="1"/>
  <c r="AA62" i="1"/>
  <c r="AA64" i="1"/>
  <c r="AA65" i="1"/>
  <c r="AA59" i="1"/>
  <c r="AA63" i="1"/>
  <c r="AW30" i="1"/>
  <c r="U29" i="1"/>
  <c r="AV34" i="1"/>
  <c r="AV57" i="1"/>
  <c r="AV68" i="1" s="1"/>
  <c r="AO25" i="1"/>
  <c r="AO29" i="1"/>
  <c r="AO55" i="1"/>
  <c r="AO31" i="1"/>
  <c r="AO28" i="1"/>
  <c r="AO30" i="1"/>
  <c r="AH48" i="1"/>
  <c r="AH43" i="1"/>
  <c r="AH49" i="1"/>
  <c r="AH47" i="1"/>
  <c r="AH46" i="1"/>
  <c r="W33" i="1"/>
  <c r="W56" i="1"/>
  <c r="AT51" i="1"/>
  <c r="AT47" i="1"/>
  <c r="AT43" i="1"/>
  <c r="AO56" i="1"/>
  <c r="AO33" i="1"/>
  <c r="AQ29" i="1"/>
  <c r="AG33" i="1"/>
  <c r="AM52" i="1"/>
  <c r="AR56" i="1"/>
  <c r="AR67" i="1" s="1"/>
  <c r="AR33" i="1"/>
  <c r="AR25" i="1"/>
  <c r="AR30" i="1"/>
  <c r="AM51" i="1"/>
  <c r="AT48" i="1"/>
  <c r="X49" i="1"/>
  <c r="AB56" i="1"/>
  <c r="AB67" i="1" s="1"/>
  <c r="AB33" i="1"/>
  <c r="V56" i="1"/>
  <c r="V67" i="1" s="1"/>
  <c r="V33" i="1"/>
  <c r="AL55" i="1"/>
  <c r="AL25" i="1"/>
  <c r="AL29" i="1"/>
  <c r="AL31" i="1"/>
  <c r="AL30" i="1"/>
  <c r="AL28" i="1"/>
  <c r="AF28" i="1"/>
  <c r="AF30" i="1"/>
  <c r="AF55" i="1"/>
  <c r="AF31" i="1"/>
  <c r="AF25" i="1"/>
  <c r="AF29" i="1"/>
  <c r="AI67" i="1"/>
  <c r="AB46" i="1"/>
  <c r="AB48" i="1"/>
  <c r="AB49" i="1"/>
  <c r="AB43" i="1"/>
  <c r="AB47" i="1"/>
  <c r="AT49" i="1"/>
  <c r="AD33" i="1"/>
  <c r="AD56" i="1"/>
  <c r="AD67" i="1" s="1"/>
  <c r="Y62" i="1"/>
  <c r="Y47" i="1"/>
  <c r="X48" i="1"/>
  <c r="W48" i="1"/>
  <c r="AS33" i="1"/>
  <c r="T34" i="1"/>
  <c r="T57" i="1"/>
  <c r="T68" i="1" s="1"/>
  <c r="AB34" i="1"/>
  <c r="AU56" i="1"/>
  <c r="AU67" i="1" s="1"/>
  <c r="AU33" i="1"/>
  <c r="AI30" i="1"/>
  <c r="AI55" i="1"/>
  <c r="AI25" i="1"/>
  <c r="AI28" i="1"/>
  <c r="AI31" i="1"/>
  <c r="AI29" i="1"/>
  <c r="U56" i="1"/>
  <c r="U33" i="1"/>
  <c r="AX51" i="1"/>
  <c r="AX47" i="1"/>
  <c r="AW34" i="1"/>
  <c r="AW57" i="1"/>
  <c r="AW68" i="1" s="1"/>
  <c r="T43" i="1"/>
  <c r="AT56" i="1"/>
  <c r="AT67" i="1" s="1"/>
  <c r="AT33" i="1"/>
  <c r="T25" i="1"/>
  <c r="T29" i="1"/>
  <c r="T31" i="1"/>
  <c r="T28" i="1"/>
  <c r="T30" i="1"/>
  <c r="T55" i="1"/>
  <c r="W43" i="1"/>
  <c r="AH30" i="1"/>
  <c r="AH55" i="1"/>
  <c r="AH31" i="1"/>
  <c r="AH29" i="1"/>
  <c r="AH28" i="1"/>
  <c r="AH25" i="1"/>
  <c r="AC56" i="1"/>
  <c r="AC67" i="1" s="1"/>
  <c r="AC33" i="1"/>
  <c r="Z49" i="1"/>
  <c r="X65" i="1"/>
  <c r="X62" i="1"/>
  <c r="X64" i="1"/>
  <c r="X59" i="1"/>
  <c r="X63" i="1"/>
  <c r="Y56" i="1"/>
  <c r="Y67" i="1" s="1"/>
  <c r="Y33" i="1"/>
  <c r="V25" i="1"/>
  <c r="AS48" i="1"/>
  <c r="AS51" i="1"/>
  <c r="AO57" i="1"/>
  <c r="AO68" i="1" s="1"/>
  <c r="AO34" i="1"/>
  <c r="AL52" i="1"/>
  <c r="AB28" i="1"/>
  <c r="AB30" i="1"/>
  <c r="AB29" i="1"/>
  <c r="AB31" i="1"/>
  <c r="AB25" i="1"/>
  <c r="AB55" i="1"/>
  <c r="Z56" i="1"/>
  <c r="Z33" i="1"/>
  <c r="Y31" i="1"/>
  <c r="AN51" i="1"/>
  <c r="AY51" i="1"/>
  <c r="W31" i="1"/>
  <c r="Z31" i="1"/>
  <c r="AT31" i="1"/>
  <c r="AT28" i="1"/>
  <c r="AT25" i="1"/>
  <c r="AT30" i="1"/>
  <c r="AT55" i="1"/>
  <c r="AT29" i="1"/>
  <c r="AS67" i="1"/>
  <c r="AW31" i="1"/>
  <c r="AD46" i="1"/>
  <c r="AD48" i="1"/>
  <c r="AD49" i="1"/>
  <c r="AD47" i="1"/>
  <c r="AD43" i="1"/>
  <c r="AV47" i="1"/>
  <c r="W49" i="1"/>
  <c r="AV25" i="1"/>
  <c r="AK47" i="1"/>
  <c r="AK48" i="1"/>
  <c r="AK46" i="1"/>
  <c r="AK49" i="1"/>
  <c r="AK43" i="1"/>
  <c r="AC51" i="1"/>
  <c r="AV52" i="1"/>
  <c r="W29" i="1"/>
  <c r="Z29" i="1"/>
  <c r="Y49" i="1"/>
  <c r="AW49" i="1"/>
  <c r="AV43" i="1"/>
  <c r="V43" i="1"/>
  <c r="W47" i="1"/>
  <c r="T67" i="1"/>
  <c r="AL33" i="1"/>
  <c r="AL56" i="1"/>
  <c r="AL67" i="1" s="1"/>
  <c r="AE28" i="1"/>
  <c r="AE30" i="1"/>
  <c r="AE55" i="1"/>
  <c r="AE31" i="1"/>
  <c r="AE25" i="1"/>
  <c r="AE29" i="1"/>
  <c r="U31" i="1"/>
  <c r="AP34" i="1"/>
  <c r="AP57" i="1"/>
  <c r="AP68" i="1" s="1"/>
  <c r="AF57" i="1"/>
  <c r="AF68" i="1" s="1"/>
  <c r="AF34" i="1"/>
  <c r="AO43" i="1"/>
  <c r="AO47" i="1"/>
  <c r="AO46" i="1"/>
  <c r="AO49" i="1"/>
  <c r="AO48" i="1"/>
  <c r="W34" i="1"/>
  <c r="AP25" i="1"/>
  <c r="AL57" i="1"/>
  <c r="AL68" i="1" s="1"/>
  <c r="AL34" i="1"/>
  <c r="AS63" i="1"/>
  <c r="AS65" i="1"/>
  <c r="AS64" i="1"/>
  <c r="AS59" i="1"/>
  <c r="AS62" i="1"/>
  <c r="Y30" i="1"/>
  <c r="AF46" i="1"/>
  <c r="AF48" i="1"/>
  <c r="AF43" i="1"/>
  <c r="AF47" i="1"/>
  <c r="AF49" i="1"/>
  <c r="AP56" i="1"/>
  <c r="AP67" i="1" s="1"/>
  <c r="AP30" i="1"/>
  <c r="AP33" i="1"/>
  <c r="AJ55" i="1"/>
  <c r="AJ25" i="1"/>
  <c r="AJ28" i="1"/>
  <c r="AJ29" i="1"/>
  <c r="AJ30" i="1"/>
  <c r="AJ31" i="1"/>
  <c r="AG67" i="1"/>
  <c r="AC46" i="1"/>
  <c r="AC49" i="1"/>
  <c r="AC43" i="1"/>
  <c r="AC48" i="1"/>
  <c r="AC47" i="1"/>
  <c r="X25" i="1"/>
  <c r="AH57" i="1"/>
  <c r="AH68" i="1" s="1"/>
  <c r="AH34" i="1"/>
  <c r="AE46" i="1"/>
  <c r="AE48" i="1"/>
  <c r="AE47" i="1"/>
  <c r="AE43" i="1"/>
  <c r="AE49" i="1"/>
  <c r="AD51" i="1"/>
  <c r="AV48" i="1"/>
  <c r="AR34" i="1"/>
  <c r="AR57" i="1"/>
  <c r="AR68" i="1" s="1"/>
  <c r="Z51" i="1"/>
  <c r="Z47" i="1"/>
  <c r="AE34" i="1"/>
  <c r="AE57" i="1"/>
  <c r="AE68" i="1" s="1"/>
  <c r="AU31" i="1"/>
  <c r="AU28" i="1"/>
  <c r="AU30" i="1"/>
  <c r="AU55" i="1"/>
  <c r="AU25" i="1"/>
  <c r="AU29" i="1"/>
  <c r="AQ56" i="1"/>
  <c r="AQ67" i="1" s="1"/>
  <c r="AQ30" i="1"/>
  <c r="AQ33" i="1"/>
  <c r="AA56" i="1"/>
  <c r="AA67" i="1" s="1"/>
  <c r="AA33" i="1"/>
  <c r="AH67" i="1"/>
  <c r="T49" i="1"/>
  <c r="V34" i="1"/>
  <c r="AQ31" i="1"/>
  <c r="Y25" i="1"/>
  <c r="AQ62" i="1"/>
  <c r="Z25" i="1"/>
  <c r="AM33" i="1"/>
  <c r="AM56" i="1"/>
  <c r="AM67" i="1" s="1"/>
  <c r="AC28" i="1"/>
  <c r="AC30" i="1"/>
  <c r="AC29" i="1"/>
  <c r="AC31" i="1"/>
  <c r="AC55" i="1"/>
  <c r="AC25" i="1"/>
  <c r="AG28" i="1"/>
  <c r="AG30" i="1"/>
  <c r="AG31" i="1"/>
  <c r="AG55" i="1"/>
  <c r="AG29" i="1"/>
  <c r="AG25" i="1"/>
  <c r="AQ43" i="1"/>
  <c r="AQ47" i="1"/>
  <c r="AQ49" i="1"/>
  <c r="AQ46" i="1"/>
  <c r="AQ48" i="1"/>
  <c r="AI48" i="1"/>
  <c r="AI43" i="1"/>
  <c r="AI47" i="1"/>
  <c r="AI46" i="1"/>
  <c r="AI49" i="1"/>
  <c r="AM43" i="1"/>
  <c r="AM49" i="1"/>
  <c r="AM46" i="1"/>
  <c r="AM48" i="1"/>
  <c r="AM47" i="1"/>
  <c r="Z30" i="1"/>
  <c r="AV31" i="1"/>
  <c r="AY58" i="1"/>
  <c r="AY68" i="1" s="1"/>
  <c r="AY34" i="1"/>
  <c r="AK57" i="1"/>
  <c r="AK68" i="1" s="1"/>
  <c r="AK34" i="1"/>
  <c r="AR31" i="1"/>
  <c r="AT68" i="1"/>
  <c r="AQ34" i="1"/>
  <c r="AQ57" i="1"/>
  <c r="AQ68" i="1" s="1"/>
  <c r="AX43" i="1"/>
  <c r="AU48" i="1"/>
  <c r="AA51" i="1"/>
  <c r="AA47" i="1"/>
  <c r="AG46" i="1"/>
  <c r="AG48" i="1"/>
  <c r="AG47" i="1"/>
  <c r="AG43" i="1"/>
  <c r="AG49" i="1"/>
  <c r="X43" i="1"/>
  <c r="AJ59" i="1" l="1"/>
  <c r="AJ63" i="1"/>
  <c r="AJ62" i="1"/>
  <c r="AJ64" i="1"/>
  <c r="AJ65" i="1"/>
  <c r="AX67" i="1"/>
  <c r="AX65" i="1"/>
  <c r="AX63" i="1"/>
  <c r="AX59" i="1"/>
  <c r="AX64" i="1"/>
  <c r="AH64" i="1"/>
  <c r="AH59" i="1"/>
  <c r="AH65" i="1"/>
  <c r="AH63" i="1"/>
  <c r="AH62" i="1"/>
  <c r="AY62" i="1"/>
  <c r="AY64" i="1"/>
  <c r="AY59" i="1"/>
  <c r="AY63" i="1"/>
  <c r="AY65" i="1"/>
  <c r="AQ64" i="1"/>
  <c r="AF62" i="1"/>
  <c r="AF64" i="1"/>
  <c r="AF63" i="1"/>
  <c r="AF59" i="1"/>
  <c r="AF65" i="1"/>
  <c r="W67" i="1"/>
  <c r="W64" i="1"/>
  <c r="W63" i="1"/>
  <c r="W59" i="1"/>
  <c r="W65" i="1"/>
  <c r="AF67" i="1"/>
  <c r="AN59" i="1"/>
  <c r="AN63" i="1"/>
  <c r="AN65" i="1"/>
  <c r="AN64" i="1"/>
  <c r="AN62" i="1"/>
  <c r="AE62" i="1"/>
  <c r="AE64" i="1"/>
  <c r="AE63" i="1"/>
  <c r="AE65" i="1"/>
  <c r="AE59" i="1"/>
  <c r="AR63" i="1"/>
  <c r="AO67" i="1"/>
  <c r="Y63" i="1"/>
  <c r="AI64" i="1"/>
  <c r="AI59" i="1"/>
  <c r="AI63" i="1"/>
  <c r="AI62" i="1"/>
  <c r="AI65" i="1"/>
  <c r="AT65" i="1"/>
  <c r="AT62" i="1"/>
  <c r="AT64" i="1"/>
  <c r="AT63" i="1"/>
  <c r="AT59" i="1"/>
  <c r="AR65" i="1"/>
  <c r="AQ59" i="1"/>
  <c r="AM59" i="1"/>
  <c r="AM63" i="1"/>
  <c r="AM65" i="1"/>
  <c r="AM62" i="1"/>
  <c r="AM64" i="1"/>
  <c r="Y64" i="1"/>
  <c r="AL59" i="1"/>
  <c r="AL63" i="1"/>
  <c r="AL65" i="1"/>
  <c r="AL62" i="1"/>
  <c r="AL64" i="1"/>
  <c r="AG62" i="1"/>
  <c r="AG64" i="1"/>
  <c r="AG63" i="1"/>
  <c r="AG65" i="1"/>
  <c r="AG59" i="1"/>
  <c r="Y65" i="1"/>
  <c r="AE67" i="1"/>
  <c r="V59" i="1"/>
  <c r="AC64" i="1"/>
  <c r="AC62" i="1"/>
  <c r="AC59" i="1"/>
  <c r="AC65" i="1"/>
  <c r="AC63" i="1"/>
  <c r="AN68" i="1"/>
  <c r="AN67" i="1"/>
  <c r="AU65" i="1"/>
  <c r="AU62" i="1"/>
  <c r="AU63" i="1"/>
  <c r="AU64" i="1"/>
  <c r="AU59" i="1"/>
  <c r="AO65" i="1"/>
  <c r="AO59" i="1"/>
  <c r="AO63" i="1"/>
  <c r="AO62" i="1"/>
  <c r="AO64" i="1"/>
  <c r="AD62" i="1"/>
  <c r="AD64" i="1"/>
  <c r="AD63" i="1"/>
  <c r="AD65" i="1"/>
  <c r="AD59" i="1"/>
  <c r="AQ65" i="1"/>
  <c r="AW67" i="1"/>
  <c r="AW65" i="1"/>
  <c r="AW59" i="1"/>
  <c r="AW63" i="1"/>
  <c r="AW64" i="1"/>
  <c r="Y59" i="1"/>
  <c r="Z67" i="1"/>
  <c r="Z64" i="1"/>
  <c r="Z65" i="1"/>
  <c r="Z59" i="1"/>
  <c r="Z63" i="1"/>
  <c r="U67" i="1"/>
  <c r="U63" i="1"/>
  <c r="U65" i="1"/>
  <c r="U59" i="1"/>
  <c r="U64" i="1"/>
  <c r="AV67" i="1"/>
  <c r="AV63" i="1"/>
  <c r="AV59" i="1"/>
  <c r="AV65" i="1"/>
  <c r="AV64" i="1"/>
  <c r="T59" i="1"/>
  <c r="T63" i="1"/>
  <c r="T65" i="1"/>
  <c r="T64" i="1"/>
  <c r="T62" i="1"/>
  <c r="AQ63" i="1"/>
  <c r="AK59" i="1"/>
  <c r="AK63" i="1"/>
  <c r="AK62" i="1"/>
  <c r="AK65" i="1"/>
  <c r="AK64" i="1"/>
  <c r="AB62" i="1"/>
  <c r="AB64" i="1"/>
  <c r="AB59" i="1"/>
  <c r="AB65" i="1"/>
  <c r="AB63" i="1"/>
  <c r="AK67" i="1"/>
  <c r="V65" i="1"/>
</calcChain>
</file>

<file path=xl/sharedStrings.xml><?xml version="1.0" encoding="utf-8"?>
<sst xmlns="http://schemas.openxmlformats.org/spreadsheetml/2006/main" count="148" uniqueCount="81">
  <si>
    <t>US SOYBEAN RESIDUAL USE (Million Bushels)</t>
  </si>
  <si>
    <t xml:space="preserve">75/76 </t>
  </si>
  <si>
    <t xml:space="preserve">76/77 </t>
  </si>
  <si>
    <t xml:space="preserve">77/78 </t>
  </si>
  <si>
    <t xml:space="preserve">78/79 </t>
  </si>
  <si>
    <t xml:space="preserve">79/80 </t>
  </si>
  <si>
    <t xml:space="preserve">80/81 </t>
  </si>
  <si>
    <t xml:space="preserve">81/82 </t>
  </si>
  <si>
    <t xml:space="preserve">82/83 </t>
  </si>
  <si>
    <t xml:space="preserve">83/84 </t>
  </si>
  <si>
    <t xml:space="preserve">84/85 </t>
  </si>
  <si>
    <t xml:space="preserve">85/86 </t>
  </si>
  <si>
    <t xml:space="preserve">86/87 </t>
  </si>
  <si>
    <t xml:space="preserve">87/88 </t>
  </si>
  <si>
    <t xml:space="preserve">88/89 </t>
  </si>
  <si>
    <t xml:space="preserve">89/90 </t>
  </si>
  <si>
    <t xml:space="preserve">90/91 </t>
  </si>
  <si>
    <t xml:space="preserve">91/92 </t>
  </si>
  <si>
    <t xml:space="preserve">92/93 </t>
  </si>
  <si>
    <t>RELATIVE TO CENSUS EXPORTS</t>
  </si>
  <si>
    <t xml:space="preserve">    Quarterly Revised/Current</t>
  </si>
  <si>
    <t xml:space="preserve">        Sep/Nov</t>
  </si>
  <si>
    <t xml:space="preserve">        Dec/Feb</t>
  </si>
  <si>
    <t xml:space="preserve">        Mar/May</t>
  </si>
  <si>
    <t xml:space="preserve">        Jun/Aug</t>
  </si>
  <si>
    <t xml:space="preserve">    Total</t>
  </si>
  <si>
    <t xml:space="preserve">    Cumulative Revised/Current</t>
  </si>
  <si>
    <t xml:space="preserve">        Sep/Feb</t>
  </si>
  <si>
    <t xml:space="preserve">        Sep/May</t>
  </si>
  <si>
    <t xml:space="preserve">        Sep/Aug</t>
  </si>
  <si>
    <t xml:space="preserve">        Dec/Aug</t>
  </si>
  <si>
    <t xml:space="preserve">        Mar/Aug</t>
  </si>
  <si>
    <t xml:space="preserve">    Quarterly Unrevised</t>
  </si>
  <si>
    <t xml:space="preserve">    Cumulative Unrevised</t>
  </si>
  <si>
    <t>RELATIVE TO EXPORT INSPECTIONS</t>
  </si>
  <si>
    <t>US SOYBEAN EXPORTS AND PRODUCTION (Million Bushels)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</si>
  <si>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</si>
  <si>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</si>
  <si>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</si>
  <si>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</si>
  <si>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</si>
  <si>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</si>
  <si>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</si>
  <si>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</si>
  <si>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</si>
  <si>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</si>
  <si>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</si>
  <si>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</si>
  <si>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</si>
  <si>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</si>
  <si>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</si>
  <si>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</si>
  <si>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</si>
  <si>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</si>
  <si>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</si>
  <si>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</si>
  <si>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</si>
  <si>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</si>
  <si>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</si>
  <si>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</si>
  <si>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>Census Exports Less Export Inspections</t>
  </si>
  <si>
    <t xml:space="preserve">    Quarterly</t>
  </si>
  <si>
    <t xml:space="preserve">    Export Inspections First 2 Weeks of Month</t>
  </si>
  <si>
    <t xml:space="preserve">        Dec</t>
  </si>
  <si>
    <t xml:space="preserve">        Mar</t>
  </si>
  <si>
    <t xml:space="preserve">        Jun</t>
  </si>
  <si>
    <t xml:space="preserve">        Sep</t>
  </si>
  <si>
    <t xml:space="preserve">        Dec - Sep</t>
  </si>
  <si>
    <t xml:space="preserve">        Mar - Dec</t>
  </si>
  <si>
    <t xml:space="preserve">        Jun - Mar</t>
  </si>
  <si>
    <t xml:space="preserve">        Sep - Jun</t>
  </si>
  <si>
    <t>US Soybean Production</t>
  </si>
  <si>
    <t xml:space="preserve">    Unrevised (Annual Crop Report)</t>
  </si>
  <si>
    <t xml:space="preserve">    Revised Final</t>
  </si>
  <si>
    <t xml:space="preserve">        Crop Change from Annual to Sep 30 Stocks Report</t>
  </si>
  <si>
    <t xml:space="preserve">    Harvest Prior to Sep 1</t>
  </si>
  <si>
    <t>Export Inspections</t>
  </si>
  <si>
    <t>Dec</t>
  </si>
  <si>
    <t>Mar</t>
  </si>
  <si>
    <t>Jun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</si>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</sst>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Bahnschrift SemiBold"/>
      <family val="2"/>
    </font>
    <font>
      <sz val="10"/>
      <name val="Arial"/>
      <family val="2"/>
    </font>
    <font>
      <sz val="11"/>
      <color theme="1"/>
      <name val="Bahnschrift SemiBold"/>
      <family val="2"/>
    </font>
    <font>
      <sz val="11"/>
      <color theme="1"/>
      <name val="Bahnschrift Ligh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6F0791"/>
      </top>
      <bottom style="thin">
        <color rgb="FF6F0791"/>
      </bottom>
      <diagonal/>
    </border>
    <border>
      <left/>
      <right/>
      <top style="thin">
        <color rgb="FF6F0791"/>
      </top>
      <bottom/>
      <diagonal/>
    </border>
    <border>
      <left/>
      <right/>
      <top style="medium">
        <color rgb="FF6F0791"/>
      </top>
      <bottom/>
      <diagonal/>
    </border>
    <border>
      <left/>
      <right/>
      <top/>
      <bottom style="medium">
        <color rgb="FF6F079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5" fillId="2" borderId="0" xfId="0" applyFont="1" applyFill="1"/>
    <xf numFmtId="0" fontId="4" fillId="2" borderId="0" xfId="0" applyFont="1" applyFill="1"/>
    <xf numFmtId="38" fontId="6" fillId="0" borderId="0" xfId="1" applyNumberFormat="1" applyFont="1" applyBorder="1" applyAlignment="1">
      <alignment horizontal="left"/>
    </xf>
    <xf numFmtId="38" fontId="6" fillId="0" borderId="0" xfId="1" quotePrefix="1" applyNumberFormat="1" applyFont="1" applyBorder="1" applyAlignment="1" applyProtection="1">
      <alignment horizontal="right"/>
    </xf>
    <xf numFmtId="38" fontId="6" fillId="0" borderId="0" xfId="1" quotePrefix="1" applyNumberFormat="1" applyFont="1" applyFill="1" applyBorder="1" applyAlignment="1" applyProtection="1">
      <alignment horizontal="right"/>
    </xf>
    <xf numFmtId="0" fontId="7" fillId="0" borderId="1" xfId="0" applyFont="1" applyBorder="1"/>
    <xf numFmtId="0" fontId="0" fillId="0" borderId="1" xfId="0" applyBorder="1"/>
    <xf numFmtId="0" fontId="8" fillId="0" borderId="0" xfId="0" applyFont="1"/>
    <xf numFmtId="38" fontId="9" fillId="0" borderId="0" xfId="0" applyNumberFormat="1" applyFont="1"/>
    <xf numFmtId="38" fontId="10" fillId="0" borderId="0" xfId="0" applyNumberFormat="1" applyFont="1"/>
    <xf numFmtId="0" fontId="3" fillId="0" borderId="0" xfId="0" applyFont="1"/>
    <xf numFmtId="0" fontId="0" fillId="0" borderId="2" xfId="0" applyBorder="1"/>
    <xf numFmtId="0" fontId="3" fillId="0" borderId="2" xfId="0" applyFont="1" applyBorder="1"/>
    <xf numFmtId="0" fontId="7" fillId="0" borderId="0" xfId="0" applyFont="1"/>
    <xf numFmtId="0" fontId="8" fillId="0" borderId="2" xfId="0" applyFont="1" applyBorder="1"/>
    <xf numFmtId="0" fontId="0" fillId="0" borderId="3" xfId="0" applyBorder="1"/>
    <xf numFmtId="0" fontId="3" fillId="0" borderId="3" xfId="0" applyFont="1" applyBorder="1"/>
    <xf numFmtId="0" fontId="2" fillId="2" borderId="0" xfId="0" applyFont="1" applyFill="1"/>
    <xf numFmtId="38" fontId="6" fillId="0" borderId="4" xfId="1" applyNumberFormat="1" applyFont="1" applyBorder="1" applyAlignment="1">
      <alignment horizontal="left"/>
    </xf>
    <xf numFmtId="38" fontId="6" fillId="0" borderId="4" xfId="1" quotePrefix="1" applyNumberFormat="1" applyFont="1" applyBorder="1" applyAlignment="1" applyProtection="1">
      <alignment horizontal="right"/>
    </xf>
    <xf numFmtId="38" fontId="6" fillId="0" borderId="4" xfId="1" quotePrefix="1" applyNumberFormat="1" applyFont="1" applyFill="1" applyBorder="1" applyAlignment="1" applyProtection="1">
      <alignment horizontal="right"/>
    </xf>
    <xf numFmtId="38" fontId="11" fillId="0" borderId="4" xfId="1" quotePrefix="1" applyNumberFormat="1" applyFont="1" applyFill="1" applyBorder="1" applyAlignment="1" applyProtection="1">
      <alignment horizontal="right"/>
    </xf>
    <xf numFmtId="0" fontId="3" fillId="0" borderId="1" xfId="0" applyFont="1" applyBorder="1"/>
    <xf numFmtId="0" fontId="10" fillId="0" borderId="0" xfId="0" applyFont="1"/>
    <xf numFmtId="38" fontId="9" fillId="0" borderId="2" xfId="0" applyNumberFormat="1" applyFont="1" applyBorder="1"/>
    <xf numFmtId="38" fontId="10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theme" Target="theme/theme1.xml"/><Relationship Id="rId2" Type="http://schemas.openxmlformats.org/officeDocument/2006/relationships/chartsheet" Target="chartsheets/sheet1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externalLink" Target="externalLinks/externalLink2.xml"/><Relationship Id="rId10" Type="http://schemas.openxmlformats.org/officeDocument/2006/relationships/chartsheet" Target="chartsheets/sheet9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Quarterly US Soybean Residual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250826946684219E-2"/>
          <c:y val="9.764794528358621E-2"/>
          <c:w val="0.88934522793077087"/>
          <c:h val="0.79007399059383898"/>
        </c:manualLayout>
      </c:layout>
      <c:barChart>
        <c:barDir val="col"/>
        <c:grouping val="clustered"/>
        <c:varyColors val="0"/>
        <c:ser>
          <c:idx val="7"/>
          <c:order val="7"/>
          <c:tx>
            <c:strRef>
              <c:f>Data!$AU$2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rgbClr val="305165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rgbClr val="30516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84-4416-9185-CC7F0C93E82C}"/>
              </c:ext>
            </c:extLst>
          </c:dPt>
          <c:cat>
            <c:strRef>
              <c:f>Data!$A$5:$A$8</c:f>
              <c:strCache>
                <c:ptCount val="4"/>
                <c:pt idx="0">
                  <c:v>        Sep/Nov</c:v>
                </c:pt>
                <c:pt idx="1">
                  <c:v>        Dec/Feb</c:v>
                </c:pt>
                <c:pt idx="2">
                  <c:v>        Mar/May</c:v>
                </c:pt>
                <c:pt idx="3">
                  <c:v>        Jun/Aug</c:v>
                </c:pt>
              </c:strCache>
            </c:strRef>
          </c:cat>
          <c:val>
            <c:numRef>
              <c:f>Data!$AU$5:$AU$8</c:f>
              <c:numCache>
                <c:formatCode>#,##0_);[Red]\(#,##0\)</c:formatCode>
                <c:ptCount val="4"/>
                <c:pt idx="0">
                  <c:v>147.74085474916683</c:v>
                </c:pt>
                <c:pt idx="1">
                  <c:v>-50.206607949766749</c:v>
                </c:pt>
                <c:pt idx="2">
                  <c:v>66.663486525871576</c:v>
                </c:pt>
                <c:pt idx="3">
                  <c:v>-152.86724361623806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84-4416-9185-CC7F0C93E82C}"/>
            </c:ext>
          </c:extLst>
        </c:ser>
        <c:ser>
          <c:idx val="8"/>
          <c:order val="8"/>
          <c:tx>
            <c:strRef>
              <c:f>Data!$AV$2</c:f>
              <c:strCache>
                <c:ptCount val="1"/>
                <c:pt idx="0">
                  <c:v>21/22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val>
            <c:numRef>
              <c:f>Data!$AV$5:$AV$8</c:f>
              <c:numCache>
                <c:formatCode>#,##0_);[Red]\(#,##0\)</c:formatCode>
                <c:ptCount val="4"/>
                <c:pt idx="0">
                  <c:v>172.43730245816687</c:v>
                </c:pt>
                <c:pt idx="1">
                  <c:v>-32.234392907966821</c:v>
                </c:pt>
                <c:pt idx="2">
                  <c:v>72.766467497071517</c:v>
                </c:pt>
                <c:pt idx="3">
                  <c:v>-185.51588859643823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84-4416-9185-CC7F0C93E82C}"/>
            </c:ext>
          </c:extLst>
        </c:ser>
        <c:ser>
          <c:idx val="9"/>
          <c:order val="9"/>
          <c:tx>
            <c:strRef>
              <c:f>Data!$AW$2</c:f>
              <c:strCache>
                <c:ptCount val="1"/>
                <c:pt idx="0">
                  <c:v>22/23 </c:v>
                </c:pt>
              </c:strCache>
            </c:strRef>
          </c:tx>
          <c:spPr>
            <a:solidFill>
              <a:srgbClr val="FF5050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Data!$AW$5:$AW$8</c:f>
              <c:numCache>
                <c:formatCode>#,##0_);[Red]\(#,##0\)</c:formatCode>
                <c:ptCount val="4"/>
                <c:pt idx="0">
                  <c:v>163.42117334173327</c:v>
                </c:pt>
                <c:pt idx="1">
                  <c:v>-4.1577439417335427</c:v>
                </c:pt>
                <c:pt idx="2">
                  <c:v>64.677031393333436</c:v>
                </c:pt>
                <c:pt idx="3">
                  <c:v>-187.40864719616661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84-4416-9185-CC7F0C93E82C}"/>
            </c:ext>
          </c:extLst>
        </c:ser>
        <c:ser>
          <c:idx val="10"/>
          <c:order val="10"/>
          <c:tx>
            <c:v>23/24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C84-4416-9185-CC7F0C93E82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C84-4416-9185-CC7F0C93E8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C84-4416-9185-CC7F0C93E82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C84-4416-9185-CC7F0C93E82C}"/>
              </c:ext>
            </c:extLst>
          </c:dPt>
          <c:val>
            <c:numRef>
              <c:f>Data!$AX$5:$AX$8</c:f>
              <c:numCache>
                <c:formatCode>#,##0_);[Red]\(#,##0\)</c:formatCode>
                <c:ptCount val="4"/>
                <c:pt idx="0">
                  <c:v>140.24001560316628</c:v>
                </c:pt>
                <c:pt idx="1">
                  <c:v>-22.023757606247727</c:v>
                </c:pt>
                <c:pt idx="2">
                  <c:v>64.954275890965391</c:v>
                </c:pt>
                <c:pt idx="3">
                  <c:v>-141.54252988809014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C84-4416-9185-CC7F0C93E82C}"/>
            </c:ext>
          </c:extLst>
        </c:ser>
        <c:ser>
          <c:idx val="11"/>
          <c:order val="11"/>
          <c:tx>
            <c:strRef>
              <c:f>Data!$AY$2</c:f>
              <c:strCache>
                <c:ptCount val="1"/>
                <c:pt idx="0">
                  <c:v>24/25 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pct1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C84-4416-9185-CC7F0C93E82C}"/>
              </c:ext>
            </c:extLst>
          </c:dPt>
          <c:dPt>
            <c:idx val="2"/>
            <c:invertIfNegative val="0"/>
            <c:bubble3D val="0"/>
            <c:spPr>
              <a:pattFill prst="pct1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C84-4416-9185-CC7F0C93E82C}"/>
              </c:ext>
            </c:extLst>
          </c:dPt>
          <c:dPt>
            <c:idx val="3"/>
            <c:invertIfNegative val="0"/>
            <c:bubble3D val="0"/>
            <c:spPr>
              <a:pattFill prst="pct1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C84-4416-9185-CC7F0C93E82C}"/>
              </c:ext>
            </c:extLst>
          </c:dPt>
          <c:dLbls>
            <c:dLbl>
              <c:idx val="1"/>
              <c:spPr>
                <a:pattFill prst="pct1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6F0791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F-BC84-4416-9185-CC7F0C93E82C}"/>
                </c:ext>
              </c:extLst>
            </c:dLbl>
            <c:dLbl>
              <c:idx val="2"/>
              <c:spPr>
                <a:pattFill prst="pct1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6F0791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1-BC84-4416-9185-CC7F0C93E82C}"/>
                </c:ext>
              </c:extLst>
            </c:dLbl>
            <c:dLbl>
              <c:idx val="3"/>
              <c:spPr>
                <a:pattFill prst="pct10">
                  <a:fgClr>
                    <a:srgbClr val="6F0791"/>
                  </a:fgClr>
                  <a:bgClr>
                    <a:schemeClr val="bg1"/>
                  </a:bgClr>
                </a:pattFill>
                <a:ln w="15875">
                  <a:solidFill>
                    <a:srgbClr val="6F0791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3-BC84-4416-9185-CC7F0C93E82C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Data!$AY$5:$AY$8</c:f>
              <c:numCache>
                <c:formatCode>#,##0_);[Red]\(#,##0\)</c:formatCode>
                <c:ptCount val="4"/>
                <c:pt idx="0">
                  <c:v>183.20655932102409</c:v>
                </c:pt>
                <c:pt idx="1">
                  <c:v>-25</c:v>
                </c:pt>
                <c:pt idx="2">
                  <c:v>70</c:v>
                </c:pt>
                <c:pt idx="3">
                  <c:v>-193.20655932102409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C84-4416-9185-CC7F0C93E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091881104"/>
        <c:axId val="10918817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Data!$AN$2</c15:sqref>
                        </c15:formulaRef>
                      </c:ext>
                    </c:extLst>
                    <c:strCache>
                      <c:ptCount val="1"/>
                      <c:pt idx="0">
                        <c:v>13/14 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solidFill>
                      <a:srgbClr val="305165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Data!$A$5:$A$8</c15:sqref>
                        </c15:formulaRef>
                      </c:ext>
                    </c:extLst>
                    <c:strCache>
                      <c:ptCount val="4"/>
                      <c:pt idx="0">
                        <c:v>        Sep/Nov</c:v>
                      </c:pt>
                      <c:pt idx="1">
                        <c:v>        Dec/Feb</c:v>
                      </c:pt>
                      <c:pt idx="2">
                        <c:v>        Mar/May</c:v>
                      </c:pt>
                      <c:pt idx="3">
                        <c:v>        Jun/Aug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Data!$AN$5:$AN$8</c15:sqref>
                        </c15:formulaRef>
                      </c:ext>
                    </c:extLst>
                    <c:numCache>
                      <c:formatCode>#,##0_);[Red]\(#,##0\)</c:formatCode>
                      <c:ptCount val="4"/>
                      <c:pt idx="0">
                        <c:v>228.46861725411964</c:v>
                      </c:pt>
                      <c:pt idx="1">
                        <c:v>-30.365165916759906</c:v>
                      </c:pt>
                      <c:pt idx="2">
                        <c:v>-16.804479754462591</c:v>
                      </c:pt>
                      <c:pt idx="3">
                        <c:v>-173.5216013520768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BC84-4416-9185-CC7F0C93E82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Data!$AO$2</c15:sqref>
                        </c15:formulaRef>
                      </c:ext>
                    </c:extLst>
                    <c:strCache>
                      <c:ptCount val="1"/>
                      <c:pt idx="0">
                        <c:v>14/15 </c:v>
                      </c:pt>
                    </c:strCache>
                  </c:strRef>
                </c:tx>
                <c:spPr>
                  <a:solidFill>
                    <a:srgbClr val="FF5050"/>
                  </a:solidFill>
                  <a:ln>
                    <a:solidFill>
                      <a:srgbClr val="305165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Data!$A$5:$A$8</c15:sqref>
                        </c15:formulaRef>
                      </c:ext>
                    </c:extLst>
                    <c:strCache>
                      <c:ptCount val="4"/>
                      <c:pt idx="0">
                        <c:v>        Sep/Nov</c:v>
                      </c:pt>
                      <c:pt idx="1">
                        <c:v>        Dec/Feb</c:v>
                      </c:pt>
                      <c:pt idx="2">
                        <c:v>        Mar/May</c:v>
                      </c:pt>
                      <c:pt idx="3">
                        <c:v>        Jun/Aug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Data!$AO$5:$AO$8</c15:sqref>
                        </c15:formulaRef>
                      </c:ext>
                    </c:extLst>
                    <c:numCache>
                      <c:formatCode>#,##0_);[Red]\(#,##0\)</c:formatCode>
                      <c:ptCount val="4"/>
                      <c:pt idx="0">
                        <c:v>248.25457227906668</c:v>
                      </c:pt>
                      <c:pt idx="1">
                        <c:v>-13.2317670580303</c:v>
                      </c:pt>
                      <c:pt idx="2">
                        <c:v>27.839958480716291</c:v>
                      </c:pt>
                      <c:pt idx="3">
                        <c:v>-211.58565629464226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BC84-4416-9185-CC7F0C93E82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Data!$AP$2</c15:sqref>
                        </c15:formulaRef>
                      </c:ext>
                    </c:extLst>
                    <c:strCache>
                      <c:ptCount val="1"/>
                      <c:pt idx="0">
                        <c:v>15/16 </c:v>
                      </c:pt>
                    </c:strCache>
                  </c:strRef>
                </c:tx>
                <c:spPr>
                  <a:solidFill>
                    <a:srgbClr val="CF4FF7"/>
                  </a:solidFill>
                  <a:ln>
                    <a:solidFill>
                      <a:srgbClr val="305165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Data!$A$5:$A$8</c15:sqref>
                        </c15:formulaRef>
                      </c:ext>
                    </c:extLst>
                    <c:strCache>
                      <c:ptCount val="4"/>
                      <c:pt idx="0">
                        <c:v>        Sep/Nov</c:v>
                      </c:pt>
                      <c:pt idx="1">
                        <c:v>        Dec/Feb</c:v>
                      </c:pt>
                      <c:pt idx="2">
                        <c:v>        Mar/May</c:v>
                      </c:pt>
                      <c:pt idx="3">
                        <c:v>        Jun/Aug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Data!$AP$5:$AP$8</c15:sqref>
                        </c15:formulaRef>
                      </c:ext>
                    </c:extLst>
                    <c:numCache>
                      <c:formatCode>#,##0_);[Red]\(#,##0\)</c:formatCode>
                      <c:ptCount val="4"/>
                      <c:pt idx="0">
                        <c:v>144.07617725360251</c:v>
                      </c:pt>
                      <c:pt idx="1">
                        <c:v>26.612106559659424</c:v>
                      </c:pt>
                      <c:pt idx="2">
                        <c:v>-8.1509472633329096</c:v>
                      </c:pt>
                      <c:pt idx="3">
                        <c:v>-147.2908549942706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BC84-4416-9185-CC7F0C93E82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Data!$AQ$2</c15:sqref>
                        </c15:formulaRef>
                      </c:ext>
                    </c:extLst>
                    <c:strCache>
                      <c:ptCount val="1"/>
                      <c:pt idx="0">
                        <c:v>16/17 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solidFill>
                      <a:srgbClr val="305165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Data!$A$5:$A$8</c15:sqref>
                        </c15:formulaRef>
                      </c:ext>
                    </c:extLst>
                    <c:strCache>
                      <c:ptCount val="4"/>
                      <c:pt idx="0">
                        <c:v>        Sep/Nov</c:v>
                      </c:pt>
                      <c:pt idx="1">
                        <c:v>        Dec/Feb</c:v>
                      </c:pt>
                      <c:pt idx="2">
                        <c:v>        Mar/May</c:v>
                      </c:pt>
                      <c:pt idx="3">
                        <c:v>        Jun/Aug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Data!$AQ$5:$AQ$8</c15:sqref>
                        </c15:formulaRef>
                      </c:ext>
                    </c:extLst>
                    <c:numCache>
                      <c:formatCode>#,##0_);[Red]\(#,##0\)</c:formatCode>
                      <c:ptCount val="4"/>
                      <c:pt idx="0">
                        <c:v>188.49356234524384</c:v>
                      </c:pt>
                      <c:pt idx="1">
                        <c:v>-40.946751822307306</c:v>
                      </c:pt>
                      <c:pt idx="2">
                        <c:v>37.762750319330166</c:v>
                      </c:pt>
                      <c:pt idx="3">
                        <c:v>-138.05896503700228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BC84-4416-9185-CC7F0C93E82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Data!$AR$2</c15:sqref>
                        </c15:formulaRef>
                      </c:ext>
                    </c:extLst>
                    <c:strCache>
                      <c:ptCount val="1"/>
                      <c:pt idx="0">
                        <c:v>17/18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solidFill>
                      <a:srgbClr val="305165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Data!$A$5:$A$8</c15:sqref>
                        </c15:formulaRef>
                      </c:ext>
                    </c:extLst>
                    <c:strCache>
                      <c:ptCount val="4"/>
                      <c:pt idx="0">
                        <c:v>        Sep/Nov</c:v>
                      </c:pt>
                      <c:pt idx="1">
                        <c:v>        Dec/Feb</c:v>
                      </c:pt>
                      <c:pt idx="2">
                        <c:v>        Mar/May</c:v>
                      </c:pt>
                      <c:pt idx="3">
                        <c:v>        Jun/Aug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Data!$AR$5:$AR$8</c15:sqref>
                        </c15:formulaRef>
                      </c:ext>
                    </c:extLst>
                    <c:numCache>
                      <c:formatCode>#,##0_);[Red]\(#,##0\)</c:formatCode>
                      <c:ptCount val="4"/>
                      <c:pt idx="0">
                        <c:v>205.5142603730892</c:v>
                      </c:pt>
                      <c:pt idx="1">
                        <c:v>-58.081009895879333</c:v>
                      </c:pt>
                      <c:pt idx="2">
                        <c:v>50.293743441394895</c:v>
                      </c:pt>
                      <c:pt idx="3">
                        <c:v>-193.44110964180697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BC84-4416-9185-CC7F0C93E82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Data!$AS$2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solidFill>
                    <a:schemeClr val="tx2">
                      <a:lumMod val="60000"/>
                      <a:lumOff val="40000"/>
                    </a:schemeClr>
                  </a:solidFill>
                  <a:ln>
                    <a:solidFill>
                      <a:srgbClr val="305165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Data!$A$5:$A$8</c15:sqref>
                        </c15:formulaRef>
                      </c:ext>
                    </c:extLst>
                    <c:strCache>
                      <c:ptCount val="4"/>
                      <c:pt idx="0">
                        <c:v>        Sep/Nov</c:v>
                      </c:pt>
                      <c:pt idx="1">
                        <c:v>        Dec/Feb</c:v>
                      </c:pt>
                      <c:pt idx="2">
                        <c:v>        Mar/May</c:v>
                      </c:pt>
                      <c:pt idx="3">
                        <c:v>        Jun/Aug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Data!$AS$5:$AS$8</c15:sqref>
                        </c15:formulaRef>
                      </c:ext>
                    </c:extLst>
                    <c:numCache>
                      <c:formatCode>#,##0_);[Red]\(#,##0\)</c:formatCode>
                      <c:ptCount val="4"/>
                      <c:pt idx="0">
                        <c:v>87.53101685801812</c:v>
                      </c:pt>
                      <c:pt idx="1">
                        <c:v>2.5964016922234805</c:v>
                      </c:pt>
                      <c:pt idx="2">
                        <c:v>104.92418167551341</c:v>
                      </c:pt>
                      <c:pt idx="3">
                        <c:v>-149.46098449191925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BC84-4416-9185-CC7F0C93E82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Data!$AT$2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solidFill>
                      <a:srgbClr val="305165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Data!$A$5:$A$8</c15:sqref>
                        </c15:formulaRef>
                      </c:ext>
                    </c:extLst>
                    <c:strCache>
                      <c:ptCount val="4"/>
                      <c:pt idx="0">
                        <c:v>        Sep/Nov</c:v>
                      </c:pt>
                      <c:pt idx="1">
                        <c:v>        Dec/Feb</c:v>
                      </c:pt>
                      <c:pt idx="2">
                        <c:v>        Mar/May</c:v>
                      </c:pt>
                      <c:pt idx="3">
                        <c:v>        Jun/Aug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Data!$AT$5:$AT$8</c15:sqref>
                        </c15:formulaRef>
                      </c:ext>
                    </c:extLst>
                    <c:numCache>
                      <c:formatCode>#,##0_);[Red]\(#,##0\)</c:formatCode>
                      <c:ptCount val="4"/>
                      <c:pt idx="0">
                        <c:v>76.394890355029702</c:v>
                      </c:pt>
                      <c:pt idx="1">
                        <c:v>-53.763359308052713</c:v>
                      </c:pt>
                      <c:pt idx="2">
                        <c:v>62.260843606952449</c:v>
                      </c:pt>
                      <c:pt idx="3">
                        <c:v>-75.366519928285584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BC84-4416-9185-CC7F0C93E82C}"/>
                  </c:ext>
                </c:extLst>
              </c15:ser>
            </c15:filteredBarSeries>
          </c:ext>
        </c:extLst>
      </c:barChart>
      <c:catAx>
        <c:axId val="109188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pattFill prst="pct10">
            <a:fgClr>
              <a:srgbClr val="6F0791"/>
            </a:fgClr>
            <a:bgClr>
              <a:schemeClr val="bg1"/>
            </a:bgClr>
          </a:pattFill>
          <a:ln w="2222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1881760"/>
        <c:crosses val="autoZero"/>
        <c:auto val="1"/>
        <c:lblAlgn val="ctr"/>
        <c:lblOffset val="100"/>
        <c:noMultiLvlLbl val="0"/>
      </c:catAx>
      <c:valAx>
        <c:axId val="10918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Million</a:t>
                </a:r>
                <a:r>
                  <a:rPr lang="en-US" sz="16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Bushels</a:t>
                </a:r>
                <a:endParaRPr lang="en-US" sz="16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397007493734308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1881104"/>
        <c:crosses val="autoZero"/>
        <c:crossBetween val="between"/>
        <c:majorUnit val="40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41947888034707598"/>
          <c:y val="0.16019680720346513"/>
          <c:w val="0.41329291655081585"/>
          <c:h val="5.089183158889013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 Soybean Residual</a:t>
            </a:r>
            <a: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Use versus Export Change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 sz="11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Million Bushels</a:t>
            </a:r>
            <a:endPara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953748480556276E-2"/>
          <c:y val="0.13114964230876078"/>
          <c:w val="0.87299187601634021"/>
          <c:h val="0.766715494075242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ECECEC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24"/>
            <c:marker>
              <c:symbol val="circle"/>
              <c:size val="6"/>
              <c:spPr>
                <a:solidFill>
                  <a:srgbClr val="ECECE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CA-4101-BEA8-164425013A0F}"/>
              </c:ext>
            </c:extLst>
          </c:dPt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{62B8C9E3-6C41-4692-AFB8-9C5B63D7F65C}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CCA-4101-BEA8-164425013A0F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{2209E61A-F188-4C26-BE83-ECC3E57D9019}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CCA-4101-BEA8-164425013A0F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{48A3A5ED-8211-4BF2-85E3-4CBEAB09E1CB}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CCA-4101-BEA8-164425013A0F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{077D7C16-0A25-4F22-93CB-2CCDEDD41660}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8CCA-4101-BEA8-164425013A0F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{AFA93DD5-8E6F-47C9-AD9F-EE2414CD7712}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8CCA-4101-BEA8-164425013A0F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{5F5ECE4D-40CF-4456-88A5-4D50F137A9A1}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8CCA-4101-BEA8-164425013A0F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{0C6339F2-DA42-495E-ACAB-809249CE9737}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8CCA-4101-BEA8-164425013A0F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{2A5040B6-8002-4CF0-8DD6-6ABA9EA28CA8}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8CCA-4101-BEA8-164425013A0F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{293CEBB2-934A-4A5F-848D-096C7B5F557B}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8CCA-4101-BEA8-164425013A0F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{A96ECC93-3411-4189-9CF5-F1D1A8F4B787}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CCA-4101-BEA8-164425013A0F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{1137A816-43D7-4E61-A439-276AA305238E}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8CCA-4101-BEA8-164425013A0F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{BFF331B6-A112-4C5C-8F03-9D2539B4AE1B}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8CCA-4101-BEA8-164425013A0F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{E9E104F0-01B7-48C5-AF32-6FECF8EA84D8}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8CCA-4101-BEA8-164425013A0F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{FA215055-40E7-4278-8571-E081E8D81C25}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8CCA-4101-BEA8-164425013A0F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{312CEF31-EF7D-48C6-86A3-211B9ADE872D}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8CCA-4101-BEA8-164425013A0F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{7F15C5F6-A934-4F5C-93F5-4CF8DB70C244}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8CCA-4101-BEA8-164425013A0F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{BBB0F71E-4A2B-4D6B-9195-F3DC484AE1A7}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8CCA-4101-BEA8-164425013A0F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{AD6C49F3-D5CB-49DF-94C4-63ACD22C89A2}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8CCA-4101-BEA8-164425013A0F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{2F73432F-019A-43EE-8082-E05BF3B21A3A}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8CCA-4101-BEA8-164425013A0F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{78F5325E-F15C-48F3-8346-0DFB98C20BF5}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8CCA-4101-BEA8-164425013A0F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{BD1C95CA-9E09-4598-8ECA-94F1893FF063}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8CCA-4101-BEA8-164425013A0F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{85BFB612-F39E-4FE7-9789-A6D3741DACCE}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8CCA-4101-BEA8-164425013A0F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{72E436F6-820F-4B0A-BE65-DC165DDD963E}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8CCA-4101-BEA8-164425013A0F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{192CC907-348F-44DC-82B0-CE3F7F1C234A}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8CCA-4101-BEA8-164425013A0F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{3B00DA4C-A599-4255-B192-C20F993CB1D5}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8CCA-4101-BEA8-164425013A0F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{D6998AE3-1AC3-457F-90A4-4A96B7AB6D3A}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8CCA-4101-BEA8-164425013A0F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{D717A556-2DD3-497E-926A-673EC0170788}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8CCA-4101-BEA8-164425013A0F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{1EDB611C-973E-42AC-B27D-7B891E3A34EA}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8CCA-4101-BEA8-164425013A0F}"/>
                </c:ext>
              </c:extLst>
            </c:dLbl>
            <c:dLbl>
              <c:idx val="28"/>
              <c:tx>
                <c:strRef>
                  <c:f>Data!$AV$2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{57FBAA67-A255-4494-A265-A21540F390AC}</c15:txfldGUID>
                      <c15:f>Data!$AV$2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8CCA-4101-BEA8-164425013A0F}"/>
                </c:ext>
              </c:extLst>
            </c:dLbl>
            <c:dLbl>
              <c:idx val="29"/>
              <c:tx>
                <c:strRef>
                  <c:f>Data!$AW$2</c:f>
                  <c:strCache>
                    <c:ptCount val="1"/>
                    <c:pt idx="0">
                      <c:v>22/23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{8AABDE58-7EE1-4A6E-BF69-529579704C4B}</c15:txfldGUID>
                      <c15:f>Data!$AW$2</c15:f>
                      <c15:dlblFieldTableCache>
                        <c:ptCount val="1"/>
                        <c:pt idx="0">
                          <c:v>22/23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8CCA-4101-BEA8-164425013A0F}"/>
                </c:ext>
              </c:extLst>
            </c:dLbl>
            <c:dLbl>
              <c:idx val="30"/>
              <c:tx>
                <c:strRef>
                  <c:f>Data!$AX$2</c:f>
                  <c:strCache>
                    <c:ptCount val="1"/>
                    <c:pt idx="0">
                      <c:v>23/24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{D3338D12-A0FE-4CB3-9838-D6BA2B370B1D}</c15:txfldGUID>
                      <c15:f>Data!$AX$2</c15:f>
                      <c15:dlblFieldTableCache>
                        <c:ptCount val="1"/>
                        <c:pt idx="0">
                          <c:v>23/24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8CCA-4101-BEA8-164425013A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Data!$T$94:$AX$94</c:f>
              <c:numCache>
                <c:formatCode>#,##0_);[Red]\(#,##0\)</c:formatCode>
                <c:ptCount val="31"/>
                <c:pt idx="0">
                  <c:v>34.597000000000001</c:v>
                </c:pt>
                <c:pt idx="1">
                  <c:v>29.288000000000004</c:v>
                </c:pt>
                <c:pt idx="2">
                  <c:v>7.5040000000000013</c:v>
                </c:pt>
                <c:pt idx="3">
                  <c:v>42.89</c:v>
                </c:pt>
                <c:pt idx="4">
                  <c:v>37.875999999999998</c:v>
                </c:pt>
                <c:pt idx="5">
                  <c:v>36.197999999999993</c:v>
                </c:pt>
                <c:pt idx="6">
                  <c:v>37.092999999999996</c:v>
                </c:pt>
                <c:pt idx="7">
                  <c:v>18.737999999999996</c:v>
                </c:pt>
                <c:pt idx="8">
                  <c:v>54.685999999999993</c:v>
                </c:pt>
                <c:pt idx="9">
                  <c:v>45.56</c:v>
                </c:pt>
                <c:pt idx="10">
                  <c:v>62.680000000000007</c:v>
                </c:pt>
                <c:pt idx="11">
                  <c:v>47.597999999999999</c:v>
                </c:pt>
                <c:pt idx="12">
                  <c:v>35.388999999999996</c:v>
                </c:pt>
                <c:pt idx="13">
                  <c:v>40.013999999999996</c:v>
                </c:pt>
                <c:pt idx="14">
                  <c:v>46.194000000000003</c:v>
                </c:pt>
                <c:pt idx="15">
                  <c:v>66.012999999999991</c:v>
                </c:pt>
                <c:pt idx="16">
                  <c:v>91.084000000000003</c:v>
                </c:pt>
                <c:pt idx="17">
                  <c:v>84.77600000000001</c:v>
                </c:pt>
                <c:pt idx="18">
                  <c:v>32.407000000000004</c:v>
                </c:pt>
                <c:pt idx="19">
                  <c:v>59.507000000000005</c:v>
                </c:pt>
                <c:pt idx="20">
                  <c:v>115.532</c:v>
                </c:pt>
                <c:pt idx="21">
                  <c:v>141.90800000000002</c:v>
                </c:pt>
                <c:pt idx="22">
                  <c:v>77.50200000000001</c:v>
                </c:pt>
                <c:pt idx="23">
                  <c:v>70.136999999999958</c:v>
                </c:pt>
                <c:pt idx="24">
                  <c:v>36.901909804599981</c:v>
                </c:pt>
                <c:pt idx="25">
                  <c:v>6.7767875658000065</c:v>
                </c:pt>
                <c:pt idx="26">
                  <c:v>46.086079674600001</c:v>
                </c:pt>
                <c:pt idx="27">
                  <c:v>62.663036673300013</c:v>
                </c:pt>
                <c:pt idx="28">
                  <c:v>118.09171648469999</c:v>
                </c:pt>
                <c:pt idx="29">
                  <c:v>111.31136478000002</c:v>
                </c:pt>
                <c:pt idx="30">
                  <c:v>59.574838919399987</c:v>
                </c:pt>
              </c:numCache>
            </c:numRef>
          </c:xVal>
          <c:yVal>
            <c:numRef>
              <c:f>Data!$T$5:$AX$5</c:f>
              <c:numCache>
                <c:formatCode>#,##0_);[Red]\(#,##0\)</c:formatCode>
                <c:ptCount val="31"/>
                <c:pt idx="0">
                  <c:v>4.47</c:v>
                </c:pt>
                <c:pt idx="1">
                  <c:v>-149.19831877253364</c:v>
                </c:pt>
                <c:pt idx="2">
                  <c:v>93.889157719433001</c:v>
                </c:pt>
                <c:pt idx="3">
                  <c:v>88.319380847499929</c:v>
                </c:pt>
                <c:pt idx="4">
                  <c:v>58.744980296833319</c:v>
                </c:pt>
                <c:pt idx="5">
                  <c:v>76.935670118933558</c:v>
                </c:pt>
                <c:pt idx="6">
                  <c:v>97.17053671833321</c:v>
                </c:pt>
                <c:pt idx="7">
                  <c:v>71.978728454033217</c:v>
                </c:pt>
                <c:pt idx="8">
                  <c:v>87.496624568399511</c:v>
                </c:pt>
                <c:pt idx="9">
                  <c:v>112.33748187543347</c:v>
                </c:pt>
                <c:pt idx="10">
                  <c:v>142.86335777036652</c:v>
                </c:pt>
                <c:pt idx="11">
                  <c:v>99.394408237866855</c:v>
                </c:pt>
                <c:pt idx="12">
                  <c:v>68.258787625600007</c:v>
                </c:pt>
                <c:pt idx="13">
                  <c:v>113.19087893916696</c:v>
                </c:pt>
                <c:pt idx="14">
                  <c:v>96.70983231090031</c:v>
                </c:pt>
                <c:pt idx="15">
                  <c:v>92.022945034867234</c:v>
                </c:pt>
                <c:pt idx="16">
                  <c:v>182.70940915756637</c:v>
                </c:pt>
                <c:pt idx="17">
                  <c:v>143.14750807333303</c:v>
                </c:pt>
                <c:pt idx="18">
                  <c:v>108.4867022300657</c:v>
                </c:pt>
                <c:pt idx="19">
                  <c:v>171.85609777315017</c:v>
                </c:pt>
                <c:pt idx="20">
                  <c:v>228.46861725411964</c:v>
                </c:pt>
                <c:pt idx="21">
                  <c:v>248.25457227906668</c:v>
                </c:pt>
                <c:pt idx="22">
                  <c:v>144.07617725360251</c:v>
                </c:pt>
                <c:pt idx="23">
                  <c:v>188.49356234524384</c:v>
                </c:pt>
                <c:pt idx="24">
                  <c:v>205.5142603730892</c:v>
                </c:pt>
                <c:pt idx="25">
                  <c:v>87.53101685801812</c:v>
                </c:pt>
                <c:pt idx="26">
                  <c:v>76.394890355029702</c:v>
                </c:pt>
                <c:pt idx="27">
                  <c:v>147.74085474916683</c:v>
                </c:pt>
                <c:pt idx="28">
                  <c:v>172.43730245816687</c:v>
                </c:pt>
                <c:pt idx="29">
                  <c:v>163.42117334173327</c:v>
                </c:pt>
                <c:pt idx="30">
                  <c:v>140.24001560316628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8CCA-4101-BEA8-164425013A0F}"/>
            </c:ext>
          </c:extLst>
        </c:ser>
        <c:ser>
          <c:idx val="1"/>
          <c:order val="1"/>
          <c:tx>
            <c:v>24/25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8C8C8C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D95C3FC-DC0D-4136-B436-9997B7FB59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8CCA-4101-BEA8-164425013A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6F079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Data!$AY$94</c:f>
              <c:numCache>
                <c:formatCode>#,##0_);[Red]\(#,##0\)</c:formatCode>
                <c:ptCount val="1"/>
                <c:pt idx="0">
                  <c:v>119.25340530389998</c:v>
                </c:pt>
              </c:numCache>
            </c:numRef>
          </c:xVal>
          <c:yVal>
            <c:numRef>
              <c:f>Data!$AY$5</c:f>
              <c:numCache>
                <c:formatCode>#,##0_);[Red]\(#,##0\)</c:formatCode>
                <c:ptCount val="1"/>
                <c:pt idx="0">
                  <c:v>183.20655932102409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Data!$AY$2</c15:f>
                <c15:dlblRangeCache>
                  <c:ptCount val="1"/>
                  <c:pt idx="0">
                    <c:v>24/25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8CCA-4101-BEA8-164425013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077136"/>
        <c:axId val="961075496"/>
      </c:scatterChart>
      <c:valAx>
        <c:axId val="96107713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Change in Exports from September 1 - 14 to December 1 - 14</a:t>
                </a:r>
              </a:p>
            </c:rich>
          </c:tx>
          <c:layout>
            <c:manualLayout>
              <c:xMode val="edge"/>
              <c:yMode val="edge"/>
              <c:x val="0.23862767570012325"/>
              <c:y val="0.94764806600559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1075496"/>
        <c:crosses val="autoZero"/>
        <c:crossBetween val="midCat"/>
      </c:valAx>
      <c:valAx>
        <c:axId val="96107549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September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/November Residual Use</a:t>
                </a:r>
                <a:endParaRPr lang="en-US" sz="1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20928367089992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1077136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solidFill>
                  <a:srgbClr val="323232"/>
                </a:solidFill>
              </a:rPr>
              <a:t>Revision to Prior-Year Crop vs.</a:t>
            </a:r>
          </a:p>
          <a:p>
            <a:pPr>
              <a:defRPr sz="2000" b="1">
                <a:solidFill>
                  <a:srgbClr val="323232"/>
                </a:solidFill>
              </a:defRPr>
            </a:pPr>
            <a:r>
              <a:rPr lang="en-US" sz="2000" b="1">
                <a:solidFill>
                  <a:srgbClr val="323232"/>
                </a:solidFill>
              </a:rPr>
              <a:t>Sep/Feb Cumulative Residual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8C8C8C"/>
              </a:solidFill>
              <a:ln w="9525">
                <a:solidFill>
                  <a:srgbClr val="323232"/>
                </a:solidFill>
              </a:ln>
              <a:effectLst/>
            </c:spPr>
          </c:marker>
          <c:dPt>
            <c:idx val="27"/>
            <c:marker>
              <c:symbol val="circle"/>
              <c:size val="7"/>
              <c:spPr>
                <a:solidFill>
                  <a:srgbClr val="8C8C8C"/>
                </a:solidFill>
                <a:ln w="952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3D6-4AF9-A16E-D50037859467}"/>
              </c:ext>
            </c:extLst>
          </c:dPt>
          <c:dPt>
            <c:idx val="28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3D6-4AF9-A16E-D50037859467}"/>
              </c:ext>
            </c:extLst>
          </c:dPt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{E0C7292A-6A56-416F-8EA0-80AFC2AC1E30}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3D6-4AF9-A16E-D50037859467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{EB3BE061-D310-4969-A984-F90F9509DB16}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33D6-4AF9-A16E-D50037859467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{FEEA7AA0-2CC5-45F4-A5DB-275E06442064}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33D6-4AF9-A16E-D50037859467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{AD4CF463-D442-44E4-BEC0-F27153376160}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33D6-4AF9-A16E-D50037859467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{4A325914-D240-4C8C-95BE-C080581843BD}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33D6-4AF9-A16E-D50037859467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{4E0918E7-D087-4EFF-9F9A-9F5AC5200B80}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33D6-4AF9-A16E-D50037859467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{45EF07B6-36B5-4ECD-9829-794BD473E646}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33D6-4AF9-A16E-D50037859467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{BD15C7E9-29AE-4955-ABC7-3DF5AC7697CC}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33D6-4AF9-A16E-D50037859467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{2B9E180A-A4E1-4B96-981A-320A59FC3CCA}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33D6-4AF9-A16E-D50037859467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{90F21C45-B1EB-4CAA-950B-A43EB301FC60}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33D6-4AF9-A16E-D50037859467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{B971DE3A-41A3-481D-B1A4-700E2AC851BA}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33D6-4AF9-A16E-D50037859467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{AB58C060-129C-45B7-884C-801BD7C5819E}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33D6-4AF9-A16E-D50037859467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{19CE1C7F-5791-4803-BBFA-388258BB4458}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33D6-4AF9-A16E-D50037859467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{FA2B2D52-BC40-4606-8E35-4153A5426D24}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33D6-4AF9-A16E-D50037859467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{A09E9812-B4A2-44C6-B108-90370A431D8D}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33D6-4AF9-A16E-D50037859467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{CD776344-1F39-4C08-8C77-D58B409EAD43}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33D6-4AF9-A16E-D50037859467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{DA8F17D2-B69B-411B-9F1B-37B149A3865E}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33D6-4AF9-A16E-D50037859467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{14555DD9-8104-43CC-A4F1-52FDF8B4B58A}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33D6-4AF9-A16E-D50037859467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{E97575F4-EF31-4B3F-9C3D-FC7EB8FDED83}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33D6-4AF9-A16E-D50037859467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{FE54A339-E60D-4BF0-85D2-75D936A286CC}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33D6-4AF9-A16E-D50037859467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{ACF4CA50-93D0-49DB-9EE3-CE85B8001236}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33D6-4AF9-A16E-D50037859467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{496DA4D9-8F27-42A1-B900-217CEAD8800A}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33D6-4AF9-A16E-D50037859467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{E8F9BF5E-BB7E-45B5-8DDD-E4283865A043}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33D6-4AF9-A16E-D50037859467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{0C5894E8-C89D-4A7A-862F-D7BF1D06E52D}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33D6-4AF9-A16E-D50037859467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{7B6652AD-093F-44DF-999D-5A2DB33EA990}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33D6-4AF9-A16E-D50037859467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{B19FF581-4915-4DF1-94CE-3B0EE6D4EDFD}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33D6-4AF9-A16E-D50037859467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{DED1AF21-6A47-4E24-80EC-294D9568B32A}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33D6-4AF9-A16E-D50037859467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{99302EEB-ED8A-480D-BFDD-6F34B8701871}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33D6-4AF9-A16E-D50037859467}"/>
                </c:ext>
              </c:extLst>
            </c:dLbl>
            <c:dLbl>
              <c:idx val="28"/>
              <c:tx>
                <c:strRef>
                  <c:f>Data!$AX$2</c:f>
                  <c:strCache>
                    <c:ptCount val="1"/>
                    <c:pt idx="0">
                      <c:v>23/24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{CE296BA1-329A-4D57-B4CA-94DFE32B3B88}</c15:txfldGUID>
                      <c15:f>Data!$AX$2</c15:f>
                      <c15:dlblFieldTableCache>
                        <c:ptCount val="1"/>
                        <c:pt idx="0">
                          <c:v>23/24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33D6-4AF9-A16E-D500378594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C8C8C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68664544815549011"/>
                  <c:y val="0.171464381111653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Data!$T$29:$AW$29</c:f>
              <c:numCache>
                <c:formatCode>#,##0_);[Red]\(#,##0\)</c:formatCode>
                <c:ptCount val="30"/>
                <c:pt idx="0">
                  <c:v>1812.848</c:v>
                </c:pt>
                <c:pt idx="1">
                  <c:v>-29.486335187666782</c:v>
                </c:pt>
                <c:pt idx="2">
                  <c:v>78.242580537533058</c:v>
                </c:pt>
                <c:pt idx="3">
                  <c:v>125.84762961156684</c:v>
                </c:pt>
                <c:pt idx="4">
                  <c:v>144.42690359066637</c:v>
                </c:pt>
                <c:pt idx="5">
                  <c:v>172.48369304293328</c:v>
                </c:pt>
                <c:pt idx="6">
                  <c:v>150.19359238116692</c:v>
                </c:pt>
                <c:pt idx="7">
                  <c:v>166.48996932346654</c:v>
                </c:pt>
                <c:pt idx="8">
                  <c:v>157.61065769873312</c:v>
                </c:pt>
                <c:pt idx="9">
                  <c:v>152.8381593222332</c:v>
                </c:pt>
                <c:pt idx="10">
                  <c:v>133.77109844770018</c:v>
                </c:pt>
                <c:pt idx="11">
                  <c:v>194.38355364600034</c:v>
                </c:pt>
                <c:pt idx="12">
                  <c:v>176.96949329493316</c:v>
                </c:pt>
                <c:pt idx="13">
                  <c:v>174.96706145766677</c:v>
                </c:pt>
                <c:pt idx="14">
                  <c:v>32.580585633033479</c:v>
                </c:pt>
                <c:pt idx="15">
                  <c:v>157.62637484566699</c:v>
                </c:pt>
                <c:pt idx="16">
                  <c:v>140.40495132899946</c:v>
                </c:pt>
                <c:pt idx="17">
                  <c:v>193.87717060189925</c:v>
                </c:pt>
                <c:pt idx="18">
                  <c:v>141.23290595220431</c:v>
                </c:pt>
                <c:pt idx="19">
                  <c:v>118.97866699413339</c:v>
                </c:pt>
                <c:pt idx="20">
                  <c:v>129.93245133735991</c:v>
                </c:pt>
                <c:pt idx="21">
                  <c:v>275.77580522103608</c:v>
                </c:pt>
                <c:pt idx="22">
                  <c:v>173.79428381326215</c:v>
                </c:pt>
                <c:pt idx="23">
                  <c:v>157.72181052293672</c:v>
                </c:pt>
                <c:pt idx="24">
                  <c:v>127.35325047720994</c:v>
                </c:pt>
                <c:pt idx="25">
                  <c:v>205.86041855024177</c:v>
                </c:pt>
                <c:pt idx="26">
                  <c:v>29.004531046977036</c:v>
                </c:pt>
                <c:pt idx="27">
                  <c:v>16.709246799400262</c:v>
                </c:pt>
                <c:pt idx="28">
                  <c:v>110.94290955019983</c:v>
                </c:pt>
                <c:pt idx="29">
                  <c:v>165.1904293999994</c:v>
                </c:pt>
              </c:numCache>
            </c:numRef>
          </c:xVal>
          <c:yVal>
            <c:numRef>
              <c:f>Data!$T$103:$AW$103</c:f>
              <c:numCache>
                <c:formatCode>#,##0_);[Red]\(#,##0\)</c:formatCode>
                <c:ptCount val="30"/>
                <c:pt idx="0">
                  <c:v>-1804.008</c:v>
                </c:pt>
                <c:pt idx="1">
                  <c:v>-43.447999999999865</c:v>
                </c:pt>
                <c:pt idx="2">
                  <c:v>22.420000000000073</c:v>
                </c:pt>
                <c:pt idx="3">
                  <c:v>-2.0900000000001455</c:v>
                </c:pt>
                <c:pt idx="4">
                  <c:v>-38.503999999999905</c:v>
                </c:pt>
                <c:pt idx="5">
                  <c:v>-15.779999999999745</c:v>
                </c:pt>
                <c:pt idx="6">
                  <c:v>10.849999999999909</c:v>
                </c:pt>
                <c:pt idx="7">
                  <c:v>-11.855000000000018</c:v>
                </c:pt>
                <c:pt idx="8">
                  <c:v>0.10999999999967258</c:v>
                </c:pt>
                <c:pt idx="9">
                  <c:v>26.438000000000102</c:v>
                </c:pt>
                <c:pt idx="10">
                  <c:v>36.279999999999745</c:v>
                </c:pt>
                <c:pt idx="11">
                  <c:v>-17.206000000000131</c:v>
                </c:pt>
                <c:pt idx="12">
                  <c:v>-18.089999999999691</c:v>
                </c:pt>
                <c:pt idx="13">
                  <c:v>8.4790000000002692</c:v>
                </c:pt>
                <c:pt idx="14">
                  <c:v>91.910000000000309</c:v>
                </c:pt>
                <c:pt idx="15">
                  <c:v>7.8330000000000837</c:v>
                </c:pt>
                <c:pt idx="16">
                  <c:v>-9.6999999999752617E-2</c:v>
                </c:pt>
                <c:pt idx="17">
                  <c:v>1.9650000000001455</c:v>
                </c:pt>
                <c:pt idx="18">
                  <c:v>41.146999999999935</c:v>
                </c:pt>
                <c:pt idx="19">
                  <c:v>27.045999999999822</c:v>
                </c:pt>
                <c:pt idx="20">
                  <c:v>68.170999999999822</c:v>
                </c:pt>
                <c:pt idx="21">
                  <c:v>-40.752999999999702</c:v>
                </c:pt>
                <c:pt idx="22">
                  <c:v>-3.1060000000002219</c:v>
                </c:pt>
                <c:pt idx="23">
                  <c:v>-10.175000000000182</c:v>
                </c:pt>
                <c:pt idx="24">
                  <c:v>20.079999999999927</c:v>
                </c:pt>
                <c:pt idx="25">
                  <c:v>-115.73300000000017</c:v>
                </c:pt>
                <c:pt idx="26">
                  <c:v>-6.3730000000000473</c:v>
                </c:pt>
                <c:pt idx="27">
                  <c:v>80.824999999999818</c:v>
                </c:pt>
                <c:pt idx="28">
                  <c:v>29.260000000000218</c:v>
                </c:pt>
                <c:pt idx="29">
                  <c:v>-5.9269999999996799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3D6-4AF9-A16E-D50037859467}"/>
            </c:ext>
          </c:extLst>
        </c:ser>
        <c:ser>
          <c:idx val="0"/>
          <c:order val="1"/>
          <c:tx>
            <c:v>'23/24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5050"/>
                </a:solidFill>
              </a:ln>
              <a:effectLst/>
            </c:spPr>
          </c:marker>
          <c:xVal>
            <c:numRef>
              <c:f>Data!$AX$29</c:f>
              <c:numCache>
                <c:formatCode>#,##0_);[Red]\(#,##0\)</c:formatCode>
                <c:ptCount val="1"/>
                <c:pt idx="0">
                  <c:v>161.38704478089539</c:v>
                </c:pt>
              </c:numCache>
            </c:numRef>
          </c:xVal>
          <c:yVal>
            <c:numRef>
              <c:f>Data!$AX$103</c:f>
              <c:numCache>
                <c:formatCode>#,##0_);[Red]\(#,##0\)</c:formatCode>
                <c:ptCount val="1"/>
                <c:pt idx="0">
                  <c:v>-43.170786783976837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3D6-4AF9-A16E-D50037859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125688"/>
        <c:axId val="2108129952"/>
      </c:scatterChart>
      <c:valAx>
        <c:axId val="2108125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</a:rPr>
                  <a:t>Cumulative Residual Use September - February (million bushels)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285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8129952"/>
        <c:crosses val="autoZero"/>
        <c:crossBetween val="midCat"/>
      </c:valAx>
      <c:valAx>
        <c:axId val="21081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</a:rPr>
                  <a:t>Revsion to Prior-Year Crop (million bushels)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285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8125688"/>
        <c:crosses val="autoZero"/>
        <c:crossBetween val="midCat"/>
      </c:valAx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solidFill>
                  <a:srgbClr val="323232"/>
                </a:solidFill>
              </a:rPr>
              <a:t>Revision to Prior-Year Crop vs.</a:t>
            </a:r>
          </a:p>
          <a:p>
            <a:pPr>
              <a:defRPr sz="2000" b="1">
                <a:solidFill>
                  <a:srgbClr val="323232"/>
                </a:solidFill>
              </a:defRPr>
            </a:pPr>
            <a:r>
              <a:rPr lang="en-US" sz="2000" b="1">
                <a:solidFill>
                  <a:srgbClr val="323232"/>
                </a:solidFill>
              </a:rPr>
              <a:t>Sep/May Cumulative Residual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8C8C8C"/>
              </a:solidFill>
              <a:ln w="9525">
                <a:solidFill>
                  <a:srgbClr val="323232"/>
                </a:solidFill>
              </a:ln>
              <a:effectLst/>
            </c:spPr>
          </c:marker>
          <c:dPt>
            <c:idx val="27"/>
            <c:marker>
              <c:symbol val="circle"/>
              <c:size val="7"/>
              <c:spPr>
                <a:solidFill>
                  <a:srgbClr val="8C8C8C"/>
                </a:solidFill>
                <a:ln w="952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F20-4E8D-A901-1887825DE9F9}"/>
              </c:ext>
            </c:extLst>
          </c:dPt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{4A49AE6A-0E96-4849-970F-130A6CE3D325}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F20-4E8D-A901-1887825DE9F9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{B940998D-A1D7-4062-AB32-A0DE7FAD43FA}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F20-4E8D-A901-1887825DE9F9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{B15335A9-B281-4FFA-AFE4-BD5868F7DD18}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F20-4E8D-A901-1887825DE9F9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{ECBFAFB9-4923-498D-BE26-E63F75923188}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F20-4E8D-A901-1887825DE9F9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{342C6CF3-537A-40E6-85B8-D8B8CEDADD4D}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F20-4E8D-A901-1887825DE9F9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{1698692A-B712-46D8-8179-25E0719D00CE}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F20-4E8D-A901-1887825DE9F9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{E186CE8C-65B6-41DC-BE7E-4CCAA596652D}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F20-4E8D-A901-1887825DE9F9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{EB4F26CD-AADB-4D5C-AB0A-8C39B2F57D0B}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F20-4E8D-A901-1887825DE9F9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{C3A10BA4-74B9-4FD8-912E-3B88B51C7B38}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F20-4E8D-A901-1887825DE9F9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{80544CB7-7579-4A84-8138-EEECD171BD88}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F20-4E8D-A901-1887825DE9F9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{85F8577E-9354-475D-BA33-9AC579F6CB4E}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F20-4E8D-A901-1887825DE9F9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{322CC6FB-C7F4-4AFE-BF22-C6443EE320D1}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F20-4E8D-A901-1887825DE9F9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{9CCCC283-1798-400C-9119-B3EEED109346}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F20-4E8D-A901-1887825DE9F9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{B481FD80-E561-4D03-96E7-3CF9926A13BE}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F20-4E8D-A901-1887825DE9F9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{3965C217-A94D-4795-907D-47ECBE112355}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F20-4E8D-A901-1887825DE9F9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{8123144D-BA1A-48D9-9C28-9F59AA56EAEE}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BF20-4E8D-A901-1887825DE9F9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{EE71857B-8ABB-4406-A5E3-0DBF51DDDAE8}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BF20-4E8D-A901-1887825DE9F9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{D8C85C2C-85CA-408C-8D99-1A49B77D940B}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BF20-4E8D-A901-1887825DE9F9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{6383FCE5-BCB6-47C8-8CB5-2956E99D2D8F}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BF20-4E8D-A901-1887825DE9F9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{E99012CE-DC0E-4318-9D52-BE405849F4E1}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BF20-4E8D-A901-1887825DE9F9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{CA9200F4-A4E4-4ADF-A036-2081542FF464}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BF20-4E8D-A901-1887825DE9F9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{9A7C4B01-06A6-415F-81FF-D9CFC445C130}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BF20-4E8D-A901-1887825DE9F9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{FD3824E1-E260-43FD-A357-ADE9B9A141B9}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BF20-4E8D-A901-1887825DE9F9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{FE3D2026-FFC6-4278-B012-43DAE30AC002}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BF20-4E8D-A901-1887825DE9F9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{3CD47A53-D610-4299-A893-F3EF72EEF47A}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BF20-4E8D-A901-1887825DE9F9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{17B944FC-80AE-4680-9477-3C66FBE516A9}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BF20-4E8D-A901-1887825DE9F9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{98FA72B1-ED40-40BE-A0CC-BD313DAC46C1}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BF20-4E8D-A901-1887825DE9F9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{5F5D2CC6-8FB1-431B-B854-018867BF5EE0}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BF20-4E8D-A901-1887825DE9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C8C8C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62656167979002619"/>
                  <c:y val="8.55150628295356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Data!$T$30:$AU$30</c:f>
              <c:numCache>
                <c:formatCode>#,##0_);[Red]\(#,##0\)</c:formatCode>
                <c:ptCount val="28"/>
                <c:pt idx="0">
                  <c:v>1817.1479999999999</c:v>
                </c:pt>
                <c:pt idx="1">
                  <c:v>-20.572193359700009</c:v>
                </c:pt>
                <c:pt idx="2">
                  <c:v>123.39512237104736</c:v>
                </c:pt>
                <c:pt idx="3">
                  <c:v>151.93798620069526</c:v>
                </c:pt>
                <c:pt idx="4">
                  <c:v>226.22123414265207</c:v>
                </c:pt>
                <c:pt idx="5">
                  <c:v>220.5128710991761</c:v>
                </c:pt>
                <c:pt idx="6">
                  <c:v>187.16288565900038</c:v>
                </c:pt>
                <c:pt idx="7">
                  <c:v>222.69405182199989</c:v>
                </c:pt>
                <c:pt idx="8">
                  <c:v>220.57714684755229</c:v>
                </c:pt>
                <c:pt idx="9">
                  <c:v>154.22412035337607</c:v>
                </c:pt>
                <c:pt idx="10">
                  <c:v>138.1685351584668</c:v>
                </c:pt>
                <c:pt idx="11">
                  <c:v>242.66318396061001</c:v>
                </c:pt>
                <c:pt idx="12">
                  <c:v>231.96474271489967</c:v>
                </c:pt>
                <c:pt idx="13">
                  <c:v>205.96375470733358</c:v>
                </c:pt>
                <c:pt idx="14">
                  <c:v>89.970150337547807</c:v>
                </c:pt>
                <c:pt idx="15">
                  <c:v>188.24347774124305</c:v>
                </c:pt>
                <c:pt idx="16">
                  <c:v>187.45126755383751</c:v>
                </c:pt>
                <c:pt idx="17">
                  <c:v>200.81869664800399</c:v>
                </c:pt>
                <c:pt idx="18">
                  <c:v>152.74935767478314</c:v>
                </c:pt>
                <c:pt idx="19">
                  <c:v>162.71554732073412</c:v>
                </c:pt>
                <c:pt idx="20">
                  <c:v>113.12797158289732</c:v>
                </c:pt>
                <c:pt idx="21">
                  <c:v>303.61576370175237</c:v>
                </c:pt>
                <c:pt idx="22">
                  <c:v>165.64333654992924</c:v>
                </c:pt>
                <c:pt idx="23">
                  <c:v>195.48456084226689</c:v>
                </c:pt>
                <c:pt idx="24">
                  <c:v>177.64699391860484</c:v>
                </c:pt>
                <c:pt idx="25">
                  <c:v>310.78460022575518</c:v>
                </c:pt>
                <c:pt idx="26">
                  <c:v>91.265374653929484</c:v>
                </c:pt>
                <c:pt idx="27">
                  <c:v>83.372733325271838</c:v>
                </c:pt>
              </c:numCache>
            </c:numRef>
          </c:xVal>
          <c:yVal>
            <c:numRef>
              <c:f>Data!$T$103:$AU$103</c:f>
              <c:numCache>
                <c:formatCode>#,##0_);[Red]\(#,##0\)</c:formatCode>
                <c:ptCount val="28"/>
                <c:pt idx="0">
                  <c:v>-1804.008</c:v>
                </c:pt>
                <c:pt idx="1">
                  <c:v>-43.447999999999865</c:v>
                </c:pt>
                <c:pt idx="2">
                  <c:v>22.420000000000073</c:v>
                </c:pt>
                <c:pt idx="3">
                  <c:v>-2.0900000000001455</c:v>
                </c:pt>
                <c:pt idx="4">
                  <c:v>-38.503999999999905</c:v>
                </c:pt>
                <c:pt idx="5">
                  <c:v>-15.779999999999745</c:v>
                </c:pt>
                <c:pt idx="6">
                  <c:v>10.849999999999909</c:v>
                </c:pt>
                <c:pt idx="7">
                  <c:v>-11.855000000000018</c:v>
                </c:pt>
                <c:pt idx="8">
                  <c:v>0.10999999999967258</c:v>
                </c:pt>
                <c:pt idx="9">
                  <c:v>26.438000000000102</c:v>
                </c:pt>
                <c:pt idx="10">
                  <c:v>36.279999999999745</c:v>
                </c:pt>
                <c:pt idx="11">
                  <c:v>-17.206000000000131</c:v>
                </c:pt>
                <c:pt idx="12">
                  <c:v>-18.089999999999691</c:v>
                </c:pt>
                <c:pt idx="13">
                  <c:v>8.4790000000002692</c:v>
                </c:pt>
                <c:pt idx="14">
                  <c:v>91.910000000000309</c:v>
                </c:pt>
                <c:pt idx="15">
                  <c:v>7.8330000000000837</c:v>
                </c:pt>
                <c:pt idx="16">
                  <c:v>-9.6999999999752617E-2</c:v>
                </c:pt>
                <c:pt idx="17">
                  <c:v>1.9650000000001455</c:v>
                </c:pt>
                <c:pt idx="18">
                  <c:v>41.146999999999935</c:v>
                </c:pt>
                <c:pt idx="19">
                  <c:v>27.045999999999822</c:v>
                </c:pt>
                <c:pt idx="20">
                  <c:v>68.170999999999822</c:v>
                </c:pt>
                <c:pt idx="21">
                  <c:v>-40.752999999999702</c:v>
                </c:pt>
                <c:pt idx="22">
                  <c:v>-3.1060000000002219</c:v>
                </c:pt>
                <c:pt idx="23">
                  <c:v>-10.175000000000182</c:v>
                </c:pt>
                <c:pt idx="24">
                  <c:v>20.079999999999927</c:v>
                </c:pt>
                <c:pt idx="25">
                  <c:v>-115.73300000000017</c:v>
                </c:pt>
                <c:pt idx="26">
                  <c:v>-6.3730000000000473</c:v>
                </c:pt>
                <c:pt idx="27">
                  <c:v>80.824999999999818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F20-4E8D-A901-1887825DE9F9}"/>
            </c:ext>
          </c:extLst>
        </c:ser>
        <c:ser>
          <c:idx val="0"/>
          <c:order val="1"/>
          <c:tx>
            <c:v>'21/22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5050"/>
                </a:solidFill>
              </a:ln>
              <a:effectLst/>
            </c:spPr>
          </c:marker>
          <c:dLbls>
            <c:dLbl>
              <c:idx val="0"/>
              <c:tx>
                <c:strRef>
                  <c:f>Data!$AV$2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{9CF5165A-794E-4856-8541-8A9545855F3F}</c15:txfldGUID>
                      <c15:f>Data!$AV$2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BF20-4E8D-A901-1887825DE9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5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Data!$AV$30</c:f>
              <c:numCache>
                <c:formatCode>#,##0_);[Red]\(#,##0\)</c:formatCode>
                <c:ptCount val="1"/>
                <c:pt idx="0">
                  <c:v>183.70937704727135</c:v>
                </c:pt>
              </c:numCache>
            </c:numRef>
          </c:xVal>
          <c:yVal>
            <c:numRef>
              <c:f>Data!$AV$103</c:f>
              <c:numCache>
                <c:formatCode>#,##0_);[Red]\(#,##0\)</c:formatCode>
                <c:ptCount val="1"/>
                <c:pt idx="0">
                  <c:v>29.260000000000218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F20-4E8D-A901-1887825DE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125688"/>
        <c:axId val="2108129952"/>
      </c:scatterChart>
      <c:valAx>
        <c:axId val="2108125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</a:rPr>
                  <a:t>Cumulative Residual Use September - February (million bushels)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285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8129952"/>
        <c:crosses val="autoZero"/>
        <c:crossBetween val="midCat"/>
      </c:valAx>
      <c:valAx>
        <c:axId val="21081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</a:rPr>
                  <a:t>Revsion to Prior-Year Crop (million bushels)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285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8125688"/>
        <c:crosses val="autoZero"/>
        <c:crossBetween val="midCat"/>
      </c:valAx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solidFill>
                  <a:srgbClr val="323232"/>
                </a:solidFill>
              </a:rPr>
              <a:t>Revision to Prior-Year Crop vs.</a:t>
            </a:r>
          </a:p>
          <a:p>
            <a:pPr>
              <a:defRPr sz="2000" b="1">
                <a:solidFill>
                  <a:srgbClr val="323232"/>
                </a:solidFill>
              </a:defRPr>
            </a:pPr>
            <a:r>
              <a:rPr lang="en-US" sz="2000" b="1">
                <a:solidFill>
                  <a:srgbClr val="323232"/>
                </a:solidFill>
              </a:rPr>
              <a:t>Marketing</a:t>
            </a:r>
            <a:r>
              <a:rPr lang="en-US" sz="2000" b="1" baseline="0">
                <a:solidFill>
                  <a:srgbClr val="323232"/>
                </a:solidFill>
              </a:rPr>
              <a:t> Year Re</a:t>
            </a:r>
            <a:r>
              <a:rPr lang="en-US" sz="2000" b="1">
                <a:solidFill>
                  <a:srgbClr val="323232"/>
                </a:solidFill>
              </a:rPr>
              <a:t>sidual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8C8C8C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27"/>
            <c:marker>
              <c:symbol val="circle"/>
              <c:size val="6"/>
              <c:spPr>
                <a:solidFill>
                  <a:srgbClr val="8C8C8C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D0D-443A-90D0-25DD90E49CA0}"/>
              </c:ext>
            </c:extLst>
          </c:dPt>
          <c:dPt>
            <c:idx val="28"/>
            <c:marker>
              <c:symbol val="circle"/>
              <c:size val="7"/>
              <c:spPr>
                <a:solidFill>
                  <a:srgbClr val="8C8C8C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0D-443A-90D0-25DD90E49CA0}"/>
              </c:ext>
            </c:extLst>
          </c:dPt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{5D5E434F-6A71-48B7-B5AA-549A03FCAE06}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D0D-443A-90D0-25DD90E49CA0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{D6CF8AC9-8007-4C30-94C0-417ADF607AF2}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D0D-443A-90D0-25DD90E49CA0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{B33C785E-E724-4AF2-ABC4-8C3E25FA9252}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8D0D-443A-90D0-25DD90E49CA0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{076301CE-F8C7-423D-A497-18C98E4F93B7}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8D0D-443A-90D0-25DD90E49CA0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{A69246EB-8165-4E80-8A6D-DC1C8B1CC4A9}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8D0D-443A-90D0-25DD90E49CA0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{D9208FD8-1B08-45E5-A455-313C7866A562}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8D0D-443A-90D0-25DD90E49CA0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{EC2D375E-A024-4909-82DE-2D8F5DF1EAB0}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8D0D-443A-90D0-25DD90E49CA0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{458F31D7-F3D4-4952-8E91-22953FDA00B6}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8D0D-443A-90D0-25DD90E49CA0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{93840B0C-C32F-413B-914C-1D9CADF63A9C}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D0D-443A-90D0-25DD90E49CA0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{5AA8EEDA-EF4A-4012-BE46-A01E27701795}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8D0D-443A-90D0-25DD90E49CA0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{3147C801-D551-42C8-91EA-9FBB170CBC29}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8D0D-443A-90D0-25DD90E49CA0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{87AB7463-47EB-4192-89DC-1CED2861DB04}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8D0D-443A-90D0-25DD90E49CA0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{F24C181C-60A8-46A8-9060-C43E3239D3DF}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8D0D-443A-90D0-25DD90E49CA0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{53D6D995-DA4D-4FC2-B7E4-73DAB2BB82F0}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8D0D-443A-90D0-25DD90E49CA0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{C35EFFE3-EBB1-41EE-A1A9-62F968BB8673}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8D0D-443A-90D0-25DD90E49CA0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{5B0CC607-CEFA-4589-A106-21BB809DB950}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8D0D-443A-90D0-25DD90E49CA0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{EB1A1E8E-0574-4173-AF3B-57082A313A11}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8D0D-443A-90D0-25DD90E49CA0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{73836894-9A5D-4A1F-911C-5FE36A8BEDC5}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8D0D-443A-90D0-25DD90E49CA0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{E4B02863-800F-449C-9E3F-881C24E064F1}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8D0D-443A-90D0-25DD90E49CA0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{8D3E5AFD-8B73-4354-AA43-2AF54C04173A}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8D0D-443A-90D0-25DD90E49CA0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{C384C3DB-F482-4697-8207-93E37FEFB9BD}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8D0D-443A-90D0-25DD90E49CA0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{C8E064A0-59DD-4D2C-860C-54B00B145F0D}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8D0D-443A-90D0-25DD90E49CA0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{8DF2B7E5-C228-45B1-A6FC-33934F17B35D}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8D0D-443A-90D0-25DD90E49CA0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{2693A0FF-50B7-4CF5-B66B-F4B4C3108FF6}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8D0D-443A-90D0-25DD90E49CA0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{B0FA3900-9E79-4705-A3C4-0915B77C49EB}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8D0D-443A-90D0-25DD90E49CA0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{110A996F-0932-4F6B-B06B-9CE3E2AD8FDD}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8D0D-443A-90D0-25DD90E49CA0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{88AEF48F-B9B8-4485-BEB3-C97F64919153}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8D0D-443A-90D0-25DD90E49CA0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{4664D7C7-3ABD-4BD0-BF5E-0B1CBC467CFD}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8D0D-443A-90D0-25DD90E49CA0}"/>
                </c:ext>
              </c:extLst>
            </c:dLbl>
            <c:dLbl>
              <c:idx val="28"/>
              <c:tx>
                <c:strRef>
                  <c:f>Data!$AV$2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{AA44AB7A-C03A-49B2-ACF2-4FC92371FD17}</c15:txfldGUID>
                      <c15:f>Data!$AV$2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D0D-443A-90D0-25DD90E49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C8C8C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5050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63532476695177398"/>
                  <c:y val="0.140819733816458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Data!$T$25:$AV$25</c:f>
              <c:numCache>
                <c:formatCode>#,##0_);[Red]\(#,##0\)</c:formatCode>
                <c:ptCount val="29"/>
                <c:pt idx="0">
                  <c:v>1821.4179999999999</c:v>
                </c:pt>
                <c:pt idx="1">
                  <c:v>-83.543256324100128</c:v>
                </c:pt>
                <c:pt idx="2">
                  <c:v>15.021594033699898</c:v>
                </c:pt>
                <c:pt idx="3">
                  <c:v>39.043072650066733</c:v>
                </c:pt>
                <c:pt idx="4">
                  <c:v>106.98002152399965</c:v>
                </c:pt>
                <c:pt idx="5">
                  <c:v>130.19590797863322</c:v>
                </c:pt>
                <c:pt idx="6">
                  <c:v>65.037762926233711</c:v>
                </c:pt>
                <c:pt idx="7">
                  <c:v>91.108811546599838</c:v>
                </c:pt>
                <c:pt idx="8">
                  <c:v>81.184219928366588</c:v>
                </c:pt>
                <c:pt idx="9">
                  <c:v>17.938565830966525</c:v>
                </c:pt>
                <c:pt idx="10">
                  <c:v>-16.208893929033195</c:v>
                </c:pt>
                <c:pt idx="11">
                  <c:v>124.01136685226714</c:v>
                </c:pt>
                <c:pt idx="12">
                  <c:v>128.48091661376634</c:v>
                </c:pt>
                <c:pt idx="13">
                  <c:v>72.595564692033577</c:v>
                </c:pt>
                <c:pt idx="14">
                  <c:v>-87.379128028999844</c:v>
                </c:pt>
                <c:pt idx="15">
                  <c:v>8.0644619047335482</c:v>
                </c:pt>
                <c:pt idx="16">
                  <c:v>22.197507156366214</c:v>
                </c:pt>
                <c:pt idx="17">
                  <c:v>39.685630195532553</c:v>
                </c:pt>
                <c:pt idx="18">
                  <c:v>-41.524708185609711</c:v>
                </c:pt>
                <c:pt idx="19">
                  <c:v>-21.194769463725834</c:v>
                </c:pt>
                <c:pt idx="20">
                  <c:v>-60.393629769179483</c:v>
                </c:pt>
                <c:pt idx="21">
                  <c:v>92.030107407110108</c:v>
                </c:pt>
                <c:pt idx="22">
                  <c:v>18.352481555658642</c:v>
                </c:pt>
                <c:pt idx="23">
                  <c:v>57.425595805264606</c:v>
                </c:pt>
                <c:pt idx="24">
                  <c:v>-15.79411572320214</c:v>
                </c:pt>
                <c:pt idx="25">
                  <c:v>161.32361573383594</c:v>
                </c:pt>
                <c:pt idx="26">
                  <c:v>15.898854725643901</c:v>
                </c:pt>
                <c:pt idx="27">
                  <c:v>-69.494510290966218</c:v>
                </c:pt>
                <c:pt idx="28">
                  <c:v>-1.8065115491668848</c:v>
                </c:pt>
              </c:numCache>
            </c:numRef>
          </c:xVal>
          <c:yVal>
            <c:numRef>
              <c:f>Data!$T$103:$AV$103</c:f>
              <c:numCache>
                <c:formatCode>#,##0_);[Red]\(#,##0\)</c:formatCode>
                <c:ptCount val="29"/>
                <c:pt idx="0">
                  <c:v>-1804.008</c:v>
                </c:pt>
                <c:pt idx="1">
                  <c:v>-43.447999999999865</c:v>
                </c:pt>
                <c:pt idx="2">
                  <c:v>22.420000000000073</c:v>
                </c:pt>
                <c:pt idx="3">
                  <c:v>-2.0900000000001455</c:v>
                </c:pt>
                <c:pt idx="4">
                  <c:v>-38.503999999999905</c:v>
                </c:pt>
                <c:pt idx="5">
                  <c:v>-15.779999999999745</c:v>
                </c:pt>
                <c:pt idx="6">
                  <c:v>10.849999999999909</c:v>
                </c:pt>
                <c:pt idx="7">
                  <c:v>-11.855000000000018</c:v>
                </c:pt>
                <c:pt idx="8">
                  <c:v>0.10999999999967258</c:v>
                </c:pt>
                <c:pt idx="9">
                  <c:v>26.438000000000102</c:v>
                </c:pt>
                <c:pt idx="10">
                  <c:v>36.279999999999745</c:v>
                </c:pt>
                <c:pt idx="11">
                  <c:v>-17.206000000000131</c:v>
                </c:pt>
                <c:pt idx="12">
                  <c:v>-18.089999999999691</c:v>
                </c:pt>
                <c:pt idx="13">
                  <c:v>8.4790000000002692</c:v>
                </c:pt>
                <c:pt idx="14">
                  <c:v>91.910000000000309</c:v>
                </c:pt>
                <c:pt idx="15">
                  <c:v>7.8330000000000837</c:v>
                </c:pt>
                <c:pt idx="16">
                  <c:v>-9.6999999999752617E-2</c:v>
                </c:pt>
                <c:pt idx="17">
                  <c:v>1.9650000000001455</c:v>
                </c:pt>
                <c:pt idx="18">
                  <c:v>41.146999999999935</c:v>
                </c:pt>
                <c:pt idx="19">
                  <c:v>27.045999999999822</c:v>
                </c:pt>
                <c:pt idx="20">
                  <c:v>68.170999999999822</c:v>
                </c:pt>
                <c:pt idx="21">
                  <c:v>-40.752999999999702</c:v>
                </c:pt>
                <c:pt idx="22">
                  <c:v>-3.1060000000002219</c:v>
                </c:pt>
                <c:pt idx="23">
                  <c:v>-10.175000000000182</c:v>
                </c:pt>
                <c:pt idx="24">
                  <c:v>20.079999999999927</c:v>
                </c:pt>
                <c:pt idx="25">
                  <c:v>-115.73300000000017</c:v>
                </c:pt>
                <c:pt idx="26">
                  <c:v>-6.3730000000000473</c:v>
                </c:pt>
                <c:pt idx="27">
                  <c:v>80.824999999999818</c:v>
                </c:pt>
                <c:pt idx="28">
                  <c:v>29.260000000000218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8D0D-443A-90D0-25DD90E49CA0}"/>
            </c:ext>
          </c:extLst>
        </c:ser>
        <c:ser>
          <c:idx val="0"/>
          <c:order val="1"/>
          <c:tx>
            <c:v>'22/23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Data!$AW$25</c:f>
              <c:numCache>
                <c:formatCode>#,##0_);[Red]\(#,##0\)</c:formatCode>
                <c:ptCount val="1"/>
                <c:pt idx="0">
                  <c:v>42.458813597166227</c:v>
                </c:pt>
              </c:numCache>
            </c:numRef>
          </c:xVal>
          <c:yVal>
            <c:numRef>
              <c:f>Data!$AW$103</c:f>
              <c:numCache>
                <c:formatCode>#,##0_);[Red]\(#,##0\)</c:formatCode>
                <c:ptCount val="1"/>
                <c:pt idx="0">
                  <c:v>-5.9269999999996799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8D0D-443A-90D0-25DD90E49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125688"/>
        <c:axId val="2108129952"/>
      </c:scatterChart>
      <c:valAx>
        <c:axId val="2108125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</a:rPr>
                  <a:t>Cumulative Residual Use September - August (million bushels)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285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8129952"/>
        <c:crosses val="autoZero"/>
        <c:crossBetween val="midCat"/>
      </c:valAx>
      <c:valAx>
        <c:axId val="21081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</a:rPr>
                  <a:t>Revsion to Prior-Year Crop (million bushels)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285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8125688"/>
        <c:crosses val="autoZero"/>
        <c:crossBetween val="midCat"/>
      </c:valAx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 Soybean Residual</a:t>
            </a:r>
            <a: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Use versus Export Change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 sz="11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Million Bushels</a:t>
            </a:r>
            <a:endPara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87821999247773E-2"/>
          <c:y val="0.13114964230876078"/>
          <c:w val="0.88235774404832756"/>
          <c:h val="0.761990194985948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24"/>
            <c:marker>
              <c:symbol val="circle"/>
              <c:size val="7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158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AD-47C5-858B-58133830A40D}"/>
              </c:ext>
            </c:extLst>
          </c:dPt>
          <c:dPt>
            <c:idx val="27"/>
            <c:marker>
              <c:symbol val="circle"/>
              <c:size val="7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158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AD-47C5-858B-58133830A40D}"/>
              </c:ext>
            </c:extLst>
          </c:dPt>
          <c:dPt>
            <c:idx val="28"/>
            <c:marker>
              <c:symbol val="circle"/>
              <c:size val="7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158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3AD-47C5-858B-58133830A40D}"/>
              </c:ext>
            </c:extLst>
          </c:dPt>
          <c:dPt>
            <c:idx val="29"/>
            <c:marker>
              <c:symbol val="circle"/>
              <c:size val="7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158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AD-47C5-858B-58133830A40D}"/>
              </c:ext>
            </c:extLst>
          </c:dPt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{021A8000-145A-4F4B-AB10-7A8816085418}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23AD-47C5-858B-58133830A40D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{DFCAFD4D-2656-44AD-96E5-2D5811D7FF65}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23AD-47C5-858B-58133830A40D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{41914046-1828-4387-933B-4D01605076AA}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23AD-47C5-858B-58133830A40D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{FD99A667-16AD-416D-A8F3-8888258770B6}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23AD-47C5-858B-58133830A40D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{4E1B6DF9-44AE-4DF1-9134-B7AE2C8E6192}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3AD-47C5-858B-58133830A40D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{68E99377-973A-44CF-BB71-3464F7EC8455}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23AD-47C5-858B-58133830A40D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{602FAEE5-6DB4-4C4A-ABC9-10EA9359E2BA}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23AD-47C5-858B-58133830A40D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{017994F7-88D7-44FF-8E4E-5725D7159B25}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23AD-47C5-858B-58133830A40D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{FFA8F86C-09CE-4BD8-A723-9D25374D2CFD}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23AD-47C5-858B-58133830A40D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{9F25EA9A-94FA-49D8-A067-77418520D39C}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23AD-47C5-858B-58133830A40D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{AA2E6828-1A84-4DE7-A1C7-B14B1D8B2CF0}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23AD-47C5-858B-58133830A40D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{6D834171-951E-4946-AD28-007917814BDC}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23AD-47C5-858B-58133830A40D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{879EA2DB-9A7A-4946-A617-30FD9AF29146}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23AD-47C5-858B-58133830A40D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{424AFEEC-37B6-478D-958B-636DDB75C261}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23AD-47C5-858B-58133830A40D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{3B6953AC-21D2-4D67-BC8F-1D0377254F7B}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23AD-47C5-858B-58133830A40D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{375566AE-9CCF-4703-BF4A-D4D3EE568288}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23AD-47C5-858B-58133830A40D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{BCBBF164-1986-43F0-A966-4808FD91A772}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23AD-47C5-858B-58133830A40D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{C51183DE-2C0B-405D-A89D-77FC529ED9F5}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23AD-47C5-858B-58133830A40D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{E8CDDADA-CB66-485E-BEBE-ACBA085FA88E}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23AD-47C5-858B-58133830A40D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{D0BC71A7-FC22-4926-9416-76F9D55751E0}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23AD-47C5-858B-58133830A40D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{93D302C2-9B18-4BB2-BACB-3B5893023D2B}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23AD-47C5-858B-58133830A40D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{E5D18D3B-C146-45D9-84B0-CB333B047233}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23AD-47C5-858B-58133830A40D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{39AC4FE0-12DA-4C28-BB79-B47C72F78AE8}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23AD-47C5-858B-58133830A40D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{95A31B16-58AE-44B9-A62A-98B8BBB985D2}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23AD-47C5-858B-58133830A40D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{72057C68-19B6-42BB-ABA1-EC7C3DB66E4E}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23AD-47C5-858B-58133830A40D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{15BD51B2-A0F0-4F09-A467-B785EDFBEDA7}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23AD-47C5-858B-58133830A40D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{6492A3D4-F925-430D-93A6-BAC56C4C6D47}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23AD-47C5-858B-58133830A40D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{E87341C1-6B31-4910-84B0-296103BAAE99}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3AD-47C5-858B-58133830A40D}"/>
                </c:ext>
              </c:extLst>
            </c:dLbl>
            <c:dLbl>
              <c:idx val="28"/>
              <c:tx>
                <c:strRef>
                  <c:f>Data!$AV$2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{6BD4B910-5BF4-4FC4-B378-422B2DDD04DE}</c15:txfldGUID>
                      <c15:f>Data!$AV$2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3AD-47C5-858B-58133830A40D}"/>
                </c:ext>
              </c:extLst>
            </c:dLbl>
            <c:dLbl>
              <c:idx val="29"/>
              <c:tx>
                <c:strRef>
                  <c:f>Data!$AW$2</c:f>
                  <c:strCache>
                    <c:ptCount val="1"/>
                    <c:pt idx="0">
                      <c:v>22/23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{BD41879F-5929-4B2C-9291-F57A1D297502}</c15:txfldGUID>
                      <c15:f>Data!$AW$2</c15:f>
                      <c15:dlblFieldTableCache>
                        <c:ptCount val="1"/>
                        <c:pt idx="0">
                          <c:v>22/23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23AD-47C5-858B-58133830A4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69190479575208563"/>
                  <c:y val="-0.17104536269249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Data!$T$95:$AW$95</c:f>
              <c:numCache>
                <c:formatCode>#,##0_);[Red]\(#,##0\)</c:formatCode>
                <c:ptCount val="30"/>
                <c:pt idx="0">
                  <c:v>-10.780000000000001</c:v>
                </c:pt>
                <c:pt idx="1">
                  <c:v>-8.7330000000000041</c:v>
                </c:pt>
                <c:pt idx="2">
                  <c:v>14.873999999999995</c:v>
                </c:pt>
                <c:pt idx="3">
                  <c:v>-24.867000000000004</c:v>
                </c:pt>
                <c:pt idx="4">
                  <c:v>-21.829000000000001</c:v>
                </c:pt>
                <c:pt idx="5">
                  <c:v>-12.725999999999999</c:v>
                </c:pt>
                <c:pt idx="6">
                  <c:v>-2.1479999999999961</c:v>
                </c:pt>
                <c:pt idx="7">
                  <c:v>12.923999999999999</c:v>
                </c:pt>
                <c:pt idx="8">
                  <c:v>-26.863999999999997</c:v>
                </c:pt>
                <c:pt idx="9">
                  <c:v>-7.884999999999998</c:v>
                </c:pt>
                <c:pt idx="10">
                  <c:v>-37.968000000000004</c:v>
                </c:pt>
                <c:pt idx="11">
                  <c:v>-10.884</c:v>
                </c:pt>
                <c:pt idx="12">
                  <c:v>10.111000000000004</c:v>
                </c:pt>
                <c:pt idx="13">
                  <c:v>-9.3449999999999989</c:v>
                </c:pt>
                <c:pt idx="14">
                  <c:v>-10.599000000000004</c:v>
                </c:pt>
                <c:pt idx="15">
                  <c:v>-24.844999999999992</c:v>
                </c:pt>
                <c:pt idx="16">
                  <c:v>-45.334999999999994</c:v>
                </c:pt>
                <c:pt idx="17">
                  <c:v>-42.533000000000008</c:v>
                </c:pt>
                <c:pt idx="18">
                  <c:v>-9.9100000000000037</c:v>
                </c:pt>
                <c:pt idx="19">
                  <c:v>-54.46</c:v>
                </c:pt>
                <c:pt idx="20">
                  <c:v>-52.885999999999996</c:v>
                </c:pt>
                <c:pt idx="21">
                  <c:v>-116.992</c:v>
                </c:pt>
                <c:pt idx="22">
                  <c:v>-49.779000000000003</c:v>
                </c:pt>
                <c:pt idx="23">
                  <c:v>-85.515999999999963</c:v>
                </c:pt>
                <c:pt idx="24">
                  <c:v>-60.697983597299981</c:v>
                </c:pt>
                <c:pt idx="25">
                  <c:v>-7.7295884505000032</c:v>
                </c:pt>
                <c:pt idx="26">
                  <c:v>-51.005950873500005</c:v>
                </c:pt>
                <c:pt idx="27">
                  <c:v>-141.39247663380002</c:v>
                </c:pt>
                <c:pt idx="28">
                  <c:v>-84.672733435499993</c:v>
                </c:pt>
                <c:pt idx="29">
                  <c:v>-97.028537434500024</c:v>
                </c:pt>
              </c:numCache>
            </c:numRef>
          </c:xVal>
          <c:yVal>
            <c:numRef>
              <c:f>Data!$T$6:$AW$6</c:f>
              <c:numCache>
                <c:formatCode>#,##0_);[Red]\(#,##0\)</c:formatCode>
                <c:ptCount val="30"/>
                <c:pt idx="0">
                  <c:v>4.37</c:v>
                </c:pt>
                <c:pt idx="1">
                  <c:v>76.263983584866992</c:v>
                </c:pt>
                <c:pt idx="2">
                  <c:v>6.7734228181001299</c:v>
                </c:pt>
                <c:pt idx="3">
                  <c:v>35.43824876406677</c:v>
                </c:pt>
                <c:pt idx="4">
                  <c:v>47.177923293833146</c:v>
                </c:pt>
                <c:pt idx="5">
                  <c:v>79.768022923999979</c:v>
                </c:pt>
                <c:pt idx="6">
                  <c:v>63.873055662833622</c:v>
                </c:pt>
                <c:pt idx="7">
                  <c:v>82.656240869433304</c:v>
                </c:pt>
                <c:pt idx="8">
                  <c:v>70.224033130333282</c:v>
                </c:pt>
                <c:pt idx="9">
                  <c:v>66.938677446799829</c:v>
                </c:pt>
                <c:pt idx="10">
                  <c:v>27.187740677333409</c:v>
                </c:pt>
                <c:pt idx="11">
                  <c:v>77.78314540813335</c:v>
                </c:pt>
                <c:pt idx="12">
                  <c:v>90.620705669333461</c:v>
                </c:pt>
                <c:pt idx="13">
                  <c:v>70.255182518500078</c:v>
                </c:pt>
                <c:pt idx="14">
                  <c:v>27.780753322133478</c:v>
                </c:pt>
                <c:pt idx="15">
                  <c:v>73.436429810799837</c:v>
                </c:pt>
                <c:pt idx="16">
                  <c:v>-42.401457828566663</c:v>
                </c:pt>
                <c:pt idx="17">
                  <c:v>52.694662528566369</c:v>
                </c:pt>
                <c:pt idx="18">
                  <c:v>73.893203722138537</c:v>
                </c:pt>
                <c:pt idx="19">
                  <c:v>-25.831430779016955</c:v>
                </c:pt>
                <c:pt idx="20">
                  <c:v>-30.365165916759906</c:v>
                </c:pt>
                <c:pt idx="21">
                  <c:v>-13.2317670580303</c:v>
                </c:pt>
                <c:pt idx="22">
                  <c:v>26.612106559659424</c:v>
                </c:pt>
                <c:pt idx="23">
                  <c:v>-40.946751822307306</c:v>
                </c:pt>
                <c:pt idx="24">
                  <c:v>-58.081009895879333</c:v>
                </c:pt>
                <c:pt idx="25">
                  <c:v>2.5964016922234805</c:v>
                </c:pt>
                <c:pt idx="26">
                  <c:v>-53.763359308052713</c:v>
                </c:pt>
                <c:pt idx="27">
                  <c:v>-50.206607949766749</c:v>
                </c:pt>
                <c:pt idx="28">
                  <c:v>-32.234392907966821</c:v>
                </c:pt>
                <c:pt idx="29">
                  <c:v>-4.1577439417335427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3AD-47C5-858B-58133830A40D}"/>
            </c:ext>
          </c:extLst>
        </c:ser>
        <c:ser>
          <c:idx val="1"/>
          <c:order val="1"/>
          <c:tx>
            <c:v>23/24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5050"/>
              </a:solidFill>
              <a:ln w="15875">
                <a:solidFill>
                  <a:srgbClr val="FF5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5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Data!$AX$95</c:f>
              <c:numCache>
                <c:formatCode>#,##0_);[Red]\(#,##0\)</c:formatCode>
                <c:ptCount val="1"/>
                <c:pt idx="0">
                  <c:v>-37.762562391999985</c:v>
                </c:pt>
              </c:numCache>
            </c:numRef>
          </c:xVal>
          <c:yVal>
            <c:numRef>
              <c:f>Data!$AX$6</c:f>
              <c:numCache>
                <c:formatCode>#,##0_);[Red]\(#,##0\)</c:formatCode>
                <c:ptCount val="1"/>
                <c:pt idx="0">
                  <c:v>-22.023757606247727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3AD-47C5-858B-58133830A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077136"/>
        <c:axId val="961075496"/>
      </c:scatterChart>
      <c:valAx>
        <c:axId val="96107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Change in Exports from December 1 - 14 to March 1 - 14</a:t>
                </a:r>
              </a:p>
            </c:rich>
          </c:tx>
          <c:layout>
            <c:manualLayout>
              <c:xMode val="edge"/>
              <c:yMode val="edge"/>
              <c:x val="0.31355496862051419"/>
              <c:y val="0.9523733339187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31750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1075496"/>
        <c:crosses val="autoZero"/>
        <c:crossBetween val="midCat"/>
      </c:valAx>
      <c:valAx>
        <c:axId val="961075496"/>
        <c:scaling>
          <c:orientation val="minMax"/>
          <c:min val="-1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December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/February Residual Use</a:t>
                </a: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4.0139614217219576E-3"/>
              <c:y val="0.273074087516624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31750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1077136"/>
        <c:crosses val="autoZero"/>
        <c:crossBetween val="midCat"/>
      </c:valAx>
      <c:spPr>
        <a:noFill/>
        <a:ln w="2222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/>
              <a:t>March-May Soybean Residual vs Change in Export Inspections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997148927096254E-2"/>
          <c:y val="0.10034218289085546"/>
          <c:w val="0.87327968156437819"/>
          <c:h val="0.7406134764127935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Pt>
            <c:idx val="27"/>
            <c:marker>
              <c:symbol val="circle"/>
              <c:size val="8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D0-4ED3-B26A-7B023AFCB3D4}"/>
              </c:ext>
            </c:extLst>
          </c:dPt>
          <c:dPt>
            <c:idx val="28"/>
            <c:marker>
              <c:symbol val="circle"/>
              <c:size val="8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0-4ED3-B26A-7B023AFCB3D4}"/>
              </c:ext>
            </c:extLst>
          </c:dPt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{B829DB14-8322-4BCA-8025-75976B8940D9}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3BD0-4ED3-B26A-7B023AFCB3D4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{22D978CE-785D-401E-8FCD-C54DC61D07B4}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3BD0-4ED3-B26A-7B023AFCB3D4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{CDFE3234-C7E0-40A5-A7A8-885D393764A2}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3BD0-4ED3-B26A-7B023AFCB3D4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{53B7F754-6A3D-489E-B4B4-8E58A740952B}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3BD0-4ED3-B26A-7B023AFCB3D4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{D9588457-F4DB-4E91-BDA9-502EFC7C1B06}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3BD0-4ED3-B26A-7B023AFCB3D4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{C97B589A-C0F1-4D1C-92BF-E0E88AEDBBE5}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3BD0-4ED3-B26A-7B023AFCB3D4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{AE1655CC-1298-4102-88C2-83337004396B}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3BD0-4ED3-B26A-7B023AFCB3D4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{2719EDAA-7454-42BA-BD91-31E4DBDC325F}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3BD0-4ED3-B26A-7B023AFCB3D4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{F2CB0B0E-06AB-45B2-A02C-24E1A43CAD9F}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3BD0-4ED3-B26A-7B023AFCB3D4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{0538F0B6-C463-4011-AAC1-320FA7A8EFEB}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3BD0-4ED3-B26A-7B023AFCB3D4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{6E373312-CC42-48E2-BFA8-B06984C73E54}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3BD0-4ED3-B26A-7B023AFCB3D4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{E836008B-FF0B-4313-A3F6-CFCE4018586C}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3BD0-4ED3-B26A-7B023AFCB3D4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{E0121505-87DB-4C17-A541-B9B7D0A80708}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3BD0-4ED3-B26A-7B023AFCB3D4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{A1C407F6-8B4B-49EF-8CDA-9F4B84C835D4}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3BD0-4ED3-B26A-7B023AFCB3D4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{00172531-7E89-4982-8409-402785C2CD57}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3BD0-4ED3-B26A-7B023AFCB3D4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{A8C95E2C-EAD4-4C23-8325-30EE037D0C19}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3BD0-4ED3-B26A-7B023AFCB3D4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{707A4597-7390-47C4-9613-C840DBE7C36D}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3BD0-4ED3-B26A-7B023AFCB3D4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{65B6F463-6B4A-4443-8D25-B6FD4152E38E}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3BD0-4ED3-B26A-7B023AFCB3D4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{250DAB99-DC6A-4F39-AD2A-53B123687A2B}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3BD0-4ED3-B26A-7B023AFCB3D4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{9EF10967-D467-4AE7-A34D-B494481C43B1}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3BD0-4ED3-B26A-7B023AFCB3D4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{A3DD8A40-FBBC-4C55-B269-A0F3B97C2127}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3BD0-4ED3-B26A-7B023AFCB3D4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{E4C5ED13-AEF4-4849-AD47-8CE748F099CD}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3BD0-4ED3-B26A-7B023AFCB3D4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{E38C7DE7-3EE8-4F8F-B132-43512B02C9F9}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3BD0-4ED3-B26A-7B023AFCB3D4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{1C39859B-CDE4-4259-A48A-CAC8E6E3E719}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3BD0-4ED3-B26A-7B023AFCB3D4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{CC77BBB2-5664-4E49-B7FC-6A1DD71DA0F7}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3BD0-4ED3-B26A-7B023AFCB3D4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{A5D53E9A-16E7-44C1-8929-0BD569AB9A03}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3BD0-4ED3-B26A-7B023AFCB3D4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{AC03D448-2243-4669-977C-0120C3D8503A}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3BD0-4ED3-B26A-7B023AFCB3D4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{1AF22AEC-D387-42BF-A7C4-9AD4F7C8245B}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3BD0-4ED3-B26A-7B023AFCB3D4}"/>
                </c:ext>
              </c:extLst>
            </c:dLbl>
            <c:dLbl>
              <c:idx val="28"/>
              <c:tx>
                <c:strRef>
                  <c:f>Data!$AV$2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{D7E90D27-4E4F-454C-99CF-BA47789C9425}</c15:txfldGUID>
                      <c15:f>Data!$AV$2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BD0-4ED3-B26A-7B023AFCB3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FF505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Data!$T$96:$AV$96</c:f>
              <c:numCache>
                <c:formatCode>#,##0_);[Red]\(#,##0\)</c:formatCode>
                <c:ptCount val="29"/>
                <c:pt idx="0">
                  <c:v>-14.362</c:v>
                </c:pt>
                <c:pt idx="1">
                  <c:v>-20.517999999999997</c:v>
                </c:pt>
                <c:pt idx="2">
                  <c:v>-24.470999999999997</c:v>
                </c:pt>
                <c:pt idx="3">
                  <c:v>-17.854999999999997</c:v>
                </c:pt>
                <c:pt idx="4">
                  <c:v>-24.200999999999997</c:v>
                </c:pt>
                <c:pt idx="5">
                  <c:v>-17.977999999999998</c:v>
                </c:pt>
                <c:pt idx="6">
                  <c:v>-37.781999999999996</c:v>
                </c:pt>
                <c:pt idx="7">
                  <c:v>-43.726999999999997</c:v>
                </c:pt>
                <c:pt idx="8">
                  <c:v>-24.726999999999997</c:v>
                </c:pt>
                <c:pt idx="9">
                  <c:v>-37.949000000000005</c:v>
                </c:pt>
                <c:pt idx="10">
                  <c:v>-23.013000000000002</c:v>
                </c:pt>
                <c:pt idx="11">
                  <c:v>-40.091999999999999</c:v>
                </c:pt>
                <c:pt idx="12">
                  <c:v>-39.747</c:v>
                </c:pt>
                <c:pt idx="13">
                  <c:v>-33.645000000000003</c:v>
                </c:pt>
                <c:pt idx="14">
                  <c:v>-38.120999999999995</c:v>
                </c:pt>
                <c:pt idx="15">
                  <c:v>-25.673000000000002</c:v>
                </c:pt>
                <c:pt idx="16">
                  <c:v>-46.823</c:v>
                </c:pt>
                <c:pt idx="17">
                  <c:v>-49.542999999999999</c:v>
                </c:pt>
                <c:pt idx="18">
                  <c:v>-18.869999999999997</c:v>
                </c:pt>
                <c:pt idx="19">
                  <c:v>-22.191000000000003</c:v>
                </c:pt>
                <c:pt idx="20">
                  <c:v>-58.170000000000009</c:v>
                </c:pt>
                <c:pt idx="21">
                  <c:v>-28.222000000000001</c:v>
                </c:pt>
                <c:pt idx="22">
                  <c:v>-41.79</c:v>
                </c:pt>
                <c:pt idx="23">
                  <c:v>-19.825999999999997</c:v>
                </c:pt>
                <c:pt idx="24">
                  <c:v>3.9399902072999993</c:v>
                </c:pt>
                <c:pt idx="25">
                  <c:v>-11.751259902900003</c:v>
                </c:pt>
                <c:pt idx="26">
                  <c:v>-19.609267584899996</c:v>
                </c:pt>
                <c:pt idx="27">
                  <c:v>-25.346024722200003</c:v>
                </c:pt>
                <c:pt idx="28">
                  <c:v>-8.2044272855999978</c:v>
                </c:pt>
              </c:numCache>
            </c:numRef>
          </c:xVal>
          <c:yVal>
            <c:numRef>
              <c:f>Data!$T$7:$AV$7</c:f>
              <c:numCache>
                <c:formatCode>#,##0_);[Red]\(#,##0\)</c:formatCode>
                <c:ptCount val="29"/>
                <c:pt idx="0">
                  <c:v>4.3</c:v>
                </c:pt>
                <c:pt idx="1">
                  <c:v>8.9141418279667732</c:v>
                </c:pt>
                <c:pt idx="2">
                  <c:v>45.152541833514306</c:v>
                </c:pt>
                <c:pt idx="3">
                  <c:v>26.090356589128419</c:v>
                </c:pt>
                <c:pt idx="4">
                  <c:v>81.794330551985695</c:v>
                </c:pt>
                <c:pt idx="5">
                  <c:v>48.029178056242813</c:v>
                </c:pt>
                <c:pt idx="6">
                  <c:v>36.969293277833458</c:v>
                </c:pt>
                <c:pt idx="7">
                  <c:v>56.204082498533353</c:v>
                </c:pt>
                <c:pt idx="8">
                  <c:v>62.966489148819164</c:v>
                </c:pt>
                <c:pt idx="9">
                  <c:v>1.3859610311428696</c:v>
                </c:pt>
                <c:pt idx="10">
                  <c:v>4.3974367107666126</c:v>
                </c:pt>
                <c:pt idx="11">
                  <c:v>48.279630314609676</c:v>
                </c:pt>
                <c:pt idx="12">
                  <c:v>54.995249419966513</c:v>
                </c:pt>
                <c:pt idx="13">
                  <c:v>30.996693249666805</c:v>
                </c:pt>
                <c:pt idx="14">
                  <c:v>57.389564704514328</c:v>
                </c:pt>
                <c:pt idx="15">
                  <c:v>30.617102895576068</c:v>
                </c:pt>
                <c:pt idx="16">
                  <c:v>47.046316224838051</c:v>
                </c:pt>
                <c:pt idx="17">
                  <c:v>6.941526046104741</c:v>
                </c:pt>
                <c:pt idx="18">
                  <c:v>11.516451722578836</c:v>
                </c:pt>
                <c:pt idx="19">
                  <c:v>43.736880326600726</c:v>
                </c:pt>
                <c:pt idx="20">
                  <c:v>-16.804479754462591</c:v>
                </c:pt>
                <c:pt idx="21">
                  <c:v>27.839958480716291</c:v>
                </c:pt>
                <c:pt idx="22">
                  <c:v>-8.1509472633329096</c:v>
                </c:pt>
                <c:pt idx="23">
                  <c:v>37.762750319330166</c:v>
                </c:pt>
                <c:pt idx="24">
                  <c:v>50.293743441394895</c:v>
                </c:pt>
                <c:pt idx="25">
                  <c:v>104.92418167551341</c:v>
                </c:pt>
                <c:pt idx="26">
                  <c:v>62.260843606952449</c:v>
                </c:pt>
                <c:pt idx="27">
                  <c:v>66.663486525871576</c:v>
                </c:pt>
                <c:pt idx="28">
                  <c:v>72.766467497071517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BD0-4ED3-B26A-7B023AFCB3D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F505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strRef>
                  <c:f>Data!$AW$2</c:f>
                  <c:strCache>
                    <c:ptCount val="1"/>
                    <c:pt idx="0">
                      <c:v>22/23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{B47101B3-3716-495B-BD58-4F5EFFDD9DFE}</c15:txfldGUID>
                      <c15:f>Data!$AW$2</c15:f>
                      <c15:dlblFieldTableCache>
                        <c:ptCount val="1"/>
                        <c:pt idx="0">
                          <c:v>22/23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3BD0-4ED3-B26A-7B023AFCB3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Data!$AW$96</c:f>
              <c:numCache>
                <c:formatCode>#,##0_);[Red]\(#,##0\)</c:formatCode>
                <c:ptCount val="1"/>
                <c:pt idx="0">
                  <c:v>-29.746817671199992</c:v>
                </c:pt>
              </c:numCache>
            </c:numRef>
          </c:xVal>
          <c:yVal>
            <c:numRef>
              <c:f>Data!$AW$7</c:f>
              <c:numCache>
                <c:formatCode>#,##0_);[Red]\(#,##0\)</c:formatCode>
                <c:ptCount val="1"/>
                <c:pt idx="0">
                  <c:v>64.677031393333436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BD0-4ED3-B26A-7B023AFCB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592768"/>
        <c:axId val="1588600968"/>
      </c:scatterChart>
      <c:valAx>
        <c:axId val="158859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Change in Export Inspections</a:t>
                </a:r>
                <a:r>
                  <a:rPr lang="en-US" sz="1200" baseline="0"/>
                  <a:t> between March 1 - 14 and June 1 - 14 (million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88600968"/>
        <c:crosses val="autoZero"/>
        <c:crossBetween val="midCat"/>
      </c:valAx>
      <c:valAx>
        <c:axId val="158860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Residual</a:t>
                </a:r>
                <a:r>
                  <a:rPr lang="en-US" sz="1200" baseline="0"/>
                  <a:t> Use March - May (million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88592768"/>
        <c:crosses val="autoZero"/>
        <c:crossBetween val="midCat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 March/May Soybean Residual Use vs.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{9A3EBA89-A0BE-4153-8EF1-DF5EC12276A2}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E8F2-4416-BEA1-7281CA547F6A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{E0C5D608-EDDB-4A09-B5D9-79BD53905578}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E8F2-4416-BEA1-7281CA547F6A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{F5C6A867-FC6E-43E3-80C7-30A5B7E2F71F}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E8F2-4416-BEA1-7281CA547F6A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{467B3F84-E6A8-4A1C-AA44-91AC67F5913A}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E8F2-4416-BEA1-7281CA547F6A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{BEAABB4D-2CC6-4170-BC4E-08FD446A48DA}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8F2-4416-BEA1-7281CA547F6A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{562BA073-5A85-4FC6-8AA5-126232541C19}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8F2-4416-BEA1-7281CA547F6A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{C0558C98-1E2F-4F28-9B5A-6D0C1639AF74}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8F2-4416-BEA1-7281CA547F6A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{7312A05D-F7F6-4654-95EC-C8ACA0424A72}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8F2-4416-BEA1-7281CA547F6A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{22C3DEC1-D886-45C5-8E03-DEDEEFC73CB9}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8F2-4416-BEA1-7281CA547F6A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{C712FF3A-372A-4146-8D2A-482ECD7341CC}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8F2-4416-BEA1-7281CA547F6A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{C4251B14-B30B-45DF-B92F-0EF525DF05E0}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8F2-4416-BEA1-7281CA547F6A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{697F0100-748A-456C-9BF4-F6773A6A2564}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8F2-4416-BEA1-7281CA547F6A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{E734BE66-C193-4912-9865-04F31D30BBBF}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8F2-4416-BEA1-7281CA547F6A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{66EAA2BB-598D-42FC-896A-54EC8B889350}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E8F2-4416-BEA1-7281CA547F6A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{E163FA6A-EFD0-481F-8596-FC169EFA3266}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E8F2-4416-BEA1-7281CA547F6A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{363BE146-18A1-4235-B983-36CFA9D669E2}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8F2-4416-BEA1-7281CA547F6A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{A67F01EE-7A3A-4FBF-B987-6CB017E6D6F7}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8F2-4416-BEA1-7281CA547F6A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{3527C246-2BB9-47DC-A5B0-ABBF50E4077D}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8F2-4416-BEA1-7281CA547F6A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{71A5ECAA-4294-48C5-868D-AC7FDB6E6681}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8F2-4416-BEA1-7281CA547F6A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{8BA0CFB5-8ECD-47B0-8A58-1CAF4211C5CB}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E8F2-4416-BEA1-7281CA547F6A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{1A5A00C2-7E77-4882-952C-40C27C2886A0}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E8F2-4416-BEA1-7281CA547F6A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{55200A89-7F36-40A9-BEEE-E8A23FA36145}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E8F2-4416-BEA1-7281CA547F6A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{9FAD2657-2000-4D54-AF90-F37C0F25CA44}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E8F2-4416-BEA1-7281CA547F6A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{1169C9B5-C85D-4FA4-B21D-1E5EE67134A6}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E8F2-4416-BEA1-7281CA547F6A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{7240B950-2F33-4D39-BA7E-3319EA5D7ECC}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E8F2-4416-BEA1-7281CA547F6A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{CE90AF12-4395-4733-A12C-ED394F8222CD}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E8F2-4416-BEA1-7281CA547F6A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{285CB7D9-7E0B-4C9C-A2EF-882AD8C4D313}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E8F2-4416-BEA1-7281CA547F6A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{AE6D8E35-B42C-4E0A-8EB5-E6202D394E4C}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E8F2-4416-BEA1-7281CA547F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Data!$T$76:$AU$76</c:f>
              <c:numCache>
                <c:formatCode>#,##0_);[Red]\(#,##0\)</c:formatCode>
                <c:ptCount val="28"/>
                <c:pt idx="0">
                  <c:v>-105.577</c:v>
                </c:pt>
                <c:pt idx="1">
                  <c:v>-12.623475161300014</c:v>
                </c:pt>
                <c:pt idx="2">
                  <c:v>-2.2798275478000178</c:v>
                </c:pt>
                <c:pt idx="3">
                  <c:v>5.201071982299986</c:v>
                </c:pt>
                <c:pt idx="4">
                  <c:v>-7.9050448377000038</c:v>
                </c:pt>
                <c:pt idx="5">
                  <c:v>-1.6650351991000036</c:v>
                </c:pt>
                <c:pt idx="6">
                  <c:v>-2.2769599445000139</c:v>
                </c:pt>
                <c:pt idx="7">
                  <c:v>2.5222508347999835</c:v>
                </c:pt>
                <c:pt idx="8">
                  <c:v>-2.6268701012000122</c:v>
                </c:pt>
                <c:pt idx="9">
                  <c:v>10.67918182599999</c:v>
                </c:pt>
                <c:pt idx="10">
                  <c:v>20.078229955899999</c:v>
                </c:pt>
                <c:pt idx="11">
                  <c:v>-5.9818207908000076</c:v>
                </c:pt>
                <c:pt idx="12">
                  <c:v>0.74941724669997001</c:v>
                </c:pt>
                <c:pt idx="13">
                  <c:v>-0.84268958300001628</c:v>
                </c:pt>
                <c:pt idx="14">
                  <c:v>-1.3618504188000173</c:v>
                </c:pt>
                <c:pt idx="15">
                  <c:v>-1.7806267050999622</c:v>
                </c:pt>
                <c:pt idx="16">
                  <c:v>7.0837168703999964</c:v>
                </c:pt>
                <c:pt idx="17">
                  <c:v>1.9991787158000065</c:v>
                </c:pt>
                <c:pt idx="18">
                  <c:v>-2.6680531975000008</c:v>
                </c:pt>
                <c:pt idx="19">
                  <c:v>6.2106735002642921</c:v>
                </c:pt>
                <c:pt idx="20">
                  <c:v>3.8092650875177974</c:v>
                </c:pt>
                <c:pt idx="21">
                  <c:v>11.766048644049391</c:v>
                </c:pt>
                <c:pt idx="22">
                  <c:v>20.215396230389974</c:v>
                </c:pt>
                <c:pt idx="23">
                  <c:v>13.479314628769565</c:v>
                </c:pt>
                <c:pt idx="24">
                  <c:v>16.671450541870968</c:v>
                </c:pt>
                <c:pt idx="25">
                  <c:v>13.561653733496271</c:v>
                </c:pt>
                <c:pt idx="26">
                  <c:v>17.574915890699998</c:v>
                </c:pt>
                <c:pt idx="27">
                  <c:v>44.440807019699982</c:v>
                </c:pt>
              </c:numCache>
            </c:numRef>
          </c:xVal>
          <c:yVal>
            <c:numRef>
              <c:f>Data!$T$7:$AU$7</c:f>
              <c:numCache>
                <c:formatCode>#,##0_);[Red]\(#,##0\)</c:formatCode>
                <c:ptCount val="28"/>
                <c:pt idx="0">
                  <c:v>4.3</c:v>
                </c:pt>
                <c:pt idx="1">
                  <c:v>8.9141418279667732</c:v>
                </c:pt>
                <c:pt idx="2">
                  <c:v>45.152541833514306</c:v>
                </c:pt>
                <c:pt idx="3">
                  <c:v>26.090356589128419</c:v>
                </c:pt>
                <c:pt idx="4">
                  <c:v>81.794330551985695</c:v>
                </c:pt>
                <c:pt idx="5">
                  <c:v>48.029178056242813</c:v>
                </c:pt>
                <c:pt idx="6">
                  <c:v>36.969293277833458</c:v>
                </c:pt>
                <c:pt idx="7">
                  <c:v>56.204082498533353</c:v>
                </c:pt>
                <c:pt idx="8">
                  <c:v>62.966489148819164</c:v>
                </c:pt>
                <c:pt idx="9">
                  <c:v>1.3859610311428696</c:v>
                </c:pt>
                <c:pt idx="10">
                  <c:v>4.3974367107666126</c:v>
                </c:pt>
                <c:pt idx="11">
                  <c:v>48.279630314609676</c:v>
                </c:pt>
                <c:pt idx="12">
                  <c:v>54.995249419966513</c:v>
                </c:pt>
                <c:pt idx="13">
                  <c:v>30.996693249666805</c:v>
                </c:pt>
                <c:pt idx="14">
                  <c:v>57.389564704514328</c:v>
                </c:pt>
                <c:pt idx="15">
                  <c:v>30.617102895576068</c:v>
                </c:pt>
                <c:pt idx="16">
                  <c:v>47.046316224838051</c:v>
                </c:pt>
                <c:pt idx="17">
                  <c:v>6.941526046104741</c:v>
                </c:pt>
                <c:pt idx="18">
                  <c:v>11.516451722578836</c:v>
                </c:pt>
                <c:pt idx="19">
                  <c:v>43.736880326600726</c:v>
                </c:pt>
                <c:pt idx="20">
                  <c:v>-16.804479754462591</c:v>
                </c:pt>
                <c:pt idx="21">
                  <c:v>27.839958480716291</c:v>
                </c:pt>
                <c:pt idx="22">
                  <c:v>-8.1509472633329096</c:v>
                </c:pt>
                <c:pt idx="23">
                  <c:v>37.762750319330166</c:v>
                </c:pt>
                <c:pt idx="24">
                  <c:v>50.293743441394895</c:v>
                </c:pt>
                <c:pt idx="25">
                  <c:v>104.92418167551341</c:v>
                </c:pt>
                <c:pt idx="26">
                  <c:v>62.260843606952449</c:v>
                </c:pt>
                <c:pt idx="27">
                  <c:v>66.663486525871576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F2-4416-BEA1-7281CA547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765304"/>
        <c:axId val="441765960"/>
      </c:scatterChart>
      <c:valAx>
        <c:axId val="441765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Mar/May Census Exports - Export Inspections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765960"/>
        <c:crosses val="autoZero"/>
        <c:crossBetween val="midCat"/>
      </c:valAx>
      <c:valAx>
        <c:axId val="44176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Mar/May Residual Use (million bushels)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765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 Soybean March/May Residual Use vs.</a:t>
            </a:r>
          </a:p>
          <a:p>
            <a:pPr>
              <a:defRPr sz="2400"/>
            </a:pPr>
            <a:r>
              <a:rPr lang="en-US" sz="2400"/>
              <a:t> September/February Residual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2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9C9-45DE-90C6-E02456B1E3AF}"/>
              </c:ext>
            </c:extLst>
          </c:dPt>
          <c:dPt>
            <c:idx val="28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9C9-45DE-90C6-E02456B1E3AF}"/>
              </c:ext>
            </c:extLst>
          </c:dPt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{46AA12F6-39CB-4BEA-A5DA-ABF77EB9F8AB}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9C9-45DE-90C6-E02456B1E3AF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{F88D6C2C-ADA3-4D48-8A0E-9EC0B0C7C297}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9C9-45DE-90C6-E02456B1E3AF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{9CA76911-4A10-46C2-8D2D-CC85C232331A}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9C9-45DE-90C6-E02456B1E3AF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{8ED222BE-866C-40EB-8C07-630088FA742D}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9C9-45DE-90C6-E02456B1E3AF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{45549648-369A-45C8-944A-86D4A3E5C474}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9C9-45DE-90C6-E02456B1E3AF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{7BD59AB6-6188-4988-9809-D8C1F82D4337}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9C9-45DE-90C6-E02456B1E3AF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{2776CB49-F3C0-465D-B384-F30CB6F2636A}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C9C9-45DE-90C6-E02456B1E3AF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{116F1459-6123-4CD9-9882-66E8F4D3A4B1}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C9C9-45DE-90C6-E02456B1E3AF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{FEB205EA-D62F-40EA-8BA2-2B5E4C805017}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C9C9-45DE-90C6-E02456B1E3AF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{410C5A0D-E956-4C3E-94BE-1A1CE88A9674}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9C9-45DE-90C6-E02456B1E3AF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{028DADD9-B29E-4E83-AA3D-1D475C710E60}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9C9-45DE-90C6-E02456B1E3AF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{DCF8AE4B-CA87-4CB5-8A97-E1EA25CD07B3}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9C9-45DE-90C6-E02456B1E3AF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{0685325D-1C15-42C8-81E7-614F55E5D6C0}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C9C9-45DE-90C6-E02456B1E3AF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{7C59D0EC-96F9-430D-B4AC-43161993D620}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C9C9-45DE-90C6-E02456B1E3AF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{1BBEB415-6DF3-4D90-A720-9DB9CEF41EC1}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C9C9-45DE-90C6-E02456B1E3AF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{49C2AF43-04EC-440D-8BC8-E7384B17B596}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C9C9-45DE-90C6-E02456B1E3AF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{129C5DF8-E9FF-4F05-B040-48E9326F2731}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C9C9-45DE-90C6-E02456B1E3AF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{77DD0E53-FA80-4AB1-9B0D-BEED504D3853}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C9C9-45DE-90C6-E02456B1E3AF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{AE88E0A9-62E0-4502-AAA6-3A43AFDC492B}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C9C9-45DE-90C6-E02456B1E3AF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{F45FAB33-AF13-4A16-B7CF-97D4CB4F4CE3}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C9C9-45DE-90C6-E02456B1E3AF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{AF302C6E-A199-4A90-9DC7-EBECDC304DE8}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C9C9-45DE-90C6-E02456B1E3AF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{033B7F83-DAE9-407A-B82D-F2D2D8F60A4C}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C9C9-45DE-90C6-E02456B1E3AF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{31FC9533-A3D2-457F-9ED6-218D28313C4D}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C9C9-45DE-90C6-E02456B1E3AF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{1BBE66FC-2BB5-40E2-980D-3174D5A9BFB1}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C9C9-45DE-90C6-E02456B1E3AF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{19769B98-4E5C-4EB9-B2BE-E15F47F834F8}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C9C9-45DE-90C6-E02456B1E3AF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{4D86A6C8-A6E7-4365-B33D-D92681295F56}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C9C9-45DE-90C6-E02456B1E3AF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{BA870D8F-BD45-411D-8F3D-4EF82DB122AB}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C9C9-45DE-90C6-E02456B1E3AF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{D136D6B3-2E7C-41FA-AE07-08BF5F6591C7}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C9C9-45DE-90C6-E02456B1E3AF}"/>
                </c:ext>
              </c:extLst>
            </c:dLbl>
            <c:dLbl>
              <c:idx val="28"/>
              <c:tx>
                <c:strRef>
                  <c:f>Data!$AV$2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{1AF6DDE5-4639-4F31-8D6C-FBC3F06C75F7}</c15:txfldGUID>
                      <c15:f>Data!$AV$2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9C9-45DE-90C6-E02456B1E3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>
                <a:solidFill>
                  <a:schemeClr val="accent6">
                    <a:lumMod val="40000"/>
                    <a:lumOff val="6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Data!$T$13:$AV$13</c:f>
              <c:numCache>
                <c:formatCode>#,##0_);[Red]\(#,##0\)</c:formatCode>
                <c:ptCount val="29"/>
                <c:pt idx="0">
                  <c:v>8.84</c:v>
                </c:pt>
                <c:pt idx="1">
                  <c:v>-72.934335187666647</c:v>
                </c:pt>
                <c:pt idx="2">
                  <c:v>100.66258053753313</c:v>
                </c:pt>
                <c:pt idx="3">
                  <c:v>123.7576296115667</c:v>
                </c:pt>
                <c:pt idx="4">
                  <c:v>105.92290359066646</c:v>
                </c:pt>
                <c:pt idx="5">
                  <c:v>156.70369304293354</c:v>
                </c:pt>
                <c:pt idx="6">
                  <c:v>161.04359238116683</c:v>
                </c:pt>
                <c:pt idx="7">
                  <c:v>154.63496932346652</c:v>
                </c:pt>
                <c:pt idx="8">
                  <c:v>157.72065769873279</c:v>
                </c:pt>
                <c:pt idx="9">
                  <c:v>179.2761593222333</c:v>
                </c:pt>
                <c:pt idx="10">
                  <c:v>170.05109844769993</c:v>
                </c:pt>
                <c:pt idx="11">
                  <c:v>177.17755364600021</c:v>
                </c:pt>
                <c:pt idx="12">
                  <c:v>158.87949329493347</c:v>
                </c:pt>
                <c:pt idx="13">
                  <c:v>183.44606145766704</c:v>
                </c:pt>
                <c:pt idx="14">
                  <c:v>124.49058563303379</c:v>
                </c:pt>
                <c:pt idx="15">
                  <c:v>165.45937484566707</c:v>
                </c:pt>
                <c:pt idx="16">
                  <c:v>140.30795132899971</c:v>
                </c:pt>
                <c:pt idx="17">
                  <c:v>195.8421706018994</c:v>
                </c:pt>
                <c:pt idx="18">
                  <c:v>182.37990595220424</c:v>
                </c:pt>
                <c:pt idx="19">
                  <c:v>146.02466699413321</c:v>
                </c:pt>
                <c:pt idx="20">
                  <c:v>198.10345133735973</c:v>
                </c:pt>
                <c:pt idx="21">
                  <c:v>235.02280522103638</c:v>
                </c:pt>
                <c:pt idx="22">
                  <c:v>170.68828381326193</c:v>
                </c:pt>
                <c:pt idx="23">
                  <c:v>147.54681052293654</c:v>
                </c:pt>
                <c:pt idx="24">
                  <c:v>147.43325047720987</c:v>
                </c:pt>
                <c:pt idx="25">
                  <c:v>90.1274185502416</c:v>
                </c:pt>
                <c:pt idx="26">
                  <c:v>22.631531046976988</c:v>
                </c:pt>
                <c:pt idx="27">
                  <c:v>97.53424679940008</c:v>
                </c:pt>
                <c:pt idx="28">
                  <c:v>140.20290955020005</c:v>
                </c:pt>
              </c:numCache>
            </c:numRef>
          </c:xVal>
          <c:yVal>
            <c:numRef>
              <c:f>Data!$T$7:$AV$7</c:f>
              <c:numCache>
                <c:formatCode>#,##0_);[Red]\(#,##0\)</c:formatCode>
                <c:ptCount val="29"/>
                <c:pt idx="0">
                  <c:v>4.3</c:v>
                </c:pt>
                <c:pt idx="1">
                  <c:v>8.9141418279667732</c:v>
                </c:pt>
                <c:pt idx="2">
                  <c:v>45.152541833514306</c:v>
                </c:pt>
                <c:pt idx="3">
                  <c:v>26.090356589128419</c:v>
                </c:pt>
                <c:pt idx="4">
                  <c:v>81.794330551985695</c:v>
                </c:pt>
                <c:pt idx="5">
                  <c:v>48.029178056242813</c:v>
                </c:pt>
                <c:pt idx="6">
                  <c:v>36.969293277833458</c:v>
                </c:pt>
                <c:pt idx="7">
                  <c:v>56.204082498533353</c:v>
                </c:pt>
                <c:pt idx="8">
                  <c:v>62.966489148819164</c:v>
                </c:pt>
                <c:pt idx="9">
                  <c:v>1.3859610311428696</c:v>
                </c:pt>
                <c:pt idx="10">
                  <c:v>4.3974367107666126</c:v>
                </c:pt>
                <c:pt idx="11">
                  <c:v>48.279630314609676</c:v>
                </c:pt>
                <c:pt idx="12">
                  <c:v>54.995249419966513</c:v>
                </c:pt>
                <c:pt idx="13">
                  <c:v>30.996693249666805</c:v>
                </c:pt>
                <c:pt idx="14">
                  <c:v>57.389564704514328</c:v>
                </c:pt>
                <c:pt idx="15">
                  <c:v>30.617102895576068</c:v>
                </c:pt>
                <c:pt idx="16">
                  <c:v>47.046316224838051</c:v>
                </c:pt>
                <c:pt idx="17">
                  <c:v>6.941526046104741</c:v>
                </c:pt>
                <c:pt idx="18">
                  <c:v>11.516451722578836</c:v>
                </c:pt>
                <c:pt idx="19">
                  <c:v>43.736880326600726</c:v>
                </c:pt>
                <c:pt idx="20">
                  <c:v>-16.804479754462591</c:v>
                </c:pt>
                <c:pt idx="21">
                  <c:v>27.839958480716291</c:v>
                </c:pt>
                <c:pt idx="22">
                  <c:v>-8.1509472633329096</c:v>
                </c:pt>
                <c:pt idx="23">
                  <c:v>37.762750319330166</c:v>
                </c:pt>
                <c:pt idx="24">
                  <c:v>50.293743441394895</c:v>
                </c:pt>
                <c:pt idx="25">
                  <c:v>104.92418167551341</c:v>
                </c:pt>
                <c:pt idx="26">
                  <c:v>62.260843606952449</c:v>
                </c:pt>
                <c:pt idx="27">
                  <c:v>66.663486525871576</c:v>
                </c:pt>
                <c:pt idx="28">
                  <c:v>72.766467497071517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9C9-45DE-90C6-E02456B1E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96783"/>
        <c:axId val="1269743800"/>
      </c:scatterChart>
      <c:valAx>
        <c:axId val="9569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Sep/Feb Residual Use (million bushels)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9743800"/>
        <c:crosses val="autoZero"/>
        <c:crossBetween val="midCat"/>
      </c:valAx>
      <c:valAx>
        <c:axId val="126974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Mar/May Residual Use (million bushels)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696783"/>
        <c:crosses val="autoZero"/>
        <c:crossBetween val="midCat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 Soybean Residual</a:t>
            </a:r>
            <a: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Use versus Export Change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 sz="11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Million Bushels</a:t>
            </a:r>
            <a:endPara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953748480556276E-2"/>
          <c:y val="0.13114964230876078"/>
          <c:w val="0.87299187601634021"/>
          <c:h val="0.7383641033721501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24"/>
            <c:marker>
              <c:symbol val="circle"/>
              <c:size val="7"/>
              <c:spPr>
                <a:solidFill>
                  <a:srgbClr val="FF0000"/>
                </a:solidFill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13-4180-A9BD-CE1AE6705354}"/>
              </c:ext>
            </c:extLst>
          </c:dPt>
          <c:dPt>
            <c:idx val="25"/>
            <c:marker>
              <c:symbol val="circle"/>
              <c:size val="7"/>
              <c:spPr>
                <a:solidFill>
                  <a:srgbClr val="FF0000"/>
                </a:solidFill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E13-4180-A9BD-CE1AE6705354}"/>
              </c:ext>
            </c:extLst>
          </c:dPt>
          <c:dPt>
            <c:idx val="26"/>
            <c:marker>
              <c:symbol val="circle"/>
              <c:size val="7"/>
              <c:spPr>
                <a:solidFill>
                  <a:srgbClr val="FF0000"/>
                </a:solidFill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E13-4180-A9BD-CE1AE6705354}"/>
              </c:ext>
            </c:extLst>
          </c:dPt>
          <c:dPt>
            <c:idx val="27"/>
            <c:marker>
              <c:symbol val="circle"/>
              <c:size val="7"/>
              <c:spPr>
                <a:solidFill>
                  <a:srgbClr val="FF0000"/>
                </a:solidFill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E13-4180-A9BD-CE1AE6705354}"/>
              </c:ext>
            </c:extLst>
          </c:dPt>
          <c:dPt>
            <c:idx val="28"/>
            <c:marker>
              <c:symbol val="circle"/>
              <c:size val="7"/>
              <c:spPr>
                <a:solidFill>
                  <a:srgbClr val="FF0000"/>
                </a:solidFill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E13-4180-A9BD-CE1AE6705354}"/>
              </c:ext>
            </c:extLst>
          </c:dPt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{853B467C-4BCA-4A06-9B04-E3C21E9AFEBE}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FE13-4180-A9BD-CE1AE6705354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{DDC72B5F-0D05-4580-B6A7-E0853C471EE1}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FE13-4180-A9BD-CE1AE6705354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{FD8158FE-BC47-44D1-BBC0-A74421B5539C}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FE13-4180-A9BD-CE1AE6705354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{E441F17A-77F6-46E7-A2AE-89CCD717D964}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FE13-4180-A9BD-CE1AE6705354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{A6AFCEC7-3A09-4F8D-99A3-7802A40FC04B}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FE13-4180-A9BD-CE1AE6705354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{533308F9-D8D8-4C9F-B3A5-3DB0795F0461}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E13-4180-A9BD-CE1AE6705354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{D1612C3C-5570-47CC-8017-0D4C91F55C6C}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FE13-4180-A9BD-CE1AE6705354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{4E56DF9A-BB16-405F-AA80-3C831FFEC2A7}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FE13-4180-A9BD-CE1AE6705354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{AFDD0377-4065-4453-8998-60A7E67029AA}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FE13-4180-A9BD-CE1AE6705354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{DC4D5BE7-FA37-4965-8F16-8BEAB6755A7B}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FE13-4180-A9BD-CE1AE6705354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{5F95810A-103A-489F-A02B-9B62F2B510CC}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FE13-4180-A9BD-CE1AE6705354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{39479D04-BA2D-498C-915C-65CED1B28993}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FE13-4180-A9BD-CE1AE6705354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{06CD7FBA-7F5E-448C-A9D2-B8BC24A5C765}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FE13-4180-A9BD-CE1AE6705354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{66631BA5-0D74-4DE5-9D0E-DAC1F9FCF0AC}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FE13-4180-A9BD-CE1AE6705354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{8AFFDEE6-1C22-4199-9CBB-F2C5BCAA6A03}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FE13-4180-A9BD-CE1AE6705354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{D1E21AA6-86E7-49A5-83DA-32F16E59C5F7}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FE13-4180-A9BD-CE1AE6705354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{AEF6AEB3-AA27-4FEC-968F-1EA01B92BD38}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FE13-4180-A9BD-CE1AE6705354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{044AF56F-4041-44E0-8810-AB40B0F9408A}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FE13-4180-A9BD-CE1AE6705354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{B7F93DD6-46A3-4FC3-BBA4-FFC8156BA8D8}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FE13-4180-A9BD-CE1AE6705354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{38170FCC-BF51-49D7-8953-5B34D5A9DFF2}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FE13-4180-A9BD-CE1AE6705354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{6B72091E-FC8A-444C-862F-275E9DFDD5FC}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FE13-4180-A9BD-CE1AE6705354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{03F68CB0-4415-4D9E-AD92-7ABE3AEC44E6}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FE13-4180-A9BD-CE1AE6705354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{FA109D8B-6038-46BF-8178-C8DF643711DE}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FE13-4180-A9BD-CE1AE6705354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{56692E33-1E5C-4269-B26E-F9C9E93CC632}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FE13-4180-A9BD-CE1AE6705354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solidFill>
                  <a:schemeClr val="bg1"/>
                </a:solidFill>
                <a:ln w="15875"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{5F3FA298-2951-4BEA-8DEE-2FADD43C1BC1}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FE13-4180-A9BD-CE1AE6705354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solidFill>
                  <a:schemeClr val="bg1"/>
                </a:solidFill>
                <a:ln w="15875"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{5D288650-7986-4A45-BCD1-67AFB1F56A0E}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FE13-4180-A9BD-CE1AE6705354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solidFill>
                  <a:schemeClr val="bg1"/>
                </a:solidFill>
                <a:ln w="15875"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{DE2290F2-454B-49A1-9EC9-4679E0330B71}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FE13-4180-A9BD-CE1AE6705354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solidFill>
                  <a:schemeClr val="bg1"/>
                </a:solidFill>
                <a:ln w="15875"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{953BA7E4-7F53-4A46-BC59-526EA30FC3A8}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FE13-4180-A9BD-CE1AE6705354}"/>
                </c:ext>
              </c:extLst>
            </c:dLbl>
            <c:dLbl>
              <c:idx val="28"/>
              <c:tx>
                <c:strRef>
                  <c:f>Data!$AV$2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solidFill>
                  <a:schemeClr val="bg1"/>
                </a:solidFill>
                <a:ln w="15875"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{02C519D1-4EB0-4E81-8FEB-E5F0749D9D17}</c15:txfldGUID>
                      <c15:f>Data!$AV$2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FE13-4180-A9BD-CE1AE6705354}"/>
                </c:ext>
              </c:extLst>
            </c:dLbl>
            <c:spPr>
              <a:noFill/>
              <a:ln w="1587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6F079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Data!$T$97:$AV$97</c:f>
              <c:numCache>
                <c:formatCode>#,##0_);[Red]\(#,##0\)</c:formatCode>
                <c:ptCount val="29"/>
                <c:pt idx="0">
                  <c:v>8.8929999999999989</c:v>
                </c:pt>
                <c:pt idx="1">
                  <c:v>9.7899999999999991</c:v>
                </c:pt>
                <c:pt idx="2">
                  <c:v>-7.8719999999999999</c:v>
                </c:pt>
                <c:pt idx="3">
                  <c:v>-0.89300000000000068</c:v>
                </c:pt>
                <c:pt idx="4">
                  <c:v>1.838000000000001</c:v>
                </c:pt>
                <c:pt idx="5">
                  <c:v>9.1660000000000004</c:v>
                </c:pt>
                <c:pt idx="6">
                  <c:v>3.4480000000000004</c:v>
                </c:pt>
                <c:pt idx="7">
                  <c:v>-1.0589999999999993</c:v>
                </c:pt>
                <c:pt idx="8">
                  <c:v>-3.0080000000000009</c:v>
                </c:pt>
                <c:pt idx="9">
                  <c:v>-4.6709999999999994</c:v>
                </c:pt>
                <c:pt idx="10">
                  <c:v>5.6340000000000003</c:v>
                </c:pt>
                <c:pt idx="11">
                  <c:v>-2.3960000000000008</c:v>
                </c:pt>
                <c:pt idx="12">
                  <c:v>5.7890000000000015</c:v>
                </c:pt>
                <c:pt idx="13">
                  <c:v>4.4940000000000033</c:v>
                </c:pt>
                <c:pt idx="14">
                  <c:v>-9.6249999999999982</c:v>
                </c:pt>
                <c:pt idx="15">
                  <c:v>-7.3689999999999998</c:v>
                </c:pt>
                <c:pt idx="16">
                  <c:v>0.90199999999999747</c:v>
                </c:pt>
                <c:pt idx="17">
                  <c:v>12.935999999999998</c:v>
                </c:pt>
                <c:pt idx="18">
                  <c:v>-5.3460000000000001</c:v>
                </c:pt>
                <c:pt idx="19">
                  <c:v>1.8870000000000005</c:v>
                </c:pt>
                <c:pt idx="20">
                  <c:v>6.9820000000000011</c:v>
                </c:pt>
                <c:pt idx="21">
                  <c:v>9.5330000000000013</c:v>
                </c:pt>
                <c:pt idx="22">
                  <c:v>53.331999999999994</c:v>
                </c:pt>
                <c:pt idx="23">
                  <c:v>45.483000000000004</c:v>
                </c:pt>
                <c:pt idx="24">
                  <c:v>9.9157651130999938</c:v>
                </c:pt>
                <c:pt idx="25">
                  <c:v>-2.2316653631999941</c:v>
                </c:pt>
                <c:pt idx="26">
                  <c:v>94.575932203199983</c:v>
                </c:pt>
                <c:pt idx="27">
                  <c:v>5.1367692600001291E-2</c:v>
                </c:pt>
                <c:pt idx="28">
                  <c:v>-12.690355387499999</c:v>
                </c:pt>
              </c:numCache>
            </c:numRef>
          </c:xVal>
          <c:yVal>
            <c:numRef>
              <c:f>Data!$T$8:$AV$8</c:f>
              <c:numCache>
                <c:formatCode>#,##0_);[Red]\(#,##0\)</c:formatCode>
                <c:ptCount val="29"/>
                <c:pt idx="0">
                  <c:v>4.2699999999999996</c:v>
                </c:pt>
                <c:pt idx="1">
                  <c:v>-62.971062964400119</c:v>
                </c:pt>
                <c:pt idx="2">
                  <c:v>-108.37352833734747</c:v>
                </c:pt>
                <c:pt idx="3">
                  <c:v>-112.89491355062853</c:v>
                </c:pt>
                <c:pt idx="4">
                  <c:v>-119.24121261865241</c:v>
                </c:pt>
                <c:pt idx="5">
                  <c:v>-90.31696312054288</c:v>
                </c:pt>
                <c:pt idx="6">
                  <c:v>-122.12512273276667</c:v>
                </c:pt>
                <c:pt idx="7">
                  <c:v>-131.58524027540005</c:v>
                </c:pt>
                <c:pt idx="8">
                  <c:v>-139.3929269191857</c:v>
                </c:pt>
                <c:pt idx="9">
                  <c:v>-136.28555452240954</c:v>
                </c:pt>
                <c:pt idx="10">
                  <c:v>-154.37742908749999</c:v>
                </c:pt>
                <c:pt idx="11">
                  <c:v>-118.65181710834287</c:v>
                </c:pt>
                <c:pt idx="12">
                  <c:v>-103.48382610113333</c:v>
                </c:pt>
                <c:pt idx="13">
                  <c:v>-133.3681900153</c:v>
                </c:pt>
                <c:pt idx="14">
                  <c:v>-177.34927836654765</c:v>
                </c:pt>
                <c:pt idx="15">
                  <c:v>-180.17901583650951</c:v>
                </c:pt>
                <c:pt idx="16">
                  <c:v>-165.2537603974713</c:v>
                </c:pt>
                <c:pt idx="17">
                  <c:v>-161.13306645247144</c:v>
                </c:pt>
                <c:pt idx="18">
                  <c:v>-194.27406586039285</c:v>
                </c:pt>
                <c:pt idx="19">
                  <c:v>-183.91031678445995</c:v>
                </c:pt>
                <c:pt idx="20">
                  <c:v>-173.5216013520768</c:v>
                </c:pt>
                <c:pt idx="21">
                  <c:v>-211.58565629464226</c:v>
                </c:pt>
                <c:pt idx="22">
                  <c:v>-147.2908549942706</c:v>
                </c:pt>
                <c:pt idx="23">
                  <c:v>-138.05896503700228</c:v>
                </c:pt>
                <c:pt idx="24">
                  <c:v>-193.44110964180697</c:v>
                </c:pt>
                <c:pt idx="25">
                  <c:v>-149.46098449191925</c:v>
                </c:pt>
                <c:pt idx="26">
                  <c:v>-75.366519928285584</c:v>
                </c:pt>
                <c:pt idx="27">
                  <c:v>-152.86724361623806</c:v>
                </c:pt>
                <c:pt idx="28">
                  <c:v>-185.51588859643823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E13-4180-A9BD-CE1AE67053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strRef>
                  <c:f>Data!$AW$2</c:f>
                  <c:strCache>
                    <c:ptCount val="1"/>
                    <c:pt idx="0">
                      <c:v>22/23 </c:v>
                    </c:pt>
                  </c:strCache>
                </c:strRef>
              </c:tx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{8E332F75-5473-444D-B09E-6481A152DB96}</c15:txfldGUID>
                      <c15:f>Data!$AW$2</c15:f>
                      <c15:dlblFieldTableCache>
                        <c:ptCount val="1"/>
                        <c:pt idx="0">
                          <c:v>22/23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FE13-4180-A9BD-CE1AE6705354}"/>
                </c:ext>
              </c:extLst>
            </c:dLbl>
            <c:spPr>
              <a:noFill/>
              <a:ln w="15875">
                <a:solidFill>
                  <a:srgbClr val="6F079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6F079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Data!$AW$97</c:f>
              <c:numCache>
                <c:formatCode>#,##0_);[Red]\(#,##0\)</c:formatCode>
                <c:ptCount val="1"/>
                <c:pt idx="0">
                  <c:v>16.546496471399998</c:v>
                </c:pt>
              </c:numCache>
            </c:numRef>
          </c:xVal>
          <c:yVal>
            <c:numRef>
              <c:f>Data!$AW$8</c:f>
              <c:numCache>
                <c:formatCode>#,##0_);[Red]\(#,##0\)</c:formatCode>
                <c:ptCount val="1"/>
                <c:pt idx="0">
                  <c:v>-187.40864719616661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E13-4180-A9BD-CE1AE6705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077136"/>
        <c:axId val="961075496"/>
      </c:scatterChart>
      <c:valAx>
        <c:axId val="96107713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Change in Exports from June 1 - 14 to September 1 - 14</a:t>
                </a:r>
              </a:p>
            </c:rich>
          </c:tx>
          <c:layout>
            <c:manualLayout>
              <c:xMode val="edge"/>
              <c:yMode val="edge"/>
              <c:x val="0.26806340584099869"/>
              <c:y val="0.945187467455988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1075496"/>
        <c:crosses val="autoZero"/>
        <c:crossBetween val="midCat"/>
      </c:valAx>
      <c:valAx>
        <c:axId val="961075496"/>
        <c:scaling>
          <c:orientation val="minMax"/>
          <c:max val="5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June/August Residual Use</a:t>
                </a: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28724974248490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1077136"/>
        <c:crosses val="autoZero"/>
        <c:crossBetween val="midCat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Helvetica-Normal" pitchFamily="2" charset="0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Helvetica-Normal" pitchFamily="2" charset="0"/>
              </a:rPr>
              <a:t>First</a:t>
            </a:r>
            <a:r>
              <a:rPr lang="en-US" sz="1800" b="1" baseline="0">
                <a:solidFill>
                  <a:sysClr val="windowText" lastClr="000000"/>
                </a:solidFill>
                <a:latin typeface="Helvetica-Normal" pitchFamily="2" charset="0"/>
              </a:rPr>
              <a:t> Quarter Residual Usage versus Second Quarter Residual Usage</a:t>
            </a:r>
          </a:p>
          <a:p>
            <a:pPr>
              <a:defRPr sz="1800" b="1">
                <a:solidFill>
                  <a:sysClr val="windowText" lastClr="000000"/>
                </a:solidFill>
                <a:latin typeface="Helvetica-Normal" pitchFamily="2" charset="0"/>
              </a:defRPr>
            </a:pPr>
            <a:r>
              <a:rPr lang="en-US" sz="1100" b="1" baseline="0">
                <a:solidFill>
                  <a:sysClr val="windowText" lastClr="000000"/>
                </a:solidFill>
                <a:latin typeface="Helvetica-Normal" pitchFamily="2" charset="0"/>
              </a:rPr>
              <a:t>(million bushels)</a:t>
            </a:r>
            <a:endParaRPr lang="en-US" sz="1100" b="1">
              <a:solidFill>
                <a:sysClr val="windowText" lastClr="000000"/>
              </a:solidFill>
              <a:latin typeface="Helvetica-Normal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Helvetica-Normal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604854129045044E-2"/>
          <c:y val="0.11549405365394981"/>
          <c:w val="0.90486775761203919"/>
          <c:h val="0.794913626515848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24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EC-4240-A415-5DE628130486}"/>
              </c:ext>
            </c:extLst>
          </c:dPt>
          <c:dPt>
            <c:idx val="28"/>
            <c:marker>
              <c:symbol val="circle"/>
              <c:size val="9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EC-4240-A415-5DE628130486}"/>
              </c:ext>
            </c:extLst>
          </c:dPt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{8296F421-45EC-479F-9EBD-1135790DBFA3}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2EC-4240-A415-5DE628130486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{DD92145A-23D1-40CC-A340-CDE1ED305270}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82EC-4240-A415-5DE628130486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{D9502315-302A-436D-8FB8-7A45FBF3A98D}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82EC-4240-A415-5DE628130486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{DB61276F-9FAF-43E8-AB28-6D2B0C9976FA}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82EC-4240-A415-5DE628130486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{17DA26FE-C14A-455B-8B40-E154FE19A3A0}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82EC-4240-A415-5DE628130486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{1744B11F-7405-41B6-A696-DEF57146DA83}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82EC-4240-A415-5DE628130486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{6D203C3D-A2E4-4773-AA36-48DC8907F256}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82EC-4240-A415-5DE628130486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{7332167B-2711-4E18-8320-2212841E76BB}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2EC-4240-A415-5DE628130486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{F8D48B9A-C493-49E9-B736-7FACE95E18B3}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82EC-4240-A415-5DE628130486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{28E0C976-C553-47BC-BF19-F11A32D355BE}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82EC-4240-A415-5DE628130486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{833D1BF5-BAE8-43A1-B315-05C0EE5D961F}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82EC-4240-A415-5DE628130486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{329BB137-E726-4563-A33C-01885CCB41AF}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82EC-4240-A415-5DE628130486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{13261F95-FECD-4367-A815-C7B294A34933}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82EC-4240-A415-5DE628130486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{2C01CBAF-38D6-4A8A-BBBB-E11DD284340E}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82EC-4240-A415-5DE628130486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{9FF11901-07E0-4DFC-8877-A0D437D9FC62}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82EC-4240-A415-5DE628130486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{4DD4A484-BD28-4978-8040-DBFFEA69DB4A}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82EC-4240-A415-5DE628130486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{6D2B2B68-CAF7-4069-8918-11BDBFD738E1}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82EC-4240-A415-5DE628130486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{A42CD7B7-50C3-4A82-A2B1-EAC50105E554}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82EC-4240-A415-5DE628130486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{9A3117D5-80BC-4380-8176-42638F5CA0F6}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82EC-4240-A415-5DE628130486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{4E0168AD-E2F0-4117-8231-F2DCE9722B14}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82EC-4240-A415-5DE628130486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{43F805B5-C545-4240-89D3-EBB96992C724}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82EC-4240-A415-5DE628130486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{CA2E8054-B327-4D5B-965B-6FC9948277B4}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82EC-4240-A415-5DE628130486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{6415F91D-E36E-4D13-B6D5-7BE1C5F7C62B}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82EC-4240-A415-5DE628130486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{0B4A15E8-5BC8-42A8-9389-F75C88522440}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82EC-4240-A415-5DE628130486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 w="15875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{7ACBEF72-D0BE-466E-9372-31950E7D083C}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82EC-4240-A415-5DE628130486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{12911B5A-7B3B-4835-A18F-076A0A0CB19E}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82EC-4240-A415-5DE628130486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{4DDA070E-277A-4A39-8D6E-3760DDBC6A2E}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82EC-4240-A415-5DE628130486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{B44ECBC7-3B32-4E5F-A488-2B9F45D79CEA}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82EC-4240-A415-5DE628130486}"/>
                </c:ext>
              </c:extLst>
            </c:dLbl>
            <c:dLbl>
              <c:idx val="28"/>
              <c:tx>
                <c:strRef>
                  <c:f>Data!$AV$2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{9440895A-4010-451C-ADA0-DEC7D3FA9EF2}</c15:txfldGUID>
                      <c15:f>Data!$AV$2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2EC-4240-A415-5DE6281304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>
                <a:solidFill>
                  <a:srgbClr val="6F079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Data!$T$5:$AV$5</c:f>
              <c:numCache>
                <c:formatCode>#,##0_);[Red]\(#,##0\)</c:formatCode>
                <c:ptCount val="29"/>
                <c:pt idx="0">
                  <c:v>4.47</c:v>
                </c:pt>
                <c:pt idx="1">
                  <c:v>-149.19831877253364</c:v>
                </c:pt>
                <c:pt idx="2">
                  <c:v>93.889157719433001</c:v>
                </c:pt>
                <c:pt idx="3">
                  <c:v>88.319380847499929</c:v>
                </c:pt>
                <c:pt idx="4">
                  <c:v>58.744980296833319</c:v>
                </c:pt>
                <c:pt idx="5">
                  <c:v>76.935670118933558</c:v>
                </c:pt>
                <c:pt idx="6">
                  <c:v>97.17053671833321</c:v>
                </c:pt>
                <c:pt idx="7">
                  <c:v>71.978728454033217</c:v>
                </c:pt>
                <c:pt idx="8">
                  <c:v>87.496624568399511</c:v>
                </c:pt>
                <c:pt idx="9">
                  <c:v>112.33748187543347</c:v>
                </c:pt>
                <c:pt idx="10">
                  <c:v>142.86335777036652</c:v>
                </c:pt>
                <c:pt idx="11">
                  <c:v>99.394408237866855</c:v>
                </c:pt>
                <c:pt idx="12">
                  <c:v>68.258787625600007</c:v>
                </c:pt>
                <c:pt idx="13">
                  <c:v>113.19087893916696</c:v>
                </c:pt>
                <c:pt idx="14">
                  <c:v>96.70983231090031</c:v>
                </c:pt>
                <c:pt idx="15">
                  <c:v>92.022945034867234</c:v>
                </c:pt>
                <c:pt idx="16">
                  <c:v>182.70940915756637</c:v>
                </c:pt>
                <c:pt idx="17">
                  <c:v>143.14750807333303</c:v>
                </c:pt>
                <c:pt idx="18">
                  <c:v>108.4867022300657</c:v>
                </c:pt>
                <c:pt idx="19">
                  <c:v>171.85609777315017</c:v>
                </c:pt>
                <c:pt idx="20">
                  <c:v>228.46861725411964</c:v>
                </c:pt>
                <c:pt idx="21">
                  <c:v>248.25457227906668</c:v>
                </c:pt>
                <c:pt idx="22">
                  <c:v>144.07617725360251</c:v>
                </c:pt>
                <c:pt idx="23">
                  <c:v>188.49356234524384</c:v>
                </c:pt>
                <c:pt idx="24">
                  <c:v>205.5142603730892</c:v>
                </c:pt>
                <c:pt idx="25">
                  <c:v>87.53101685801812</c:v>
                </c:pt>
                <c:pt idx="26">
                  <c:v>76.394890355029702</c:v>
                </c:pt>
                <c:pt idx="27">
                  <c:v>147.74085474916683</c:v>
                </c:pt>
                <c:pt idx="28">
                  <c:v>172.43730245816687</c:v>
                </c:pt>
              </c:numCache>
            </c:numRef>
          </c:xVal>
          <c:yVal>
            <c:numRef>
              <c:f>Data!$T$6:$AV$6</c:f>
              <c:numCache>
                <c:formatCode>#,##0_);[Red]\(#,##0\)</c:formatCode>
                <c:ptCount val="29"/>
                <c:pt idx="0">
                  <c:v>4.37</c:v>
                </c:pt>
                <c:pt idx="1">
                  <c:v>76.263983584866992</c:v>
                </c:pt>
                <c:pt idx="2">
                  <c:v>6.7734228181001299</c:v>
                </c:pt>
                <c:pt idx="3">
                  <c:v>35.43824876406677</c:v>
                </c:pt>
                <c:pt idx="4">
                  <c:v>47.177923293833146</c:v>
                </c:pt>
                <c:pt idx="5">
                  <c:v>79.768022923999979</c:v>
                </c:pt>
                <c:pt idx="6">
                  <c:v>63.873055662833622</c:v>
                </c:pt>
                <c:pt idx="7">
                  <c:v>82.656240869433304</c:v>
                </c:pt>
                <c:pt idx="8">
                  <c:v>70.224033130333282</c:v>
                </c:pt>
                <c:pt idx="9">
                  <c:v>66.938677446799829</c:v>
                </c:pt>
                <c:pt idx="10">
                  <c:v>27.187740677333409</c:v>
                </c:pt>
                <c:pt idx="11">
                  <c:v>77.78314540813335</c:v>
                </c:pt>
                <c:pt idx="12">
                  <c:v>90.620705669333461</c:v>
                </c:pt>
                <c:pt idx="13">
                  <c:v>70.255182518500078</c:v>
                </c:pt>
                <c:pt idx="14">
                  <c:v>27.780753322133478</c:v>
                </c:pt>
                <c:pt idx="15">
                  <c:v>73.436429810799837</c:v>
                </c:pt>
                <c:pt idx="16">
                  <c:v>-42.401457828566663</c:v>
                </c:pt>
                <c:pt idx="17">
                  <c:v>52.694662528566369</c:v>
                </c:pt>
                <c:pt idx="18">
                  <c:v>73.893203722138537</c:v>
                </c:pt>
                <c:pt idx="19">
                  <c:v>-25.831430779016955</c:v>
                </c:pt>
                <c:pt idx="20">
                  <c:v>-30.365165916759906</c:v>
                </c:pt>
                <c:pt idx="21">
                  <c:v>-13.2317670580303</c:v>
                </c:pt>
                <c:pt idx="22">
                  <c:v>26.612106559659424</c:v>
                </c:pt>
                <c:pt idx="23">
                  <c:v>-40.946751822307306</c:v>
                </c:pt>
                <c:pt idx="24">
                  <c:v>-58.081009895879333</c:v>
                </c:pt>
                <c:pt idx="25">
                  <c:v>2.5964016922234805</c:v>
                </c:pt>
                <c:pt idx="26">
                  <c:v>-53.763359308052713</c:v>
                </c:pt>
                <c:pt idx="27">
                  <c:v>-50.206607949766749</c:v>
                </c:pt>
                <c:pt idx="28">
                  <c:v>-32.234392907966821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82EC-4240-A415-5DE62813048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strRef>
                  <c:f>Data!$AW$2</c:f>
                  <c:strCache>
                    <c:ptCount val="1"/>
                    <c:pt idx="0">
                      <c:v>22/23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{6AE01B79-2BA2-4C20-B53B-2CC35FEE2141}</c15:txfldGUID>
                      <c15:f>Data!$AW$2</c15:f>
                      <c15:dlblFieldTableCache>
                        <c:ptCount val="1"/>
                        <c:pt idx="0">
                          <c:v>22/23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82EC-4240-A415-5DE6281304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Data!$AW$5</c:f>
              <c:numCache>
                <c:formatCode>#,##0_);[Red]\(#,##0\)</c:formatCode>
                <c:ptCount val="1"/>
                <c:pt idx="0">
                  <c:v>163.42117334173327</c:v>
                </c:pt>
              </c:numCache>
            </c:numRef>
          </c:xVal>
          <c:yVal>
            <c:numRef>
              <c:f>Data!$AW$6</c:f>
              <c:numCache>
                <c:formatCode>#,##0_);[Red]\(#,##0\)</c:formatCode>
                <c:ptCount val="1"/>
                <c:pt idx="0">
                  <c:v>-4.1577439417335427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82EC-4240-A415-5DE62813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226048"/>
        <c:axId val="1067226376"/>
      </c:scatterChart>
      <c:valAx>
        <c:axId val="106722604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-Normal" pitchFamily="2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-Normal" pitchFamily="2" charset="0"/>
                  </a:rPr>
                  <a:t>First Quarter Residual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Helvetica-Normal" pitchFamily="2" charset="0"/>
                  </a:rPr>
                  <a:t> Use</a:t>
                </a:r>
                <a:endParaRPr lang="en-US" sz="1400" b="1">
                  <a:solidFill>
                    <a:sysClr val="windowText" lastClr="000000"/>
                  </a:solidFill>
                  <a:latin typeface="Helvetica-Normal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-Normal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1067226376"/>
        <c:crosses val="autoZero"/>
        <c:crossBetween val="midCat"/>
      </c:valAx>
      <c:valAx>
        <c:axId val="106722637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-Normal" pitchFamily="2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-Normal" pitchFamily="2" charset="0"/>
                  </a:rPr>
                  <a:t>Second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Helvetica-Normal" pitchFamily="2" charset="0"/>
                  </a:rPr>
                  <a:t> Quarter Residual Usage</a:t>
                </a:r>
                <a:endParaRPr lang="en-US" sz="1400" b="1">
                  <a:solidFill>
                    <a:sysClr val="windowText" lastClr="000000"/>
                  </a:solidFill>
                  <a:latin typeface="Helvetica-Normal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-Normal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1067226048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 Soybean Residual Use versus Early</a:t>
            </a:r>
            <a: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Harvest</a:t>
            </a:r>
            <a:endPara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659058832397644E-2"/>
          <c:y val="0.10210167329199038"/>
          <c:w val="0.88798628252630774"/>
          <c:h val="0.7793159654391432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24"/>
            <c:marker>
              <c:symbol val="circle"/>
              <c:size val="7"/>
              <c:spPr>
                <a:solidFill>
                  <a:srgbClr val="8C8C8C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59-4B05-9459-2ACCB124BBAC}"/>
              </c:ext>
            </c:extLst>
          </c:dPt>
          <c:dPt>
            <c:idx val="25"/>
            <c:marker>
              <c:symbol val="circle"/>
              <c:size val="7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158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059-4B05-9459-2ACCB124BBAC}"/>
              </c:ext>
            </c:extLst>
          </c:dPt>
          <c:dPt>
            <c:idx val="26"/>
            <c:marker>
              <c:symbol val="circle"/>
              <c:size val="7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158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059-4B05-9459-2ACCB124BBAC}"/>
              </c:ext>
            </c:extLst>
          </c:dPt>
          <c:dPt>
            <c:idx val="27"/>
            <c:marker>
              <c:symbol val="circle"/>
              <c:size val="7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158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059-4B05-9459-2ACCB124BBAC}"/>
              </c:ext>
            </c:extLst>
          </c:dPt>
          <c:dPt>
            <c:idx val="28"/>
            <c:marker>
              <c:symbol val="circle"/>
              <c:size val="7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158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059-4B05-9459-2ACCB124BBAC}"/>
              </c:ext>
            </c:extLst>
          </c:dPt>
          <c:dPt>
            <c:idx val="29"/>
            <c:marker>
              <c:symbol val="circle"/>
              <c:size val="7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158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059-4B05-9459-2ACCB124BBAC}"/>
              </c:ext>
            </c:extLst>
          </c:dPt>
          <c:dLbls>
            <c:dLbl>
              <c:idx val="0"/>
              <c:tx>
                <c:strRef>
                  <c:f>Data!$T$2</c:f>
                  <c:strCache>
                    <c:ptCount val="1"/>
                    <c:pt idx="0">
                      <c:v>93/94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{9FCA11EB-B7D7-4206-A3C2-1ECD2C5F924C}</c15:txfldGUID>
                      <c15:f>Data!$T$2</c15:f>
                      <c15:dlblFieldTableCache>
                        <c:ptCount val="1"/>
                        <c:pt idx="0">
                          <c:v>93/94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8059-4B05-9459-2ACCB124BBAC}"/>
                </c:ext>
              </c:extLst>
            </c:dLbl>
            <c:dLbl>
              <c:idx val="1"/>
              <c:tx>
                <c:strRef>
                  <c:f>Data!$U$2</c:f>
                  <c:strCache>
                    <c:ptCount val="1"/>
                    <c:pt idx="0">
                      <c:v>94/95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{414786A6-B2BC-4699-ADDF-C5BEAA482FA5}</c15:txfldGUID>
                      <c15:f>Data!$U$2</c15:f>
                      <c15:dlblFieldTableCache>
                        <c:ptCount val="1"/>
                        <c:pt idx="0">
                          <c:v>94/95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8059-4B05-9459-2ACCB124BBAC}"/>
                </c:ext>
              </c:extLst>
            </c:dLbl>
            <c:dLbl>
              <c:idx val="2"/>
              <c:tx>
                <c:strRef>
                  <c:f>Data!$V$2</c:f>
                  <c:strCache>
                    <c:ptCount val="1"/>
                    <c:pt idx="0">
                      <c:v>95/96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{95F726D8-8CE2-4EE7-897B-6854DD9F7691}</c15:txfldGUID>
                      <c15:f>Data!$V$2</c15:f>
                      <c15:dlblFieldTableCache>
                        <c:ptCount val="1"/>
                        <c:pt idx="0">
                          <c:v>95/96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8059-4B05-9459-2ACCB124BBAC}"/>
                </c:ext>
              </c:extLst>
            </c:dLbl>
            <c:dLbl>
              <c:idx val="3"/>
              <c:tx>
                <c:strRef>
                  <c:f>Data!$W$2</c:f>
                  <c:strCache>
                    <c:ptCount val="1"/>
                    <c:pt idx="0">
                      <c:v>96/97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{C3C7EBE9-47A8-415F-B130-2E7FB5150281}</c15:txfldGUID>
                      <c15:f>Data!$W$2</c15:f>
                      <c15:dlblFieldTableCache>
                        <c:ptCount val="1"/>
                        <c:pt idx="0">
                          <c:v>96/97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059-4B05-9459-2ACCB124BBAC}"/>
                </c:ext>
              </c:extLst>
            </c:dLbl>
            <c:dLbl>
              <c:idx val="4"/>
              <c:tx>
                <c:strRef>
                  <c:f>Data!$X$2</c:f>
                  <c:strCache>
                    <c:ptCount val="1"/>
                    <c:pt idx="0">
                      <c:v>97/98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{8A4D737A-79B6-482C-B9F6-CC85BBE436C1}</c15:txfldGUID>
                      <c15:f>Data!$X$2</c15:f>
                      <c15:dlblFieldTableCache>
                        <c:ptCount val="1"/>
                        <c:pt idx="0">
                          <c:v>97/98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8059-4B05-9459-2ACCB124BBAC}"/>
                </c:ext>
              </c:extLst>
            </c:dLbl>
            <c:dLbl>
              <c:idx val="5"/>
              <c:tx>
                <c:strRef>
                  <c:f>Data!$Y$2</c:f>
                  <c:strCache>
                    <c:ptCount val="1"/>
                    <c:pt idx="0">
                      <c:v>98/99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{FAF0FE78-D923-4545-B96B-9EBF48087CB0}</c15:txfldGUID>
                      <c15:f>Data!$Y$2</c15:f>
                      <c15:dlblFieldTableCache>
                        <c:ptCount val="1"/>
                        <c:pt idx="0">
                          <c:v>98/99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8059-4B05-9459-2ACCB124BBAC}"/>
                </c:ext>
              </c:extLst>
            </c:dLbl>
            <c:dLbl>
              <c:idx val="6"/>
              <c:tx>
                <c:strRef>
                  <c:f>Data!$Z$2</c:f>
                  <c:strCache>
                    <c:ptCount val="1"/>
                    <c:pt idx="0">
                      <c:v>99/00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{D81A0EA8-5E12-4482-908E-7647450D8491}</c15:txfldGUID>
                      <c15:f>Data!$Z$2</c15:f>
                      <c15:dlblFieldTableCache>
                        <c:ptCount val="1"/>
                        <c:pt idx="0">
                          <c:v>99/00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8059-4B05-9459-2ACCB124BBAC}"/>
                </c:ext>
              </c:extLst>
            </c:dLbl>
            <c:dLbl>
              <c:idx val="7"/>
              <c:tx>
                <c:strRef>
                  <c:f>Data!$AA$2</c:f>
                  <c:strCache>
                    <c:ptCount val="1"/>
                    <c:pt idx="0">
                      <c:v>00/01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{163460EE-12D7-41C7-9E6A-27A5DEA89F47}</c15:txfldGUID>
                      <c15:f>Data!$AA$2</c15:f>
                      <c15:dlblFieldTableCache>
                        <c:ptCount val="1"/>
                        <c:pt idx="0">
                          <c:v>00/01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8059-4B05-9459-2ACCB124BBAC}"/>
                </c:ext>
              </c:extLst>
            </c:dLbl>
            <c:dLbl>
              <c:idx val="8"/>
              <c:tx>
                <c:strRef>
                  <c:f>Data!$AB$2</c:f>
                  <c:strCache>
                    <c:ptCount val="1"/>
                    <c:pt idx="0">
                      <c:v>01/02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{A0385E10-C648-4B4A-B0FA-598C7347D225}</c15:txfldGUID>
                      <c15:f>Data!$AB$2</c15:f>
                      <c15:dlblFieldTableCache>
                        <c:ptCount val="1"/>
                        <c:pt idx="0">
                          <c:v>01/02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8059-4B05-9459-2ACCB124BBAC}"/>
                </c:ext>
              </c:extLst>
            </c:dLbl>
            <c:dLbl>
              <c:idx val="9"/>
              <c:tx>
                <c:strRef>
                  <c:f>Data!$AC$2</c:f>
                  <c:strCache>
                    <c:ptCount val="1"/>
                    <c:pt idx="0">
                      <c:v>02/03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{F952C65A-B3AB-42DC-A713-08859DEA9C1A}</c15:txfldGUID>
                      <c15:f>Data!$AC$2</c15:f>
                      <c15:dlblFieldTableCache>
                        <c:ptCount val="1"/>
                        <c:pt idx="0">
                          <c:v>02/03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8059-4B05-9459-2ACCB124BBAC}"/>
                </c:ext>
              </c:extLst>
            </c:dLbl>
            <c:dLbl>
              <c:idx val="10"/>
              <c:tx>
                <c:strRef>
                  <c:f>Data!$AD$2</c:f>
                  <c:strCache>
                    <c:ptCount val="1"/>
                    <c:pt idx="0">
                      <c:v>03/04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{D2039F78-B62D-4FF5-A6D3-A9C9769AC1CA}</c15:txfldGUID>
                      <c15:f>Data!$AD$2</c15:f>
                      <c15:dlblFieldTableCache>
                        <c:ptCount val="1"/>
                        <c:pt idx="0">
                          <c:v>03/04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8059-4B05-9459-2ACCB124BBAC}"/>
                </c:ext>
              </c:extLst>
            </c:dLbl>
            <c:dLbl>
              <c:idx val="11"/>
              <c:tx>
                <c:strRef>
                  <c:f>Data!$AE$2</c:f>
                  <c:strCache>
                    <c:ptCount val="1"/>
                    <c:pt idx="0">
                      <c:v>04/05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{83050934-F5EB-472E-8030-9FE3DB17F123}</c15:txfldGUID>
                      <c15:f>Data!$AE$2</c15:f>
                      <c15:dlblFieldTableCache>
                        <c:ptCount val="1"/>
                        <c:pt idx="0">
                          <c:v>04/05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8059-4B05-9459-2ACCB124BBAC}"/>
                </c:ext>
              </c:extLst>
            </c:dLbl>
            <c:dLbl>
              <c:idx val="12"/>
              <c:tx>
                <c:strRef>
                  <c:f>Data!$AF$2</c:f>
                  <c:strCache>
                    <c:ptCount val="1"/>
                    <c:pt idx="0">
                      <c:v>05/06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{AA6EFB72-1F52-46A2-B072-010FE9085380}</c15:txfldGUID>
                      <c15:f>Data!$AF$2</c15:f>
                      <c15:dlblFieldTableCache>
                        <c:ptCount val="1"/>
                        <c:pt idx="0">
                          <c:v>05/06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8059-4B05-9459-2ACCB124BBAC}"/>
                </c:ext>
              </c:extLst>
            </c:dLbl>
            <c:dLbl>
              <c:idx val="13"/>
              <c:tx>
                <c:strRef>
                  <c:f>Data!$AG$2</c:f>
                  <c:strCache>
                    <c:ptCount val="1"/>
                    <c:pt idx="0">
                      <c:v>06/07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{F601CA48-AC3A-435E-BA32-42C8A3E878A8}</c15:txfldGUID>
                      <c15:f>Data!$AG$2</c15:f>
                      <c15:dlblFieldTableCache>
                        <c:ptCount val="1"/>
                        <c:pt idx="0">
                          <c:v>06/07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8059-4B05-9459-2ACCB124BBAC}"/>
                </c:ext>
              </c:extLst>
            </c:dLbl>
            <c:dLbl>
              <c:idx val="14"/>
              <c:tx>
                <c:strRef>
                  <c:f>Data!$AH$2</c:f>
                  <c:strCache>
                    <c:ptCount val="1"/>
                    <c:pt idx="0">
                      <c:v>07/08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{29CC3206-97BE-412F-9D0F-750C702CC26E}</c15:txfldGUID>
                      <c15:f>Data!$AH$2</c15:f>
                      <c15:dlblFieldTableCache>
                        <c:ptCount val="1"/>
                        <c:pt idx="0">
                          <c:v>07/08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8059-4B05-9459-2ACCB124BBAC}"/>
                </c:ext>
              </c:extLst>
            </c:dLbl>
            <c:dLbl>
              <c:idx val="15"/>
              <c:tx>
                <c:strRef>
                  <c:f>Data!$AI$2</c:f>
                  <c:strCache>
                    <c:ptCount val="1"/>
                    <c:pt idx="0">
                      <c:v>08/09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{0A00B1CA-CD9C-4A8D-8DAC-E7CC29018797}</c15:txfldGUID>
                      <c15:f>Data!$AI$2</c15:f>
                      <c15:dlblFieldTableCache>
                        <c:ptCount val="1"/>
                        <c:pt idx="0">
                          <c:v>08/09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8059-4B05-9459-2ACCB124BBAC}"/>
                </c:ext>
              </c:extLst>
            </c:dLbl>
            <c:dLbl>
              <c:idx val="16"/>
              <c:tx>
                <c:strRef>
                  <c:f>Data!$AJ$2</c:f>
                  <c:strCache>
                    <c:ptCount val="1"/>
                    <c:pt idx="0">
                      <c:v>09/10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{299072E6-C86F-45F5-9CB3-E5362C5C4916}</c15:txfldGUID>
                      <c15:f>Data!$AJ$2</c15:f>
                      <c15:dlblFieldTableCache>
                        <c:ptCount val="1"/>
                        <c:pt idx="0">
                          <c:v>09/10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8059-4B05-9459-2ACCB124BBAC}"/>
                </c:ext>
              </c:extLst>
            </c:dLbl>
            <c:dLbl>
              <c:idx val="17"/>
              <c:tx>
                <c:strRef>
                  <c:f>Data!$AK$2</c:f>
                  <c:strCache>
                    <c:ptCount val="1"/>
                    <c:pt idx="0">
                      <c:v>10/11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{68F752C5-45E5-4D01-8A9F-C7DACB4FDAD9}</c15:txfldGUID>
                      <c15:f>Data!$AK$2</c15:f>
                      <c15:dlblFieldTableCache>
                        <c:ptCount val="1"/>
                        <c:pt idx="0">
                          <c:v>10/11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8059-4B05-9459-2ACCB124BBAC}"/>
                </c:ext>
              </c:extLst>
            </c:dLbl>
            <c:dLbl>
              <c:idx val="18"/>
              <c:tx>
                <c:strRef>
                  <c:f>Data!$AL$2</c:f>
                  <c:strCache>
                    <c:ptCount val="1"/>
                    <c:pt idx="0">
                      <c:v>11/12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{18E80D28-A272-476E-B492-4CFA0262B316}</c15:txfldGUID>
                      <c15:f>Data!$AL$2</c15:f>
                      <c15:dlblFieldTableCache>
                        <c:ptCount val="1"/>
                        <c:pt idx="0">
                          <c:v>11/12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8059-4B05-9459-2ACCB124BBAC}"/>
                </c:ext>
              </c:extLst>
            </c:dLbl>
            <c:dLbl>
              <c:idx val="19"/>
              <c:tx>
                <c:strRef>
                  <c:f>Data!$AM$2</c:f>
                  <c:strCache>
                    <c:ptCount val="1"/>
                    <c:pt idx="0">
                      <c:v>12/13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{37221F1A-75B2-45E2-8DED-4B5CC90736B9}</c15:txfldGUID>
                      <c15:f>Data!$AM$2</c15:f>
                      <c15:dlblFieldTableCache>
                        <c:ptCount val="1"/>
                        <c:pt idx="0">
                          <c:v>12/13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8059-4B05-9459-2ACCB124BBAC}"/>
                </c:ext>
              </c:extLst>
            </c:dLbl>
            <c:dLbl>
              <c:idx val="20"/>
              <c:tx>
                <c:strRef>
                  <c:f>Data!$AN$2</c:f>
                  <c:strCache>
                    <c:ptCount val="1"/>
                    <c:pt idx="0">
                      <c:v>13/14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{7395DCF9-D6EF-43D7-80FE-825D1B68883A}</c15:txfldGUID>
                      <c15:f>Data!$AN$2</c15:f>
                      <c15:dlblFieldTableCache>
                        <c:ptCount val="1"/>
                        <c:pt idx="0">
                          <c:v>13/14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8059-4B05-9459-2ACCB124BBAC}"/>
                </c:ext>
              </c:extLst>
            </c:dLbl>
            <c:dLbl>
              <c:idx val="21"/>
              <c:tx>
                <c:strRef>
                  <c:f>Data!$AO$2</c:f>
                  <c:strCache>
                    <c:ptCount val="1"/>
                    <c:pt idx="0">
                      <c:v>14/15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{0AFB9D46-AEAD-4EC2-BF06-691B462C51A9}</c15:txfldGUID>
                      <c15:f>Data!$AO$2</c15:f>
                      <c15:dlblFieldTableCache>
                        <c:ptCount val="1"/>
                        <c:pt idx="0">
                          <c:v>14/15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8059-4B05-9459-2ACCB124BBAC}"/>
                </c:ext>
              </c:extLst>
            </c:dLbl>
            <c:dLbl>
              <c:idx val="22"/>
              <c:tx>
                <c:strRef>
                  <c:f>Data!$AP$2</c:f>
                  <c:strCache>
                    <c:ptCount val="1"/>
                    <c:pt idx="0">
                      <c:v>15/16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{CD34B463-6FC0-4BA0-A621-63E8AE9DF602}</c15:txfldGUID>
                      <c15:f>Data!$AP$2</c15:f>
                      <c15:dlblFieldTableCache>
                        <c:ptCount val="1"/>
                        <c:pt idx="0">
                          <c:v>15/16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8059-4B05-9459-2ACCB124BBAC}"/>
                </c:ext>
              </c:extLst>
            </c:dLbl>
            <c:dLbl>
              <c:idx val="23"/>
              <c:tx>
                <c:strRef>
                  <c:f>Data!$AQ$2</c:f>
                  <c:strCache>
                    <c:ptCount val="1"/>
                    <c:pt idx="0">
                      <c:v>16/17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{1B6A7642-73CA-4E99-9FAF-9F70BF02F8AD}</c15:txfldGUID>
                      <c15:f>Data!$AQ$2</c15:f>
                      <c15:dlblFieldTableCache>
                        <c:ptCount val="1"/>
                        <c:pt idx="0">
                          <c:v>16/17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8059-4B05-9459-2ACCB124BBAC}"/>
                </c:ext>
              </c:extLst>
            </c:dLbl>
            <c:dLbl>
              <c:idx val="24"/>
              <c:tx>
                <c:strRef>
                  <c:f>Data!$AR$2</c:f>
                  <c:strCache>
                    <c:ptCount val="1"/>
                    <c:pt idx="0">
                      <c:v>17/18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{6AE65A97-E366-4890-BE68-D0D6562EF8C3}</c15:txfldGUID>
                      <c15:f>Data!$AR$2</c15:f>
                      <c15:dlblFieldTableCache>
                        <c:ptCount val="1"/>
                        <c:pt idx="0">
                          <c:v>17/18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8059-4B05-9459-2ACCB124BBAC}"/>
                </c:ext>
              </c:extLst>
            </c:dLbl>
            <c:dLbl>
              <c:idx val="25"/>
              <c:tx>
                <c:strRef>
                  <c:f>Data!$AS$2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{695491D6-662A-4F30-AC3C-7C69652981A6}</c15:txfldGUID>
                      <c15:f>Data!$AS$2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059-4B05-9459-2ACCB124BBAC}"/>
                </c:ext>
              </c:extLst>
            </c:dLbl>
            <c:dLbl>
              <c:idx val="26"/>
              <c:tx>
                <c:strRef>
                  <c:f>Data!$AT$2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{C1E1979B-07B0-4114-97CF-680215F98DAB}</c15:txfldGUID>
                      <c15:f>Data!$AT$2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059-4B05-9459-2ACCB124BBAC}"/>
                </c:ext>
              </c:extLst>
            </c:dLbl>
            <c:dLbl>
              <c:idx val="27"/>
              <c:tx>
                <c:strRef>
                  <c:f>Data!$AU$2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{889D845C-C05D-4CC7-BEA4-9930EACAB447}</c15:txfldGUID>
                      <c15:f>Data!$AU$2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059-4B05-9459-2ACCB124BBAC}"/>
                </c:ext>
              </c:extLst>
            </c:dLbl>
            <c:dLbl>
              <c:idx val="28"/>
              <c:tx>
                <c:strRef>
                  <c:f>Data!$AV$2</c:f>
                  <c:strCache>
                    <c:ptCount val="1"/>
                    <c:pt idx="0">
                      <c:v>21/22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{8B18A9A3-F80A-4E3B-A302-16F2A3952996}</c15:txfldGUID>
                      <c15:f>Data!$AV$2</c15:f>
                      <c15:dlblFieldTableCache>
                        <c:ptCount val="1"/>
                        <c:pt idx="0">
                          <c:v>21/22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8059-4B05-9459-2ACCB124BBAC}"/>
                </c:ext>
              </c:extLst>
            </c:dLbl>
            <c:dLbl>
              <c:idx val="29"/>
              <c:tx>
                <c:strRef>
                  <c:f>Data!$AW$2</c:f>
                  <c:strCache>
                    <c:ptCount val="1"/>
                    <c:pt idx="0">
                      <c:v>22/23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6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{EC139DF1-7D9D-46EA-98E5-6AC6E70BB3F7}</c15:txfldGUID>
                      <c15:f>Data!$AW$2</c15:f>
                      <c15:dlblFieldTableCache>
                        <c:ptCount val="1"/>
                        <c:pt idx="0">
                          <c:v>22/23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8059-4B05-9459-2ACCB124BB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5875" cap="rnd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Data!$T$104:$AW$104</c:f>
              <c:numCache>
                <c:formatCode>#,##0_);[Red]\(#,##0\)</c:formatCode>
                <c:ptCount val="30"/>
                <c:pt idx="0">
                  <c:v>5.6091540000000002</c:v>
                </c:pt>
                <c:pt idx="1">
                  <c:v>2.1577428571428574</c:v>
                </c:pt>
                <c:pt idx="2">
                  <c:v>1.8828571428571428</c:v>
                </c:pt>
                <c:pt idx="3">
                  <c:v>12.497099999999998</c:v>
                </c:pt>
                <c:pt idx="4">
                  <c:v>6.1389857142857149</c:v>
                </c:pt>
                <c:pt idx="5">
                  <c:v>7.7173285714285713</c:v>
                </c:pt>
                <c:pt idx="6">
                  <c:v>15.508085714285714</c:v>
                </c:pt>
                <c:pt idx="7">
                  <c:v>14.661599999999998</c:v>
                </c:pt>
                <c:pt idx="8">
                  <c:v>11.816035714285714</c:v>
                </c:pt>
                <c:pt idx="9">
                  <c:v>12.529199999999999</c:v>
                </c:pt>
                <c:pt idx="10">
                  <c:v>21.829849999999997</c:v>
                </c:pt>
                <c:pt idx="11">
                  <c:v>54.155857142857137</c:v>
                </c:pt>
                <c:pt idx="12">
                  <c:v>39.846150000000002</c:v>
                </c:pt>
                <c:pt idx="13">
                  <c:v>54.54262857142858</c:v>
                </c:pt>
                <c:pt idx="14">
                  <c:v>30.501471428571428</c:v>
                </c:pt>
                <c:pt idx="15">
                  <c:v>11.34773857142857</c:v>
                </c:pt>
                <c:pt idx="16">
                  <c:v>16.733292857142857</c:v>
                </c:pt>
                <c:pt idx="17">
                  <c:v>43.64378571428572</c:v>
                </c:pt>
                <c:pt idx="18">
                  <c:v>16.878357142857144</c:v>
                </c:pt>
                <c:pt idx="19">
                  <c:v>51.383964285714278</c:v>
                </c:pt>
                <c:pt idx="20">
                  <c:v>7.1842400000000008</c:v>
                </c:pt>
                <c:pt idx="21">
                  <c:v>33.629085714285715</c:v>
                </c:pt>
                <c:pt idx="22">
                  <c:v>48.588500000000003</c:v>
                </c:pt>
                <c:pt idx="23">
                  <c:v>34.909479539821497</c:v>
                </c:pt>
                <c:pt idx="24">
                  <c:v>35.110622382484131</c:v>
                </c:pt>
                <c:pt idx="25">
                  <c:v>49.61075393177223</c:v>
                </c:pt>
                <c:pt idx="26">
                  <c:v>20.723461038915605</c:v>
                </c:pt>
                <c:pt idx="27">
                  <c:v>44.961318291783606</c:v>
                </c:pt>
                <c:pt idx="28">
                  <c:v>39.804570472316605</c:v>
                </c:pt>
                <c:pt idx="29">
                  <c:v>39.199453625507488</c:v>
                </c:pt>
              </c:numCache>
            </c:numRef>
          </c:xVal>
          <c:yVal>
            <c:numRef>
              <c:f>Data!$T$5:$AW$5</c:f>
              <c:numCache>
                <c:formatCode>#,##0_);[Red]\(#,##0\)</c:formatCode>
                <c:ptCount val="30"/>
                <c:pt idx="0">
                  <c:v>4.47</c:v>
                </c:pt>
                <c:pt idx="1">
                  <c:v>-149.19831877253364</c:v>
                </c:pt>
                <c:pt idx="2">
                  <c:v>93.889157719433001</c:v>
                </c:pt>
                <c:pt idx="3">
                  <c:v>88.319380847499929</c:v>
                </c:pt>
                <c:pt idx="4">
                  <c:v>58.744980296833319</c:v>
                </c:pt>
                <c:pt idx="5">
                  <c:v>76.935670118933558</c:v>
                </c:pt>
                <c:pt idx="6">
                  <c:v>97.17053671833321</c:v>
                </c:pt>
                <c:pt idx="7">
                  <c:v>71.978728454033217</c:v>
                </c:pt>
                <c:pt idx="8">
                  <c:v>87.496624568399511</c:v>
                </c:pt>
                <c:pt idx="9">
                  <c:v>112.33748187543347</c:v>
                </c:pt>
                <c:pt idx="10">
                  <c:v>142.86335777036652</c:v>
                </c:pt>
                <c:pt idx="11">
                  <c:v>99.394408237866855</c:v>
                </c:pt>
                <c:pt idx="12">
                  <c:v>68.258787625600007</c:v>
                </c:pt>
                <c:pt idx="13">
                  <c:v>113.19087893916696</c:v>
                </c:pt>
                <c:pt idx="14">
                  <c:v>96.70983231090031</c:v>
                </c:pt>
                <c:pt idx="15">
                  <c:v>92.022945034867234</c:v>
                </c:pt>
                <c:pt idx="16">
                  <c:v>182.70940915756637</c:v>
                </c:pt>
                <c:pt idx="17">
                  <c:v>143.14750807333303</c:v>
                </c:pt>
                <c:pt idx="18">
                  <c:v>108.4867022300657</c:v>
                </c:pt>
                <c:pt idx="19">
                  <c:v>171.85609777315017</c:v>
                </c:pt>
                <c:pt idx="20">
                  <c:v>228.46861725411964</c:v>
                </c:pt>
                <c:pt idx="21">
                  <c:v>248.25457227906668</c:v>
                </c:pt>
                <c:pt idx="22">
                  <c:v>144.07617725360251</c:v>
                </c:pt>
                <c:pt idx="23">
                  <c:v>188.49356234524384</c:v>
                </c:pt>
                <c:pt idx="24">
                  <c:v>205.5142603730892</c:v>
                </c:pt>
                <c:pt idx="25">
                  <c:v>87.53101685801812</c:v>
                </c:pt>
                <c:pt idx="26">
                  <c:v>76.394890355029702</c:v>
                </c:pt>
                <c:pt idx="27">
                  <c:v>147.74085474916683</c:v>
                </c:pt>
                <c:pt idx="28">
                  <c:v>172.43730245816687</c:v>
                </c:pt>
                <c:pt idx="29">
                  <c:v>163.42117334173327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8059-4B05-9459-2ACCB124BB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5050"/>
              </a:solidFill>
              <a:ln w="9525">
                <a:solidFill>
                  <a:srgbClr val="FF5050"/>
                </a:solidFill>
              </a:ln>
              <a:effectLst/>
            </c:spPr>
          </c:marker>
          <c:dLbls>
            <c:dLbl>
              <c:idx val="0"/>
              <c:tx>
                <c:strRef>
                  <c:f>Data!$AX$2</c:f>
                  <c:strCache>
                    <c:ptCount val="1"/>
                    <c:pt idx="0">
                      <c:v>23/24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{7E9D7C15-B366-48BE-A2E2-64035F53DFB7}</c15:txfldGUID>
                      <c15:f>Data!$AX$2</c15:f>
                      <c15:dlblFieldTableCache>
                        <c:ptCount val="1"/>
                        <c:pt idx="0">
                          <c:v>23/24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8059-4B05-9459-2ACCB124BB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Data!$AX$104</c:f>
              <c:numCache>
                <c:formatCode>#,##0_);[Red]\(#,##0\)</c:formatCode>
                <c:ptCount val="1"/>
                <c:pt idx="0">
                  <c:v>39.923812745857532</c:v>
                </c:pt>
              </c:numCache>
            </c:numRef>
          </c:xVal>
          <c:yVal>
            <c:numRef>
              <c:f>Data!$AX$5</c:f>
              <c:numCache>
                <c:formatCode>#,##0_);[Red]\(#,##0\)</c:formatCode>
                <c:ptCount val="1"/>
                <c:pt idx="0">
                  <c:v>140.24001560316628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8059-4B05-9459-2ACCB124B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722824"/>
        <c:axId val="930723480"/>
      </c:scatterChart>
      <c:valAx>
        <c:axId val="93072282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Soybean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Harvest Prior to September 1</a:t>
                </a:r>
                <a:endParaRPr lang="en-US" sz="1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0723480"/>
        <c:crosses val="autoZero"/>
        <c:crossBetween val="midCat"/>
      </c:valAx>
      <c:valAx>
        <c:axId val="93072348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September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/November Residual Use</a:t>
                </a:r>
                <a:endParaRPr lang="en-US" sz="1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5446010556146406E-4"/>
              <c:y val="0.1853508116511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0722824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E1B543-CD4E-4C7F-B59D-7011A74D201D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CBD6B8-95E8-40ED-B057-92379236410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30F8A0-9CF8-46D1-87E2-3D6F873D083D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720434-76A4-40B5-AA70-99A57C869DDB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7423A8-030B-4CF2-AF13-11BB8C4E7846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91A617-C9C9-4764-A928-30784573AA34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56E0AF-E607-43CE-A695-AB4464EC72F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7EDE91-60D0-47E5-9FEE-4572C9600C33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946AA8-1C38-4800-8131-70411C756A51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284079-C27B-49AC-8704-C0087D313C3D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F67229-E235-4067-96B1-8B2B640EE89F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F8EC97-F632-43BD-A7F3-2C128B0EAF15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5D589-CF9B-0911-02BA-5EBED947C1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0.95686</cdr:y>
    </cdr:from>
    <cdr:to>
      <cdr:x>0.3534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2EA5C57-864A-49E8-B046-60091A927F22}"/>
            </a:ext>
          </a:extLst>
        </cdr:cNvPr>
        <cdr:cNvSpPr txBox="1"/>
      </cdr:nvSpPr>
      <cdr:spPr>
        <a:xfrm xmlns:a="http://schemas.openxmlformats.org/drawingml/2006/main">
          <a:off x="0" y="5143522"/>
          <a:ext cx="3354426" cy="231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C54C0-5A87-1E92-5B0E-F96C03D81A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0055C-3E4E-C2AE-C203-8AB43E6340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0.95331</cdr:y>
    </cdr:from>
    <cdr:to>
      <cdr:x>0.21876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82B4AD0-E983-4D2A-ABEC-0A0ED3CFEF25}"/>
            </a:ext>
          </a:extLst>
        </cdr:cNvPr>
        <cdr:cNvSpPr txBox="1"/>
      </cdr:nvSpPr>
      <cdr:spPr>
        <a:xfrm xmlns:a="http://schemas.openxmlformats.org/drawingml/2006/main">
          <a:off x="0" y="5124449"/>
          <a:ext cx="2076450" cy="2509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63B6B-7A5F-223C-4BA9-D27F1B2541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0.95331</cdr:y>
    </cdr:from>
    <cdr:to>
      <cdr:x>0.21876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82B4AD0-E983-4D2A-ABEC-0A0ED3CFEF25}"/>
            </a:ext>
          </a:extLst>
        </cdr:cNvPr>
        <cdr:cNvSpPr txBox="1"/>
      </cdr:nvSpPr>
      <cdr:spPr>
        <a:xfrm xmlns:a="http://schemas.openxmlformats.org/drawingml/2006/main">
          <a:off x="0" y="5124449"/>
          <a:ext cx="2076450" cy="2509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66C6B-083E-4FFE-E1DD-F39D1D7857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0.95331</cdr:y>
    </cdr:from>
    <cdr:to>
      <cdr:x>0.21876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82B4AD0-E983-4D2A-ABEC-0A0ED3CFEF25}"/>
            </a:ext>
          </a:extLst>
        </cdr:cNvPr>
        <cdr:cNvSpPr txBox="1"/>
      </cdr:nvSpPr>
      <cdr:spPr>
        <a:xfrm xmlns:a="http://schemas.openxmlformats.org/drawingml/2006/main">
          <a:off x="0" y="5124449"/>
          <a:ext cx="2076450" cy="2509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86376-C692-4BAC-BE9A-5378EAD10E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0.95378</cdr:y>
    </cdr:from>
    <cdr:to>
      <cdr:x>0.25218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2E8F4D-77EA-4A17-9499-D7136903BC31}"/>
            </a:ext>
          </a:extLst>
        </cdr:cNvPr>
        <cdr:cNvSpPr txBox="1"/>
      </cdr:nvSpPr>
      <cdr:spPr>
        <a:xfrm xmlns:a="http://schemas.openxmlformats.org/drawingml/2006/main">
          <a:off x="0" y="5126935"/>
          <a:ext cx="2393674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F1655-E7C8-291A-1859-0E6F400CCB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0.95752</cdr:y>
    </cdr:from>
    <cdr:to>
      <cdr:x>0.24072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6FDE13-4958-C6CC-3EF9-E3B6F8605310}"/>
            </a:ext>
          </a:extLst>
        </cdr:cNvPr>
        <cdr:cNvSpPr txBox="1"/>
      </cdr:nvSpPr>
      <cdr:spPr>
        <a:xfrm xmlns:a="http://schemas.openxmlformats.org/drawingml/2006/main">
          <a:off x="0" y="5153025"/>
          <a:ext cx="22860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FE938-DF32-DF1A-A517-121D53692D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144F5-B0DA-E2FF-D306-9BAB1845E7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0.02531</cdr:x>
      <cdr:y>0.9335</cdr:y>
    </cdr:from>
    <cdr:to>
      <cdr:x>0.37004</cdr:x>
      <cdr:y>0.98126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9ED5F1F-800C-4BE4-89F3-96B23A856900}"/>
            </a:ext>
          </a:extLst>
        </cdr:cNvPr>
        <cdr:cNvSpPr txBox="1"/>
      </cdr:nvSpPr>
      <cdr:spPr>
        <a:xfrm xmlns:a="http://schemas.openxmlformats.org/drawingml/2006/main">
          <a:off x="240196" y="5019261"/>
          <a:ext cx="327163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6EC0B-5A39-0539-C883-6943F7B4F5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0.36309</cdr:x>
      <cdr:y>0.66991</cdr:y>
    </cdr:from>
    <cdr:to>
      <cdr:x>0.50753</cdr:x>
      <cdr:y>0.79823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A0BFB514-33F6-1DBC-A233-A4CA8A34799C}"/>
            </a:ext>
          </a:extLst>
        </cdr:cNvPr>
        <cdr:cNvCxnSpPr>
          <a:stCxn xmlns:a="http://schemas.openxmlformats.org/drawingml/2006/main" id="4" idx="1"/>
        </cdr:cNvCxnSpPr>
      </cdr:nvCxnSpPr>
      <cdr:spPr>
        <a:xfrm xmlns:a="http://schemas.openxmlformats.org/drawingml/2006/main" flipH="1">
          <a:off x="3448050" y="3605208"/>
          <a:ext cx="1371636" cy="690567"/>
        </a:xfrm>
        <a:prstGeom xmlns:a="http://schemas.openxmlformats.org/drawingml/2006/main" prst="straightConnector1">
          <a:avLst/>
        </a:prstGeom>
        <a:ln xmlns:a="http://schemas.openxmlformats.org/drawingml/2006/main" w="57150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0.00349</cdr:x>
      <cdr:y>0.9322</cdr:y>
    </cdr:from>
    <cdr:to>
      <cdr:x>0.26265</cdr:x>
      <cdr:y>0.98921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F7CA99-894B-47B0-8257-985F6040371D}"/>
            </a:ext>
          </a:extLst>
        </cdr:cNvPr>
        <cdr:cNvSpPr txBox="1"/>
      </cdr:nvSpPr>
      <cdr:spPr>
        <a:xfrm xmlns:a="http://schemas.openxmlformats.org/drawingml/2006/main">
          <a:off x="33130" y="5010978"/>
          <a:ext cx="2459935" cy="3064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USDA,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0.50753</cdr:x>
      <cdr:y>0.53628</cdr:y>
    </cdr:from>
    <cdr:to>
      <cdr:x>0.80743</cdr:x>
      <cdr:y>0.80354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96CD67D-D43E-2167-56B7-1C696C0716E7}"/>
            </a:ext>
          </a:extLst>
        </cdr:cNvPr>
        <cdr:cNvSpPr txBox="1"/>
      </cdr:nvSpPr>
      <cdr:spPr>
        <a:xfrm xmlns:a="http://schemas.openxmlformats.org/drawingml/2006/main">
          <a:off x="4819686" y="2886066"/>
          <a:ext cx="2847977" cy="14382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5875">
          <a:solidFill>
            <a:srgbClr val="6F079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ptos Light" panose="020B0004020202020204" pitchFamily="34" charset="0"/>
            </a:rPr>
            <a:t>USDA's</a:t>
          </a:r>
          <a:r>
            <a:rPr lang="en-US" sz="1400" b="1" baseline="0">
              <a:latin typeface="Aptos Light" panose="020B0004020202020204" pitchFamily="34" charset="0"/>
            </a:rPr>
            <a:t> Q4 stocks estimate implied significantly larger U.S. soybean exports in Q3 than the data suggests. Alternatively, USDA's 2022 crop reduction was too small by about 45 million bushels.</a:t>
          </a:r>
          <a:endParaRPr lang="en-US" sz="1400" b="1">
            <a:latin typeface="Aptos Light" panose="020B0004020202020204" pitchFamily="34" charset="0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AD434-2B35-C0B5-00A3-BAD557D2C1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98AC0-BC20-43CB-2BB6-94E5B104A6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soytrade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soytrad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soyresidual%20-%20HOBO.xlsx" TargetMode="External"/><Relationship Id="rId1" Type="http://schemas.openxmlformats.org/officeDocument/2006/relationships/externalLinkPath" Target="/Users/torem/Dropbox/FM%20Files/HOBO/Biofuel%20Model/soyresidual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SBO_NonBioUse_chart"/>
      <sheetName val="SBO_Nonbiochart_data"/>
      <sheetName val="Chart1"/>
      <sheetName val="Chart1-old"/>
      <sheetName val="Chart2"/>
      <sheetName val="Chart3"/>
      <sheetName val="Chart5 (2)"/>
      <sheetName val="Chart5 (3)"/>
      <sheetName val="Chart4"/>
      <sheetName val="Chart5"/>
      <sheetName val="Chart6"/>
      <sheetName val="Chart7"/>
      <sheetName val="Chart9"/>
      <sheetName val="Chart8"/>
      <sheetName val="Chart10"/>
      <sheetName val="Chart11"/>
      <sheetName val="Chart12"/>
      <sheetName val="US VO Trade Balance Chart"/>
      <sheetName val="Chart13"/>
      <sheetName val="Chart78"/>
      <sheetName val="SBO BBD use chart"/>
      <sheetName val="Chart14"/>
      <sheetName val="Sheet1"/>
      <sheetName val="Chart15"/>
      <sheetName val="Price Spreads"/>
      <sheetName val="Chart16"/>
      <sheetName val="Chart17"/>
      <sheetName val="SBO Biofuel Use Data"/>
      <sheetName val="Chart18"/>
      <sheetName val="Chart19"/>
      <sheetName val="Chart20"/>
      <sheetName val="Chart21"/>
      <sheetName val="Chart22"/>
      <sheetName val="Chart23"/>
      <sheetName val="Oil Domestic Use"/>
      <sheetName val="Oil Biodiesel Use"/>
      <sheetName val="Oil Non-Biodiesel Use"/>
      <sheetName val="Chart24"/>
      <sheetName val="Chart25"/>
      <sheetName val="SBO Stocks Cont"/>
      <sheetName val="Veg Oil Stocks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anola Oil Imports-Ex Canada"/>
      <sheetName val="Canola Meal Domestic Use"/>
      <sheetName val="Chart79"/>
      <sheetName val="CO Monthly BBD Feedstock Use"/>
      <sheetName val="Chart36"/>
      <sheetName val="Chart37"/>
      <sheetName val="Chart38"/>
      <sheetName val="Chart39"/>
      <sheetName val="FoG Qrtly imports"/>
      <sheetName val="Chart40"/>
      <sheetName val="Chart41"/>
      <sheetName val="Inedible Tallow Price Chart"/>
      <sheetName val="Tallow Imports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UCO-YG RD Use"/>
      <sheetName val="UCO-YG BD Use"/>
      <sheetName val="Chart53"/>
      <sheetName val="Chart54"/>
      <sheetName val="China UCO Monthly Export US-EU"/>
      <sheetName val="UCO Imports by Origin"/>
      <sheetName val="Chart55"/>
      <sheetName val="UCO-YG Exports"/>
      <sheetName val="Tallow UCO Imports "/>
      <sheetName val="Chart56"/>
      <sheetName val="Chart57"/>
      <sheetName val="Chart58"/>
      <sheetName val="Chart59"/>
      <sheetName val="CWG Monthly Production"/>
      <sheetName val="Monthly CWG Imports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omplex Template Meal-Oil"/>
      <sheetName val="Complex Template"/>
      <sheetName val="Monthly Bal Template"/>
    </sheetNames>
    <sheetDataSet>
      <sheetData sheetId="0"/>
      <sheetData sheetId="1"/>
      <sheetData sheetId="2"/>
      <sheetData sheetId="3"/>
      <sheetData sheetId="4"/>
      <sheetData sheetId="5">
        <row r="3">
          <cell r="AI3" t="str">
            <v xml:space="preserve">93/94 </v>
          </cell>
          <cell r="AJ3" t="str">
            <v xml:space="preserve">94/95 </v>
          </cell>
          <cell r="AK3" t="str">
            <v xml:space="preserve">95/96 </v>
          </cell>
          <cell r="AL3" t="str">
            <v xml:space="preserve">96/97 </v>
          </cell>
          <cell r="AM3" t="str">
            <v xml:space="preserve">97/98 </v>
          </cell>
          <cell r="AN3" t="str">
            <v xml:space="preserve">98/99 </v>
          </cell>
          <cell r="AO3" t="str">
            <v xml:space="preserve">99/00 </v>
          </cell>
          <cell r="AP3" t="str">
            <v xml:space="preserve">00/01 </v>
          </cell>
          <cell r="AQ3" t="str">
            <v xml:space="preserve">01/02 </v>
          </cell>
          <cell r="AR3" t="str">
            <v xml:space="preserve">02/03 </v>
          </cell>
          <cell r="AS3" t="str">
            <v xml:space="preserve">03/04 </v>
          </cell>
          <cell r="AT3" t="str">
            <v xml:space="preserve">04/05 </v>
          </cell>
          <cell r="AU3" t="str">
            <v xml:space="preserve">05/06 </v>
          </cell>
          <cell r="AV3" t="str">
            <v xml:space="preserve">06/07 </v>
          </cell>
          <cell r="AW3" t="str">
            <v xml:space="preserve">07/08 </v>
          </cell>
          <cell r="AX3" t="str">
            <v xml:space="preserve">08/09 </v>
          </cell>
          <cell r="AY3" t="str">
            <v xml:space="preserve">09/10 </v>
          </cell>
          <cell r="AZ3" t="str">
            <v xml:space="preserve">10/11 </v>
          </cell>
          <cell r="BA3" t="str">
            <v xml:space="preserve">11/12 </v>
          </cell>
          <cell r="BB3" t="str">
            <v xml:space="preserve">12/13 </v>
          </cell>
          <cell r="BC3" t="str">
            <v xml:space="preserve">13/14 </v>
          </cell>
          <cell r="BD3" t="str">
            <v xml:space="preserve">14/15 </v>
          </cell>
          <cell r="BE3" t="str">
            <v xml:space="preserve">15/16 </v>
          </cell>
          <cell r="BF3" t="str">
            <v xml:space="preserve">16/17 </v>
          </cell>
          <cell r="BG3" t="str">
            <v xml:space="preserve">17/18 </v>
          </cell>
          <cell r="BH3" t="str">
            <v xml:space="preserve">18/19 </v>
          </cell>
          <cell r="BI3" t="str">
            <v>19/20</v>
          </cell>
          <cell r="BJ3" t="str">
            <v>20/21</v>
          </cell>
          <cell r="BK3" t="str">
            <v xml:space="preserve">21/22 </v>
          </cell>
          <cell r="BL3" t="str">
            <v xml:space="preserve">22/23 </v>
          </cell>
          <cell r="BM3" t="str">
            <v xml:space="preserve">23/24 </v>
          </cell>
          <cell r="BN3" t="str">
            <v xml:space="preserve">24/25 </v>
          </cell>
        </row>
        <row r="9">
          <cell r="Q9">
            <v>1548.3440000000001</v>
          </cell>
          <cell r="R9">
            <v>1288.6079999999999</v>
          </cell>
          <cell r="S9">
            <v>1767.2670000000001</v>
          </cell>
          <cell r="T9">
            <v>1868.7539999999999</v>
          </cell>
          <cell r="U9">
            <v>2260.665</v>
          </cell>
          <cell r="V9">
            <v>1797.5429999999999</v>
          </cell>
          <cell r="W9">
            <v>1989.11</v>
          </cell>
          <cell r="X9">
            <v>2190.297</v>
          </cell>
          <cell r="Y9">
            <v>1635.7719999999999</v>
          </cell>
          <cell r="Z9">
            <v>1860.8630000000001</v>
          </cell>
          <cell r="AA9">
            <v>2099.056</v>
          </cell>
          <cell r="AB9">
            <v>1942.558</v>
          </cell>
          <cell r="AC9">
            <v>1937.722</v>
          </cell>
          <cell r="AD9">
            <v>1548.8409999999999</v>
          </cell>
          <cell r="AE9">
            <v>1923.6659999999999</v>
          </cell>
          <cell r="AF9">
            <v>1925.9469999999999</v>
          </cell>
          <cell r="AG9">
            <v>1986.539</v>
          </cell>
          <cell r="AH9">
            <v>36840</v>
          </cell>
          <cell r="AI9">
            <v>4.53</v>
          </cell>
          <cell r="AJ9">
            <v>2514.8690000000001</v>
          </cell>
          <cell r="AK9">
            <v>2174.2539999999999</v>
          </cell>
          <cell r="AL9">
            <v>2380.2739999999999</v>
          </cell>
          <cell r="AM9">
            <v>2688.75</v>
          </cell>
          <cell r="AN9">
            <v>2741.0140000000001</v>
          </cell>
          <cell r="AO9">
            <v>2653.7579999999998</v>
          </cell>
          <cell r="AP9">
            <v>2757.81</v>
          </cell>
          <cell r="AQ9">
            <v>2890.6819999999998</v>
          </cell>
          <cell r="AR9">
            <v>2756.1469999999999</v>
          </cell>
          <cell r="AS9">
            <v>2453.8449999999998</v>
          </cell>
          <cell r="AT9">
            <v>3123.79</v>
          </cell>
          <cell r="AU9">
            <v>3068.3420000000001</v>
          </cell>
          <cell r="AV9">
            <v>3196.7260000000001</v>
          </cell>
          <cell r="AW9">
            <v>2677.1170000000002</v>
          </cell>
          <cell r="AX9">
            <v>2967.0070000000001</v>
          </cell>
          <cell r="AY9">
            <v>3360.931</v>
          </cell>
          <cell r="AZ9">
            <v>3331.306</v>
          </cell>
          <cell r="BA9">
            <v>3097.1790000000001</v>
          </cell>
          <cell r="BB9">
            <v>3042.0439999999999</v>
          </cell>
          <cell r="BC9">
            <v>3357.0039999999999</v>
          </cell>
          <cell r="BD9">
            <v>3928.07</v>
          </cell>
          <cell r="BE9">
            <v>3926.779</v>
          </cell>
          <cell r="BF9">
            <v>4296.4960000000001</v>
          </cell>
          <cell r="BG9">
            <v>4411.6329999999998</v>
          </cell>
          <cell r="BH9">
            <v>4428.1499999999996</v>
          </cell>
          <cell r="BI9">
            <v>3551.9079999999999</v>
          </cell>
          <cell r="BJ9">
            <v>4216.3019999999997</v>
          </cell>
          <cell r="BK9">
            <v>4464.4920000000002</v>
          </cell>
        </row>
        <row r="61">
          <cell r="AI61">
            <v>4.47</v>
          </cell>
          <cell r="AJ61">
            <v>-149.19831877253364</v>
          </cell>
          <cell r="AK61">
            <v>93.889157719433001</v>
          </cell>
          <cell r="AL61">
            <v>88.319380847499929</v>
          </cell>
          <cell r="AM61">
            <v>58.744980296833319</v>
          </cell>
          <cell r="AN61">
            <v>76.935670118933558</v>
          </cell>
          <cell r="AO61">
            <v>97.17053671833321</v>
          </cell>
          <cell r="AP61">
            <v>71.978728454033217</v>
          </cell>
          <cell r="AQ61">
            <v>87.496624568399511</v>
          </cell>
          <cell r="AR61">
            <v>112.33748187543347</v>
          </cell>
          <cell r="AS61">
            <v>142.86335777036652</v>
          </cell>
          <cell r="AT61">
            <v>99.394408237866855</v>
          </cell>
          <cell r="AU61">
            <v>68.258787625600007</v>
          </cell>
          <cell r="AV61">
            <v>113.19087893916696</v>
          </cell>
          <cell r="AW61">
            <v>96.70983231090031</v>
          </cell>
          <cell r="AX61">
            <v>92.022945034867234</v>
          </cell>
          <cell r="AY61">
            <v>182.70940915756637</v>
          </cell>
          <cell r="AZ61">
            <v>143.14750807333303</v>
          </cell>
          <cell r="BA61">
            <v>108.4867022300657</v>
          </cell>
          <cell r="BB61">
            <v>171.85609777315017</v>
          </cell>
          <cell r="BC61">
            <v>228.46861725411964</v>
          </cell>
          <cell r="BD61">
            <v>248.25457227906668</v>
          </cell>
          <cell r="BE61">
            <v>144.07617725360251</v>
          </cell>
          <cell r="BF61">
            <v>188.49356234524384</v>
          </cell>
          <cell r="BG61">
            <v>205.5142603730892</v>
          </cell>
          <cell r="BH61">
            <v>87.53101685801812</v>
          </cell>
          <cell r="BI61">
            <v>76.394890355029702</v>
          </cell>
          <cell r="BJ61">
            <v>147.74085474916683</v>
          </cell>
          <cell r="BK61">
            <v>172.43730245816687</v>
          </cell>
          <cell r="BL61">
            <v>163.42117334173327</v>
          </cell>
          <cell r="BM61">
            <v>140.24001560316628</v>
          </cell>
          <cell r="BN61">
            <v>183.20655932102409</v>
          </cell>
        </row>
        <row r="76">
          <cell r="AI76">
            <v>4.37</v>
          </cell>
          <cell r="AJ76">
            <v>76.263983584866992</v>
          </cell>
          <cell r="AK76">
            <v>6.7734228181001299</v>
          </cell>
          <cell r="AL76">
            <v>35.43824876406677</v>
          </cell>
          <cell r="AM76">
            <v>47.177923293833146</v>
          </cell>
          <cell r="AN76">
            <v>79.768022923999979</v>
          </cell>
          <cell r="AO76">
            <v>63.873055662833622</v>
          </cell>
          <cell r="AP76">
            <v>82.656240869433304</v>
          </cell>
          <cell r="AQ76">
            <v>70.224033130333282</v>
          </cell>
          <cell r="AR76">
            <v>66.938677446799829</v>
          </cell>
          <cell r="AS76">
            <v>27.187740677333409</v>
          </cell>
          <cell r="AT76">
            <v>77.78314540813335</v>
          </cell>
          <cell r="AU76">
            <v>90.620705669333461</v>
          </cell>
          <cell r="AV76">
            <v>70.255182518500078</v>
          </cell>
          <cell r="AW76">
            <v>27.780753322133478</v>
          </cell>
          <cell r="AX76">
            <v>73.436429810799837</v>
          </cell>
          <cell r="AY76">
            <v>-42.401457828566663</v>
          </cell>
          <cell r="AZ76">
            <v>52.694662528566369</v>
          </cell>
          <cell r="BA76">
            <v>73.893203722138537</v>
          </cell>
          <cell r="BB76">
            <v>-25.831430779016955</v>
          </cell>
          <cell r="BC76">
            <v>-30.365165916759906</v>
          </cell>
          <cell r="BD76">
            <v>-13.2317670580303</v>
          </cell>
          <cell r="BE76">
            <v>26.612106559659424</v>
          </cell>
          <cell r="BF76">
            <v>-40.946751822307306</v>
          </cell>
          <cell r="BG76">
            <v>-58.081009895879333</v>
          </cell>
          <cell r="BH76">
            <v>2.5964016922234805</v>
          </cell>
          <cell r="BI76">
            <v>-53.763359308052713</v>
          </cell>
          <cell r="BJ76">
            <v>-50.206607949766749</v>
          </cell>
          <cell r="BK76">
            <v>-32.234392907966821</v>
          </cell>
          <cell r="BL76">
            <v>-4.1577439417335427</v>
          </cell>
          <cell r="BM76">
            <v>-22.023757606247727</v>
          </cell>
          <cell r="BN76">
            <v>-25</v>
          </cell>
        </row>
        <row r="91">
          <cell r="AI91">
            <v>4.3</v>
          </cell>
          <cell r="AJ91">
            <v>8.9141418279667732</v>
          </cell>
          <cell r="AK91">
            <v>45.152541833514306</v>
          </cell>
          <cell r="AL91">
            <v>26.090356589128419</v>
          </cell>
          <cell r="AM91">
            <v>81.794330551985695</v>
          </cell>
          <cell r="AN91">
            <v>48.029178056242813</v>
          </cell>
          <cell r="AO91">
            <v>36.969293277833458</v>
          </cell>
          <cell r="AP91">
            <v>56.204082498533353</v>
          </cell>
          <cell r="AQ91">
            <v>62.966489148819164</v>
          </cell>
          <cell r="AR91">
            <v>1.3859610311428696</v>
          </cell>
          <cell r="AS91">
            <v>4.3974367107666126</v>
          </cell>
          <cell r="AT91">
            <v>48.279630314609676</v>
          </cell>
          <cell r="AU91">
            <v>54.995249419966513</v>
          </cell>
          <cell r="AV91">
            <v>30.996693249666805</v>
          </cell>
          <cell r="AW91">
            <v>57.389564704514328</v>
          </cell>
          <cell r="AX91">
            <v>30.617102895576068</v>
          </cell>
          <cell r="AY91">
            <v>47.046316224838051</v>
          </cell>
          <cell r="AZ91">
            <v>6.941526046104741</v>
          </cell>
          <cell r="BA91">
            <v>11.516451722578836</v>
          </cell>
          <cell r="BB91">
            <v>43.736880326600726</v>
          </cell>
          <cell r="BC91">
            <v>-16.804479754462591</v>
          </cell>
          <cell r="BD91">
            <v>27.839958480716291</v>
          </cell>
          <cell r="BE91">
            <v>-8.1509472633329096</v>
          </cell>
          <cell r="BF91">
            <v>37.762750319330166</v>
          </cell>
          <cell r="BG91">
            <v>50.293743441394895</v>
          </cell>
          <cell r="BH91">
            <v>104.92418167551341</v>
          </cell>
          <cell r="BI91">
            <v>62.260843606952449</v>
          </cell>
          <cell r="BJ91">
            <v>66.663486525871576</v>
          </cell>
          <cell r="BK91">
            <v>72.766467497071517</v>
          </cell>
          <cell r="BL91">
            <v>64.677031393333436</v>
          </cell>
          <cell r="BM91">
            <v>64.954275890965391</v>
          </cell>
          <cell r="BN91">
            <v>70</v>
          </cell>
        </row>
        <row r="106">
          <cell r="AI106">
            <v>4.2699999999999996</v>
          </cell>
          <cell r="AJ106">
            <v>-62.971062964400119</v>
          </cell>
          <cell r="AK106">
            <v>-108.37352833734747</v>
          </cell>
          <cell r="AL106">
            <v>-112.89491355062853</v>
          </cell>
          <cell r="AM106">
            <v>-119.24121261865241</v>
          </cell>
          <cell r="AN106">
            <v>-90.31696312054288</v>
          </cell>
          <cell r="AO106">
            <v>-122.12512273276667</v>
          </cell>
          <cell r="AP106">
            <v>-131.58524027540005</v>
          </cell>
          <cell r="AQ106">
            <v>-139.3929269191857</v>
          </cell>
          <cell r="AR106">
            <v>-136.28555452240954</v>
          </cell>
          <cell r="AS106">
            <v>-154.37742908749999</v>
          </cell>
          <cell r="AT106">
            <v>-118.65181710834287</v>
          </cell>
          <cell r="AU106">
            <v>-103.48382610113333</v>
          </cell>
          <cell r="AV106">
            <v>-133.3681900153</v>
          </cell>
          <cell r="AW106">
            <v>-177.34927836654765</v>
          </cell>
          <cell r="AX106">
            <v>-180.17901583650951</v>
          </cell>
          <cell r="AY106">
            <v>-165.2537603974713</v>
          </cell>
          <cell r="AZ106">
            <v>-161.13306645247144</v>
          </cell>
          <cell r="BA106">
            <v>-194.27406586039285</v>
          </cell>
          <cell r="BB106">
            <v>-183.91031678445995</v>
          </cell>
          <cell r="BC106">
            <v>-173.5216013520768</v>
          </cell>
          <cell r="BD106">
            <v>-211.58565629464226</v>
          </cell>
          <cell r="BE106">
            <v>-147.2908549942706</v>
          </cell>
          <cell r="BF106">
            <v>-138.05896503700228</v>
          </cell>
          <cell r="BG106">
            <v>-193.44110964180697</v>
          </cell>
          <cell r="BH106">
            <v>-149.46098449191925</v>
          </cell>
          <cell r="BI106">
            <v>-75.366519928285584</v>
          </cell>
          <cell r="BJ106">
            <v>-152.86724361623806</v>
          </cell>
          <cell r="BK106">
            <v>-185.51588859643823</v>
          </cell>
          <cell r="BL106">
            <v>-187.40864719616661</v>
          </cell>
          <cell r="BM106">
            <v>-141.54252988809014</v>
          </cell>
          <cell r="BN106">
            <v>-193.20655932102409</v>
          </cell>
        </row>
      </sheetData>
      <sheetData sheetId="6"/>
      <sheetData sheetId="7"/>
      <sheetData sheetId="8"/>
      <sheetData sheetId="9">
        <row r="42">
          <cell r="M42">
            <v>5.827674</v>
          </cell>
          <cell r="N42">
            <v>5.8131659999999998</v>
          </cell>
          <cell r="O42">
            <v>4.6465230000000002</v>
          </cell>
          <cell r="P42">
            <v>5.7709979999999996</v>
          </cell>
          <cell r="Q42">
            <v>5.7778410000000004</v>
          </cell>
          <cell r="R42">
            <v>5.9596169999999997</v>
          </cell>
          <cell r="S42">
            <v>6.5710620000000013</v>
          </cell>
          <cell r="T42">
            <v>5.6091540000000002</v>
          </cell>
          <cell r="U42">
            <v>2.1577428571428574</v>
          </cell>
          <cell r="V42">
            <v>1.8828571428571428</v>
          </cell>
          <cell r="W42">
            <v>12.497099999999998</v>
          </cell>
          <cell r="X42">
            <v>6.1389857142857149</v>
          </cell>
          <cell r="Y42">
            <v>7.7173285714285713</v>
          </cell>
          <cell r="Z42">
            <v>15.508085714285714</v>
          </cell>
          <cell r="AA42">
            <v>14.661599999999998</v>
          </cell>
          <cell r="AB42">
            <v>11.816035714285714</v>
          </cell>
          <cell r="AC42">
            <v>12.529199999999999</v>
          </cell>
          <cell r="AD42">
            <v>21.829849999999997</v>
          </cell>
          <cell r="AE42">
            <v>54.155857142857137</v>
          </cell>
          <cell r="AF42">
            <v>39.846150000000002</v>
          </cell>
          <cell r="AG42">
            <v>54.54262857142858</v>
          </cell>
          <cell r="AH42">
            <v>30.501471428571428</v>
          </cell>
          <cell r="AI42">
            <v>11.34773857142857</v>
          </cell>
          <cell r="AJ42">
            <v>16.733292857142857</v>
          </cell>
          <cell r="AK42">
            <v>43.64378571428572</v>
          </cell>
          <cell r="AL42">
            <v>16.878357142857144</v>
          </cell>
          <cell r="AM42">
            <v>51.383964285714278</v>
          </cell>
          <cell r="AN42">
            <v>7.1842400000000008</v>
          </cell>
          <cell r="AO42">
            <v>33.629085714285715</v>
          </cell>
          <cell r="AP42">
            <v>48.588500000000003</v>
          </cell>
          <cell r="AQ42">
            <v>34.909479539821497</v>
          </cell>
          <cell r="AR42">
            <v>35.110622382484131</v>
          </cell>
          <cell r="AS42">
            <v>49.61075393177223</v>
          </cell>
          <cell r="AT42">
            <v>20.723461038915605</v>
          </cell>
          <cell r="AU42">
            <v>44.961318291783606</v>
          </cell>
          <cell r="AV42">
            <v>39.804570472316605</v>
          </cell>
          <cell r="AW42">
            <v>39.199453625507488</v>
          </cell>
          <cell r="AX42">
            <v>39.923812745857532</v>
          </cell>
        </row>
      </sheetData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2QQHPZMJOWLJFLE2NR6KSS46XS">
      <xxl21:absoluteUrl r:id="rId2"/>
    </xxl21:alternateUrls>
    <sheetNames>
      <sheetName val="Export Sales Data"/>
      <sheetName val="Chart1"/>
      <sheetName val="Chart2"/>
      <sheetName val="Chart3"/>
      <sheetName val="Chart4"/>
      <sheetName val="Chart5"/>
      <sheetName val="Soybean Export Forecast"/>
      <sheetName val="Soybean Table"/>
      <sheetName val="Soybean Export Sales"/>
      <sheetName val="Soybean Exports"/>
      <sheetName val="Soybean Imports"/>
      <sheetName val="Weekly Export Inspections"/>
      <sheetName val="Chart6"/>
      <sheetName val="Monthly Export Inspections"/>
      <sheetName val="Year-to-Date Export Inspections"/>
      <sheetName val="Chart10"/>
      <sheetName val="Soymeal Export Forecast"/>
      <sheetName val="Chart7"/>
      <sheetName val="Soymeal Exports"/>
      <sheetName val="Soymeal Imports"/>
      <sheetName val="Chart9"/>
      <sheetName val="Soyoil Export Forecast"/>
      <sheetName val="Monthly Export Sales"/>
      <sheetName val="Soyoil_Exports_US_GTT"/>
      <sheetName val="Soyoil Exports"/>
      <sheetName val="Soyoil Imports"/>
      <sheetName val="Soybean Oil 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AE3">
            <v>74.866587371699993</v>
          </cell>
          <cell r="AF3">
            <v>91.9317820638</v>
          </cell>
          <cell r="AG3">
            <v>109.52932144628844</v>
          </cell>
          <cell r="AH3">
            <v>125</v>
          </cell>
        </row>
        <row r="19">
          <cell r="C19">
            <v>44.85</v>
          </cell>
          <cell r="D19">
            <v>65.123999999999995</v>
          </cell>
          <cell r="E19">
            <v>41.762</v>
          </cell>
          <cell r="F19">
            <v>39.65</v>
          </cell>
          <cell r="G19">
            <v>27.542000000000002</v>
          </cell>
          <cell r="H19">
            <v>72.680999999999997</v>
          </cell>
          <cell r="I19">
            <v>57.543999999999997</v>
          </cell>
          <cell r="J19">
            <v>33.877000000000002</v>
          </cell>
          <cell r="K19">
            <v>30.847000000000001</v>
          </cell>
          <cell r="L19">
            <v>26.884</v>
          </cell>
          <cell r="M19">
            <v>44.466000000000001</v>
          </cell>
          <cell r="N19">
            <v>29.702000000000002</v>
          </cell>
          <cell r="O19">
            <v>63.563000000000002</v>
          </cell>
          <cell r="P19">
            <v>59.25</v>
          </cell>
          <cell r="Q19">
            <v>30.12</v>
          </cell>
          <cell r="R19">
            <v>38.664999999999999</v>
          </cell>
          <cell r="S19">
            <v>69.295000000000002</v>
          </cell>
          <cell r="T19">
            <v>48.164999999999999</v>
          </cell>
          <cell r="U19">
            <v>91.78</v>
          </cell>
          <cell r="V19">
            <v>54.831000000000003</v>
          </cell>
          <cell r="W19">
            <v>79.793000000000006</v>
          </cell>
          <cell r="X19">
            <v>83.972999999999999</v>
          </cell>
          <cell r="Y19">
            <v>133.70699999999999</v>
          </cell>
          <cell r="Z19">
            <v>153.23091899933772</v>
          </cell>
          <cell r="AA19">
            <v>118.3699397811</v>
          </cell>
          <cell r="AB19">
            <v>135.39880754609999</v>
          </cell>
          <cell r="AC19">
            <v>246.69848782949998</v>
          </cell>
          <cell r="AD19">
            <v>67.279074216899986</v>
          </cell>
        </row>
        <row r="22">
          <cell r="B22">
            <v>74.474999999999994</v>
          </cell>
          <cell r="C22">
            <v>95.736999999999995</v>
          </cell>
          <cell r="D22">
            <v>90.462000000000003</v>
          </cell>
          <cell r="E22">
            <v>123.718</v>
          </cell>
          <cell r="F22">
            <v>123.253</v>
          </cell>
          <cell r="G22">
            <v>93.49</v>
          </cell>
          <cell r="H22">
            <v>108.804</v>
          </cell>
          <cell r="I22">
            <v>100.268</v>
          </cell>
          <cell r="J22">
            <v>143.154</v>
          </cell>
          <cell r="K22">
            <v>119.64400000000001</v>
          </cell>
          <cell r="L22">
            <v>132.392</v>
          </cell>
          <cell r="M22">
            <v>146.173</v>
          </cell>
          <cell r="N22">
            <v>92.596999999999994</v>
          </cell>
          <cell r="O22">
            <v>121.044</v>
          </cell>
          <cell r="P22">
            <v>137.386</v>
          </cell>
          <cell r="Q22">
            <v>153.61799999999999</v>
          </cell>
          <cell r="R22">
            <v>224.446</v>
          </cell>
          <cell r="S22">
            <v>189.393</v>
          </cell>
          <cell r="T22">
            <v>146.88800000000001</v>
          </cell>
          <cell r="U22">
            <v>194.346</v>
          </cell>
          <cell r="V22">
            <v>247.85</v>
          </cell>
          <cell r="W22">
            <v>305.40899999999999</v>
          </cell>
          <cell r="X22">
            <v>242.33</v>
          </cell>
          <cell r="Y22">
            <v>279.17</v>
          </cell>
          <cell r="Z22">
            <v>223.40194919419864</v>
          </cell>
          <cell r="AA22">
            <v>139.95498960239999</v>
          </cell>
          <cell r="AB22">
            <v>194.58511858169999</v>
          </cell>
          <cell r="AC22">
            <v>389.73770686619997</v>
          </cell>
          <cell r="AD22">
            <v>264.20495020709996</v>
          </cell>
          <cell r="AE22">
            <v>296.27771757569997</v>
          </cell>
          <cell r="AF22">
            <v>172.67690791889999</v>
          </cell>
          <cell r="AG22">
            <v>246.55584123952852</v>
          </cell>
        </row>
        <row r="25">
          <cell r="B25">
            <v>51.087000000000003</v>
          </cell>
          <cell r="C25">
            <v>85.986999999999995</v>
          </cell>
          <cell r="D25">
            <v>91.808000000000007</v>
          </cell>
          <cell r="E25">
            <v>65.867000000000004</v>
          </cell>
          <cell r="F25">
            <v>66.215999999999994</v>
          </cell>
          <cell r="G25">
            <v>70.423000000000002</v>
          </cell>
          <cell r="H25">
            <v>113.024</v>
          </cell>
          <cell r="I25">
            <v>132.852</v>
          </cell>
          <cell r="J25">
            <v>68.73</v>
          </cell>
          <cell r="K25">
            <v>91.17</v>
          </cell>
          <cell r="L25">
            <v>61.66</v>
          </cell>
          <cell r="M25">
            <v>96.352000000000004</v>
          </cell>
          <cell r="N25">
            <v>98.888000000000005</v>
          </cell>
          <cell r="O25">
            <v>101.27800000000001</v>
          </cell>
          <cell r="P25">
            <v>116.128</v>
          </cell>
          <cell r="Q25">
            <v>107.914</v>
          </cell>
          <cell r="R25">
            <v>130.31399999999999</v>
          </cell>
          <cell r="S25">
            <v>128.482</v>
          </cell>
          <cell r="T25">
            <v>116.789</v>
          </cell>
          <cell r="U25">
            <v>72.369</v>
          </cell>
          <cell r="V25">
            <v>124.211</v>
          </cell>
          <cell r="W25">
            <v>94.409000000000006</v>
          </cell>
          <cell r="X25">
            <v>91.01</v>
          </cell>
          <cell r="Y25">
            <v>107.81</v>
          </cell>
          <cell r="Z25">
            <v>108.88234900409999</v>
          </cell>
          <cell r="AA25">
            <v>132.52192281090001</v>
          </cell>
          <cell r="AB25">
            <v>82.863106210499993</v>
          </cell>
          <cell r="AC25">
            <v>64.264474094099995</v>
          </cell>
          <cell r="AD25">
            <v>110.62594780019998</v>
          </cell>
          <cell r="AE25">
            <v>106.50701577389998</v>
          </cell>
          <cell r="AF25">
            <v>79.763040241499979</v>
          </cell>
          <cell r="AG25">
            <v>90.170831881720318</v>
          </cell>
        </row>
        <row r="28">
          <cell r="B28">
            <v>20.690999999999999</v>
          </cell>
          <cell r="C28">
            <v>32.481000000000002</v>
          </cell>
          <cell r="D28">
            <v>52.865000000000002</v>
          </cell>
          <cell r="E28">
            <v>32.445999999999998</v>
          </cell>
          <cell r="F28">
            <v>22.821000000000002</v>
          </cell>
          <cell r="G28">
            <v>39.576999999999998</v>
          </cell>
          <cell r="H28">
            <v>46.783999999999999</v>
          </cell>
          <cell r="I28">
            <v>40.915999999999997</v>
          </cell>
          <cell r="J28">
            <v>42.372</v>
          </cell>
          <cell r="K28">
            <v>30.047000000000001</v>
          </cell>
          <cell r="L28">
            <v>20.867000000000001</v>
          </cell>
          <cell r="M28">
            <v>28.148</v>
          </cell>
          <cell r="N28">
            <v>37.564</v>
          </cell>
          <cell r="O28">
            <v>47.914999999999999</v>
          </cell>
          <cell r="P28">
            <v>55.665999999999997</v>
          </cell>
          <cell r="Q28">
            <v>59.335999999999999</v>
          </cell>
          <cell r="R28">
            <v>28.036999999999999</v>
          </cell>
          <cell r="S28">
            <v>27.667000000000002</v>
          </cell>
          <cell r="T28">
            <v>51.305</v>
          </cell>
          <cell r="U28">
            <v>18.869</v>
          </cell>
          <cell r="V28">
            <v>19.123000000000001</v>
          </cell>
          <cell r="W28">
            <v>33.253</v>
          </cell>
          <cell r="X28">
            <v>35.512</v>
          </cell>
          <cell r="Y28">
            <v>57.988999999999997</v>
          </cell>
          <cell r="Z28">
            <v>117.95051044559999</v>
          </cell>
          <cell r="AA28">
            <v>119.3068306437</v>
          </cell>
          <cell r="AB28">
            <v>63.025292811599996</v>
          </cell>
          <cell r="AC28">
            <v>21.106683590999996</v>
          </cell>
          <cell r="AD28">
            <v>78.615314028299977</v>
          </cell>
          <cell r="AE28">
            <v>28.197960485099998</v>
          </cell>
          <cell r="AF28">
            <v>52.537658558391897</v>
          </cell>
          <cell r="AG28">
            <v>49.301547947881744</v>
          </cell>
        </row>
        <row r="35">
          <cell r="B35">
            <v>-26.436</v>
          </cell>
          <cell r="C35">
            <v>-0.86202233910000814</v>
          </cell>
          <cell r="D35">
            <v>3.7930348755000125</v>
          </cell>
          <cell r="E35">
            <v>-0.18066120169999778</v>
          </cell>
          <cell r="F35">
            <v>2.9477797714000005</v>
          </cell>
          <cell r="G35">
            <v>0.33812748009999538</v>
          </cell>
          <cell r="H35">
            <v>-3.281851036799992</v>
          </cell>
          <cell r="I35">
            <v>-6.1859709930999998</v>
          </cell>
          <cell r="J35">
            <v>-2.1467941465000067</v>
          </cell>
          <cell r="K35">
            <v>3.1192937899998441E-2</v>
          </cell>
          <cell r="L35">
            <v>7.0856976247999981</v>
          </cell>
          <cell r="M35">
            <v>2.6856837182999911</v>
          </cell>
          <cell r="N35">
            <v>4.3740706363000008</v>
          </cell>
          <cell r="O35">
            <v>1.3234347039999932</v>
          </cell>
          <cell r="P35">
            <v>2.7958527443999941</v>
          </cell>
          <cell r="Q35">
            <v>4.1999385731999972</v>
          </cell>
          <cell r="R35">
            <v>0.43397117000001373</v>
          </cell>
          <cell r="S35">
            <v>-1.1506851354999981</v>
          </cell>
          <cell r="T35">
            <v>-0.57632345760000447</v>
          </cell>
          <cell r="U35">
            <v>4.9473359508932049</v>
          </cell>
          <cell r="V35">
            <v>0.46731217172009565</v>
          </cell>
          <cell r="W35">
            <v>-1.9830216014923963</v>
          </cell>
          <cell r="X35">
            <v>2.3588810994192073</v>
          </cell>
          <cell r="Y35">
            <v>2.8943900093333639</v>
          </cell>
          <cell r="Z35">
            <v>12.458588236365415</v>
          </cell>
          <cell r="AA35">
            <v>4.3168835995967783</v>
          </cell>
          <cell r="AB35">
            <v>8.1050756994618212</v>
          </cell>
          <cell r="AC35">
            <v>17.626540789200021</v>
          </cell>
          <cell r="AD35">
            <v>10.061306908800006</v>
          </cell>
          <cell r="AE35">
            <v>9.4160266415999985</v>
          </cell>
          <cell r="AF35">
            <v>6.8269059726000023</v>
          </cell>
          <cell r="AG35">
            <v>11.041114191435367</v>
          </cell>
        </row>
        <row r="36">
          <cell r="B36">
            <v>-66.26400000000001</v>
          </cell>
          <cell r="C36">
            <v>-4.2972293493999985</v>
          </cell>
          <cell r="D36">
            <v>-4.564407354599993</v>
          </cell>
          <cell r="E36">
            <v>-4.9576413859000041</v>
          </cell>
          <cell r="F36">
            <v>-10.99251314350002</v>
          </cell>
          <cell r="G36">
            <v>-10.439934875900008</v>
          </cell>
          <cell r="H36">
            <v>-6.4538285520000187</v>
          </cell>
          <cell r="I36">
            <v>-5.0203389974000174</v>
          </cell>
          <cell r="J36">
            <v>-0.14296153440000126</v>
          </cell>
          <cell r="K36">
            <v>-9.4876954124000008</v>
          </cell>
          <cell r="L36">
            <v>-1.2087890708999964</v>
          </cell>
          <cell r="M36">
            <v>4.9551699203999817</v>
          </cell>
          <cell r="N36">
            <v>-5.3400726264999889</v>
          </cell>
          <cell r="O36">
            <v>2.7267585968999697</v>
          </cell>
          <cell r="P36">
            <v>3.6373437742999783</v>
          </cell>
          <cell r="Q36">
            <v>9.7547136704999673</v>
          </cell>
          <cell r="R36">
            <v>-1.3906739550999418</v>
          </cell>
          <cell r="S36">
            <v>1.8001791480000406</v>
          </cell>
          <cell r="T36">
            <v>2.8982058157999973</v>
          </cell>
          <cell r="U36">
            <v>0.8984108346389803</v>
          </cell>
          <cell r="V36">
            <v>0.14017586381095271</v>
          </cell>
          <cell r="W36">
            <v>-13.070845445126963</v>
          </cell>
          <cell r="X36">
            <v>3.1316642613420527</v>
          </cell>
          <cell r="Y36">
            <v>-16.144357935266726</v>
          </cell>
          <cell r="Z36">
            <v>-10.36316297284867</v>
          </cell>
          <cell r="AA36">
            <v>-1.923255939844779</v>
          </cell>
          <cell r="AB36">
            <v>6.1580657221232116</v>
          </cell>
          <cell r="AC36">
            <v>12.942637631699938</v>
          </cell>
          <cell r="AD36">
            <v>57.601628741999946</v>
          </cell>
          <cell r="AE36">
            <v>64.258753862200081</v>
          </cell>
          <cell r="AF36">
            <v>-11.874204323100003</v>
          </cell>
          <cell r="AG36">
            <v>27.804481673037351</v>
          </cell>
        </row>
        <row r="37">
          <cell r="B37">
            <v>-72.287999999999997</v>
          </cell>
          <cell r="C37">
            <v>-1.7247628723000048</v>
          </cell>
          <cell r="D37">
            <v>-4.4754519070000072</v>
          </cell>
          <cell r="E37">
            <v>3.7259217401000058</v>
          </cell>
          <cell r="F37">
            <v>-2.5939135914000246</v>
          </cell>
          <cell r="G37">
            <v>-5.1495293898000085</v>
          </cell>
          <cell r="H37">
            <v>-5.5025237962000091</v>
          </cell>
          <cell r="I37">
            <v>-1.5820851302000136</v>
          </cell>
          <cell r="J37">
            <v>1.3741311124999527</v>
          </cell>
          <cell r="K37">
            <v>-9.8226460676000045</v>
          </cell>
          <cell r="L37">
            <v>4.4484003423999638</v>
          </cell>
          <cell r="M37">
            <v>5.9934047900999587</v>
          </cell>
          <cell r="N37">
            <v>3.6382143646000031</v>
          </cell>
          <cell r="O37">
            <v>-7.3904055734000025</v>
          </cell>
          <cell r="P37">
            <v>3.2411601703999793</v>
          </cell>
          <cell r="Q37">
            <v>0.86006938809998701</v>
          </cell>
          <cell r="R37">
            <v>9.6709602942000856</v>
          </cell>
          <cell r="S37">
            <v>-2.3780017524999835</v>
          </cell>
          <cell r="T37">
            <v>-3.8853778531000103</v>
          </cell>
          <cell r="U37">
            <v>1.566409021883004</v>
          </cell>
          <cell r="V37">
            <v>14.298299593088018</v>
          </cell>
          <cell r="W37">
            <v>2.0278167569609877</v>
          </cell>
          <cell r="X37">
            <v>8.7922502445219948</v>
          </cell>
          <cell r="Y37">
            <v>-8.8862844959533618</v>
          </cell>
          <cell r="Z37">
            <v>9.0530613055196341</v>
          </cell>
          <cell r="AA37">
            <v>-0.32558430630453472</v>
          </cell>
          <cell r="AB37">
            <v>4.354150668918578</v>
          </cell>
          <cell r="AC37">
            <v>1.5148692636000192</v>
          </cell>
          <cell r="AD37">
            <v>69.763058568000019</v>
          </cell>
          <cell r="AE37">
            <v>84.055461980300038</v>
          </cell>
          <cell r="AF37">
            <v>41.316710670900022</v>
          </cell>
          <cell r="AG37">
            <v>30.201226215786413</v>
          </cell>
        </row>
        <row r="38">
          <cell r="B38">
            <v>-70.064999999999998</v>
          </cell>
          <cell r="C38">
            <v>8.1191415373999973</v>
          </cell>
          <cell r="D38">
            <v>-0.82824242160000949</v>
          </cell>
          <cell r="E38">
            <v>-2.1068616982000066</v>
          </cell>
          <cell r="F38">
            <v>-2.0523990583000113</v>
          </cell>
          <cell r="G38">
            <v>-3.0829345113999977</v>
          </cell>
          <cell r="H38">
            <v>0.33463631159997931</v>
          </cell>
          <cell r="I38">
            <v>6.2847249366999876</v>
          </cell>
          <cell r="J38">
            <v>-9.9062421393000193</v>
          </cell>
          <cell r="K38">
            <v>-4.9672797370000126</v>
          </cell>
          <cell r="L38">
            <v>7.7961283788999935</v>
          </cell>
          <cell r="M38">
            <v>8.8516832833999786</v>
          </cell>
          <cell r="N38">
            <v>-4.3200402877999977</v>
          </cell>
          <cell r="O38">
            <v>1.6098877640999945</v>
          </cell>
          <cell r="P38">
            <v>8.6387548927999944</v>
          </cell>
          <cell r="Q38">
            <v>17.245753298700009</v>
          </cell>
          <cell r="R38">
            <v>1.4990949139999259</v>
          </cell>
          <cell r="S38">
            <v>6.3649774856999954</v>
          </cell>
          <cell r="T38">
            <v>4.2197681196999781</v>
          </cell>
          <cell r="U38">
            <v>-8.0445741977000296</v>
          </cell>
          <cell r="V38">
            <v>6.9926701078360054</v>
          </cell>
          <cell r="W38">
            <v>-3.922822678204966</v>
          </cell>
          <cell r="X38">
            <v>5.3378566689919751</v>
          </cell>
          <cell r="Y38">
            <v>14.365152753646669</v>
          </cell>
          <cell r="Z38">
            <v>5.6059457835022215</v>
          </cell>
          <cell r="AA38">
            <v>7.3387414653838334</v>
          </cell>
          <cell r="AB38">
            <v>13.531182774919529</v>
          </cell>
          <cell r="AC38">
            <v>-2.8314695220000203</v>
          </cell>
          <cell r="AD38">
            <v>28.208285464800042</v>
          </cell>
          <cell r="AE38">
            <v>-15.010724893500026</v>
          </cell>
          <cell r="AF38">
            <v>1.9096435764000148</v>
          </cell>
          <cell r="AG38">
            <v>8.4441587604714883</v>
          </cell>
        </row>
        <row r="39">
          <cell r="B39">
            <v>-68.691999999999993</v>
          </cell>
          <cell r="C39">
            <v>-6.8724015347000034</v>
          </cell>
          <cell r="D39">
            <v>2.4484049037999966</v>
          </cell>
          <cell r="E39">
            <v>0.87602850170000579</v>
          </cell>
          <cell r="F39">
            <v>-2.8481355549999989</v>
          </cell>
          <cell r="G39">
            <v>0.82945133040000485</v>
          </cell>
          <cell r="H39">
            <v>6.2494380881999945</v>
          </cell>
          <cell r="I39">
            <v>-4.4994630627000163</v>
          </cell>
          <cell r="J39">
            <v>0.92549952319996009</v>
          </cell>
          <cell r="K39">
            <v>-3.1159962333000237</v>
          </cell>
          <cell r="L39">
            <v>-6.6721875978000043</v>
          </cell>
          <cell r="M39">
            <v>-5.3997530424000217</v>
          </cell>
          <cell r="N39">
            <v>6.1738257401999874</v>
          </cell>
          <cell r="O39">
            <v>-0.2934885142000212</v>
          </cell>
          <cell r="P39">
            <v>9.4424193918000014</v>
          </cell>
          <cell r="Q39">
            <v>-1.1245995919999814</v>
          </cell>
          <cell r="R39">
            <v>11.147318326899978</v>
          </cell>
          <cell r="S39">
            <v>-1.800776294100018</v>
          </cell>
          <cell r="T39">
            <v>-1.8350037206700165</v>
          </cell>
          <cell r="U39">
            <v>1.2516318000740227</v>
          </cell>
          <cell r="V39">
            <v>-0.2933316524730003</v>
          </cell>
          <cell r="W39">
            <v>-6.4786396612360022</v>
          </cell>
          <cell r="X39">
            <v>13.879938852109973</v>
          </cell>
          <cell r="Y39">
            <v>20.626721764801857</v>
          </cell>
          <cell r="Z39">
            <v>7.8915102860615605</v>
          </cell>
          <cell r="AA39">
            <v>10.505520110669494</v>
          </cell>
          <cell r="AB39">
            <v>-9.4945720800012623E-2</v>
          </cell>
          <cell r="AC39">
            <v>4.2710142005999501</v>
          </cell>
          <cell r="AD39">
            <v>1.8952767896999774</v>
          </cell>
          <cell r="AE39">
            <v>53.848039324800027</v>
          </cell>
          <cell r="AF39">
            <v>31.258306514400005</v>
          </cell>
          <cell r="AG39">
            <v>8.6361075109703211</v>
          </cell>
        </row>
        <row r="40">
          <cell r="B40">
            <v>-62.150999999999996</v>
          </cell>
          <cell r="C40">
            <v>-1.7110569209000062</v>
          </cell>
          <cell r="D40">
            <v>4.0894146997000007</v>
          </cell>
          <cell r="E40">
            <v>-1.7677489009000169</v>
          </cell>
          <cell r="F40">
            <v>-2.3280553471999923</v>
          </cell>
          <cell r="G40">
            <v>-8.407539743000001</v>
          </cell>
          <cell r="H40">
            <v>-4.7277967293000103</v>
          </cell>
          <cell r="I40">
            <v>-3.6161694100999995</v>
          </cell>
          <cell r="J40">
            <v>-0.76495718090001219</v>
          </cell>
          <cell r="K40">
            <v>0.81559852350000028</v>
          </cell>
          <cell r="L40">
            <v>-1.434812509999972E-2</v>
          </cell>
          <cell r="M40">
            <v>6.3412576841999879</v>
          </cell>
          <cell r="N40">
            <v>0.12684221159997833</v>
          </cell>
          <cell r="O40">
            <v>6.1869652315999843</v>
          </cell>
          <cell r="P40">
            <v>-1.4418542733999971</v>
          </cell>
          <cell r="Q40">
            <v>1.7901164825000251</v>
          </cell>
          <cell r="R40">
            <v>6.6337379209999767</v>
          </cell>
          <cell r="S40">
            <v>-2.2151920535000045</v>
          </cell>
          <cell r="T40">
            <v>-2.1598336140230003</v>
          </cell>
          <cell r="U40">
            <v>1.4018503399459803</v>
          </cell>
          <cell r="V40">
            <v>5.8767081339989886</v>
          </cell>
          <cell r="W40">
            <v>7.7540145690120141</v>
          </cell>
          <cell r="X40">
            <v>1.004412069053302</v>
          </cell>
          <cell r="Y40">
            <v>3.8813691994604937</v>
          </cell>
          <cell r="Z40">
            <v>0.27877135411549148</v>
          </cell>
          <cell r="AA40">
            <v>4.8295035796565173</v>
          </cell>
          <cell r="AB40">
            <v>7.6472458188000019</v>
          </cell>
          <cell r="AC40">
            <v>7.6379864064000174</v>
          </cell>
          <cell r="AD40">
            <v>0.18316734449996375</v>
          </cell>
          <cell r="AE40">
            <v>13.241547631199978</v>
          </cell>
          <cell r="AF40">
            <v>87.133310400105529</v>
          </cell>
          <cell r="AG40">
            <v>24.850775341750822</v>
          </cell>
        </row>
        <row r="41">
          <cell r="B41">
            <v>-46.606999999999999</v>
          </cell>
          <cell r="C41">
            <v>-3.0118989918999972</v>
          </cell>
          <cell r="D41">
            <v>1.7302166277999902</v>
          </cell>
          <cell r="E41">
            <v>2.3707540935999987</v>
          </cell>
          <cell r="F41">
            <v>-9.3290729666999965</v>
          </cell>
          <cell r="G41">
            <v>1.9702461013999937</v>
          </cell>
          <cell r="H41">
            <v>-3.4035068066000065</v>
          </cell>
          <cell r="I41">
            <v>2.3511473435999903</v>
          </cell>
          <cell r="J41">
            <v>-4.9563849942000076</v>
          </cell>
          <cell r="K41">
            <v>0.97772478870000157</v>
          </cell>
          <cell r="L41">
            <v>13.965809852600003</v>
          </cell>
          <cell r="M41">
            <v>2.3148655300999934</v>
          </cell>
          <cell r="N41">
            <v>2.9546235210999754</v>
          </cell>
          <cell r="O41">
            <v>-4.3599141277000086</v>
          </cell>
          <cell r="P41">
            <v>-1.3000794115000076</v>
          </cell>
          <cell r="Q41">
            <v>-6.2727319548999958</v>
          </cell>
          <cell r="R41">
            <v>1.1824796312999979</v>
          </cell>
          <cell r="S41">
            <v>-2.6559183837999996</v>
          </cell>
          <cell r="T41">
            <v>-0.90047251100000381</v>
          </cell>
          <cell r="U41">
            <v>-0.33291838890360737</v>
          </cell>
          <cell r="V41">
            <v>-7.2632588948600016</v>
          </cell>
          <cell r="W41">
            <v>-0.3169634762819129</v>
          </cell>
          <cell r="X41">
            <v>6.2064545391299788</v>
          </cell>
          <cell r="Y41">
            <v>10.663406768038769</v>
          </cell>
          <cell r="Z41">
            <v>9.8371404980631212</v>
          </cell>
          <cell r="AA41">
            <v>8.5996447189881167</v>
          </cell>
          <cell r="AB41">
            <v>8.3489035139999999</v>
          </cell>
          <cell r="AC41">
            <v>19.1970767583</v>
          </cell>
          <cell r="AD41">
            <v>1.046938244100005</v>
          </cell>
          <cell r="AE41">
            <v>7.4061336594000124</v>
          </cell>
          <cell r="AF41">
            <v>32.806742496498799</v>
          </cell>
          <cell r="AG41">
            <v>14.829168118279677</v>
          </cell>
        </row>
        <row r="42">
          <cell r="B42">
            <v>-38.32</v>
          </cell>
          <cell r="C42">
            <v>-5.1018261774000138</v>
          </cell>
          <cell r="D42">
            <v>-2.0174178606000055</v>
          </cell>
          <cell r="E42">
            <v>-0.34964569510000842</v>
          </cell>
          <cell r="F42">
            <v>1.1111714432999946</v>
          </cell>
          <cell r="G42">
            <v>-0.97187358019999692</v>
          </cell>
          <cell r="H42">
            <v>-4.1531045900008223E-2</v>
          </cell>
          <cell r="I42">
            <v>-2.1143955400000038</v>
          </cell>
          <cell r="J42">
            <v>4.2474875014999967</v>
          </cell>
          <cell r="K42">
            <v>9.5790170321999923</v>
          </cell>
          <cell r="L42">
            <v>2.2606254500999974</v>
          </cell>
          <cell r="M42">
            <v>-8.7840263780999948</v>
          </cell>
          <cell r="N42">
            <v>-0.75239084720000449</v>
          </cell>
          <cell r="O42">
            <v>-0.2132126401999983</v>
          </cell>
          <cell r="P42">
            <v>-1.9061226588000011</v>
          </cell>
          <cell r="Q42">
            <v>2.1301753527000216</v>
          </cell>
          <cell r="R42">
            <v>2.9843196441999993</v>
          </cell>
          <cell r="S42">
            <v>4.3646141521000033</v>
          </cell>
          <cell r="T42">
            <v>-2.6367969313999993</v>
          </cell>
          <cell r="U42">
            <v>2.1623484482932014</v>
          </cell>
          <cell r="V42">
            <v>5.0554660825849993</v>
          </cell>
          <cell r="W42">
            <v>7.694981320619803</v>
          </cell>
          <cell r="X42">
            <v>5.7090878901733291</v>
          </cell>
          <cell r="Y42">
            <v>2.964290669815739</v>
          </cell>
          <cell r="Z42">
            <v>4.0895173718740665</v>
          </cell>
          <cell r="AA42">
            <v>0.58860139103040865</v>
          </cell>
          <cell r="AB42">
            <v>6.7328053568999877</v>
          </cell>
          <cell r="AC42">
            <v>10.081993611899989</v>
          </cell>
          <cell r="AD42">
            <v>9.2687452998000168</v>
          </cell>
          <cell r="AE42">
            <v>12.65515492290001</v>
          </cell>
          <cell r="AF42">
            <v>30.730582146810399</v>
          </cell>
          <cell r="AG42">
            <v>17.509275802139193</v>
          </cell>
        </row>
        <row r="43">
          <cell r="B43">
            <v>-20.65</v>
          </cell>
          <cell r="C43">
            <v>-4.5097499920000033</v>
          </cell>
          <cell r="D43">
            <v>-1.9926263150000025</v>
          </cell>
          <cell r="E43">
            <v>3.1799635837999958</v>
          </cell>
          <cell r="F43">
            <v>0.31285668569999814</v>
          </cell>
          <cell r="G43">
            <v>-2.6634077203000004</v>
          </cell>
          <cell r="H43">
            <v>1.1680779080000008</v>
          </cell>
          <cell r="I43">
            <v>2.285499031199997</v>
          </cell>
          <cell r="J43">
            <v>-1.9179726085000013</v>
          </cell>
          <cell r="K43">
            <v>0.12244000509999609</v>
          </cell>
          <cell r="L43">
            <v>3.8517946531999989</v>
          </cell>
          <cell r="M43">
            <v>0.48734005719999374</v>
          </cell>
          <cell r="N43">
            <v>-1.4528154272000009</v>
          </cell>
          <cell r="O43">
            <v>3.7304371848999907</v>
          </cell>
          <cell r="P43">
            <v>1.8443516514999914</v>
          </cell>
          <cell r="Q43">
            <v>2.361929897100012</v>
          </cell>
          <cell r="R43">
            <v>2.9169175948999992</v>
          </cell>
          <cell r="S43">
            <v>0.29048294750000281</v>
          </cell>
          <cell r="T43">
            <v>0.86921624490000227</v>
          </cell>
          <cell r="U43">
            <v>4.3812434408746981</v>
          </cell>
          <cell r="V43">
            <v>6.0170578997927997</v>
          </cell>
          <cell r="W43">
            <v>4.3880307997115011</v>
          </cell>
          <cell r="X43">
            <v>8.299853801086666</v>
          </cell>
          <cell r="Y43">
            <v>-0.14838280908494283</v>
          </cell>
          <cell r="Z43">
            <v>2.7447926719337801</v>
          </cell>
          <cell r="AA43">
            <v>4.3734076234777461</v>
          </cell>
          <cell r="AB43">
            <v>2.4932070198000105</v>
          </cell>
          <cell r="AC43">
            <v>15.161736649499993</v>
          </cell>
          <cell r="AD43">
            <v>1.8925944995999942</v>
          </cell>
          <cell r="AE43">
            <v>2.2357439139000022</v>
          </cell>
          <cell r="AF43">
            <v>23.73106157414405</v>
          </cell>
          <cell r="AG43">
            <v>6.3618535988726883</v>
          </cell>
        </row>
        <row r="44">
          <cell r="B44">
            <v>-16.331</v>
          </cell>
          <cell r="C44">
            <v>2.762271010500001</v>
          </cell>
          <cell r="D44">
            <v>-1.0785027074000055</v>
          </cell>
          <cell r="E44">
            <v>-5.5016817999984369E-3</v>
          </cell>
          <cell r="F44">
            <v>1.8402323852999949</v>
          </cell>
          <cell r="G44">
            <v>-3.1786907800000037</v>
          </cell>
          <cell r="H44">
            <v>-0.83795056609999818</v>
          </cell>
          <cell r="I44">
            <v>-1.3883768258000018</v>
          </cell>
          <cell r="J44">
            <v>0.86717779859999666</v>
          </cell>
          <cell r="K44">
            <v>1.8223175016999953</v>
          </cell>
          <cell r="L44">
            <v>0.23876499849999888</v>
          </cell>
          <cell r="M44">
            <v>6.4394694528999956</v>
          </cell>
          <cell r="N44">
            <v>1.7479009114999968</v>
          </cell>
          <cell r="O44">
            <v>0.99204049840000152</v>
          </cell>
          <cell r="P44">
            <v>3.0547316128999995</v>
          </cell>
          <cell r="Q44">
            <v>1.1950937118999931</v>
          </cell>
          <cell r="R44">
            <v>0.16937479240000286</v>
          </cell>
          <cell r="S44">
            <v>3.907853489899999</v>
          </cell>
          <cell r="T44">
            <v>2.5513066573000032</v>
          </cell>
          <cell r="U44">
            <v>0.59737989688209936</v>
          </cell>
          <cell r="V44">
            <v>3.0655135056451996</v>
          </cell>
          <cell r="W44">
            <v>1.1574751234874014</v>
          </cell>
          <cell r="X44">
            <v>3.2014123762433329</v>
          </cell>
          <cell r="Y44">
            <v>8.0033189435290595</v>
          </cell>
          <cell r="Z44">
            <v>-2.448760028356233</v>
          </cell>
          <cell r="AA44">
            <v>1.9286313518454392</v>
          </cell>
          <cell r="AB44">
            <v>2.4958158225000062</v>
          </cell>
          <cell r="AC44">
            <v>13.215863784900005</v>
          </cell>
          <cell r="AD44">
            <v>4.3946200074000075</v>
          </cell>
          <cell r="AE44">
            <v>2.1958402556999985</v>
          </cell>
          <cell r="AF44">
            <v>-3.0815691516055232</v>
          </cell>
          <cell r="AG44">
            <v>5.698452052118256</v>
          </cell>
        </row>
        <row r="45">
          <cell r="B45">
            <v>-17.3</v>
          </cell>
          <cell r="C45">
            <v>-2.452039299100008</v>
          </cell>
          <cell r="D45">
            <v>2.0725377397999978</v>
          </cell>
          <cell r="E45">
            <v>-0.72208897430000007</v>
          </cell>
          <cell r="F45">
            <v>3.0763875427999992</v>
          </cell>
          <cell r="G45">
            <v>-3.9582866219000081</v>
          </cell>
          <cell r="H45">
            <v>-3.7846237415000061</v>
          </cell>
          <cell r="I45">
            <v>-0.9177691985999985</v>
          </cell>
          <cell r="J45">
            <v>-0.87574817480000178</v>
          </cell>
          <cell r="K45">
            <v>1.7283216956999965</v>
          </cell>
          <cell r="L45">
            <v>1.1498807413999987</v>
          </cell>
          <cell r="M45">
            <v>-1.8029897827000028</v>
          </cell>
          <cell r="N45">
            <v>-0.27564153960000226</v>
          </cell>
          <cell r="O45">
            <v>4.0823806434999952</v>
          </cell>
          <cell r="P45">
            <v>5.8048442659999964</v>
          </cell>
          <cell r="Q45">
            <v>4.029175839100013</v>
          </cell>
          <cell r="R45">
            <v>1.038962479599995</v>
          </cell>
          <cell r="S45">
            <v>4.6857611402999986</v>
          </cell>
          <cell r="T45">
            <v>0.2529079789849078</v>
          </cell>
          <cell r="U45">
            <v>1.6423621545723996</v>
          </cell>
          <cell r="V45">
            <v>5.4481827474259994</v>
          </cell>
          <cell r="W45">
            <v>5.9080162974684995</v>
          </cell>
          <cell r="X45">
            <v>2.735239306080004</v>
          </cell>
          <cell r="Y45">
            <v>7.0825322085190692</v>
          </cell>
          <cell r="Z45">
            <v>7.6217563507747883</v>
          </cell>
          <cell r="AA45">
            <v>-0.88329134011820543</v>
          </cell>
          <cell r="AB45">
            <v>2.1186784857000163</v>
          </cell>
          <cell r="AC45">
            <v>11.1556499651</v>
          </cell>
          <cell r="AD45">
            <v>5.8193202312000096</v>
          </cell>
          <cell r="AE45">
            <v>1.4417125569000007</v>
          </cell>
          <cell r="AF45">
            <v>8.0297330591564062</v>
          </cell>
          <cell r="AG45">
            <v>5.6013610875081916</v>
          </cell>
        </row>
        <row r="46">
          <cell r="B46">
            <v>-39.225999999999999</v>
          </cell>
          <cell r="C46">
            <v>-0.95916874699999966</v>
          </cell>
          <cell r="D46">
            <v>2.1994456858999953</v>
          </cell>
          <cell r="E46">
            <v>0.69707563529999561</v>
          </cell>
          <cell r="F46">
            <v>-2.8313596903999994</v>
          </cell>
          <cell r="G46">
            <v>-11.106202334700008</v>
          </cell>
          <cell r="H46">
            <v>4.7390303736999897</v>
          </cell>
          <cell r="I46">
            <v>-1.0216137002000067</v>
          </cell>
          <cell r="J46">
            <v>-0.83978841889999956</v>
          </cell>
          <cell r="K46">
            <v>0.5571058011999952</v>
          </cell>
          <cell r="L46">
            <v>2.9587833475999998</v>
          </cell>
          <cell r="M46">
            <v>4.5531945809999961</v>
          </cell>
          <cell r="N46">
            <v>-1.8977666041000063</v>
          </cell>
          <cell r="O46">
            <v>-1.0015126600002588E-2</v>
          </cell>
          <cell r="P46">
            <v>5.3276548685999927</v>
          </cell>
          <cell r="Q46">
            <v>2.5529367617000176</v>
          </cell>
          <cell r="R46">
            <v>0.65166169689999975</v>
          </cell>
          <cell r="S46">
            <v>4.3323443537000017</v>
          </cell>
          <cell r="T46">
            <v>1.2071034567174905</v>
          </cell>
          <cell r="U46">
            <v>3.7836321622721982</v>
          </cell>
          <cell r="V46">
            <v>0.12614421060980163</v>
          </cell>
          <cell r="W46">
            <v>6.2866505879721046</v>
          </cell>
          <cell r="X46">
            <v>-4.5391717699000367</v>
          </cell>
          <cell r="Y46">
            <v>-0.56562440674723291</v>
          </cell>
          <cell r="Z46">
            <v>5.8818552992718054</v>
          </cell>
          <cell r="AA46">
            <v>0.93059855081583009</v>
          </cell>
          <cell r="AB46">
            <v>3.9996619760999579</v>
          </cell>
          <cell r="AC46">
            <v>6.3810211731000095</v>
          </cell>
          <cell r="AD46">
            <v>11.453599189199991</v>
          </cell>
          <cell r="AE46">
            <v>3.4671722757000012</v>
          </cell>
          <cell r="AF46">
            <v>7.686208122853273</v>
          </cell>
          <cell r="AG46">
            <v>7.170406896834117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Quarterly Residual"/>
      <sheetName val="SepNov Res vs Expo Change"/>
      <sheetName val="Crop Rev vs Sep-Feb Residual"/>
      <sheetName val="Crop Rev vs Sep-May Residual"/>
      <sheetName val="Crop Rev vs MY Residual"/>
      <sheetName val="DecFeb Res vs Expo Change"/>
      <sheetName val="MarMay vs Expo Change"/>
      <sheetName val="MarMay vs. Census - Inspections"/>
      <sheetName val="MarMay Res vs 1st Half Res"/>
      <sheetName val="JunAug Res vs Expo Change"/>
      <sheetName val="Q1 Res Use vs Q2 Res Use"/>
      <sheetName val="SepNov Res vs Early Harvest"/>
    </sheetNames>
    <sheetDataSet>
      <sheetData sheetId="0">
        <row r="2">
          <cell r="T2" t="str">
            <v xml:space="preserve">93/94 </v>
          </cell>
          <cell r="U2" t="str">
            <v xml:space="preserve">94/95 </v>
          </cell>
          <cell r="V2" t="str">
            <v xml:space="preserve">95/96 </v>
          </cell>
          <cell r="W2" t="str">
            <v xml:space="preserve">96/97 </v>
          </cell>
          <cell r="X2" t="str">
            <v xml:space="preserve">97/98 </v>
          </cell>
          <cell r="Y2" t="str">
            <v xml:space="preserve">98/99 </v>
          </cell>
          <cell r="Z2" t="str">
            <v xml:space="preserve">99/00 </v>
          </cell>
          <cell r="AA2" t="str">
            <v xml:space="preserve">00/01 </v>
          </cell>
          <cell r="AB2" t="str">
            <v xml:space="preserve">01/02 </v>
          </cell>
          <cell r="AC2" t="str">
            <v xml:space="preserve">02/03 </v>
          </cell>
          <cell r="AD2" t="str">
            <v xml:space="preserve">03/04 </v>
          </cell>
          <cell r="AE2" t="str">
            <v xml:space="preserve">04/05 </v>
          </cell>
          <cell r="AF2" t="str">
            <v xml:space="preserve">05/06 </v>
          </cell>
          <cell r="AG2" t="str">
            <v xml:space="preserve">06/07 </v>
          </cell>
          <cell r="AH2" t="str">
            <v xml:space="preserve">07/08 </v>
          </cell>
          <cell r="AI2" t="str">
            <v xml:space="preserve">08/09 </v>
          </cell>
          <cell r="AJ2" t="str">
            <v xml:space="preserve">09/10 </v>
          </cell>
          <cell r="AK2" t="str">
            <v xml:space="preserve">10/11 </v>
          </cell>
          <cell r="AL2" t="str">
            <v xml:space="preserve">11/12 </v>
          </cell>
          <cell r="AM2" t="str">
            <v xml:space="preserve">12/13 </v>
          </cell>
          <cell r="AN2" t="str">
            <v xml:space="preserve">13/14 </v>
          </cell>
          <cell r="AO2" t="str">
            <v xml:space="preserve">14/15 </v>
          </cell>
          <cell r="AP2" t="str">
            <v xml:space="preserve">15/16 </v>
          </cell>
          <cell r="AQ2" t="str">
            <v xml:space="preserve">16/17 </v>
          </cell>
          <cell r="AR2" t="str">
            <v xml:space="preserve">17/18 </v>
          </cell>
          <cell r="AS2" t="str">
            <v xml:space="preserve">18/19 </v>
          </cell>
          <cell r="AT2" t="str">
            <v>19/20</v>
          </cell>
          <cell r="AU2" t="str">
            <v>20/21</v>
          </cell>
          <cell r="AV2" t="str">
            <v xml:space="preserve">21/22 </v>
          </cell>
          <cell r="AW2" t="str">
            <v xml:space="preserve">22/23 </v>
          </cell>
          <cell r="AX2" t="str">
            <v xml:space="preserve">23/24 </v>
          </cell>
          <cell r="AY2" t="str">
            <v xml:space="preserve">24/25 </v>
          </cell>
        </row>
        <row r="5">
          <cell r="A5" t="str">
            <v xml:space="preserve">        Sep/Nov</v>
          </cell>
          <cell r="T5">
            <v>4.47</v>
          </cell>
          <cell r="U5">
            <v>-149.19831877253364</v>
          </cell>
          <cell r="V5">
            <v>93.889157719433001</v>
          </cell>
          <cell r="W5">
            <v>88.319380847499929</v>
          </cell>
          <cell r="X5">
            <v>58.744980296833319</v>
          </cell>
          <cell r="Y5">
            <v>76.935670118933558</v>
          </cell>
          <cell r="Z5">
            <v>97.17053671833321</v>
          </cell>
          <cell r="AA5">
            <v>71.978728454033217</v>
          </cell>
          <cell r="AB5">
            <v>87.496624568399511</v>
          </cell>
          <cell r="AC5">
            <v>112.33748187543347</v>
          </cell>
          <cell r="AD5">
            <v>142.86335777036652</v>
          </cell>
          <cell r="AE5">
            <v>99.394408237866855</v>
          </cell>
          <cell r="AF5">
            <v>68.258787625600007</v>
          </cell>
          <cell r="AG5">
            <v>113.19087893916696</v>
          </cell>
          <cell r="AH5">
            <v>96.70983231090031</v>
          </cell>
          <cell r="AI5">
            <v>92.022945034867234</v>
          </cell>
          <cell r="AJ5">
            <v>182.70940915756637</v>
          </cell>
          <cell r="AK5">
            <v>143.14750807333303</v>
          </cell>
          <cell r="AL5">
            <v>108.4867022300657</v>
          </cell>
          <cell r="AM5">
            <v>171.85609777315017</v>
          </cell>
          <cell r="AN5">
            <v>228.46861725411964</v>
          </cell>
          <cell r="AO5">
            <v>248.25457227906668</v>
          </cell>
          <cell r="AP5">
            <v>144.07617725360251</v>
          </cell>
          <cell r="AQ5">
            <v>188.49356234524384</v>
          </cell>
          <cell r="AR5">
            <v>205.5142603730892</v>
          </cell>
          <cell r="AS5">
            <v>87.53101685801812</v>
          </cell>
          <cell r="AT5">
            <v>76.394890355029702</v>
          </cell>
          <cell r="AU5">
            <v>147.74085474916683</v>
          </cell>
          <cell r="AV5">
            <v>172.43730245816687</v>
          </cell>
          <cell r="AW5">
            <v>163.42117334173327</v>
          </cell>
          <cell r="AX5">
            <v>140.24001560316628</v>
          </cell>
          <cell r="AY5">
            <v>183.20655932102409</v>
          </cell>
        </row>
        <row r="6">
          <cell r="A6" t="str">
            <v xml:space="preserve">        Dec/Feb</v>
          </cell>
          <cell r="T6">
            <v>4.37</v>
          </cell>
          <cell r="U6">
            <v>76.263983584866992</v>
          </cell>
          <cell r="V6">
            <v>6.7734228181001299</v>
          </cell>
          <cell r="W6">
            <v>35.43824876406677</v>
          </cell>
          <cell r="X6">
            <v>47.177923293833146</v>
          </cell>
          <cell r="Y6">
            <v>79.768022923999979</v>
          </cell>
          <cell r="Z6">
            <v>63.873055662833622</v>
          </cell>
          <cell r="AA6">
            <v>82.656240869433304</v>
          </cell>
          <cell r="AB6">
            <v>70.224033130333282</v>
          </cell>
          <cell r="AC6">
            <v>66.938677446799829</v>
          </cell>
          <cell r="AD6">
            <v>27.187740677333409</v>
          </cell>
          <cell r="AE6">
            <v>77.78314540813335</v>
          </cell>
          <cell r="AF6">
            <v>90.620705669333461</v>
          </cell>
          <cell r="AG6">
            <v>70.255182518500078</v>
          </cell>
          <cell r="AH6">
            <v>27.780753322133478</v>
          </cell>
          <cell r="AI6">
            <v>73.436429810799837</v>
          </cell>
          <cell r="AJ6">
            <v>-42.401457828566663</v>
          </cell>
          <cell r="AK6">
            <v>52.694662528566369</v>
          </cell>
          <cell r="AL6">
            <v>73.893203722138537</v>
          </cell>
          <cell r="AM6">
            <v>-25.831430779016955</v>
          </cell>
          <cell r="AN6">
            <v>-30.365165916759906</v>
          </cell>
          <cell r="AO6">
            <v>-13.2317670580303</v>
          </cell>
          <cell r="AP6">
            <v>26.612106559659424</v>
          </cell>
          <cell r="AQ6">
            <v>-40.946751822307306</v>
          </cell>
          <cell r="AR6">
            <v>-58.081009895879333</v>
          </cell>
          <cell r="AS6">
            <v>2.5964016922234805</v>
          </cell>
          <cell r="AT6">
            <v>-53.763359308052713</v>
          </cell>
          <cell r="AU6">
            <v>-50.206607949766749</v>
          </cell>
          <cell r="AV6">
            <v>-32.234392907966821</v>
          </cell>
          <cell r="AW6">
            <v>-4.1577439417335427</v>
          </cell>
          <cell r="AX6">
            <v>-22.023757606247727</v>
          </cell>
          <cell r="AY6">
            <v>-25</v>
          </cell>
        </row>
        <row r="7">
          <cell r="A7" t="str">
            <v xml:space="preserve">        Mar/May</v>
          </cell>
          <cell r="T7">
            <v>4.3</v>
          </cell>
          <cell r="U7">
            <v>8.9141418279667732</v>
          </cell>
          <cell r="V7">
            <v>45.152541833514306</v>
          </cell>
          <cell r="W7">
            <v>26.090356589128419</v>
          </cell>
          <cell r="X7">
            <v>81.794330551985695</v>
          </cell>
          <cell r="Y7">
            <v>48.029178056242813</v>
          </cell>
          <cell r="Z7">
            <v>36.969293277833458</v>
          </cell>
          <cell r="AA7">
            <v>56.204082498533353</v>
          </cell>
          <cell r="AB7">
            <v>62.966489148819164</v>
          </cell>
          <cell r="AC7">
            <v>1.3859610311428696</v>
          </cell>
          <cell r="AD7">
            <v>4.3974367107666126</v>
          </cell>
          <cell r="AE7">
            <v>48.279630314609676</v>
          </cell>
          <cell r="AF7">
            <v>54.995249419966513</v>
          </cell>
          <cell r="AG7">
            <v>30.996693249666805</v>
          </cell>
          <cell r="AH7">
            <v>57.389564704514328</v>
          </cell>
          <cell r="AI7">
            <v>30.617102895576068</v>
          </cell>
          <cell r="AJ7">
            <v>47.046316224838051</v>
          </cell>
          <cell r="AK7">
            <v>6.941526046104741</v>
          </cell>
          <cell r="AL7">
            <v>11.516451722578836</v>
          </cell>
          <cell r="AM7">
            <v>43.736880326600726</v>
          </cell>
          <cell r="AN7">
            <v>-16.804479754462591</v>
          </cell>
          <cell r="AO7">
            <v>27.839958480716291</v>
          </cell>
          <cell r="AP7">
            <v>-8.1509472633329096</v>
          </cell>
          <cell r="AQ7">
            <v>37.762750319330166</v>
          </cell>
          <cell r="AR7">
            <v>50.293743441394895</v>
          </cell>
          <cell r="AS7">
            <v>104.92418167551341</v>
          </cell>
          <cell r="AT7">
            <v>62.260843606952449</v>
          </cell>
          <cell r="AU7">
            <v>66.663486525871576</v>
          </cell>
          <cell r="AV7">
            <v>72.766467497071517</v>
          </cell>
          <cell r="AW7">
            <v>64.677031393333436</v>
          </cell>
          <cell r="AX7">
            <v>64.954275890965391</v>
          </cell>
          <cell r="AY7">
            <v>70</v>
          </cell>
        </row>
        <row r="8">
          <cell r="A8" t="str">
            <v xml:space="preserve">        Jun/Aug</v>
          </cell>
          <cell r="T8">
            <v>4.2699999999999996</v>
          </cell>
          <cell r="U8">
            <v>-62.971062964400119</v>
          </cell>
          <cell r="V8">
            <v>-108.37352833734747</v>
          </cell>
          <cell r="W8">
            <v>-112.89491355062853</v>
          </cell>
          <cell r="X8">
            <v>-119.24121261865241</v>
          </cell>
          <cell r="Y8">
            <v>-90.31696312054288</v>
          </cell>
          <cell r="Z8">
            <v>-122.12512273276667</v>
          </cell>
          <cell r="AA8">
            <v>-131.58524027540005</v>
          </cell>
          <cell r="AB8">
            <v>-139.3929269191857</v>
          </cell>
          <cell r="AC8">
            <v>-136.28555452240954</v>
          </cell>
          <cell r="AD8">
            <v>-154.37742908749999</v>
          </cell>
          <cell r="AE8">
            <v>-118.65181710834287</v>
          </cell>
          <cell r="AF8">
            <v>-103.48382610113333</v>
          </cell>
          <cell r="AG8">
            <v>-133.3681900153</v>
          </cell>
          <cell r="AH8">
            <v>-177.34927836654765</v>
          </cell>
          <cell r="AI8">
            <v>-180.17901583650951</v>
          </cell>
          <cell r="AJ8">
            <v>-165.2537603974713</v>
          </cell>
          <cell r="AK8">
            <v>-161.13306645247144</v>
          </cell>
          <cell r="AL8">
            <v>-194.27406586039285</v>
          </cell>
          <cell r="AM8">
            <v>-183.91031678445995</v>
          </cell>
          <cell r="AN8">
            <v>-173.5216013520768</v>
          </cell>
          <cell r="AO8">
            <v>-211.58565629464226</v>
          </cell>
          <cell r="AP8">
            <v>-147.2908549942706</v>
          </cell>
          <cell r="AQ8">
            <v>-138.05896503700228</v>
          </cell>
          <cell r="AR8">
            <v>-193.44110964180697</v>
          </cell>
          <cell r="AS8">
            <v>-149.46098449191925</v>
          </cell>
          <cell r="AT8">
            <v>-75.366519928285584</v>
          </cell>
          <cell r="AU8">
            <v>-152.86724361623806</v>
          </cell>
          <cell r="AV8">
            <v>-185.51588859643823</v>
          </cell>
          <cell r="AW8">
            <v>-187.40864719616661</v>
          </cell>
          <cell r="AX8">
            <v>-141.54252988809014</v>
          </cell>
          <cell r="AY8">
            <v>-193.20655932102409</v>
          </cell>
        </row>
        <row r="13">
          <cell r="T13">
            <v>8.84</v>
          </cell>
          <cell r="U13">
            <v>-72.934335187666647</v>
          </cell>
          <cell r="V13">
            <v>100.66258053753313</v>
          </cell>
          <cell r="W13">
            <v>123.7576296115667</v>
          </cell>
          <cell r="X13">
            <v>105.92290359066646</v>
          </cell>
          <cell r="Y13">
            <v>156.70369304293354</v>
          </cell>
          <cell r="Z13">
            <v>161.04359238116683</v>
          </cell>
          <cell r="AA13">
            <v>154.63496932346652</v>
          </cell>
          <cell r="AB13">
            <v>157.72065769873279</v>
          </cell>
          <cell r="AC13">
            <v>179.2761593222333</v>
          </cell>
          <cell r="AD13">
            <v>170.05109844769993</v>
          </cell>
          <cell r="AE13">
            <v>177.17755364600021</v>
          </cell>
          <cell r="AF13">
            <v>158.87949329493347</v>
          </cell>
          <cell r="AG13">
            <v>183.44606145766704</v>
          </cell>
          <cell r="AH13">
            <v>124.49058563303379</v>
          </cell>
          <cell r="AI13">
            <v>165.45937484566707</v>
          </cell>
          <cell r="AJ13">
            <v>140.30795132899971</v>
          </cell>
          <cell r="AK13">
            <v>195.8421706018994</v>
          </cell>
          <cell r="AL13">
            <v>182.37990595220424</v>
          </cell>
          <cell r="AM13">
            <v>146.02466699413321</v>
          </cell>
          <cell r="AN13">
            <v>198.10345133735973</v>
          </cell>
          <cell r="AO13">
            <v>235.02280522103638</v>
          </cell>
          <cell r="AP13">
            <v>170.68828381326193</v>
          </cell>
          <cell r="AQ13">
            <v>147.54681052293654</v>
          </cell>
          <cell r="AR13">
            <v>147.43325047720987</v>
          </cell>
          <cell r="AS13">
            <v>90.1274185502416</v>
          </cell>
          <cell r="AT13">
            <v>22.631531046976988</v>
          </cell>
          <cell r="AU13">
            <v>97.53424679940008</v>
          </cell>
          <cell r="AV13">
            <v>140.20290955020005</v>
          </cell>
        </row>
        <row r="25">
          <cell r="T25">
            <v>1821.4179999999999</v>
          </cell>
          <cell r="U25">
            <v>-83.543256324100128</v>
          </cell>
          <cell r="V25">
            <v>15.021594033699898</v>
          </cell>
          <cell r="W25">
            <v>39.043072650066733</v>
          </cell>
          <cell r="X25">
            <v>106.98002152399965</v>
          </cell>
          <cell r="Y25">
            <v>130.19590797863322</v>
          </cell>
          <cell r="Z25">
            <v>65.037762926233711</v>
          </cell>
          <cell r="AA25">
            <v>91.108811546599838</v>
          </cell>
          <cell r="AB25">
            <v>81.184219928366588</v>
          </cell>
          <cell r="AC25">
            <v>17.938565830966525</v>
          </cell>
          <cell r="AD25">
            <v>-16.208893929033195</v>
          </cell>
          <cell r="AE25">
            <v>124.01136685226714</v>
          </cell>
          <cell r="AF25">
            <v>128.48091661376634</v>
          </cell>
          <cell r="AG25">
            <v>72.595564692033577</v>
          </cell>
          <cell r="AH25">
            <v>-87.379128028999844</v>
          </cell>
          <cell r="AI25">
            <v>8.0644619047335482</v>
          </cell>
          <cell r="AJ25">
            <v>22.197507156366214</v>
          </cell>
          <cell r="AK25">
            <v>39.685630195532553</v>
          </cell>
          <cell r="AL25">
            <v>-41.524708185609711</v>
          </cell>
          <cell r="AM25">
            <v>-21.194769463725834</v>
          </cell>
          <cell r="AN25">
            <v>-60.393629769179483</v>
          </cell>
          <cell r="AO25">
            <v>92.030107407110108</v>
          </cell>
          <cell r="AP25">
            <v>18.352481555658642</v>
          </cell>
          <cell r="AQ25">
            <v>57.425595805264606</v>
          </cell>
          <cell r="AR25">
            <v>-15.79411572320214</v>
          </cell>
          <cell r="AS25">
            <v>161.32361573383594</v>
          </cell>
          <cell r="AT25">
            <v>15.898854725643901</v>
          </cell>
          <cell r="AU25">
            <v>-69.494510290966218</v>
          </cell>
          <cell r="AV25">
            <v>-1.8065115491668848</v>
          </cell>
          <cell r="AW25">
            <v>42.458813597166227</v>
          </cell>
        </row>
        <row r="29">
          <cell r="T29">
            <v>1812.848</v>
          </cell>
          <cell r="U29">
            <v>-29.486335187666782</v>
          </cell>
          <cell r="V29">
            <v>78.242580537533058</v>
          </cell>
          <cell r="W29">
            <v>125.84762961156684</v>
          </cell>
          <cell r="X29">
            <v>144.42690359066637</v>
          </cell>
          <cell r="Y29">
            <v>172.48369304293328</v>
          </cell>
          <cell r="Z29">
            <v>150.19359238116692</v>
          </cell>
          <cell r="AA29">
            <v>166.48996932346654</v>
          </cell>
          <cell r="AB29">
            <v>157.61065769873312</v>
          </cell>
          <cell r="AC29">
            <v>152.8381593222332</v>
          </cell>
          <cell r="AD29">
            <v>133.77109844770018</v>
          </cell>
          <cell r="AE29">
            <v>194.38355364600034</v>
          </cell>
          <cell r="AF29">
            <v>176.96949329493316</v>
          </cell>
          <cell r="AG29">
            <v>174.96706145766677</v>
          </cell>
          <cell r="AH29">
            <v>32.580585633033479</v>
          </cell>
          <cell r="AI29">
            <v>157.62637484566699</v>
          </cell>
          <cell r="AJ29">
            <v>140.40495132899946</v>
          </cell>
          <cell r="AK29">
            <v>193.87717060189925</v>
          </cell>
          <cell r="AL29">
            <v>141.23290595220431</v>
          </cell>
          <cell r="AM29">
            <v>118.97866699413339</v>
          </cell>
          <cell r="AN29">
            <v>129.93245133735991</v>
          </cell>
          <cell r="AO29">
            <v>275.77580522103608</v>
          </cell>
          <cell r="AP29">
            <v>173.79428381326215</v>
          </cell>
          <cell r="AQ29">
            <v>157.72181052293672</v>
          </cell>
          <cell r="AR29">
            <v>127.35325047720994</v>
          </cell>
          <cell r="AS29">
            <v>205.86041855024177</v>
          </cell>
          <cell r="AT29">
            <v>29.004531046977036</v>
          </cell>
          <cell r="AU29">
            <v>16.709246799400262</v>
          </cell>
          <cell r="AV29">
            <v>110.94290955019983</v>
          </cell>
          <cell r="AW29">
            <v>165.1904293999994</v>
          </cell>
          <cell r="AX29">
            <v>161.38704478089539</v>
          </cell>
        </row>
        <row r="30">
          <cell r="T30">
            <v>1817.1479999999999</v>
          </cell>
          <cell r="U30">
            <v>-20.572193359700009</v>
          </cell>
          <cell r="V30">
            <v>123.39512237104736</v>
          </cell>
          <cell r="W30">
            <v>151.93798620069526</v>
          </cell>
          <cell r="X30">
            <v>226.22123414265207</v>
          </cell>
          <cell r="Y30">
            <v>220.5128710991761</v>
          </cell>
          <cell r="Z30">
            <v>187.16288565900038</v>
          </cell>
          <cell r="AA30">
            <v>222.69405182199989</v>
          </cell>
          <cell r="AB30">
            <v>220.57714684755229</v>
          </cell>
          <cell r="AC30">
            <v>154.22412035337607</v>
          </cell>
          <cell r="AD30">
            <v>138.1685351584668</v>
          </cell>
          <cell r="AE30">
            <v>242.66318396061001</v>
          </cell>
          <cell r="AF30">
            <v>231.96474271489967</v>
          </cell>
          <cell r="AG30">
            <v>205.96375470733358</v>
          </cell>
          <cell r="AH30">
            <v>89.970150337547807</v>
          </cell>
          <cell r="AI30">
            <v>188.24347774124305</v>
          </cell>
          <cell r="AJ30">
            <v>187.45126755383751</v>
          </cell>
          <cell r="AK30">
            <v>200.81869664800399</v>
          </cell>
          <cell r="AL30">
            <v>152.74935767478314</v>
          </cell>
          <cell r="AM30">
            <v>162.71554732073412</v>
          </cell>
          <cell r="AN30">
            <v>113.12797158289732</v>
          </cell>
          <cell r="AO30">
            <v>303.61576370175237</v>
          </cell>
          <cell r="AP30">
            <v>165.64333654992924</v>
          </cell>
          <cell r="AQ30">
            <v>195.48456084226689</v>
          </cell>
          <cell r="AR30">
            <v>177.64699391860484</v>
          </cell>
          <cell r="AS30">
            <v>310.78460022575518</v>
          </cell>
          <cell r="AT30">
            <v>91.265374653929484</v>
          </cell>
          <cell r="AU30">
            <v>83.372733325271838</v>
          </cell>
          <cell r="AV30">
            <v>183.70937704727135</v>
          </cell>
        </row>
        <row r="76">
          <cell r="T76">
            <v>-105.577</v>
          </cell>
          <cell r="U76">
            <v>-12.623475161300014</v>
          </cell>
          <cell r="V76">
            <v>-2.2798275478000178</v>
          </cell>
          <cell r="W76">
            <v>5.201071982299986</v>
          </cell>
          <cell r="X76">
            <v>-7.9050448377000038</v>
          </cell>
          <cell r="Y76">
            <v>-1.6650351991000036</v>
          </cell>
          <cell r="Z76">
            <v>-2.2769599445000139</v>
          </cell>
          <cell r="AA76">
            <v>2.5222508347999835</v>
          </cell>
          <cell r="AB76">
            <v>-2.6268701012000122</v>
          </cell>
          <cell r="AC76">
            <v>10.67918182599999</v>
          </cell>
          <cell r="AD76">
            <v>20.078229955899999</v>
          </cell>
          <cell r="AE76">
            <v>-5.9818207908000076</v>
          </cell>
          <cell r="AF76">
            <v>0.74941724669997001</v>
          </cell>
          <cell r="AG76">
            <v>-0.84268958300001628</v>
          </cell>
          <cell r="AH76">
            <v>-1.3618504188000173</v>
          </cell>
          <cell r="AI76">
            <v>-1.7806267050999622</v>
          </cell>
          <cell r="AJ76">
            <v>7.0837168703999964</v>
          </cell>
          <cell r="AK76">
            <v>1.9991787158000065</v>
          </cell>
          <cell r="AL76">
            <v>-2.6680531975000008</v>
          </cell>
          <cell r="AM76">
            <v>6.2106735002642921</v>
          </cell>
          <cell r="AN76">
            <v>3.8092650875177974</v>
          </cell>
          <cell r="AO76">
            <v>11.766048644049391</v>
          </cell>
          <cell r="AP76">
            <v>20.215396230389974</v>
          </cell>
          <cell r="AQ76">
            <v>13.479314628769565</v>
          </cell>
          <cell r="AR76">
            <v>16.671450541870968</v>
          </cell>
          <cell r="AS76">
            <v>13.561653733496271</v>
          </cell>
          <cell r="AT76">
            <v>17.574915890699998</v>
          </cell>
          <cell r="AU76">
            <v>44.440807019699982</v>
          </cell>
        </row>
        <row r="94">
          <cell r="T94">
            <v>34.597000000000001</v>
          </cell>
          <cell r="U94">
            <v>29.288000000000004</v>
          </cell>
          <cell r="V94">
            <v>7.5040000000000013</v>
          </cell>
          <cell r="W94">
            <v>42.89</v>
          </cell>
          <cell r="X94">
            <v>37.875999999999998</v>
          </cell>
          <cell r="Y94">
            <v>36.197999999999993</v>
          </cell>
          <cell r="Z94">
            <v>37.092999999999996</v>
          </cell>
          <cell r="AA94">
            <v>18.737999999999996</v>
          </cell>
          <cell r="AB94">
            <v>54.685999999999993</v>
          </cell>
          <cell r="AC94">
            <v>45.56</v>
          </cell>
          <cell r="AD94">
            <v>62.680000000000007</v>
          </cell>
          <cell r="AE94">
            <v>47.597999999999999</v>
          </cell>
          <cell r="AF94">
            <v>35.388999999999996</v>
          </cell>
          <cell r="AG94">
            <v>40.013999999999996</v>
          </cell>
          <cell r="AH94">
            <v>46.194000000000003</v>
          </cell>
          <cell r="AI94">
            <v>66.012999999999991</v>
          </cell>
          <cell r="AJ94">
            <v>91.084000000000003</v>
          </cell>
          <cell r="AK94">
            <v>84.77600000000001</v>
          </cell>
          <cell r="AL94">
            <v>32.407000000000004</v>
          </cell>
          <cell r="AM94">
            <v>59.507000000000005</v>
          </cell>
          <cell r="AN94">
            <v>115.532</v>
          </cell>
          <cell r="AO94">
            <v>141.90800000000002</v>
          </cell>
          <cell r="AP94">
            <v>77.50200000000001</v>
          </cell>
          <cell r="AQ94">
            <v>70.136999999999958</v>
          </cell>
          <cell r="AR94">
            <v>36.901909804599981</v>
          </cell>
          <cell r="AS94">
            <v>6.7767875658000065</v>
          </cell>
          <cell r="AT94">
            <v>46.086079674600001</v>
          </cell>
          <cell r="AU94">
            <v>62.663036673300013</v>
          </cell>
          <cell r="AV94">
            <v>118.09171648469999</v>
          </cell>
          <cell r="AW94">
            <v>111.31136478000002</v>
          </cell>
          <cell r="AX94">
            <v>59.574838919399987</v>
          </cell>
          <cell r="AY94">
            <v>119.25340530389998</v>
          </cell>
        </row>
        <row r="95">
          <cell r="T95">
            <v>-10.780000000000001</v>
          </cell>
          <cell r="U95">
            <v>-8.7330000000000041</v>
          </cell>
          <cell r="V95">
            <v>14.873999999999995</v>
          </cell>
          <cell r="W95">
            <v>-24.867000000000004</v>
          </cell>
          <cell r="X95">
            <v>-21.829000000000001</v>
          </cell>
          <cell r="Y95">
            <v>-12.725999999999999</v>
          </cell>
          <cell r="Z95">
            <v>-2.1479999999999961</v>
          </cell>
          <cell r="AA95">
            <v>12.923999999999999</v>
          </cell>
          <cell r="AB95">
            <v>-26.863999999999997</v>
          </cell>
          <cell r="AC95">
            <v>-7.884999999999998</v>
          </cell>
          <cell r="AD95">
            <v>-37.968000000000004</v>
          </cell>
          <cell r="AE95">
            <v>-10.884</v>
          </cell>
          <cell r="AF95">
            <v>10.111000000000004</v>
          </cell>
          <cell r="AG95">
            <v>-9.3449999999999989</v>
          </cell>
          <cell r="AH95">
            <v>-10.599000000000004</v>
          </cell>
          <cell r="AI95">
            <v>-24.844999999999992</v>
          </cell>
          <cell r="AJ95">
            <v>-45.334999999999994</v>
          </cell>
          <cell r="AK95">
            <v>-42.533000000000008</v>
          </cell>
          <cell r="AL95">
            <v>-9.9100000000000037</v>
          </cell>
          <cell r="AM95">
            <v>-54.46</v>
          </cell>
          <cell r="AN95">
            <v>-52.885999999999996</v>
          </cell>
          <cell r="AO95">
            <v>-116.992</v>
          </cell>
          <cell r="AP95">
            <v>-49.779000000000003</v>
          </cell>
          <cell r="AQ95">
            <v>-85.515999999999963</v>
          </cell>
          <cell r="AR95">
            <v>-60.697983597299981</v>
          </cell>
          <cell r="AS95">
            <v>-7.7295884505000032</v>
          </cell>
          <cell r="AT95">
            <v>-51.005950873500005</v>
          </cell>
          <cell r="AU95">
            <v>-141.39247663380002</v>
          </cell>
          <cell r="AV95">
            <v>-84.672733435499993</v>
          </cell>
          <cell r="AW95">
            <v>-97.028537434500024</v>
          </cell>
          <cell r="AX95">
            <v>-37.762562391999985</v>
          </cell>
        </row>
        <row r="96">
          <cell r="T96">
            <v>-14.362</v>
          </cell>
          <cell r="U96">
            <v>-20.517999999999997</v>
          </cell>
          <cell r="V96">
            <v>-24.470999999999997</v>
          </cell>
          <cell r="W96">
            <v>-17.854999999999997</v>
          </cell>
          <cell r="X96">
            <v>-24.200999999999997</v>
          </cell>
          <cell r="Y96">
            <v>-17.977999999999998</v>
          </cell>
          <cell r="Z96">
            <v>-37.781999999999996</v>
          </cell>
          <cell r="AA96">
            <v>-43.726999999999997</v>
          </cell>
          <cell r="AB96">
            <v>-24.726999999999997</v>
          </cell>
          <cell r="AC96">
            <v>-37.949000000000005</v>
          </cell>
          <cell r="AD96">
            <v>-23.013000000000002</v>
          </cell>
          <cell r="AE96">
            <v>-40.091999999999999</v>
          </cell>
          <cell r="AF96">
            <v>-39.747</v>
          </cell>
          <cell r="AG96">
            <v>-33.645000000000003</v>
          </cell>
          <cell r="AH96">
            <v>-38.120999999999995</v>
          </cell>
          <cell r="AI96">
            <v>-25.673000000000002</v>
          </cell>
          <cell r="AJ96">
            <v>-46.823</v>
          </cell>
          <cell r="AK96">
            <v>-49.542999999999999</v>
          </cell>
          <cell r="AL96">
            <v>-18.869999999999997</v>
          </cell>
          <cell r="AM96">
            <v>-22.191000000000003</v>
          </cell>
          <cell r="AN96">
            <v>-58.170000000000009</v>
          </cell>
          <cell r="AO96">
            <v>-28.222000000000001</v>
          </cell>
          <cell r="AP96">
            <v>-41.79</v>
          </cell>
          <cell r="AQ96">
            <v>-19.825999999999997</v>
          </cell>
          <cell r="AR96">
            <v>3.9399902072999993</v>
          </cell>
          <cell r="AS96">
            <v>-11.751259902900003</v>
          </cell>
          <cell r="AT96">
            <v>-19.609267584899996</v>
          </cell>
          <cell r="AU96">
            <v>-25.346024722200003</v>
          </cell>
          <cell r="AV96">
            <v>-8.2044272855999978</v>
          </cell>
          <cell r="AW96">
            <v>-29.746817671199992</v>
          </cell>
        </row>
        <row r="97">
          <cell r="T97">
            <v>8.8929999999999989</v>
          </cell>
          <cell r="U97">
            <v>9.7899999999999991</v>
          </cell>
          <cell r="V97">
            <v>-7.8719999999999999</v>
          </cell>
          <cell r="W97">
            <v>-0.89300000000000068</v>
          </cell>
          <cell r="X97">
            <v>1.838000000000001</v>
          </cell>
          <cell r="Y97">
            <v>9.1660000000000004</v>
          </cell>
          <cell r="Z97">
            <v>3.4480000000000004</v>
          </cell>
          <cell r="AA97">
            <v>-1.0589999999999993</v>
          </cell>
          <cell r="AB97">
            <v>-3.0080000000000009</v>
          </cell>
          <cell r="AC97">
            <v>-4.6709999999999994</v>
          </cell>
          <cell r="AD97">
            <v>5.6340000000000003</v>
          </cell>
          <cell r="AE97">
            <v>-2.3960000000000008</v>
          </cell>
          <cell r="AF97">
            <v>5.7890000000000015</v>
          </cell>
          <cell r="AG97">
            <v>4.4940000000000033</v>
          </cell>
          <cell r="AH97">
            <v>-9.6249999999999982</v>
          </cell>
          <cell r="AI97">
            <v>-7.3689999999999998</v>
          </cell>
          <cell r="AJ97">
            <v>0.90199999999999747</v>
          </cell>
          <cell r="AK97">
            <v>12.935999999999998</v>
          </cell>
          <cell r="AL97">
            <v>-5.3460000000000001</v>
          </cell>
          <cell r="AM97">
            <v>1.8870000000000005</v>
          </cell>
          <cell r="AN97">
            <v>6.9820000000000011</v>
          </cell>
          <cell r="AO97">
            <v>9.5330000000000013</v>
          </cell>
          <cell r="AP97">
            <v>53.331999999999994</v>
          </cell>
          <cell r="AQ97">
            <v>45.483000000000004</v>
          </cell>
          <cell r="AR97">
            <v>9.9157651130999938</v>
          </cell>
          <cell r="AS97">
            <v>-2.2316653631999941</v>
          </cell>
          <cell r="AT97">
            <v>94.575932203199983</v>
          </cell>
          <cell r="AU97">
            <v>5.1367692600001291E-2</v>
          </cell>
          <cell r="AV97">
            <v>-12.690355387499999</v>
          </cell>
          <cell r="AW97">
            <v>16.546496471399998</v>
          </cell>
        </row>
        <row r="103">
          <cell r="T103">
            <v>-1804.008</v>
          </cell>
          <cell r="U103">
            <v>-43.447999999999865</v>
          </cell>
          <cell r="V103">
            <v>22.420000000000073</v>
          </cell>
          <cell r="W103">
            <v>-2.0900000000001455</v>
          </cell>
          <cell r="X103">
            <v>-38.503999999999905</v>
          </cell>
          <cell r="Y103">
            <v>-15.779999999999745</v>
          </cell>
          <cell r="Z103">
            <v>10.849999999999909</v>
          </cell>
          <cell r="AA103">
            <v>-11.855000000000018</v>
          </cell>
          <cell r="AB103">
            <v>0.10999999999967258</v>
          </cell>
          <cell r="AC103">
            <v>26.438000000000102</v>
          </cell>
          <cell r="AD103">
            <v>36.279999999999745</v>
          </cell>
          <cell r="AE103">
            <v>-17.206000000000131</v>
          </cell>
          <cell r="AF103">
            <v>-18.089999999999691</v>
          </cell>
          <cell r="AG103">
            <v>8.4790000000002692</v>
          </cell>
          <cell r="AH103">
            <v>91.910000000000309</v>
          </cell>
          <cell r="AI103">
            <v>7.8330000000000837</v>
          </cell>
          <cell r="AJ103">
            <v>-9.6999999999752617E-2</v>
          </cell>
          <cell r="AK103">
            <v>1.9650000000001455</v>
          </cell>
          <cell r="AL103">
            <v>41.146999999999935</v>
          </cell>
          <cell r="AM103">
            <v>27.045999999999822</v>
          </cell>
          <cell r="AN103">
            <v>68.170999999999822</v>
          </cell>
          <cell r="AO103">
            <v>-40.752999999999702</v>
          </cell>
          <cell r="AP103">
            <v>-3.1060000000002219</v>
          </cell>
          <cell r="AQ103">
            <v>-10.175000000000182</v>
          </cell>
          <cell r="AR103">
            <v>20.079999999999927</v>
          </cell>
          <cell r="AS103">
            <v>-115.73300000000017</v>
          </cell>
          <cell r="AT103">
            <v>-6.3730000000000473</v>
          </cell>
          <cell r="AU103">
            <v>80.824999999999818</v>
          </cell>
          <cell r="AV103">
            <v>29.260000000000218</v>
          </cell>
          <cell r="AW103">
            <v>-5.9269999999996799</v>
          </cell>
          <cell r="AX103">
            <v>-43.170786783976837</v>
          </cell>
        </row>
        <row r="104">
          <cell r="T104">
            <v>5.6091540000000002</v>
          </cell>
          <cell r="U104">
            <v>2.1577428571428574</v>
          </cell>
          <cell r="V104">
            <v>1.8828571428571428</v>
          </cell>
          <cell r="W104">
            <v>12.497099999999998</v>
          </cell>
          <cell r="X104">
            <v>6.1389857142857149</v>
          </cell>
          <cell r="Y104">
            <v>7.7173285714285713</v>
          </cell>
          <cell r="Z104">
            <v>15.508085714285714</v>
          </cell>
          <cell r="AA104">
            <v>14.661599999999998</v>
          </cell>
          <cell r="AB104">
            <v>11.816035714285714</v>
          </cell>
          <cell r="AC104">
            <v>12.529199999999999</v>
          </cell>
          <cell r="AD104">
            <v>21.829849999999997</v>
          </cell>
          <cell r="AE104">
            <v>54.155857142857137</v>
          </cell>
          <cell r="AF104">
            <v>39.846150000000002</v>
          </cell>
          <cell r="AG104">
            <v>54.54262857142858</v>
          </cell>
          <cell r="AH104">
            <v>30.501471428571428</v>
          </cell>
          <cell r="AI104">
            <v>11.34773857142857</v>
          </cell>
          <cell r="AJ104">
            <v>16.733292857142857</v>
          </cell>
          <cell r="AK104">
            <v>43.64378571428572</v>
          </cell>
          <cell r="AL104">
            <v>16.878357142857144</v>
          </cell>
          <cell r="AM104">
            <v>51.383964285714278</v>
          </cell>
          <cell r="AN104">
            <v>7.1842400000000008</v>
          </cell>
          <cell r="AO104">
            <v>33.629085714285715</v>
          </cell>
          <cell r="AP104">
            <v>48.588500000000003</v>
          </cell>
          <cell r="AQ104">
            <v>34.909479539821497</v>
          </cell>
          <cell r="AR104">
            <v>35.110622382484131</v>
          </cell>
          <cell r="AS104">
            <v>49.61075393177223</v>
          </cell>
          <cell r="AT104">
            <v>20.723461038915605</v>
          </cell>
          <cell r="AU104">
            <v>44.961318291783606</v>
          </cell>
          <cell r="AV104">
            <v>39.804570472316605</v>
          </cell>
          <cell r="AW104">
            <v>39.199453625507488</v>
          </cell>
          <cell r="AX104">
            <v>39.923812745857532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CF65-8EA9-4E54-A275-0832AAE316BD}">
  <dimension ref="A1:AY111"/>
  <sheetViews>
    <sheetView tabSelected="1" workbookViewId="0">
      <pane xSplit="1" ySplit="2" topLeftCell="AJ92" activePane="bottomRight" state="frozen"/>
      <selection pane="topRight" activeCell="B1" sqref="B1"/>
      <selection pane="bottomLeft" activeCell="A3" sqref="A3"/>
      <selection pane="bottomRight" activeCell="AX103" sqref="AX103"/>
    </sheetView>
  </sheetViews>
  <sheetFormatPr defaultRowHeight="15" x14ac:dyDescent="0.25"/>
  <cols>
    <col min="1" max="1" width="43.28515625" customWidth="1"/>
    <col min="2" max="19" width="9.140625" hidden="1" customWidth="1"/>
    <col min="20" max="20" width="9.140625" customWidth="1"/>
  </cols>
  <sheetData>
    <row r="1" spans="1:51" ht="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15.75" thickBot="1" x14ac:dyDescent="0.3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5" t="str">
        <f>'[1]Soy Complex'!AI$3</f>
        <v xml:space="preserve">93/94 </v>
      </c>
      <c r="U2" s="5" t="str">
        <f>'[1]Soy Complex'!AJ$3</f>
        <v xml:space="preserve">94/95 </v>
      </c>
      <c r="V2" s="5" t="str">
        <f>'[1]Soy Complex'!AK$3</f>
        <v xml:space="preserve">95/96 </v>
      </c>
      <c r="W2" s="5" t="str">
        <f>'[1]Soy Complex'!AL$3</f>
        <v xml:space="preserve">96/97 </v>
      </c>
      <c r="X2" s="5" t="str">
        <f>'[1]Soy Complex'!AM$3</f>
        <v xml:space="preserve">97/98 </v>
      </c>
      <c r="Y2" s="5" t="str">
        <f>'[1]Soy Complex'!AN$3</f>
        <v xml:space="preserve">98/99 </v>
      </c>
      <c r="Z2" s="5" t="str">
        <f>'[1]Soy Complex'!AO$3</f>
        <v xml:space="preserve">99/00 </v>
      </c>
      <c r="AA2" s="5" t="str">
        <f>'[1]Soy Complex'!AP$3</f>
        <v xml:space="preserve">00/01 </v>
      </c>
      <c r="AB2" s="5" t="str">
        <f>'[1]Soy Complex'!AQ$3</f>
        <v xml:space="preserve">01/02 </v>
      </c>
      <c r="AC2" s="5" t="str">
        <f>'[1]Soy Complex'!AR$3</f>
        <v xml:space="preserve">02/03 </v>
      </c>
      <c r="AD2" s="5" t="str">
        <f>'[1]Soy Complex'!AS$3</f>
        <v xml:space="preserve">03/04 </v>
      </c>
      <c r="AE2" s="5" t="str">
        <f>'[1]Soy Complex'!AT$3</f>
        <v xml:space="preserve">04/05 </v>
      </c>
      <c r="AF2" s="5" t="str">
        <f>'[1]Soy Complex'!AU$3</f>
        <v xml:space="preserve">05/06 </v>
      </c>
      <c r="AG2" s="5" t="str">
        <f>'[1]Soy Complex'!AV$3</f>
        <v xml:space="preserve">06/07 </v>
      </c>
      <c r="AH2" s="5" t="str">
        <f>'[1]Soy Complex'!AW$3</f>
        <v xml:space="preserve">07/08 </v>
      </c>
      <c r="AI2" s="5" t="str">
        <f>'[1]Soy Complex'!AX$3</f>
        <v xml:space="preserve">08/09 </v>
      </c>
      <c r="AJ2" s="5" t="str">
        <f>'[1]Soy Complex'!AY$3</f>
        <v xml:space="preserve">09/10 </v>
      </c>
      <c r="AK2" s="5" t="str">
        <f>'[1]Soy Complex'!AZ$3</f>
        <v xml:space="preserve">10/11 </v>
      </c>
      <c r="AL2" s="5" t="str">
        <f>'[1]Soy Complex'!BA$3</f>
        <v xml:space="preserve">11/12 </v>
      </c>
      <c r="AM2" s="5" t="str">
        <f>'[1]Soy Complex'!BB$3</f>
        <v xml:space="preserve">12/13 </v>
      </c>
      <c r="AN2" s="5" t="str">
        <f>'[1]Soy Complex'!BC$3</f>
        <v xml:space="preserve">13/14 </v>
      </c>
      <c r="AO2" s="5" t="str">
        <f>'[1]Soy Complex'!BD$3</f>
        <v xml:space="preserve">14/15 </v>
      </c>
      <c r="AP2" s="5" t="str">
        <f>'[1]Soy Complex'!BE$3</f>
        <v xml:space="preserve">15/16 </v>
      </c>
      <c r="AQ2" s="5" t="str">
        <f>'[1]Soy Complex'!BF$3</f>
        <v xml:space="preserve">16/17 </v>
      </c>
      <c r="AR2" s="5" t="str">
        <f>'[1]Soy Complex'!BG$3</f>
        <v xml:space="preserve">17/18 </v>
      </c>
      <c r="AS2" s="5" t="str">
        <f>'[1]Soy Complex'!BH$3</f>
        <v xml:space="preserve">18/19 </v>
      </c>
      <c r="AT2" s="5" t="str">
        <f>'[1]Soy Complex'!BI$3</f>
        <v>19/20</v>
      </c>
      <c r="AU2" s="5" t="str">
        <f>'[1]Soy Complex'!BJ$3</f>
        <v>20/21</v>
      </c>
      <c r="AV2" s="5" t="str">
        <f>'[1]Soy Complex'!BK$3</f>
        <v xml:space="preserve">21/22 </v>
      </c>
      <c r="AW2" s="5" t="str">
        <f>'[1]Soy Complex'!BL$3</f>
        <v xml:space="preserve">22/23 </v>
      </c>
      <c r="AX2" s="5" t="str">
        <f>'[1]Soy Complex'!BM$3</f>
        <v xml:space="preserve">23/24 </v>
      </c>
      <c r="AY2" s="5" t="str">
        <f>'[1]Soy Complex'!BN$3</f>
        <v xml:space="preserve">24/25 </v>
      </c>
    </row>
    <row r="3" spans="1:51" x14ac:dyDescent="0.25">
      <c r="A3" s="6" t="s">
        <v>19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5">
      <c r="A4" s="8" t="s">
        <v>20</v>
      </c>
    </row>
    <row r="5" spans="1:51" x14ac:dyDescent="0.25">
      <c r="A5" s="8" t="s">
        <v>21</v>
      </c>
      <c r="T5" s="9">
        <f>'[1]Soy Complex'!AI$61</f>
        <v>4.47</v>
      </c>
      <c r="U5" s="9">
        <f>'[1]Soy Complex'!AJ$61</f>
        <v>-149.19831877253364</v>
      </c>
      <c r="V5" s="9">
        <f>'[1]Soy Complex'!AK$61</f>
        <v>93.889157719433001</v>
      </c>
      <c r="W5" s="9">
        <f>'[1]Soy Complex'!AL$61</f>
        <v>88.319380847499929</v>
      </c>
      <c r="X5" s="9">
        <f>'[1]Soy Complex'!AM$61</f>
        <v>58.744980296833319</v>
      </c>
      <c r="Y5" s="9">
        <f>'[1]Soy Complex'!AN$61</f>
        <v>76.935670118933558</v>
      </c>
      <c r="Z5" s="9">
        <f>'[1]Soy Complex'!AO$61</f>
        <v>97.17053671833321</v>
      </c>
      <c r="AA5" s="9">
        <f>'[1]Soy Complex'!AP$61</f>
        <v>71.978728454033217</v>
      </c>
      <c r="AB5" s="9">
        <f>'[1]Soy Complex'!AQ$61</f>
        <v>87.496624568399511</v>
      </c>
      <c r="AC5" s="9">
        <f>'[1]Soy Complex'!AR$61</f>
        <v>112.33748187543347</v>
      </c>
      <c r="AD5" s="9">
        <f>'[1]Soy Complex'!AS$61</f>
        <v>142.86335777036652</v>
      </c>
      <c r="AE5" s="9">
        <f>'[1]Soy Complex'!AT$61</f>
        <v>99.394408237866855</v>
      </c>
      <c r="AF5" s="9">
        <f>'[1]Soy Complex'!AU$61</f>
        <v>68.258787625600007</v>
      </c>
      <c r="AG5" s="9">
        <f>'[1]Soy Complex'!AV$61</f>
        <v>113.19087893916696</v>
      </c>
      <c r="AH5" s="9">
        <f>'[1]Soy Complex'!AW$61</f>
        <v>96.70983231090031</v>
      </c>
      <c r="AI5" s="9">
        <f>'[1]Soy Complex'!AX$61</f>
        <v>92.022945034867234</v>
      </c>
      <c r="AJ5" s="9">
        <f>'[1]Soy Complex'!AY$61</f>
        <v>182.70940915756637</v>
      </c>
      <c r="AK5" s="9">
        <f>'[1]Soy Complex'!AZ$61</f>
        <v>143.14750807333303</v>
      </c>
      <c r="AL5" s="9">
        <f>'[1]Soy Complex'!BA$61</f>
        <v>108.4867022300657</v>
      </c>
      <c r="AM5" s="9">
        <f>'[1]Soy Complex'!BB$61</f>
        <v>171.85609777315017</v>
      </c>
      <c r="AN5" s="9">
        <f>'[1]Soy Complex'!BC$61</f>
        <v>228.46861725411964</v>
      </c>
      <c r="AO5" s="9">
        <f>'[1]Soy Complex'!BD$61</f>
        <v>248.25457227906668</v>
      </c>
      <c r="AP5" s="9">
        <f>'[1]Soy Complex'!BE$61</f>
        <v>144.07617725360251</v>
      </c>
      <c r="AQ5" s="9">
        <f>'[1]Soy Complex'!BF$61</f>
        <v>188.49356234524384</v>
      </c>
      <c r="AR5" s="9">
        <f>'[1]Soy Complex'!BG$61</f>
        <v>205.5142603730892</v>
      </c>
      <c r="AS5" s="9">
        <f>'[1]Soy Complex'!BH$61</f>
        <v>87.53101685801812</v>
      </c>
      <c r="AT5" s="9">
        <f>'[1]Soy Complex'!BI$61</f>
        <v>76.394890355029702</v>
      </c>
      <c r="AU5" s="9">
        <f>'[1]Soy Complex'!BJ$61</f>
        <v>147.74085474916683</v>
      </c>
      <c r="AV5" s="9">
        <f>'[1]Soy Complex'!BK$61</f>
        <v>172.43730245816687</v>
      </c>
      <c r="AW5" s="9">
        <f>'[1]Soy Complex'!BL$61</f>
        <v>163.42117334173327</v>
      </c>
      <c r="AX5" s="10">
        <f>'[1]Soy Complex'!BM$61</f>
        <v>140.24001560316628</v>
      </c>
      <c r="AY5" s="10">
        <f>'[1]Soy Complex'!BN$61</f>
        <v>183.20655932102409</v>
      </c>
    </row>
    <row r="6" spans="1:51" x14ac:dyDescent="0.25">
      <c r="A6" s="8" t="s">
        <v>22</v>
      </c>
      <c r="T6" s="9">
        <f>'[1]Soy Complex'!AI$76</f>
        <v>4.37</v>
      </c>
      <c r="U6" s="9">
        <f>'[1]Soy Complex'!AJ$76</f>
        <v>76.263983584866992</v>
      </c>
      <c r="V6" s="9">
        <f>'[1]Soy Complex'!AK$76</f>
        <v>6.7734228181001299</v>
      </c>
      <c r="W6" s="9">
        <f>'[1]Soy Complex'!AL$76</f>
        <v>35.43824876406677</v>
      </c>
      <c r="X6" s="9">
        <f>'[1]Soy Complex'!AM$76</f>
        <v>47.177923293833146</v>
      </c>
      <c r="Y6" s="9">
        <f>'[1]Soy Complex'!AN$76</f>
        <v>79.768022923999979</v>
      </c>
      <c r="Z6" s="9">
        <f>'[1]Soy Complex'!AO$76</f>
        <v>63.873055662833622</v>
      </c>
      <c r="AA6" s="9">
        <f>'[1]Soy Complex'!AP$76</f>
        <v>82.656240869433304</v>
      </c>
      <c r="AB6" s="9">
        <f>'[1]Soy Complex'!AQ$76</f>
        <v>70.224033130333282</v>
      </c>
      <c r="AC6" s="9">
        <f>'[1]Soy Complex'!AR$76</f>
        <v>66.938677446799829</v>
      </c>
      <c r="AD6" s="9">
        <f>'[1]Soy Complex'!AS$76</f>
        <v>27.187740677333409</v>
      </c>
      <c r="AE6" s="9">
        <f>'[1]Soy Complex'!AT$76</f>
        <v>77.78314540813335</v>
      </c>
      <c r="AF6" s="9">
        <f>'[1]Soy Complex'!AU$76</f>
        <v>90.620705669333461</v>
      </c>
      <c r="AG6" s="9">
        <f>'[1]Soy Complex'!AV$76</f>
        <v>70.255182518500078</v>
      </c>
      <c r="AH6" s="9">
        <f>'[1]Soy Complex'!AW$76</f>
        <v>27.780753322133478</v>
      </c>
      <c r="AI6" s="9">
        <f>'[1]Soy Complex'!AX$76</f>
        <v>73.436429810799837</v>
      </c>
      <c r="AJ6" s="9">
        <f>'[1]Soy Complex'!AY$76</f>
        <v>-42.401457828566663</v>
      </c>
      <c r="AK6" s="9">
        <f>'[1]Soy Complex'!AZ$76</f>
        <v>52.694662528566369</v>
      </c>
      <c r="AL6" s="9">
        <f>'[1]Soy Complex'!BA$76</f>
        <v>73.893203722138537</v>
      </c>
      <c r="AM6" s="9">
        <f>'[1]Soy Complex'!BB$76</f>
        <v>-25.831430779016955</v>
      </c>
      <c r="AN6" s="9">
        <f>'[1]Soy Complex'!BC$76</f>
        <v>-30.365165916759906</v>
      </c>
      <c r="AO6" s="9">
        <f>'[1]Soy Complex'!BD$76</f>
        <v>-13.2317670580303</v>
      </c>
      <c r="AP6" s="9">
        <f>'[1]Soy Complex'!BE$76</f>
        <v>26.612106559659424</v>
      </c>
      <c r="AQ6" s="9">
        <f>'[1]Soy Complex'!BF$76</f>
        <v>-40.946751822307306</v>
      </c>
      <c r="AR6" s="9">
        <f>'[1]Soy Complex'!BG$76</f>
        <v>-58.081009895879333</v>
      </c>
      <c r="AS6" s="9">
        <f>'[1]Soy Complex'!BH$76</f>
        <v>2.5964016922234805</v>
      </c>
      <c r="AT6" s="9">
        <f>'[1]Soy Complex'!BI$76</f>
        <v>-53.763359308052713</v>
      </c>
      <c r="AU6" s="9">
        <f>'[1]Soy Complex'!BJ$76</f>
        <v>-50.206607949766749</v>
      </c>
      <c r="AV6" s="9">
        <f>'[1]Soy Complex'!BK$76</f>
        <v>-32.234392907966821</v>
      </c>
      <c r="AW6" s="9">
        <f>'[1]Soy Complex'!BL$76</f>
        <v>-4.1577439417335427</v>
      </c>
      <c r="AX6" s="10">
        <f>'[1]Soy Complex'!BM$76</f>
        <v>-22.023757606247727</v>
      </c>
      <c r="AY6" s="10">
        <f>'[1]Soy Complex'!BN$76</f>
        <v>-25</v>
      </c>
    </row>
    <row r="7" spans="1:51" x14ac:dyDescent="0.25">
      <c r="A7" s="8" t="s">
        <v>23</v>
      </c>
      <c r="T7" s="9">
        <f>'[1]Soy Complex'!AI$91</f>
        <v>4.3</v>
      </c>
      <c r="U7" s="9">
        <f>'[1]Soy Complex'!AJ$91</f>
        <v>8.9141418279667732</v>
      </c>
      <c r="V7" s="9">
        <f>'[1]Soy Complex'!AK$91</f>
        <v>45.152541833514306</v>
      </c>
      <c r="W7" s="9">
        <f>'[1]Soy Complex'!AL$91</f>
        <v>26.090356589128419</v>
      </c>
      <c r="X7" s="9">
        <f>'[1]Soy Complex'!AM$91</f>
        <v>81.794330551985695</v>
      </c>
      <c r="Y7" s="9">
        <f>'[1]Soy Complex'!AN$91</f>
        <v>48.029178056242813</v>
      </c>
      <c r="Z7" s="9">
        <f>'[1]Soy Complex'!AO$91</f>
        <v>36.969293277833458</v>
      </c>
      <c r="AA7" s="9">
        <f>'[1]Soy Complex'!AP$91</f>
        <v>56.204082498533353</v>
      </c>
      <c r="AB7" s="9">
        <f>'[1]Soy Complex'!AQ$91</f>
        <v>62.966489148819164</v>
      </c>
      <c r="AC7" s="9">
        <f>'[1]Soy Complex'!AR$91</f>
        <v>1.3859610311428696</v>
      </c>
      <c r="AD7" s="9">
        <f>'[1]Soy Complex'!AS$91</f>
        <v>4.3974367107666126</v>
      </c>
      <c r="AE7" s="9">
        <f>'[1]Soy Complex'!AT$91</f>
        <v>48.279630314609676</v>
      </c>
      <c r="AF7" s="9">
        <f>'[1]Soy Complex'!AU$91</f>
        <v>54.995249419966513</v>
      </c>
      <c r="AG7" s="9">
        <f>'[1]Soy Complex'!AV$91</f>
        <v>30.996693249666805</v>
      </c>
      <c r="AH7" s="9">
        <f>'[1]Soy Complex'!AW$91</f>
        <v>57.389564704514328</v>
      </c>
      <c r="AI7" s="9">
        <f>'[1]Soy Complex'!AX$91</f>
        <v>30.617102895576068</v>
      </c>
      <c r="AJ7" s="9">
        <f>'[1]Soy Complex'!AY$91</f>
        <v>47.046316224838051</v>
      </c>
      <c r="AK7" s="9">
        <f>'[1]Soy Complex'!AZ$91</f>
        <v>6.941526046104741</v>
      </c>
      <c r="AL7" s="9">
        <f>'[1]Soy Complex'!BA$91</f>
        <v>11.516451722578836</v>
      </c>
      <c r="AM7" s="9">
        <f>'[1]Soy Complex'!BB$91</f>
        <v>43.736880326600726</v>
      </c>
      <c r="AN7" s="9">
        <f>'[1]Soy Complex'!BC$91</f>
        <v>-16.804479754462591</v>
      </c>
      <c r="AO7" s="9">
        <f>'[1]Soy Complex'!BD$91</f>
        <v>27.839958480716291</v>
      </c>
      <c r="AP7" s="9">
        <f>'[1]Soy Complex'!BE$91</f>
        <v>-8.1509472633329096</v>
      </c>
      <c r="AQ7" s="9">
        <f>'[1]Soy Complex'!BF$91</f>
        <v>37.762750319330166</v>
      </c>
      <c r="AR7" s="9">
        <f>'[1]Soy Complex'!BG$91</f>
        <v>50.293743441394895</v>
      </c>
      <c r="AS7" s="9">
        <f>'[1]Soy Complex'!BH$91</f>
        <v>104.92418167551341</v>
      </c>
      <c r="AT7" s="9">
        <f>'[1]Soy Complex'!BI$91</f>
        <v>62.260843606952449</v>
      </c>
      <c r="AU7" s="9">
        <f>'[1]Soy Complex'!BJ$91</f>
        <v>66.663486525871576</v>
      </c>
      <c r="AV7" s="9">
        <f>'[1]Soy Complex'!BK$91</f>
        <v>72.766467497071517</v>
      </c>
      <c r="AW7" s="9">
        <f>'[1]Soy Complex'!BL$91</f>
        <v>64.677031393333436</v>
      </c>
      <c r="AX7" s="10">
        <f>'[1]Soy Complex'!BM$91</f>
        <v>64.954275890965391</v>
      </c>
      <c r="AY7" s="10">
        <f>'[1]Soy Complex'!BN$91</f>
        <v>70</v>
      </c>
    </row>
    <row r="8" spans="1:51" x14ac:dyDescent="0.25">
      <c r="A8" s="8" t="s">
        <v>24</v>
      </c>
      <c r="T8" s="9">
        <f>'[1]Soy Complex'!AI$106</f>
        <v>4.2699999999999996</v>
      </c>
      <c r="U8" s="9">
        <f>'[1]Soy Complex'!AJ$106</f>
        <v>-62.971062964400119</v>
      </c>
      <c r="V8" s="9">
        <f>'[1]Soy Complex'!AK$106</f>
        <v>-108.37352833734747</v>
      </c>
      <c r="W8" s="9">
        <f>'[1]Soy Complex'!AL$106</f>
        <v>-112.89491355062853</v>
      </c>
      <c r="X8" s="9">
        <f>'[1]Soy Complex'!AM$106</f>
        <v>-119.24121261865241</v>
      </c>
      <c r="Y8" s="9">
        <f>'[1]Soy Complex'!AN$106</f>
        <v>-90.31696312054288</v>
      </c>
      <c r="Z8" s="9">
        <f>'[1]Soy Complex'!AO$106</f>
        <v>-122.12512273276667</v>
      </c>
      <c r="AA8" s="9">
        <f>'[1]Soy Complex'!AP$106</f>
        <v>-131.58524027540005</v>
      </c>
      <c r="AB8" s="9">
        <f>'[1]Soy Complex'!AQ$106</f>
        <v>-139.3929269191857</v>
      </c>
      <c r="AC8" s="9">
        <f>'[1]Soy Complex'!AR$106</f>
        <v>-136.28555452240954</v>
      </c>
      <c r="AD8" s="9">
        <f>'[1]Soy Complex'!AS$106</f>
        <v>-154.37742908749999</v>
      </c>
      <c r="AE8" s="9">
        <f>'[1]Soy Complex'!AT$106</f>
        <v>-118.65181710834287</v>
      </c>
      <c r="AF8" s="9">
        <f>'[1]Soy Complex'!AU$106</f>
        <v>-103.48382610113333</v>
      </c>
      <c r="AG8" s="9">
        <f>'[1]Soy Complex'!AV$106</f>
        <v>-133.3681900153</v>
      </c>
      <c r="AH8" s="9">
        <f>'[1]Soy Complex'!AW$106</f>
        <v>-177.34927836654765</v>
      </c>
      <c r="AI8" s="9">
        <f>'[1]Soy Complex'!AX$106</f>
        <v>-180.17901583650951</v>
      </c>
      <c r="AJ8" s="9">
        <f>'[1]Soy Complex'!AY$106</f>
        <v>-165.2537603974713</v>
      </c>
      <c r="AK8" s="9">
        <f>'[1]Soy Complex'!AZ$106</f>
        <v>-161.13306645247144</v>
      </c>
      <c r="AL8" s="9">
        <f>'[1]Soy Complex'!BA$106</f>
        <v>-194.27406586039285</v>
      </c>
      <c r="AM8" s="9">
        <f>'[1]Soy Complex'!BB$106</f>
        <v>-183.91031678445995</v>
      </c>
      <c r="AN8" s="9">
        <f>'[1]Soy Complex'!BC$106</f>
        <v>-173.5216013520768</v>
      </c>
      <c r="AO8" s="9">
        <f>'[1]Soy Complex'!BD$106</f>
        <v>-211.58565629464226</v>
      </c>
      <c r="AP8" s="9">
        <f>'[1]Soy Complex'!BE$106</f>
        <v>-147.2908549942706</v>
      </c>
      <c r="AQ8" s="9">
        <f>'[1]Soy Complex'!BF$106</f>
        <v>-138.05896503700228</v>
      </c>
      <c r="AR8" s="9">
        <f>'[1]Soy Complex'!BG$106</f>
        <v>-193.44110964180697</v>
      </c>
      <c r="AS8" s="9">
        <f>'[1]Soy Complex'!BH$106</f>
        <v>-149.46098449191925</v>
      </c>
      <c r="AT8" s="9">
        <f>'[1]Soy Complex'!BI$106</f>
        <v>-75.366519928285584</v>
      </c>
      <c r="AU8" s="9">
        <f>'[1]Soy Complex'!BJ$106</f>
        <v>-152.86724361623806</v>
      </c>
      <c r="AV8" s="9">
        <f>'[1]Soy Complex'!BK$106</f>
        <v>-185.51588859643823</v>
      </c>
      <c r="AW8" s="9">
        <f>'[1]Soy Complex'!BL$106</f>
        <v>-187.40864719616661</v>
      </c>
      <c r="AX8" s="10">
        <f>'[1]Soy Complex'!BM$106</f>
        <v>-141.54252988809014</v>
      </c>
      <c r="AY8" s="10">
        <f>'[1]Soy Complex'!BN$106</f>
        <v>-193.20655932102409</v>
      </c>
    </row>
    <row r="9" spans="1:51" x14ac:dyDescent="0.25">
      <c r="A9" s="8" t="s">
        <v>25</v>
      </c>
      <c r="T9" s="9">
        <f>SUM(T5:T8)</f>
        <v>17.41</v>
      </c>
      <c r="U9" s="9">
        <f t="shared" ref="U9:AY9" si="0">SUM(U5:U8)</f>
        <v>-126.99125632409999</v>
      </c>
      <c r="V9" s="9">
        <f t="shared" si="0"/>
        <v>37.441594033699971</v>
      </c>
      <c r="W9" s="9">
        <f t="shared" si="0"/>
        <v>36.953072650066588</v>
      </c>
      <c r="X9" s="9">
        <f t="shared" si="0"/>
        <v>68.476021523999748</v>
      </c>
      <c r="Y9" s="9">
        <f t="shared" si="0"/>
        <v>114.41590797863347</v>
      </c>
      <c r="Z9" s="9">
        <f t="shared" si="0"/>
        <v>75.88776292623362</v>
      </c>
      <c r="AA9" s="9">
        <f t="shared" si="0"/>
        <v>79.25381154659982</v>
      </c>
      <c r="AB9" s="9">
        <f t="shared" si="0"/>
        <v>81.29421992836626</v>
      </c>
      <c r="AC9" s="9">
        <f t="shared" si="0"/>
        <v>44.376565830966626</v>
      </c>
      <c r="AD9" s="9">
        <f t="shared" si="0"/>
        <v>20.07110607096655</v>
      </c>
      <c r="AE9" s="9">
        <f t="shared" si="0"/>
        <v>106.80536685226701</v>
      </c>
      <c r="AF9" s="9">
        <f t="shared" si="0"/>
        <v>110.39091661376665</v>
      </c>
      <c r="AG9" s="9">
        <f t="shared" si="0"/>
        <v>81.074564692033846</v>
      </c>
      <c r="AH9" s="9">
        <f t="shared" si="0"/>
        <v>4.5308719710004652</v>
      </c>
      <c r="AI9" s="9">
        <f t="shared" si="0"/>
        <v>15.897461904733632</v>
      </c>
      <c r="AJ9" s="9">
        <f t="shared" si="0"/>
        <v>22.100507156366461</v>
      </c>
      <c r="AK9" s="9">
        <f t="shared" si="0"/>
        <v>41.650630195532699</v>
      </c>
      <c r="AL9" s="9">
        <f t="shared" si="0"/>
        <v>-0.37770818560977659</v>
      </c>
      <c r="AM9" s="9">
        <f t="shared" si="0"/>
        <v>5.851230536273988</v>
      </c>
      <c r="AN9" s="9">
        <f t="shared" si="0"/>
        <v>7.7773702308203383</v>
      </c>
      <c r="AO9" s="9">
        <f t="shared" si="0"/>
        <v>51.277107407110407</v>
      </c>
      <c r="AP9" s="9">
        <f t="shared" si="0"/>
        <v>15.24648155565842</v>
      </c>
      <c r="AQ9" s="9">
        <f t="shared" si="0"/>
        <v>47.250595805264425</v>
      </c>
      <c r="AR9" s="9">
        <f t="shared" si="0"/>
        <v>4.2858842767977876</v>
      </c>
      <c r="AS9" s="9">
        <f t="shared" si="0"/>
        <v>45.590615733835762</v>
      </c>
      <c r="AT9" s="9">
        <f t="shared" si="0"/>
        <v>9.5258547256438533</v>
      </c>
      <c r="AU9" s="9">
        <f t="shared" si="0"/>
        <v>11.3304897090336</v>
      </c>
      <c r="AV9" s="9">
        <f t="shared" si="0"/>
        <v>27.453488450833333</v>
      </c>
      <c r="AW9" s="9">
        <f t="shared" si="0"/>
        <v>36.531813597166547</v>
      </c>
      <c r="AX9" s="10">
        <f t="shared" si="0"/>
        <v>41.628003999793805</v>
      </c>
      <c r="AY9" s="10">
        <f t="shared" si="0"/>
        <v>35</v>
      </c>
    </row>
    <row r="10" spans="1:51" x14ac:dyDescent="0.25">
      <c r="AU10" s="11"/>
      <c r="AV10" s="11"/>
      <c r="AW10" s="11"/>
      <c r="AX10" s="11"/>
      <c r="AY10" s="11"/>
    </row>
    <row r="11" spans="1:51" x14ac:dyDescent="0.25">
      <c r="A11" s="8" t="s">
        <v>26</v>
      </c>
      <c r="AU11" s="11"/>
      <c r="AV11" s="11"/>
      <c r="AW11" s="11"/>
      <c r="AX11" s="11"/>
      <c r="AY11" s="11"/>
    </row>
    <row r="12" spans="1:51" x14ac:dyDescent="0.25">
      <c r="A12" s="8" t="s">
        <v>21</v>
      </c>
      <c r="T12" s="9">
        <f>SUM(T$5:T5)</f>
        <v>4.47</v>
      </c>
      <c r="U12" s="9">
        <f>SUM(U$5:U5)</f>
        <v>-149.19831877253364</v>
      </c>
      <c r="V12" s="9">
        <f>SUM(V$5:V5)</f>
        <v>93.889157719433001</v>
      </c>
      <c r="W12" s="9">
        <f>SUM(W$5:W5)</f>
        <v>88.319380847499929</v>
      </c>
      <c r="X12" s="9">
        <f>SUM(X$5:X5)</f>
        <v>58.744980296833319</v>
      </c>
      <c r="Y12" s="9">
        <f>SUM(Y$5:Y5)</f>
        <v>76.935670118933558</v>
      </c>
      <c r="Z12" s="9">
        <f>SUM(Z$5:Z5)</f>
        <v>97.17053671833321</v>
      </c>
      <c r="AA12" s="9">
        <f>SUM(AA$5:AA5)</f>
        <v>71.978728454033217</v>
      </c>
      <c r="AB12" s="9">
        <f>SUM(AB$5:AB5)</f>
        <v>87.496624568399511</v>
      </c>
      <c r="AC12" s="9">
        <f>SUM(AC$5:AC5)</f>
        <v>112.33748187543347</v>
      </c>
      <c r="AD12" s="9">
        <f>SUM(AD$5:AD5)</f>
        <v>142.86335777036652</v>
      </c>
      <c r="AE12" s="9">
        <f>SUM(AE$5:AE5)</f>
        <v>99.394408237866855</v>
      </c>
      <c r="AF12" s="9">
        <f>SUM(AF$5:AF5)</f>
        <v>68.258787625600007</v>
      </c>
      <c r="AG12" s="9">
        <f>SUM(AG$5:AG5)</f>
        <v>113.19087893916696</v>
      </c>
      <c r="AH12" s="9">
        <f>SUM(AH$5:AH5)</f>
        <v>96.70983231090031</v>
      </c>
      <c r="AI12" s="9">
        <f>SUM(AI$5:AI5)</f>
        <v>92.022945034867234</v>
      </c>
      <c r="AJ12" s="9">
        <f>SUM(AJ$5:AJ5)</f>
        <v>182.70940915756637</v>
      </c>
      <c r="AK12" s="9">
        <f>SUM(AK$5:AK5)</f>
        <v>143.14750807333303</v>
      </c>
      <c r="AL12" s="9">
        <f>SUM(AL$5:AL5)</f>
        <v>108.4867022300657</v>
      </c>
      <c r="AM12" s="9">
        <f>SUM(AM$5:AM5)</f>
        <v>171.85609777315017</v>
      </c>
      <c r="AN12" s="9">
        <f>SUM(AN$5:AN5)</f>
        <v>228.46861725411964</v>
      </c>
      <c r="AO12" s="9">
        <f>SUM(AO$5:AO5)</f>
        <v>248.25457227906668</v>
      </c>
      <c r="AP12" s="9">
        <f>SUM(AP$5:AP5)</f>
        <v>144.07617725360251</v>
      </c>
      <c r="AQ12" s="9">
        <f>SUM(AQ$5:AQ5)</f>
        <v>188.49356234524384</v>
      </c>
      <c r="AR12" s="9">
        <f>SUM(AR$5:AR5)</f>
        <v>205.5142603730892</v>
      </c>
      <c r="AS12" s="9">
        <f>SUM(AS$5:AS5)</f>
        <v>87.53101685801812</v>
      </c>
      <c r="AT12" s="9">
        <f>SUM(AT$5:AT5)</f>
        <v>76.394890355029702</v>
      </c>
      <c r="AU12" s="9">
        <f>SUM(AU$5:AU5)</f>
        <v>147.74085474916683</v>
      </c>
      <c r="AV12" s="9">
        <f>SUM(AV$5:AV5)</f>
        <v>172.43730245816687</v>
      </c>
      <c r="AW12" s="9">
        <f>SUM(AW$5:AW5)</f>
        <v>163.42117334173327</v>
      </c>
      <c r="AX12" s="10">
        <f>SUM(AX$5:AX5)</f>
        <v>140.24001560316628</v>
      </c>
      <c r="AY12" s="10">
        <f>SUM(AY$5:AY5)</f>
        <v>183.20655932102409</v>
      </c>
    </row>
    <row r="13" spans="1:51" x14ac:dyDescent="0.25">
      <c r="A13" s="8" t="s">
        <v>27</v>
      </c>
      <c r="T13" s="9">
        <f>SUM(T$5:T6)</f>
        <v>8.84</v>
      </c>
      <c r="U13" s="9">
        <f>SUM(U$5:U6)</f>
        <v>-72.934335187666647</v>
      </c>
      <c r="V13" s="9">
        <f>SUM(V$5:V6)</f>
        <v>100.66258053753313</v>
      </c>
      <c r="W13" s="9">
        <f>SUM(W$5:W6)</f>
        <v>123.7576296115667</v>
      </c>
      <c r="X13" s="9">
        <f>SUM(X$5:X6)</f>
        <v>105.92290359066646</v>
      </c>
      <c r="Y13" s="9">
        <f>SUM(Y$5:Y6)</f>
        <v>156.70369304293354</v>
      </c>
      <c r="Z13" s="9">
        <f>SUM(Z$5:Z6)</f>
        <v>161.04359238116683</v>
      </c>
      <c r="AA13" s="9">
        <f>SUM(AA$5:AA6)</f>
        <v>154.63496932346652</v>
      </c>
      <c r="AB13" s="9">
        <f>SUM(AB$5:AB6)</f>
        <v>157.72065769873279</v>
      </c>
      <c r="AC13" s="9">
        <f>SUM(AC$5:AC6)</f>
        <v>179.2761593222333</v>
      </c>
      <c r="AD13" s="9">
        <f>SUM(AD$5:AD6)</f>
        <v>170.05109844769993</v>
      </c>
      <c r="AE13" s="9">
        <f>SUM(AE$5:AE6)</f>
        <v>177.17755364600021</v>
      </c>
      <c r="AF13" s="9">
        <f>SUM(AF$5:AF6)</f>
        <v>158.87949329493347</v>
      </c>
      <c r="AG13" s="9">
        <f>SUM(AG$5:AG6)</f>
        <v>183.44606145766704</v>
      </c>
      <c r="AH13" s="9">
        <f>SUM(AH$5:AH6)</f>
        <v>124.49058563303379</v>
      </c>
      <c r="AI13" s="9">
        <f>SUM(AI$5:AI6)</f>
        <v>165.45937484566707</v>
      </c>
      <c r="AJ13" s="9">
        <f>SUM(AJ$5:AJ6)</f>
        <v>140.30795132899971</v>
      </c>
      <c r="AK13" s="9">
        <f>SUM(AK$5:AK6)</f>
        <v>195.8421706018994</v>
      </c>
      <c r="AL13" s="9">
        <f>SUM(AL$5:AL6)</f>
        <v>182.37990595220424</v>
      </c>
      <c r="AM13" s="9">
        <f>SUM(AM$5:AM6)</f>
        <v>146.02466699413321</v>
      </c>
      <c r="AN13" s="9">
        <f>SUM(AN$5:AN6)</f>
        <v>198.10345133735973</v>
      </c>
      <c r="AO13" s="9">
        <f>SUM(AO$5:AO6)</f>
        <v>235.02280522103638</v>
      </c>
      <c r="AP13" s="9">
        <f>SUM(AP$5:AP6)</f>
        <v>170.68828381326193</v>
      </c>
      <c r="AQ13" s="9">
        <f>SUM(AQ$5:AQ6)</f>
        <v>147.54681052293654</v>
      </c>
      <c r="AR13" s="9">
        <f>SUM(AR$5:AR6)</f>
        <v>147.43325047720987</v>
      </c>
      <c r="AS13" s="9">
        <f>SUM(AS$5:AS6)</f>
        <v>90.1274185502416</v>
      </c>
      <c r="AT13" s="9">
        <f>SUM(AT$5:AT6)</f>
        <v>22.631531046976988</v>
      </c>
      <c r="AU13" s="9">
        <f>SUM(AU$5:AU6)</f>
        <v>97.53424679940008</v>
      </c>
      <c r="AV13" s="9">
        <f>SUM(AV$5:AV6)</f>
        <v>140.20290955020005</v>
      </c>
      <c r="AW13" s="9">
        <f>SUM(AW$5:AW6)</f>
        <v>159.26342939999972</v>
      </c>
      <c r="AX13" s="10">
        <f>SUM(AX$5:AX6)</f>
        <v>118.21625799691856</v>
      </c>
      <c r="AY13" s="10">
        <f>SUM(AY$5:AY6)</f>
        <v>158.20655932102409</v>
      </c>
    </row>
    <row r="14" spans="1:51" x14ac:dyDescent="0.25">
      <c r="A14" s="8" t="s">
        <v>28</v>
      </c>
      <c r="T14" s="9">
        <f>SUM(T$5:T7)</f>
        <v>13.14</v>
      </c>
      <c r="U14" s="9">
        <f>SUM(U$5:U7)</f>
        <v>-64.020193359699874</v>
      </c>
      <c r="V14" s="9">
        <f>SUM(V$5:V7)</f>
        <v>145.81512237104744</v>
      </c>
      <c r="W14" s="9">
        <f>SUM(W$5:W7)</f>
        <v>149.84798620069512</v>
      </c>
      <c r="X14" s="9">
        <f>SUM(X$5:X7)</f>
        <v>187.71723414265216</v>
      </c>
      <c r="Y14" s="9">
        <f>SUM(Y$5:Y7)</f>
        <v>204.73287109917635</v>
      </c>
      <c r="Z14" s="9">
        <f>SUM(Z$5:Z7)</f>
        <v>198.01288565900029</v>
      </c>
      <c r="AA14" s="9">
        <f>SUM(AA$5:AA7)</f>
        <v>210.83905182199987</v>
      </c>
      <c r="AB14" s="9">
        <f>SUM(AB$5:AB7)</f>
        <v>220.68714684755196</v>
      </c>
      <c r="AC14" s="9">
        <f>SUM(AC$5:AC7)</f>
        <v>180.66212035337617</v>
      </c>
      <c r="AD14" s="9">
        <f>SUM(AD$5:AD7)</f>
        <v>174.44853515846654</v>
      </c>
      <c r="AE14" s="9">
        <f>SUM(AE$5:AE7)</f>
        <v>225.45718396060988</v>
      </c>
      <c r="AF14" s="9">
        <f>SUM(AF$5:AF7)</f>
        <v>213.87474271489998</v>
      </c>
      <c r="AG14" s="9">
        <f>SUM(AG$5:AG7)</f>
        <v>214.44275470733385</v>
      </c>
      <c r="AH14" s="9">
        <f>SUM(AH$5:AH7)</f>
        <v>181.88015033754812</v>
      </c>
      <c r="AI14" s="9">
        <f>SUM(AI$5:AI7)</f>
        <v>196.07647774124314</v>
      </c>
      <c r="AJ14" s="9">
        <f>SUM(AJ$5:AJ7)</f>
        <v>187.35426755383776</v>
      </c>
      <c r="AK14" s="9">
        <f>SUM(AK$5:AK7)</f>
        <v>202.78369664800414</v>
      </c>
      <c r="AL14" s="9">
        <f>SUM(AL$5:AL7)</f>
        <v>193.89635767478308</v>
      </c>
      <c r="AM14" s="9">
        <f>SUM(AM$5:AM7)</f>
        <v>189.76154732073394</v>
      </c>
      <c r="AN14" s="9">
        <f>SUM(AN$5:AN7)</f>
        <v>181.29897158289714</v>
      </c>
      <c r="AO14" s="9">
        <f>SUM(AO$5:AO7)</f>
        <v>262.86276370175267</v>
      </c>
      <c r="AP14" s="9">
        <f>SUM(AP$5:AP7)</f>
        <v>162.53733654992902</v>
      </c>
      <c r="AQ14" s="9">
        <f>SUM(AQ$5:AQ7)</f>
        <v>185.30956084226671</v>
      </c>
      <c r="AR14" s="9">
        <f>SUM(AR$5:AR7)</f>
        <v>197.72699391860476</v>
      </c>
      <c r="AS14" s="9">
        <f>SUM(AS$5:AS7)</f>
        <v>195.05160022575501</v>
      </c>
      <c r="AT14" s="9">
        <f>SUM(AT$5:AT7)</f>
        <v>84.892374653929437</v>
      </c>
      <c r="AU14" s="9">
        <f>SUM(AU$5:AU7)</f>
        <v>164.19773332527166</v>
      </c>
      <c r="AV14" s="9">
        <f>SUM(AV$5:AV7)</f>
        <v>212.96937704727156</v>
      </c>
      <c r="AW14" s="9">
        <f>SUM(AW$5:AW7)</f>
        <v>223.94046079333316</v>
      </c>
      <c r="AX14" s="10">
        <f>SUM(AX$5:AX7)</f>
        <v>183.17053388788395</v>
      </c>
      <c r="AY14" s="10">
        <f>SUM(AY$5:AY7)</f>
        <v>228.20655932102409</v>
      </c>
    </row>
    <row r="15" spans="1:51" x14ac:dyDescent="0.25">
      <c r="A15" s="8" t="s">
        <v>29</v>
      </c>
      <c r="T15" s="9">
        <f>SUM(T$5:T8)</f>
        <v>17.41</v>
      </c>
      <c r="U15" s="9">
        <f>SUM(U$5:U8)</f>
        <v>-126.99125632409999</v>
      </c>
      <c r="V15" s="9">
        <f>SUM(V$5:V8)</f>
        <v>37.441594033699971</v>
      </c>
      <c r="W15" s="9">
        <f>SUM(W$5:W8)</f>
        <v>36.953072650066588</v>
      </c>
      <c r="X15" s="9">
        <f>SUM(X$5:X8)</f>
        <v>68.476021523999748</v>
      </c>
      <c r="Y15" s="9">
        <f>SUM(Y$5:Y8)</f>
        <v>114.41590797863347</v>
      </c>
      <c r="Z15" s="9">
        <f>SUM(Z$5:Z8)</f>
        <v>75.88776292623362</v>
      </c>
      <c r="AA15" s="9">
        <f>SUM(AA$5:AA8)</f>
        <v>79.25381154659982</v>
      </c>
      <c r="AB15" s="9">
        <f>SUM(AB$5:AB8)</f>
        <v>81.29421992836626</v>
      </c>
      <c r="AC15" s="9">
        <f>SUM(AC$5:AC8)</f>
        <v>44.376565830966626</v>
      </c>
      <c r="AD15" s="9">
        <f>SUM(AD$5:AD8)</f>
        <v>20.07110607096655</v>
      </c>
      <c r="AE15" s="9">
        <f>SUM(AE$5:AE8)</f>
        <v>106.80536685226701</v>
      </c>
      <c r="AF15" s="9">
        <f>SUM(AF$5:AF8)</f>
        <v>110.39091661376665</v>
      </c>
      <c r="AG15" s="9">
        <f>SUM(AG$5:AG8)</f>
        <v>81.074564692033846</v>
      </c>
      <c r="AH15" s="9">
        <f>SUM(AH$5:AH8)</f>
        <v>4.5308719710004652</v>
      </c>
      <c r="AI15" s="9">
        <f>SUM(AI$5:AI8)</f>
        <v>15.897461904733632</v>
      </c>
      <c r="AJ15" s="9">
        <f>SUM(AJ$5:AJ8)</f>
        <v>22.100507156366461</v>
      </c>
      <c r="AK15" s="9">
        <f>SUM(AK$5:AK8)</f>
        <v>41.650630195532699</v>
      </c>
      <c r="AL15" s="9">
        <f>SUM(AL$5:AL8)</f>
        <v>-0.37770818560977659</v>
      </c>
      <c r="AM15" s="9">
        <f>SUM(AM$5:AM8)</f>
        <v>5.851230536273988</v>
      </c>
      <c r="AN15" s="9">
        <f>SUM(AN$5:AN8)</f>
        <v>7.7773702308203383</v>
      </c>
      <c r="AO15" s="9">
        <f>SUM(AO$5:AO8)</f>
        <v>51.277107407110407</v>
      </c>
      <c r="AP15" s="9">
        <f>SUM(AP$5:AP8)</f>
        <v>15.24648155565842</v>
      </c>
      <c r="AQ15" s="9">
        <f>SUM(AQ$5:AQ8)</f>
        <v>47.250595805264425</v>
      </c>
      <c r="AR15" s="9">
        <f>SUM(AR$5:AR8)</f>
        <v>4.2858842767977876</v>
      </c>
      <c r="AS15" s="9">
        <f>SUM(AS$5:AS8)</f>
        <v>45.590615733835762</v>
      </c>
      <c r="AT15" s="9">
        <f>SUM(AT$5:AT8)</f>
        <v>9.5258547256438533</v>
      </c>
      <c r="AU15" s="9">
        <f>SUM(AU$5:AU8)</f>
        <v>11.3304897090336</v>
      </c>
      <c r="AV15" s="9">
        <f>SUM(AV$5:AV8)</f>
        <v>27.453488450833333</v>
      </c>
      <c r="AW15" s="10">
        <f>SUM(AW$5:AW8)</f>
        <v>36.531813597166547</v>
      </c>
      <c r="AX15" s="10">
        <f>SUM(AX$5:AX8)</f>
        <v>41.628003999793805</v>
      </c>
      <c r="AY15" s="10">
        <f>SUM(AY$5:AY8)</f>
        <v>35</v>
      </c>
    </row>
    <row r="16" spans="1:51" x14ac:dyDescent="0.25">
      <c r="A16" s="8"/>
      <c r="AU16" s="11"/>
      <c r="AV16" s="11"/>
      <c r="AW16" s="11"/>
      <c r="AX16" s="11"/>
      <c r="AY16" s="11"/>
    </row>
    <row r="17" spans="1:51" x14ac:dyDescent="0.25">
      <c r="A17" s="8" t="s">
        <v>30</v>
      </c>
      <c r="T17" s="9">
        <f>SUM(T6:T8)</f>
        <v>12.94</v>
      </c>
      <c r="U17" s="9">
        <f t="shared" ref="U17:AT17" si="1">SUM(U6:U8)</f>
        <v>22.207062448433646</v>
      </c>
      <c r="V17" s="9">
        <f t="shared" si="1"/>
        <v>-56.44756368573303</v>
      </c>
      <c r="W17" s="9">
        <f t="shared" si="1"/>
        <v>-51.366308197433341</v>
      </c>
      <c r="X17" s="9">
        <f t="shared" si="1"/>
        <v>9.7310412271664291</v>
      </c>
      <c r="Y17" s="9">
        <f t="shared" si="1"/>
        <v>37.480237859699912</v>
      </c>
      <c r="Z17" s="9">
        <f t="shared" si="1"/>
        <v>-21.28277379209959</v>
      </c>
      <c r="AA17" s="9">
        <f t="shared" si="1"/>
        <v>7.2750830925666037</v>
      </c>
      <c r="AB17" s="9">
        <f t="shared" si="1"/>
        <v>-6.2024046400332509</v>
      </c>
      <c r="AC17" s="9">
        <f t="shared" si="1"/>
        <v>-67.960916044466842</v>
      </c>
      <c r="AD17" s="9">
        <f t="shared" si="1"/>
        <v>-122.79225169939997</v>
      </c>
      <c r="AE17" s="9">
        <f t="shared" si="1"/>
        <v>7.4109586144001582</v>
      </c>
      <c r="AF17" s="9">
        <f t="shared" si="1"/>
        <v>42.132128988166642</v>
      </c>
      <c r="AG17" s="9">
        <f t="shared" si="1"/>
        <v>-32.116314247133118</v>
      </c>
      <c r="AH17" s="9">
        <f t="shared" si="1"/>
        <v>-92.178960339899845</v>
      </c>
      <c r="AI17" s="9">
        <f t="shared" si="1"/>
        <v>-76.125483130133603</v>
      </c>
      <c r="AJ17" s="9">
        <f t="shared" si="1"/>
        <v>-160.60890200119991</v>
      </c>
      <c r="AK17" s="9">
        <f t="shared" si="1"/>
        <v>-101.49687787780033</v>
      </c>
      <c r="AL17" s="9">
        <f t="shared" si="1"/>
        <v>-108.86441041567548</v>
      </c>
      <c r="AM17" s="9">
        <f t="shared" si="1"/>
        <v>-166.00486723687618</v>
      </c>
      <c r="AN17" s="9">
        <f t="shared" si="1"/>
        <v>-220.6912470232993</v>
      </c>
      <c r="AO17" s="9">
        <f t="shared" si="1"/>
        <v>-196.97746487195627</v>
      </c>
      <c r="AP17" s="9">
        <f t="shared" si="1"/>
        <v>-128.82969569794409</v>
      </c>
      <c r="AQ17" s="9">
        <f t="shared" si="1"/>
        <v>-141.24296653997942</v>
      </c>
      <c r="AR17" s="9">
        <f t="shared" si="1"/>
        <v>-201.22837609629141</v>
      </c>
      <c r="AS17" s="9">
        <f t="shared" si="1"/>
        <v>-41.940401124182358</v>
      </c>
      <c r="AT17" s="9">
        <f t="shared" si="1"/>
        <v>-66.869035629385849</v>
      </c>
      <c r="AU17" s="9">
        <f>SUM(AU6:AU8)</f>
        <v>-136.41036504013323</v>
      </c>
      <c r="AV17" s="9">
        <f>SUM(AV6:AV8)</f>
        <v>-144.98381400733354</v>
      </c>
      <c r="AW17" s="9">
        <f>SUM(AW6:AW8)</f>
        <v>-126.88935974456672</v>
      </c>
      <c r="AX17" s="10">
        <f>SUM(AX6:AX8)</f>
        <v>-98.61201160337248</v>
      </c>
      <c r="AY17" s="10">
        <f>SUM(AY6:AY8)</f>
        <v>-148.20655932102409</v>
      </c>
    </row>
    <row r="18" spans="1:51" x14ac:dyDescent="0.25">
      <c r="A18" s="8" t="s">
        <v>31</v>
      </c>
      <c r="T18" s="9">
        <f>SUM(T7:T8)</f>
        <v>8.57</v>
      </c>
      <c r="U18" s="9">
        <f t="shared" ref="U18:AY18" si="2">SUM(U7:U8)</f>
        <v>-54.056921136433346</v>
      </c>
      <c r="V18" s="9">
        <f t="shared" si="2"/>
        <v>-63.22098650383316</v>
      </c>
      <c r="W18" s="9">
        <f t="shared" si="2"/>
        <v>-86.804556961500111</v>
      </c>
      <c r="X18" s="9">
        <f t="shared" si="2"/>
        <v>-37.446882066666717</v>
      </c>
      <c r="Y18" s="9">
        <f t="shared" si="2"/>
        <v>-42.287785064300067</v>
      </c>
      <c r="Z18" s="9">
        <f t="shared" si="2"/>
        <v>-85.155829454933212</v>
      </c>
      <c r="AA18" s="9">
        <f t="shared" si="2"/>
        <v>-75.381157776866701</v>
      </c>
      <c r="AB18" s="9">
        <f t="shared" si="2"/>
        <v>-76.426437770366533</v>
      </c>
      <c r="AC18" s="9">
        <f t="shared" si="2"/>
        <v>-134.89959349126667</v>
      </c>
      <c r="AD18" s="9">
        <f t="shared" si="2"/>
        <v>-149.97999237673338</v>
      </c>
      <c r="AE18" s="9">
        <f t="shared" si="2"/>
        <v>-70.372186793733192</v>
      </c>
      <c r="AF18" s="9">
        <f t="shared" si="2"/>
        <v>-48.488576681166819</v>
      </c>
      <c r="AG18" s="9">
        <f t="shared" si="2"/>
        <v>-102.3714967656332</v>
      </c>
      <c r="AH18" s="9">
        <f t="shared" si="2"/>
        <v>-119.95971366203332</v>
      </c>
      <c r="AI18" s="9">
        <f t="shared" si="2"/>
        <v>-149.56191294093344</v>
      </c>
      <c r="AJ18" s="9">
        <f t="shared" si="2"/>
        <v>-118.20744417263325</v>
      </c>
      <c r="AK18" s="9">
        <f t="shared" si="2"/>
        <v>-154.1915404063667</v>
      </c>
      <c r="AL18" s="9">
        <f t="shared" si="2"/>
        <v>-182.75761413781402</v>
      </c>
      <c r="AM18" s="9">
        <f t="shared" si="2"/>
        <v>-140.17343645785922</v>
      </c>
      <c r="AN18" s="9">
        <f t="shared" si="2"/>
        <v>-190.32608110653939</v>
      </c>
      <c r="AO18" s="9">
        <f t="shared" si="2"/>
        <v>-183.74569781392597</v>
      </c>
      <c r="AP18" s="9">
        <f t="shared" si="2"/>
        <v>-155.44180225760351</v>
      </c>
      <c r="AQ18" s="9">
        <f t="shared" si="2"/>
        <v>-100.29621471767211</v>
      </c>
      <c r="AR18" s="9">
        <f t="shared" si="2"/>
        <v>-143.14736620041208</v>
      </c>
      <c r="AS18" s="9">
        <f t="shared" si="2"/>
        <v>-44.536802816405839</v>
      </c>
      <c r="AT18" s="9">
        <f t="shared" si="2"/>
        <v>-13.105676321333135</v>
      </c>
      <c r="AU18" s="9">
        <f>SUM(AU7:AU8)</f>
        <v>-86.20375709036648</v>
      </c>
      <c r="AV18" s="9">
        <f t="shared" si="2"/>
        <v>-112.74942109936671</v>
      </c>
      <c r="AW18" s="9">
        <f t="shared" si="2"/>
        <v>-122.73161580283318</v>
      </c>
      <c r="AX18" s="10">
        <f t="shared" si="2"/>
        <v>-76.588253997124752</v>
      </c>
      <c r="AY18" s="10">
        <f t="shared" si="2"/>
        <v>-123.20655932102409</v>
      </c>
    </row>
    <row r="19" spans="1:51" x14ac:dyDescent="0.25">
      <c r="AU19" s="11"/>
      <c r="AV19" s="11"/>
      <c r="AW19" s="11"/>
      <c r="AX19" s="11"/>
      <c r="AY19" s="11"/>
    </row>
    <row r="20" spans="1:51" x14ac:dyDescent="0.25">
      <c r="A20" s="8" t="s">
        <v>32</v>
      </c>
      <c r="AU20" s="11"/>
      <c r="AV20" s="11"/>
      <c r="AW20" s="11"/>
      <c r="AX20" s="11"/>
      <c r="AY20" s="11"/>
    </row>
    <row r="21" spans="1:51" x14ac:dyDescent="0.25">
      <c r="A21" s="8" t="s">
        <v>21</v>
      </c>
      <c r="T21" s="9">
        <f>T5+(T101-T102)</f>
        <v>1808.4780000000001</v>
      </c>
      <c r="U21" s="9">
        <f t="shared" ref="U21:AY21" si="3">U5+(U101-U102)</f>
        <v>-105.75031877253377</v>
      </c>
      <c r="V21" s="9">
        <f t="shared" si="3"/>
        <v>71.469157719432928</v>
      </c>
      <c r="W21" s="9">
        <f t="shared" si="3"/>
        <v>90.409380847500074</v>
      </c>
      <c r="X21" s="9">
        <f t="shared" si="3"/>
        <v>97.248980296833224</v>
      </c>
      <c r="Y21" s="9">
        <f t="shared" si="3"/>
        <v>92.715670118933303</v>
      </c>
      <c r="Z21" s="9">
        <f t="shared" si="3"/>
        <v>86.320536718333301</v>
      </c>
      <c r="AA21" s="9">
        <f t="shared" si="3"/>
        <v>83.833728454033235</v>
      </c>
      <c r="AB21" s="9">
        <f t="shared" si="3"/>
        <v>87.386624568399839</v>
      </c>
      <c r="AC21" s="9">
        <f t="shared" si="3"/>
        <v>85.899481875433366</v>
      </c>
      <c r="AD21" s="9">
        <f t="shared" si="3"/>
        <v>106.58335777036677</v>
      </c>
      <c r="AE21" s="9">
        <f t="shared" si="3"/>
        <v>116.60040823786699</v>
      </c>
      <c r="AF21" s="9">
        <f t="shared" si="3"/>
        <v>86.348787625599698</v>
      </c>
      <c r="AG21" s="9">
        <f t="shared" si="3"/>
        <v>104.7118789391667</v>
      </c>
      <c r="AH21" s="9">
        <f t="shared" si="3"/>
        <v>4.7998323109000012</v>
      </c>
      <c r="AI21" s="9">
        <f t="shared" si="3"/>
        <v>84.189945034867151</v>
      </c>
      <c r="AJ21" s="9">
        <f t="shared" si="3"/>
        <v>182.80640915756612</v>
      </c>
      <c r="AK21" s="9">
        <f t="shared" si="3"/>
        <v>141.18250807333288</v>
      </c>
      <c r="AL21" s="9">
        <f t="shared" si="3"/>
        <v>67.339702230065768</v>
      </c>
      <c r="AM21" s="9">
        <f t="shared" si="3"/>
        <v>144.81009777315035</v>
      </c>
      <c r="AN21" s="9">
        <f t="shared" si="3"/>
        <v>160.29761725411981</v>
      </c>
      <c r="AO21" s="9">
        <f t="shared" si="3"/>
        <v>289.00757227906638</v>
      </c>
      <c r="AP21" s="9">
        <f t="shared" si="3"/>
        <v>147.18217725360273</v>
      </c>
      <c r="AQ21" s="9">
        <f t="shared" si="3"/>
        <v>198.66856234524403</v>
      </c>
      <c r="AR21" s="9">
        <f t="shared" si="3"/>
        <v>185.43426037308927</v>
      </c>
      <c r="AS21" s="9">
        <f t="shared" si="3"/>
        <v>203.26401685801829</v>
      </c>
      <c r="AT21" s="9">
        <f t="shared" si="3"/>
        <v>82.767890355029749</v>
      </c>
      <c r="AU21" s="9">
        <f t="shared" si="3"/>
        <v>66.915854749167011</v>
      </c>
      <c r="AV21" s="9">
        <f t="shared" si="3"/>
        <v>143.17730245816665</v>
      </c>
      <c r="AW21" s="9">
        <f t="shared" si="3"/>
        <v>169.34817334173295</v>
      </c>
      <c r="AX21" s="10">
        <f t="shared" si="3"/>
        <v>183.41080238714312</v>
      </c>
      <c r="AY21" s="10">
        <f t="shared" si="3"/>
        <v>217.48181268327653</v>
      </c>
    </row>
    <row r="22" spans="1:51" x14ac:dyDescent="0.25">
      <c r="A22" s="8" t="s">
        <v>22</v>
      </c>
      <c r="T22" s="9">
        <f>T6</f>
        <v>4.37</v>
      </c>
      <c r="U22" s="9">
        <f t="shared" ref="U22:AY24" si="4">U6</f>
        <v>76.263983584866992</v>
      </c>
      <c r="V22" s="9">
        <f t="shared" si="4"/>
        <v>6.7734228181001299</v>
      </c>
      <c r="W22" s="9">
        <f t="shared" si="4"/>
        <v>35.43824876406677</v>
      </c>
      <c r="X22" s="9">
        <f t="shared" si="4"/>
        <v>47.177923293833146</v>
      </c>
      <c r="Y22" s="9">
        <f t="shared" si="4"/>
        <v>79.768022923999979</v>
      </c>
      <c r="Z22" s="9">
        <f t="shared" si="4"/>
        <v>63.873055662833622</v>
      </c>
      <c r="AA22" s="9">
        <f t="shared" si="4"/>
        <v>82.656240869433304</v>
      </c>
      <c r="AB22" s="9">
        <f t="shared" si="4"/>
        <v>70.224033130333282</v>
      </c>
      <c r="AC22" s="9">
        <f t="shared" si="4"/>
        <v>66.938677446799829</v>
      </c>
      <c r="AD22" s="9">
        <f t="shared" si="4"/>
        <v>27.187740677333409</v>
      </c>
      <c r="AE22" s="9">
        <f t="shared" si="4"/>
        <v>77.78314540813335</v>
      </c>
      <c r="AF22" s="9">
        <f t="shared" si="4"/>
        <v>90.620705669333461</v>
      </c>
      <c r="AG22" s="9">
        <f t="shared" si="4"/>
        <v>70.255182518500078</v>
      </c>
      <c r="AH22" s="9">
        <f t="shared" si="4"/>
        <v>27.780753322133478</v>
      </c>
      <c r="AI22" s="9">
        <f t="shared" si="4"/>
        <v>73.436429810799837</v>
      </c>
      <c r="AJ22" s="9">
        <f t="shared" si="4"/>
        <v>-42.401457828566663</v>
      </c>
      <c r="AK22" s="9">
        <f t="shared" si="4"/>
        <v>52.694662528566369</v>
      </c>
      <c r="AL22" s="9">
        <f t="shared" si="4"/>
        <v>73.893203722138537</v>
      </c>
      <c r="AM22" s="9">
        <f t="shared" si="4"/>
        <v>-25.831430779016955</v>
      </c>
      <c r="AN22" s="9">
        <f t="shared" si="4"/>
        <v>-30.365165916759906</v>
      </c>
      <c r="AO22" s="9">
        <f t="shared" si="4"/>
        <v>-13.2317670580303</v>
      </c>
      <c r="AP22" s="9">
        <f t="shared" si="4"/>
        <v>26.612106559659424</v>
      </c>
      <c r="AQ22" s="9">
        <f t="shared" si="4"/>
        <v>-40.946751822307306</v>
      </c>
      <c r="AR22" s="9">
        <f t="shared" si="4"/>
        <v>-58.081009895879333</v>
      </c>
      <c r="AS22" s="9">
        <f t="shared" si="4"/>
        <v>2.5964016922234805</v>
      </c>
      <c r="AT22" s="9">
        <f t="shared" si="4"/>
        <v>-53.763359308052713</v>
      </c>
      <c r="AU22" s="9">
        <f t="shared" si="4"/>
        <v>-50.206607949766749</v>
      </c>
      <c r="AV22" s="9">
        <f t="shared" si="4"/>
        <v>-32.234392907966821</v>
      </c>
      <c r="AW22" s="9">
        <f t="shared" si="4"/>
        <v>-4.1577439417335427</v>
      </c>
      <c r="AX22" s="10">
        <f t="shared" si="4"/>
        <v>-22.023757606247727</v>
      </c>
      <c r="AY22" s="10">
        <f t="shared" si="4"/>
        <v>-25</v>
      </c>
    </row>
    <row r="23" spans="1:51" x14ac:dyDescent="0.25">
      <c r="A23" s="8" t="s">
        <v>23</v>
      </c>
      <c r="T23" s="9">
        <f t="shared" ref="T23:T24" si="5">T7</f>
        <v>4.3</v>
      </c>
      <c r="U23" s="9">
        <f t="shared" si="4"/>
        <v>8.9141418279667732</v>
      </c>
      <c r="V23" s="9">
        <f t="shared" si="4"/>
        <v>45.152541833514306</v>
      </c>
      <c r="W23" s="9">
        <f t="shared" si="4"/>
        <v>26.090356589128419</v>
      </c>
      <c r="X23" s="9">
        <f t="shared" si="4"/>
        <v>81.794330551985695</v>
      </c>
      <c r="Y23" s="9">
        <f t="shared" si="4"/>
        <v>48.029178056242813</v>
      </c>
      <c r="Z23" s="9">
        <f t="shared" si="4"/>
        <v>36.969293277833458</v>
      </c>
      <c r="AA23" s="9">
        <f t="shared" si="4"/>
        <v>56.204082498533353</v>
      </c>
      <c r="AB23" s="9">
        <f t="shared" si="4"/>
        <v>62.966489148819164</v>
      </c>
      <c r="AC23" s="9">
        <f t="shared" si="4"/>
        <v>1.3859610311428696</v>
      </c>
      <c r="AD23" s="9">
        <f t="shared" si="4"/>
        <v>4.3974367107666126</v>
      </c>
      <c r="AE23" s="9">
        <f t="shared" si="4"/>
        <v>48.279630314609676</v>
      </c>
      <c r="AF23" s="9">
        <f t="shared" si="4"/>
        <v>54.995249419966513</v>
      </c>
      <c r="AG23" s="9">
        <f t="shared" si="4"/>
        <v>30.996693249666805</v>
      </c>
      <c r="AH23" s="9">
        <f t="shared" si="4"/>
        <v>57.389564704514328</v>
      </c>
      <c r="AI23" s="9">
        <f t="shared" si="4"/>
        <v>30.617102895576068</v>
      </c>
      <c r="AJ23" s="9">
        <f t="shared" si="4"/>
        <v>47.046316224838051</v>
      </c>
      <c r="AK23" s="9">
        <f t="shared" si="4"/>
        <v>6.941526046104741</v>
      </c>
      <c r="AL23" s="9">
        <f t="shared" si="4"/>
        <v>11.516451722578836</v>
      </c>
      <c r="AM23" s="9">
        <f t="shared" si="4"/>
        <v>43.736880326600726</v>
      </c>
      <c r="AN23" s="9">
        <f t="shared" si="4"/>
        <v>-16.804479754462591</v>
      </c>
      <c r="AO23" s="9">
        <f t="shared" si="4"/>
        <v>27.839958480716291</v>
      </c>
      <c r="AP23" s="9">
        <f t="shared" si="4"/>
        <v>-8.1509472633329096</v>
      </c>
      <c r="AQ23" s="9">
        <f t="shared" si="4"/>
        <v>37.762750319330166</v>
      </c>
      <c r="AR23" s="9">
        <f t="shared" si="4"/>
        <v>50.293743441394895</v>
      </c>
      <c r="AS23" s="9">
        <f t="shared" si="4"/>
        <v>104.92418167551341</v>
      </c>
      <c r="AT23" s="9">
        <f t="shared" si="4"/>
        <v>62.260843606952449</v>
      </c>
      <c r="AU23" s="9">
        <f t="shared" si="4"/>
        <v>66.663486525871576</v>
      </c>
      <c r="AV23" s="9">
        <f t="shared" si="4"/>
        <v>72.766467497071517</v>
      </c>
      <c r="AW23" s="9">
        <f t="shared" si="4"/>
        <v>64.677031393333436</v>
      </c>
      <c r="AX23" s="10">
        <f t="shared" si="4"/>
        <v>64.954275890965391</v>
      </c>
      <c r="AY23" s="10">
        <f t="shared" si="4"/>
        <v>70</v>
      </c>
    </row>
    <row r="24" spans="1:51" x14ac:dyDescent="0.25">
      <c r="A24" s="8" t="s">
        <v>24</v>
      </c>
      <c r="T24" s="9">
        <f t="shared" si="5"/>
        <v>4.2699999999999996</v>
      </c>
      <c r="U24" s="9">
        <f t="shared" si="4"/>
        <v>-62.971062964400119</v>
      </c>
      <c r="V24" s="9">
        <f t="shared" si="4"/>
        <v>-108.37352833734747</v>
      </c>
      <c r="W24" s="9">
        <f t="shared" si="4"/>
        <v>-112.89491355062853</v>
      </c>
      <c r="X24" s="9">
        <f t="shared" si="4"/>
        <v>-119.24121261865241</v>
      </c>
      <c r="Y24" s="9">
        <f t="shared" si="4"/>
        <v>-90.31696312054288</v>
      </c>
      <c r="Z24" s="9">
        <f t="shared" si="4"/>
        <v>-122.12512273276667</v>
      </c>
      <c r="AA24" s="9">
        <f t="shared" si="4"/>
        <v>-131.58524027540005</v>
      </c>
      <c r="AB24" s="9">
        <f t="shared" si="4"/>
        <v>-139.3929269191857</v>
      </c>
      <c r="AC24" s="9">
        <f t="shared" si="4"/>
        <v>-136.28555452240954</v>
      </c>
      <c r="AD24" s="9">
        <f t="shared" si="4"/>
        <v>-154.37742908749999</v>
      </c>
      <c r="AE24" s="9">
        <f t="shared" si="4"/>
        <v>-118.65181710834287</v>
      </c>
      <c r="AF24" s="9">
        <f t="shared" si="4"/>
        <v>-103.48382610113333</v>
      </c>
      <c r="AG24" s="9">
        <f t="shared" si="4"/>
        <v>-133.3681900153</v>
      </c>
      <c r="AH24" s="9">
        <f t="shared" si="4"/>
        <v>-177.34927836654765</v>
      </c>
      <c r="AI24" s="9">
        <f t="shared" si="4"/>
        <v>-180.17901583650951</v>
      </c>
      <c r="AJ24" s="9">
        <f t="shared" si="4"/>
        <v>-165.2537603974713</v>
      </c>
      <c r="AK24" s="9">
        <f t="shared" si="4"/>
        <v>-161.13306645247144</v>
      </c>
      <c r="AL24" s="9">
        <f t="shared" si="4"/>
        <v>-194.27406586039285</v>
      </c>
      <c r="AM24" s="9">
        <f t="shared" si="4"/>
        <v>-183.91031678445995</v>
      </c>
      <c r="AN24" s="9">
        <f t="shared" si="4"/>
        <v>-173.5216013520768</v>
      </c>
      <c r="AO24" s="9">
        <f t="shared" si="4"/>
        <v>-211.58565629464226</v>
      </c>
      <c r="AP24" s="9">
        <f t="shared" si="4"/>
        <v>-147.2908549942706</v>
      </c>
      <c r="AQ24" s="9">
        <f t="shared" si="4"/>
        <v>-138.05896503700228</v>
      </c>
      <c r="AR24" s="9">
        <f t="shared" si="4"/>
        <v>-193.44110964180697</v>
      </c>
      <c r="AS24" s="9">
        <f t="shared" si="4"/>
        <v>-149.46098449191925</v>
      </c>
      <c r="AT24" s="9">
        <f t="shared" si="4"/>
        <v>-75.366519928285584</v>
      </c>
      <c r="AU24" s="9">
        <f t="shared" si="4"/>
        <v>-152.86724361623806</v>
      </c>
      <c r="AV24" s="9">
        <f t="shared" si="4"/>
        <v>-185.51588859643823</v>
      </c>
      <c r="AW24" s="9">
        <f t="shared" si="4"/>
        <v>-187.40864719616661</v>
      </c>
      <c r="AX24" s="10">
        <f t="shared" si="4"/>
        <v>-141.54252988809014</v>
      </c>
      <c r="AY24" s="10">
        <f t="shared" si="4"/>
        <v>-193.20655932102409</v>
      </c>
    </row>
    <row r="25" spans="1:51" x14ac:dyDescent="0.25">
      <c r="A25" s="8" t="s">
        <v>25</v>
      </c>
      <c r="T25" s="9">
        <f>SUM(T21:T24)</f>
        <v>1821.4179999999999</v>
      </c>
      <c r="U25" s="9">
        <f t="shared" ref="U25:AY25" si="6">SUM(U21:U24)</f>
        <v>-83.543256324100128</v>
      </c>
      <c r="V25" s="9">
        <f t="shared" si="6"/>
        <v>15.021594033699898</v>
      </c>
      <c r="W25" s="9">
        <f t="shared" si="6"/>
        <v>39.043072650066733</v>
      </c>
      <c r="X25" s="9">
        <f t="shared" si="6"/>
        <v>106.98002152399965</v>
      </c>
      <c r="Y25" s="9">
        <f t="shared" si="6"/>
        <v>130.19590797863322</v>
      </c>
      <c r="Z25" s="9">
        <f t="shared" si="6"/>
        <v>65.037762926233711</v>
      </c>
      <c r="AA25" s="9">
        <f t="shared" si="6"/>
        <v>91.108811546599838</v>
      </c>
      <c r="AB25" s="9">
        <f t="shared" si="6"/>
        <v>81.184219928366588</v>
      </c>
      <c r="AC25" s="9">
        <f t="shared" si="6"/>
        <v>17.938565830966525</v>
      </c>
      <c r="AD25" s="9">
        <f t="shared" si="6"/>
        <v>-16.208893929033195</v>
      </c>
      <c r="AE25" s="9">
        <f t="shared" si="6"/>
        <v>124.01136685226714</v>
      </c>
      <c r="AF25" s="9">
        <f t="shared" si="6"/>
        <v>128.48091661376634</v>
      </c>
      <c r="AG25" s="9">
        <f t="shared" si="6"/>
        <v>72.595564692033577</v>
      </c>
      <c r="AH25" s="9">
        <f t="shared" si="6"/>
        <v>-87.379128028999844</v>
      </c>
      <c r="AI25" s="9">
        <f t="shared" si="6"/>
        <v>8.0644619047335482</v>
      </c>
      <c r="AJ25" s="9">
        <f t="shared" si="6"/>
        <v>22.197507156366214</v>
      </c>
      <c r="AK25" s="9">
        <f t="shared" si="6"/>
        <v>39.685630195532553</v>
      </c>
      <c r="AL25" s="9">
        <f t="shared" si="6"/>
        <v>-41.524708185609711</v>
      </c>
      <c r="AM25" s="9">
        <f t="shared" si="6"/>
        <v>-21.194769463725834</v>
      </c>
      <c r="AN25" s="9">
        <f t="shared" si="6"/>
        <v>-60.393629769179483</v>
      </c>
      <c r="AO25" s="9">
        <f t="shared" si="6"/>
        <v>92.030107407110108</v>
      </c>
      <c r="AP25" s="9">
        <f t="shared" si="6"/>
        <v>18.352481555658642</v>
      </c>
      <c r="AQ25" s="9">
        <f t="shared" si="6"/>
        <v>57.425595805264606</v>
      </c>
      <c r="AR25" s="9">
        <f t="shared" si="6"/>
        <v>-15.79411572320214</v>
      </c>
      <c r="AS25" s="9">
        <f t="shared" si="6"/>
        <v>161.32361573383594</v>
      </c>
      <c r="AT25" s="9">
        <f t="shared" si="6"/>
        <v>15.898854725643901</v>
      </c>
      <c r="AU25" s="9">
        <f t="shared" si="6"/>
        <v>-69.494510290966218</v>
      </c>
      <c r="AV25" s="9">
        <f t="shared" si="6"/>
        <v>-1.8065115491668848</v>
      </c>
      <c r="AW25" s="9">
        <f t="shared" si="6"/>
        <v>42.458813597166227</v>
      </c>
      <c r="AX25" s="10">
        <f t="shared" si="6"/>
        <v>84.798790783770642</v>
      </c>
      <c r="AY25" s="10">
        <f t="shared" si="6"/>
        <v>69.275253362252442</v>
      </c>
    </row>
    <row r="26" spans="1:51" x14ac:dyDescent="0.25">
      <c r="AU26" s="11"/>
      <c r="AV26" s="11"/>
      <c r="AW26" s="11"/>
      <c r="AX26" s="11"/>
      <c r="AY26" s="11"/>
    </row>
    <row r="27" spans="1:51" x14ac:dyDescent="0.25">
      <c r="A27" s="8" t="s">
        <v>33</v>
      </c>
      <c r="AU27" s="11"/>
      <c r="AV27" s="11"/>
      <c r="AW27" s="11"/>
      <c r="AX27" s="11"/>
      <c r="AY27" s="11"/>
    </row>
    <row r="28" spans="1:51" x14ac:dyDescent="0.25">
      <c r="A28" s="8" t="s">
        <v>21</v>
      </c>
      <c r="T28" s="9">
        <f>SUM(T$21:T21)</f>
        <v>1808.4780000000001</v>
      </c>
      <c r="U28" s="9">
        <f>SUM(U$21:U21)</f>
        <v>-105.75031877253377</v>
      </c>
      <c r="V28" s="9">
        <f>SUM(V$21:V21)</f>
        <v>71.469157719432928</v>
      </c>
      <c r="W28" s="9">
        <f>SUM(W$21:W21)</f>
        <v>90.409380847500074</v>
      </c>
      <c r="X28" s="9">
        <f>SUM(X$21:X21)</f>
        <v>97.248980296833224</v>
      </c>
      <c r="Y28" s="9">
        <f>SUM(Y$21:Y21)</f>
        <v>92.715670118933303</v>
      </c>
      <c r="Z28" s="9">
        <f>SUM(Z$21:Z21)</f>
        <v>86.320536718333301</v>
      </c>
      <c r="AA28" s="9">
        <f>SUM(AA$21:AA21)</f>
        <v>83.833728454033235</v>
      </c>
      <c r="AB28" s="9">
        <f>SUM(AB$21:AB21)</f>
        <v>87.386624568399839</v>
      </c>
      <c r="AC28" s="9">
        <f>SUM(AC$21:AC21)</f>
        <v>85.899481875433366</v>
      </c>
      <c r="AD28" s="9">
        <f>SUM(AD$21:AD21)</f>
        <v>106.58335777036677</v>
      </c>
      <c r="AE28" s="9">
        <f>SUM(AE$21:AE21)</f>
        <v>116.60040823786699</v>
      </c>
      <c r="AF28" s="9">
        <f>SUM(AF$21:AF21)</f>
        <v>86.348787625599698</v>
      </c>
      <c r="AG28" s="9">
        <f>SUM(AG$21:AG21)</f>
        <v>104.7118789391667</v>
      </c>
      <c r="AH28" s="9">
        <f>SUM(AH$21:AH21)</f>
        <v>4.7998323109000012</v>
      </c>
      <c r="AI28" s="9">
        <f>SUM(AI$21:AI21)</f>
        <v>84.189945034867151</v>
      </c>
      <c r="AJ28" s="9">
        <f>SUM(AJ$21:AJ21)</f>
        <v>182.80640915756612</v>
      </c>
      <c r="AK28" s="9">
        <f>SUM(AK$21:AK21)</f>
        <v>141.18250807333288</v>
      </c>
      <c r="AL28" s="9">
        <f>SUM(AL$21:AL21)</f>
        <v>67.339702230065768</v>
      </c>
      <c r="AM28" s="9">
        <f>SUM(AM$21:AM21)</f>
        <v>144.81009777315035</v>
      </c>
      <c r="AN28" s="9">
        <f>SUM(AN$21:AN21)</f>
        <v>160.29761725411981</v>
      </c>
      <c r="AO28" s="9">
        <f>SUM(AO$21:AO21)</f>
        <v>289.00757227906638</v>
      </c>
      <c r="AP28" s="9">
        <f>SUM(AP$21:AP21)</f>
        <v>147.18217725360273</v>
      </c>
      <c r="AQ28" s="9">
        <f>SUM(AQ$21:AQ21)</f>
        <v>198.66856234524403</v>
      </c>
      <c r="AR28" s="9">
        <f>SUM(AR$21:AR21)</f>
        <v>185.43426037308927</v>
      </c>
      <c r="AS28" s="9">
        <f>SUM(AS$21:AS21)</f>
        <v>203.26401685801829</v>
      </c>
      <c r="AT28" s="9">
        <f>SUM(AT$21:AT21)</f>
        <v>82.767890355029749</v>
      </c>
      <c r="AU28" s="9">
        <f>SUM(AU$21:AU21)</f>
        <v>66.915854749167011</v>
      </c>
      <c r="AV28" s="9">
        <f>SUM(AV$21:AV21)</f>
        <v>143.17730245816665</v>
      </c>
      <c r="AW28" s="9">
        <f>SUM(AW$21:AW21)</f>
        <v>169.34817334173295</v>
      </c>
      <c r="AX28" s="10">
        <f>SUM(AX$21:AX21)</f>
        <v>183.41080238714312</v>
      </c>
      <c r="AY28" s="10">
        <f>SUM(AY$21:AY21)</f>
        <v>217.48181268327653</v>
      </c>
    </row>
    <row r="29" spans="1:51" x14ac:dyDescent="0.25">
      <c r="A29" s="8" t="s">
        <v>27</v>
      </c>
      <c r="T29" s="9">
        <f>SUM(T$21:T22)</f>
        <v>1812.848</v>
      </c>
      <c r="U29" s="9">
        <f>SUM(U$21:U22)</f>
        <v>-29.486335187666782</v>
      </c>
      <c r="V29" s="9">
        <f>SUM(V$21:V22)</f>
        <v>78.242580537533058</v>
      </c>
      <c r="W29" s="9">
        <f>SUM(W$21:W22)</f>
        <v>125.84762961156684</v>
      </c>
      <c r="X29" s="9">
        <f>SUM(X$21:X22)</f>
        <v>144.42690359066637</v>
      </c>
      <c r="Y29" s="9">
        <f>SUM(Y$21:Y22)</f>
        <v>172.48369304293328</v>
      </c>
      <c r="Z29" s="9">
        <f>SUM(Z$21:Z22)</f>
        <v>150.19359238116692</v>
      </c>
      <c r="AA29" s="9">
        <f>SUM(AA$21:AA22)</f>
        <v>166.48996932346654</v>
      </c>
      <c r="AB29" s="9">
        <f>SUM(AB$21:AB22)</f>
        <v>157.61065769873312</v>
      </c>
      <c r="AC29" s="9">
        <f>SUM(AC$21:AC22)</f>
        <v>152.8381593222332</v>
      </c>
      <c r="AD29" s="9">
        <f>SUM(AD$21:AD22)</f>
        <v>133.77109844770018</v>
      </c>
      <c r="AE29" s="9">
        <f>SUM(AE$21:AE22)</f>
        <v>194.38355364600034</v>
      </c>
      <c r="AF29" s="9">
        <f>SUM(AF$21:AF22)</f>
        <v>176.96949329493316</v>
      </c>
      <c r="AG29" s="9">
        <f>SUM(AG$21:AG22)</f>
        <v>174.96706145766677</v>
      </c>
      <c r="AH29" s="9">
        <f>SUM(AH$21:AH22)</f>
        <v>32.580585633033479</v>
      </c>
      <c r="AI29" s="9">
        <f>SUM(AI$21:AI22)</f>
        <v>157.62637484566699</v>
      </c>
      <c r="AJ29" s="9">
        <f>SUM(AJ$21:AJ22)</f>
        <v>140.40495132899946</v>
      </c>
      <c r="AK29" s="9">
        <f>SUM(AK$21:AK22)</f>
        <v>193.87717060189925</v>
      </c>
      <c r="AL29" s="9">
        <f>SUM(AL$21:AL22)</f>
        <v>141.23290595220431</v>
      </c>
      <c r="AM29" s="9">
        <f>SUM(AM$21:AM22)</f>
        <v>118.97866699413339</v>
      </c>
      <c r="AN29" s="9">
        <f>SUM(AN$21:AN22)</f>
        <v>129.93245133735991</v>
      </c>
      <c r="AO29" s="9">
        <f>SUM(AO$21:AO22)</f>
        <v>275.77580522103608</v>
      </c>
      <c r="AP29" s="9">
        <f>SUM(AP$21:AP22)</f>
        <v>173.79428381326215</v>
      </c>
      <c r="AQ29" s="9">
        <f>SUM(AQ$21:AQ22)</f>
        <v>157.72181052293672</v>
      </c>
      <c r="AR29" s="9">
        <f>SUM(AR$21:AR22)</f>
        <v>127.35325047720994</v>
      </c>
      <c r="AS29" s="9">
        <f>SUM(AS$21:AS22)</f>
        <v>205.86041855024177</v>
      </c>
      <c r="AT29" s="9">
        <f>SUM(AT$21:AT22)</f>
        <v>29.004531046977036</v>
      </c>
      <c r="AU29" s="9">
        <f>SUM(AU$21:AU22)</f>
        <v>16.709246799400262</v>
      </c>
      <c r="AV29" s="9">
        <f>SUM(AV$21:AV22)</f>
        <v>110.94290955019983</v>
      </c>
      <c r="AW29" s="9">
        <f>SUM(AW$21:AW22)</f>
        <v>165.1904293999994</v>
      </c>
      <c r="AX29" s="10">
        <f>SUM(AX$21:AX22)</f>
        <v>161.38704478089539</v>
      </c>
      <c r="AY29" s="10">
        <f>SUM(AY$21:AY22)</f>
        <v>192.48181268327653</v>
      </c>
    </row>
    <row r="30" spans="1:51" x14ac:dyDescent="0.25">
      <c r="A30" s="8" t="s">
        <v>28</v>
      </c>
      <c r="T30" s="9">
        <f>SUM(T$21:T23)</f>
        <v>1817.1479999999999</v>
      </c>
      <c r="U30" s="9">
        <f>SUM(U$21:U23)</f>
        <v>-20.572193359700009</v>
      </c>
      <c r="V30" s="9">
        <f>SUM(V$21:V23)</f>
        <v>123.39512237104736</v>
      </c>
      <c r="W30" s="9">
        <f>SUM(W$21:W23)</f>
        <v>151.93798620069526</v>
      </c>
      <c r="X30" s="9">
        <f>SUM(X$21:X23)</f>
        <v>226.22123414265207</v>
      </c>
      <c r="Y30" s="9">
        <f>SUM(Y$21:Y23)</f>
        <v>220.5128710991761</v>
      </c>
      <c r="Z30" s="9">
        <f>SUM(Z$21:Z23)</f>
        <v>187.16288565900038</v>
      </c>
      <c r="AA30" s="9">
        <f>SUM(AA$21:AA23)</f>
        <v>222.69405182199989</v>
      </c>
      <c r="AB30" s="9">
        <f>SUM(AB$21:AB23)</f>
        <v>220.57714684755229</v>
      </c>
      <c r="AC30" s="9">
        <f>SUM(AC$21:AC23)</f>
        <v>154.22412035337607</v>
      </c>
      <c r="AD30" s="9">
        <f>SUM(AD$21:AD23)</f>
        <v>138.1685351584668</v>
      </c>
      <c r="AE30" s="9">
        <f>SUM(AE$21:AE23)</f>
        <v>242.66318396061001</v>
      </c>
      <c r="AF30" s="9">
        <f>SUM(AF$21:AF23)</f>
        <v>231.96474271489967</v>
      </c>
      <c r="AG30" s="9">
        <f>SUM(AG$21:AG23)</f>
        <v>205.96375470733358</v>
      </c>
      <c r="AH30" s="9">
        <f>SUM(AH$21:AH23)</f>
        <v>89.970150337547807</v>
      </c>
      <c r="AI30" s="9">
        <f>SUM(AI$21:AI23)</f>
        <v>188.24347774124305</v>
      </c>
      <c r="AJ30" s="9">
        <f>SUM(AJ$21:AJ23)</f>
        <v>187.45126755383751</v>
      </c>
      <c r="AK30" s="9">
        <f>SUM(AK$21:AK23)</f>
        <v>200.81869664800399</v>
      </c>
      <c r="AL30" s="9">
        <f>SUM(AL$21:AL23)</f>
        <v>152.74935767478314</v>
      </c>
      <c r="AM30" s="9">
        <f>SUM(AM$21:AM23)</f>
        <v>162.71554732073412</v>
      </c>
      <c r="AN30" s="9">
        <f>SUM(AN$21:AN23)</f>
        <v>113.12797158289732</v>
      </c>
      <c r="AO30" s="9">
        <f>SUM(AO$21:AO23)</f>
        <v>303.61576370175237</v>
      </c>
      <c r="AP30" s="9">
        <f>SUM(AP$21:AP23)</f>
        <v>165.64333654992924</v>
      </c>
      <c r="AQ30" s="9">
        <f>SUM(AQ$21:AQ23)</f>
        <v>195.48456084226689</v>
      </c>
      <c r="AR30" s="9">
        <f>SUM(AR$21:AR23)</f>
        <v>177.64699391860484</v>
      </c>
      <c r="AS30" s="9">
        <f>SUM(AS$21:AS23)</f>
        <v>310.78460022575518</v>
      </c>
      <c r="AT30" s="9">
        <f>SUM(AT$21:AT23)</f>
        <v>91.265374653929484</v>
      </c>
      <c r="AU30" s="9">
        <f>SUM(AU$21:AU23)</f>
        <v>83.372733325271838</v>
      </c>
      <c r="AV30" s="9">
        <f>SUM(AV$21:AV23)</f>
        <v>183.70937704727135</v>
      </c>
      <c r="AW30" s="9">
        <f>SUM(AW$21:AW23)</f>
        <v>229.86746079333284</v>
      </c>
      <c r="AX30" s="10">
        <f>SUM(AX$21:AX23)</f>
        <v>226.34132067186079</v>
      </c>
      <c r="AY30" s="10">
        <f>SUM(AY$21:AY23)</f>
        <v>262.48181268327653</v>
      </c>
    </row>
    <row r="31" spans="1:51" x14ac:dyDescent="0.25">
      <c r="A31" s="8" t="s">
        <v>29</v>
      </c>
      <c r="T31" s="9">
        <f>SUM(T$21:T24)</f>
        <v>1821.4179999999999</v>
      </c>
      <c r="U31" s="9">
        <f>SUM(U$21:U24)</f>
        <v>-83.543256324100128</v>
      </c>
      <c r="V31" s="9">
        <f>SUM(V$21:V24)</f>
        <v>15.021594033699898</v>
      </c>
      <c r="W31" s="9">
        <f>SUM(W$21:W24)</f>
        <v>39.043072650066733</v>
      </c>
      <c r="X31" s="9">
        <f>SUM(X$21:X24)</f>
        <v>106.98002152399965</v>
      </c>
      <c r="Y31" s="9">
        <f>SUM(Y$21:Y24)</f>
        <v>130.19590797863322</v>
      </c>
      <c r="Z31" s="9">
        <f>SUM(Z$21:Z24)</f>
        <v>65.037762926233711</v>
      </c>
      <c r="AA31" s="9">
        <f>SUM(AA$21:AA24)</f>
        <v>91.108811546599838</v>
      </c>
      <c r="AB31" s="9">
        <f>SUM(AB$21:AB24)</f>
        <v>81.184219928366588</v>
      </c>
      <c r="AC31" s="9">
        <f>SUM(AC$21:AC24)</f>
        <v>17.938565830966525</v>
      </c>
      <c r="AD31" s="9">
        <f>SUM(AD$21:AD24)</f>
        <v>-16.208893929033195</v>
      </c>
      <c r="AE31" s="9">
        <f>SUM(AE$21:AE24)</f>
        <v>124.01136685226714</v>
      </c>
      <c r="AF31" s="9">
        <f>SUM(AF$21:AF24)</f>
        <v>128.48091661376634</v>
      </c>
      <c r="AG31" s="9">
        <f>SUM(AG$21:AG24)</f>
        <v>72.595564692033577</v>
      </c>
      <c r="AH31" s="9">
        <f>SUM(AH$21:AH24)</f>
        <v>-87.379128028999844</v>
      </c>
      <c r="AI31" s="9">
        <f>SUM(AI$21:AI24)</f>
        <v>8.0644619047335482</v>
      </c>
      <c r="AJ31" s="9">
        <f>SUM(AJ$21:AJ24)</f>
        <v>22.197507156366214</v>
      </c>
      <c r="AK31" s="9">
        <f>SUM(AK$21:AK24)</f>
        <v>39.685630195532553</v>
      </c>
      <c r="AL31" s="9">
        <f>SUM(AL$21:AL24)</f>
        <v>-41.524708185609711</v>
      </c>
      <c r="AM31" s="9">
        <f>SUM(AM$21:AM24)</f>
        <v>-21.194769463725834</v>
      </c>
      <c r="AN31" s="9">
        <f>SUM(AN$21:AN24)</f>
        <v>-60.393629769179483</v>
      </c>
      <c r="AO31" s="9">
        <f>SUM(AO$21:AO24)</f>
        <v>92.030107407110108</v>
      </c>
      <c r="AP31" s="9">
        <f>SUM(AP$21:AP24)</f>
        <v>18.352481555658642</v>
      </c>
      <c r="AQ31" s="9">
        <f>SUM(AQ$21:AQ24)</f>
        <v>57.425595805264606</v>
      </c>
      <c r="AR31" s="9">
        <f>SUM(AR$21:AR24)</f>
        <v>-15.79411572320214</v>
      </c>
      <c r="AS31" s="9">
        <f>SUM(AS$21:AS24)</f>
        <v>161.32361573383594</v>
      </c>
      <c r="AT31" s="9">
        <f>SUM(AT$21:AT24)</f>
        <v>15.898854725643901</v>
      </c>
      <c r="AU31" s="9">
        <f>SUM(AU$21:AU24)</f>
        <v>-69.494510290966218</v>
      </c>
      <c r="AV31" s="9">
        <f>SUM(AV$21:AV24)</f>
        <v>-1.8065115491668848</v>
      </c>
      <c r="AW31" s="9">
        <f>SUM(AW$21:AW24)</f>
        <v>42.458813597166227</v>
      </c>
      <c r="AX31" s="10">
        <f>SUM(AX$21:AX24)</f>
        <v>84.798790783770642</v>
      </c>
      <c r="AY31" s="10">
        <f>SUM(AY$21:AY24)</f>
        <v>69.275253362252442</v>
      </c>
    </row>
    <row r="32" spans="1:51" x14ac:dyDescent="0.25">
      <c r="A32" s="8"/>
      <c r="AU32" s="11"/>
      <c r="AV32" s="11"/>
      <c r="AW32" s="11"/>
      <c r="AX32" s="11"/>
      <c r="AY32" s="11"/>
    </row>
    <row r="33" spans="1:51" x14ac:dyDescent="0.25">
      <c r="A33" s="8" t="s">
        <v>30</v>
      </c>
      <c r="T33" s="9">
        <f>SUM(T22:T24)</f>
        <v>12.94</v>
      </c>
      <c r="U33" s="9">
        <f>SUM(U22:U24)</f>
        <v>22.207062448433646</v>
      </c>
      <c r="V33" s="9">
        <f t="shared" ref="V33:AY33" si="7">SUM(V22:V24)</f>
        <v>-56.44756368573303</v>
      </c>
      <c r="W33" s="9">
        <f t="shared" si="7"/>
        <v>-51.366308197433341</v>
      </c>
      <c r="X33" s="9">
        <f t="shared" si="7"/>
        <v>9.7310412271664291</v>
      </c>
      <c r="Y33" s="9">
        <f t="shared" si="7"/>
        <v>37.480237859699912</v>
      </c>
      <c r="Z33" s="9">
        <f t="shared" si="7"/>
        <v>-21.28277379209959</v>
      </c>
      <c r="AA33" s="9">
        <f t="shared" si="7"/>
        <v>7.2750830925666037</v>
      </c>
      <c r="AB33" s="9">
        <f t="shared" si="7"/>
        <v>-6.2024046400332509</v>
      </c>
      <c r="AC33" s="9">
        <f t="shared" si="7"/>
        <v>-67.960916044466842</v>
      </c>
      <c r="AD33" s="9">
        <f t="shared" si="7"/>
        <v>-122.79225169939997</v>
      </c>
      <c r="AE33" s="9">
        <f t="shared" si="7"/>
        <v>7.4109586144001582</v>
      </c>
      <c r="AF33" s="9">
        <f t="shared" si="7"/>
        <v>42.132128988166642</v>
      </c>
      <c r="AG33" s="9">
        <f t="shared" si="7"/>
        <v>-32.116314247133118</v>
      </c>
      <c r="AH33" s="9">
        <f t="shared" si="7"/>
        <v>-92.178960339899845</v>
      </c>
      <c r="AI33" s="9">
        <f t="shared" si="7"/>
        <v>-76.125483130133603</v>
      </c>
      <c r="AJ33" s="9">
        <f t="shared" si="7"/>
        <v>-160.60890200119991</v>
      </c>
      <c r="AK33" s="9">
        <f t="shared" si="7"/>
        <v>-101.49687787780033</v>
      </c>
      <c r="AL33" s="9">
        <f t="shared" si="7"/>
        <v>-108.86441041567548</v>
      </c>
      <c r="AM33" s="9">
        <f t="shared" si="7"/>
        <v>-166.00486723687618</v>
      </c>
      <c r="AN33" s="9">
        <f t="shared" si="7"/>
        <v>-220.6912470232993</v>
      </c>
      <c r="AO33" s="9">
        <f t="shared" si="7"/>
        <v>-196.97746487195627</v>
      </c>
      <c r="AP33" s="9">
        <f t="shared" si="7"/>
        <v>-128.82969569794409</v>
      </c>
      <c r="AQ33" s="9">
        <f t="shared" si="7"/>
        <v>-141.24296653997942</v>
      </c>
      <c r="AR33" s="9">
        <f t="shared" si="7"/>
        <v>-201.22837609629141</v>
      </c>
      <c r="AS33" s="9">
        <f t="shared" si="7"/>
        <v>-41.940401124182358</v>
      </c>
      <c r="AT33" s="9">
        <f t="shared" si="7"/>
        <v>-66.869035629385849</v>
      </c>
      <c r="AU33" s="9">
        <f t="shared" si="7"/>
        <v>-136.41036504013323</v>
      </c>
      <c r="AV33" s="9">
        <f t="shared" si="7"/>
        <v>-144.98381400733354</v>
      </c>
      <c r="AW33" s="9">
        <f t="shared" si="7"/>
        <v>-126.88935974456672</v>
      </c>
      <c r="AX33" s="10">
        <f t="shared" si="7"/>
        <v>-98.61201160337248</v>
      </c>
      <c r="AY33" s="10">
        <f t="shared" si="7"/>
        <v>-148.20655932102409</v>
      </c>
    </row>
    <row r="34" spans="1:51" x14ac:dyDescent="0.25">
      <c r="A34" s="8" t="s">
        <v>31</v>
      </c>
      <c r="T34" s="9">
        <f>SUM(T23:T24)</f>
        <v>8.57</v>
      </c>
      <c r="U34" s="9">
        <f>SUM(U23:U24)</f>
        <v>-54.056921136433346</v>
      </c>
      <c r="V34" s="9">
        <f t="shared" ref="V34:AY34" si="8">SUM(V23:V24)</f>
        <v>-63.22098650383316</v>
      </c>
      <c r="W34" s="9">
        <f t="shared" si="8"/>
        <v>-86.804556961500111</v>
      </c>
      <c r="X34" s="9">
        <f t="shared" si="8"/>
        <v>-37.446882066666717</v>
      </c>
      <c r="Y34" s="9">
        <f t="shared" si="8"/>
        <v>-42.287785064300067</v>
      </c>
      <c r="Z34" s="9">
        <f t="shared" si="8"/>
        <v>-85.155829454933212</v>
      </c>
      <c r="AA34" s="9">
        <f t="shared" si="8"/>
        <v>-75.381157776866701</v>
      </c>
      <c r="AB34" s="9">
        <f t="shared" si="8"/>
        <v>-76.426437770366533</v>
      </c>
      <c r="AC34" s="9">
        <f t="shared" si="8"/>
        <v>-134.89959349126667</v>
      </c>
      <c r="AD34" s="9">
        <f t="shared" si="8"/>
        <v>-149.97999237673338</v>
      </c>
      <c r="AE34" s="9">
        <f t="shared" si="8"/>
        <v>-70.372186793733192</v>
      </c>
      <c r="AF34" s="9">
        <f t="shared" si="8"/>
        <v>-48.488576681166819</v>
      </c>
      <c r="AG34" s="9">
        <f t="shared" si="8"/>
        <v>-102.3714967656332</v>
      </c>
      <c r="AH34" s="9">
        <f t="shared" si="8"/>
        <v>-119.95971366203332</v>
      </c>
      <c r="AI34" s="9">
        <f t="shared" si="8"/>
        <v>-149.56191294093344</v>
      </c>
      <c r="AJ34" s="9">
        <f t="shared" si="8"/>
        <v>-118.20744417263325</v>
      </c>
      <c r="AK34" s="9">
        <f t="shared" si="8"/>
        <v>-154.1915404063667</v>
      </c>
      <c r="AL34" s="9">
        <f t="shared" si="8"/>
        <v>-182.75761413781402</v>
      </c>
      <c r="AM34" s="9">
        <f t="shared" si="8"/>
        <v>-140.17343645785922</v>
      </c>
      <c r="AN34" s="9">
        <f t="shared" si="8"/>
        <v>-190.32608110653939</v>
      </c>
      <c r="AO34" s="9">
        <f t="shared" si="8"/>
        <v>-183.74569781392597</v>
      </c>
      <c r="AP34" s="9">
        <f t="shared" si="8"/>
        <v>-155.44180225760351</v>
      </c>
      <c r="AQ34" s="9">
        <f t="shared" si="8"/>
        <v>-100.29621471767211</v>
      </c>
      <c r="AR34" s="9">
        <f t="shared" si="8"/>
        <v>-143.14736620041208</v>
      </c>
      <c r="AS34" s="9">
        <f t="shared" si="8"/>
        <v>-44.536802816405839</v>
      </c>
      <c r="AT34" s="9">
        <f t="shared" si="8"/>
        <v>-13.105676321333135</v>
      </c>
      <c r="AU34" s="9">
        <f t="shared" si="8"/>
        <v>-86.20375709036648</v>
      </c>
      <c r="AV34" s="9">
        <f t="shared" si="8"/>
        <v>-112.74942109936671</v>
      </c>
      <c r="AW34" s="9">
        <f t="shared" si="8"/>
        <v>-122.73161580283318</v>
      </c>
      <c r="AX34" s="10">
        <f t="shared" si="8"/>
        <v>-76.588253997124752</v>
      </c>
      <c r="AY34" s="10">
        <f t="shared" si="8"/>
        <v>-123.20655932102409</v>
      </c>
    </row>
    <row r="35" spans="1:5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3"/>
      <c r="AV35" s="13"/>
      <c r="AW35" s="13"/>
      <c r="AX35" s="13"/>
      <c r="AY35" s="13"/>
    </row>
    <row r="36" spans="1:51" x14ac:dyDescent="0.25">
      <c r="AU36" s="11"/>
      <c r="AV36" s="11"/>
      <c r="AW36" s="11"/>
      <c r="AX36" s="11"/>
      <c r="AY36" s="11"/>
    </row>
    <row r="37" spans="1:51" x14ac:dyDescent="0.25">
      <c r="A37" s="14" t="s">
        <v>34</v>
      </c>
      <c r="AU37" s="11"/>
      <c r="AV37" s="11"/>
      <c r="AW37" s="11"/>
      <c r="AX37" s="11"/>
      <c r="AY37" s="11"/>
    </row>
    <row r="38" spans="1:51" x14ac:dyDescent="0.25">
      <c r="A38" s="15" t="s">
        <v>20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3"/>
      <c r="AV38" s="13"/>
      <c r="AW38" s="13"/>
      <c r="AX38" s="13"/>
      <c r="AY38" s="13"/>
    </row>
    <row r="39" spans="1:51" x14ac:dyDescent="0.25">
      <c r="A39" s="8" t="s">
        <v>21</v>
      </c>
      <c r="T39" s="9">
        <f>T5+T74</f>
        <v>-160.518</v>
      </c>
      <c r="U39" s="9">
        <f t="shared" ref="U39:AU42" si="9">U5+U74</f>
        <v>-156.08233333333365</v>
      </c>
      <c r="V39" s="9">
        <f t="shared" si="9"/>
        <v>88.642333333333013</v>
      </c>
      <c r="W39" s="9">
        <f t="shared" si="9"/>
        <v>86.906999999999925</v>
      </c>
      <c r="X39" s="9">
        <f t="shared" si="9"/>
        <v>48.106333333333275</v>
      </c>
      <c r="Y39" s="9">
        <f t="shared" si="9"/>
        <v>61.684333333333541</v>
      </c>
      <c r="Z39" s="9">
        <f t="shared" si="9"/>
        <v>81.93233333333319</v>
      </c>
      <c r="AA39" s="9">
        <f t="shared" si="9"/>
        <v>59.190333333333186</v>
      </c>
      <c r="AB39" s="9">
        <f t="shared" si="9"/>
        <v>86.580999999999449</v>
      </c>
      <c r="AC39" s="9">
        <f t="shared" si="9"/>
        <v>93.058333333333465</v>
      </c>
      <c r="AD39" s="9">
        <f t="shared" si="9"/>
        <v>153.18866666666648</v>
      </c>
      <c r="AE39" s="9">
        <f t="shared" si="9"/>
        <v>113.02866666666679</v>
      </c>
      <c r="AF39" s="9">
        <f t="shared" si="9"/>
        <v>70.931000000000026</v>
      </c>
      <c r="AG39" s="9">
        <f t="shared" si="9"/>
        <v>109.85066666666692</v>
      </c>
      <c r="AH39" s="9">
        <f t="shared" si="9"/>
        <v>106.38418900000026</v>
      </c>
      <c r="AI39" s="9">
        <f t="shared" si="9"/>
        <v>106.83766666666719</v>
      </c>
      <c r="AJ39" s="9">
        <f t="shared" si="9"/>
        <v>191.42366666666652</v>
      </c>
      <c r="AK39" s="9">
        <f t="shared" si="9"/>
        <v>141.41900033333309</v>
      </c>
      <c r="AL39" s="9">
        <f t="shared" si="9"/>
        <v>106.92320673516568</v>
      </c>
      <c r="AM39" s="9">
        <f t="shared" si="9"/>
        <v>179.26825358056536</v>
      </c>
      <c r="AN39" s="9">
        <f t="shared" si="9"/>
        <v>243.3744048827387</v>
      </c>
      <c r="AO39" s="9">
        <f t="shared" si="9"/>
        <v>235.22852198940831</v>
      </c>
      <c r="AP39" s="9">
        <f t="shared" si="9"/>
        <v>158.35897285888575</v>
      </c>
      <c r="AQ39" s="9">
        <f t="shared" si="9"/>
        <v>166.35730992335712</v>
      </c>
      <c r="AR39" s="9">
        <f t="shared" si="9"/>
        <v>216.66274694212558</v>
      </c>
      <c r="AS39" s="9">
        <f t="shared" si="9"/>
        <v>89.599060211465584</v>
      </c>
      <c r="AT39" s="9">
        <f t="shared" si="9"/>
        <v>95.012182445533313</v>
      </c>
      <c r="AU39" s="9">
        <f t="shared" si="9"/>
        <v>179.82490243366681</v>
      </c>
      <c r="AV39" s="9">
        <f>AV5+AV74</f>
        <v>309.86329667696685</v>
      </c>
      <c r="AW39" s="9">
        <f t="shared" ref="AW39:AY42" si="10">AW5+AW74</f>
        <v>321.1514158258334</v>
      </c>
      <c r="AX39" s="10">
        <f t="shared" si="10"/>
        <v>176.50942792356631</v>
      </c>
      <c r="AY39" s="10">
        <f t="shared" si="10"/>
        <v>252.25338140128321</v>
      </c>
    </row>
    <row r="40" spans="1:51" x14ac:dyDescent="0.25">
      <c r="A40" s="8" t="s">
        <v>22</v>
      </c>
      <c r="T40" s="9">
        <f t="shared" ref="T40:AI42" si="11">T6+T75</f>
        <v>-196.53800000000001</v>
      </c>
      <c r="U40" s="9">
        <f t="shared" si="11"/>
        <v>75.79966666666698</v>
      </c>
      <c r="V40" s="9">
        <f t="shared" si="11"/>
        <v>12.483000000000118</v>
      </c>
      <c r="W40" s="9">
        <f t="shared" si="11"/>
        <v>32.439666666666753</v>
      </c>
      <c r="X40" s="9">
        <f t="shared" si="11"/>
        <v>39.949333333333144</v>
      </c>
      <c r="Y40" s="9">
        <f t="shared" si="11"/>
        <v>69.106999999999985</v>
      </c>
      <c r="Z40" s="9">
        <f t="shared" si="11"/>
        <v>65.729333333333585</v>
      </c>
      <c r="AA40" s="9">
        <f t="shared" si="11"/>
        <v>80.825333333333276</v>
      </c>
      <c r="AB40" s="9">
        <f t="shared" si="11"/>
        <v>60.478333333333211</v>
      </c>
      <c r="AC40" s="9">
        <f t="shared" si="11"/>
        <v>59.670999999999793</v>
      </c>
      <c r="AD40" s="9">
        <f t="shared" si="11"/>
        <v>28.297333333333398</v>
      </c>
      <c r="AE40" s="9">
        <f t="shared" si="11"/>
        <v>87.576333333333295</v>
      </c>
      <c r="AF40" s="9">
        <f t="shared" si="11"/>
        <v>92.601333333333429</v>
      </c>
      <c r="AG40" s="9">
        <f t="shared" si="11"/>
        <v>77.758547000000036</v>
      </c>
      <c r="AH40" s="9">
        <f t="shared" si="11"/>
        <v>44.420073333333477</v>
      </c>
      <c r="AI40" s="9">
        <f t="shared" si="11"/>
        <v>91.34769999999989</v>
      </c>
      <c r="AJ40" s="9">
        <f t="shared" si="9"/>
        <v>-23.121306666666783</v>
      </c>
      <c r="AK40" s="9">
        <f t="shared" si="9"/>
        <v>55.043671666666341</v>
      </c>
      <c r="AL40" s="9">
        <f t="shared" si="9"/>
        <v>74.118134507145498</v>
      </c>
      <c r="AM40" s="9">
        <f t="shared" si="9"/>
        <v>-31.222522836696982</v>
      </c>
      <c r="AN40" s="9">
        <f t="shared" si="9"/>
        <v>-17.789119327397913</v>
      </c>
      <c r="AO40" s="9">
        <f t="shared" si="9"/>
        <v>-15.879214828459254</v>
      </c>
      <c r="AP40" s="9">
        <f t="shared" si="9"/>
        <v>46.834314149814674</v>
      </c>
      <c r="AQ40" s="9">
        <f t="shared" si="9"/>
        <v>-2.0735081043982859</v>
      </c>
      <c r="AR40" s="9">
        <f t="shared" si="9"/>
        <v>-44.30478247220006</v>
      </c>
      <c r="AS40" s="9">
        <f t="shared" si="9"/>
        <v>25.270166847933325</v>
      </c>
      <c r="AT40" s="9">
        <f>AT6+AT75</f>
        <v>-32.679876435133195</v>
      </c>
      <c r="AU40" s="9">
        <f t="shared" si="9"/>
        <v>-41.129076864766802</v>
      </c>
      <c r="AV40" s="9">
        <f t="shared" ref="AV40:AY42" si="12">AV6+AV75</f>
        <v>-1.9476633089668383</v>
      </c>
      <c r="AW40" s="9">
        <f t="shared" si="10"/>
        <v>47.921118120766437</v>
      </c>
      <c r="AX40" s="10">
        <f t="shared" si="10"/>
        <v>98.277502884657821</v>
      </c>
      <c r="AY40" s="10">
        <f t="shared" si="10"/>
        <v>16.931041613192633</v>
      </c>
    </row>
    <row r="41" spans="1:51" x14ac:dyDescent="0.25">
      <c r="A41" s="8" t="s">
        <v>23</v>
      </c>
      <c r="T41" s="9">
        <f t="shared" si="11"/>
        <v>-101.277</v>
      </c>
      <c r="U41" s="9">
        <f t="shared" si="9"/>
        <v>-3.709333333333241</v>
      </c>
      <c r="V41" s="9">
        <f t="shared" si="9"/>
        <v>42.872714285714288</v>
      </c>
      <c r="W41" s="9">
        <f t="shared" si="9"/>
        <v>31.291428571428405</v>
      </c>
      <c r="X41" s="9">
        <f t="shared" si="9"/>
        <v>73.889285714285691</v>
      </c>
      <c r="Y41" s="9">
        <f t="shared" si="9"/>
        <v>46.364142857142809</v>
      </c>
      <c r="Z41" s="9">
        <f t="shared" si="9"/>
        <v>34.692333333333444</v>
      </c>
      <c r="AA41" s="9">
        <f t="shared" si="9"/>
        <v>58.726333333333336</v>
      </c>
      <c r="AB41" s="9">
        <f t="shared" si="9"/>
        <v>60.339619047619152</v>
      </c>
      <c r="AC41" s="9">
        <f t="shared" si="9"/>
        <v>12.06514285714286</v>
      </c>
      <c r="AD41" s="9">
        <f t="shared" si="9"/>
        <v>24.475666666666612</v>
      </c>
      <c r="AE41" s="9">
        <f t="shared" si="9"/>
        <v>42.297809523809669</v>
      </c>
      <c r="AF41" s="9">
        <f t="shared" si="9"/>
        <v>55.744666666666483</v>
      </c>
      <c r="AG41" s="9">
        <f t="shared" si="9"/>
        <v>30.154003666666789</v>
      </c>
      <c r="AH41" s="9">
        <f t="shared" si="9"/>
        <v>56.02771428571431</v>
      </c>
      <c r="AI41" s="9">
        <f t="shared" si="9"/>
        <v>28.836476190476105</v>
      </c>
      <c r="AJ41" s="9">
        <f t="shared" si="9"/>
        <v>54.130033095238048</v>
      </c>
      <c r="AK41" s="9">
        <f t="shared" si="9"/>
        <v>8.9407047619047475</v>
      </c>
      <c r="AL41" s="9">
        <f t="shared" si="9"/>
        <v>8.8483985250788351</v>
      </c>
      <c r="AM41" s="9">
        <f t="shared" si="9"/>
        <v>49.947553826865018</v>
      </c>
      <c r="AN41" s="9">
        <f t="shared" si="9"/>
        <v>-12.995214666944793</v>
      </c>
      <c r="AO41" s="9">
        <f t="shared" si="9"/>
        <v>39.606007124765682</v>
      </c>
      <c r="AP41" s="9">
        <f t="shared" si="9"/>
        <v>12.064448967057064</v>
      </c>
      <c r="AQ41" s="9">
        <f t="shared" si="9"/>
        <v>51.242064948099731</v>
      </c>
      <c r="AR41" s="9">
        <f t="shared" si="9"/>
        <v>66.965193983265863</v>
      </c>
      <c r="AS41" s="9">
        <f t="shared" si="9"/>
        <v>118.48583540900968</v>
      </c>
      <c r="AT41" s="9">
        <f t="shared" si="9"/>
        <v>79.835759497652447</v>
      </c>
      <c r="AU41" s="9">
        <f>AU7+AU76</f>
        <v>111.10429354557155</v>
      </c>
      <c r="AV41" s="9">
        <f t="shared" si="12"/>
        <v>84.974745540571533</v>
      </c>
      <c r="AW41" s="9">
        <f t="shared" si="10"/>
        <v>86.974063889533454</v>
      </c>
      <c r="AX41" s="10">
        <f t="shared" si="10"/>
        <v>152.22266210841863</v>
      </c>
      <c r="AY41" s="10">
        <f t="shared" si="10"/>
        <v>108.70029751929155</v>
      </c>
    </row>
    <row r="42" spans="1:51" x14ac:dyDescent="0.25">
      <c r="A42" s="8" t="s">
        <v>24</v>
      </c>
      <c r="T42" s="9">
        <f t="shared" si="11"/>
        <v>-68.587000000000003</v>
      </c>
      <c r="U42" s="9">
        <f t="shared" si="9"/>
        <v>-63.620000000000125</v>
      </c>
      <c r="V42" s="9">
        <f t="shared" si="9"/>
        <v>-105.18004761904749</v>
      </c>
      <c r="W42" s="9">
        <f t="shared" si="9"/>
        <v>-112.92542857142854</v>
      </c>
      <c r="X42" s="9">
        <f t="shared" si="9"/>
        <v>-117.15595238095241</v>
      </c>
      <c r="Y42" s="9">
        <f t="shared" si="9"/>
        <v>-108.56014285714289</v>
      </c>
      <c r="Z42" s="9">
        <f t="shared" si="9"/>
        <v>-122.00866666666668</v>
      </c>
      <c r="AA42" s="9">
        <f t="shared" si="9"/>
        <v>-134.91300000000007</v>
      </c>
      <c r="AB42" s="9">
        <f t="shared" si="9"/>
        <v>-140.24128571428571</v>
      </c>
      <c r="AC42" s="9">
        <f t="shared" si="9"/>
        <v>-132.17780952380954</v>
      </c>
      <c r="AD42" s="9">
        <f t="shared" si="9"/>
        <v>-150.03</v>
      </c>
      <c r="AE42" s="9">
        <f t="shared" si="9"/>
        <v>-109.46214285714288</v>
      </c>
      <c r="AF42" s="9">
        <f t="shared" si="9"/>
        <v>-103.90933333333334</v>
      </c>
      <c r="AG42" s="9">
        <f t="shared" si="9"/>
        <v>-128.30378400000001</v>
      </c>
      <c r="AH42" s="9">
        <f t="shared" si="9"/>
        <v>-163.16204761904766</v>
      </c>
      <c r="AI42" s="9">
        <f t="shared" si="9"/>
        <v>-172.40180952380948</v>
      </c>
      <c r="AJ42" s="9">
        <f t="shared" si="9"/>
        <v>-163.39376142857131</v>
      </c>
      <c r="AK42" s="9">
        <f t="shared" si="9"/>
        <v>-148.20710746857145</v>
      </c>
      <c r="AL42" s="9">
        <f t="shared" si="9"/>
        <v>-190.26274776739047</v>
      </c>
      <c r="AM42" s="9">
        <f t="shared" si="9"/>
        <v>-177.88694257073325</v>
      </c>
      <c r="AN42" s="9">
        <f t="shared" si="9"/>
        <v>-164.8817608883958</v>
      </c>
      <c r="AO42" s="9">
        <f t="shared" si="9"/>
        <v>-198.23351428571425</v>
      </c>
      <c r="AP42" s="9">
        <f t="shared" si="9"/>
        <v>-145.8933750818473</v>
      </c>
      <c r="AQ42" s="9">
        <f t="shared" si="9"/>
        <v>-123.53873829170138</v>
      </c>
      <c r="AR42" s="9">
        <f t="shared" si="9"/>
        <v>-182.3862580201166</v>
      </c>
      <c r="AS42" s="9">
        <f t="shared" si="9"/>
        <v>-147.48504592937618</v>
      </c>
      <c r="AT42" s="9">
        <f t="shared" si="9"/>
        <v>-66.752363643985603</v>
      </c>
      <c r="AU42" s="9">
        <f t="shared" si="9"/>
        <v>-122.11470869313804</v>
      </c>
      <c r="AV42" s="9">
        <f t="shared" si="12"/>
        <v>-163.84834916863821</v>
      </c>
      <c r="AW42" s="9">
        <f t="shared" si="10"/>
        <v>-180.30392210786661</v>
      </c>
      <c r="AX42" s="10">
        <f t="shared" si="10"/>
        <v>-128.90815785768598</v>
      </c>
      <c r="AY42" s="10">
        <f t="shared" si="10"/>
        <v>-174.73633928456351</v>
      </c>
    </row>
    <row r="43" spans="1:51" x14ac:dyDescent="0.25">
      <c r="A43" s="8" t="s">
        <v>25</v>
      </c>
      <c r="T43" s="9">
        <f>SUM(T39:T42)</f>
        <v>-526.92000000000007</v>
      </c>
      <c r="U43" s="9">
        <f t="shared" ref="U43:AY43" si="13">SUM(U39:U42)</f>
        <v>-147.61200000000002</v>
      </c>
      <c r="V43" s="9">
        <f t="shared" si="13"/>
        <v>38.817999999999927</v>
      </c>
      <c r="W43" s="9">
        <f t="shared" si="13"/>
        <v>37.712666666666536</v>
      </c>
      <c r="X43" s="9">
        <f t="shared" si="13"/>
        <v>44.788999999999675</v>
      </c>
      <c r="Y43" s="9">
        <f t="shared" si="13"/>
        <v>68.595333333333429</v>
      </c>
      <c r="Z43" s="9">
        <f t="shared" si="13"/>
        <v>60.345333333333528</v>
      </c>
      <c r="AA43" s="9">
        <f t="shared" si="13"/>
        <v>63.828999999999724</v>
      </c>
      <c r="AB43" s="9">
        <f t="shared" si="13"/>
        <v>67.157666666666103</v>
      </c>
      <c r="AC43" s="9">
        <f t="shared" si="13"/>
        <v>32.616666666666589</v>
      </c>
      <c r="AD43" s="9">
        <f t="shared" si="13"/>
        <v>55.931666666666473</v>
      </c>
      <c r="AE43" s="9">
        <f t="shared" si="13"/>
        <v>133.44066666666686</v>
      </c>
      <c r="AF43" s="9">
        <f t="shared" si="13"/>
        <v>115.36766666666659</v>
      </c>
      <c r="AG43" s="9">
        <f t="shared" si="13"/>
        <v>89.459433333333749</v>
      </c>
      <c r="AH43" s="9">
        <f t="shared" si="13"/>
        <v>43.669929000000366</v>
      </c>
      <c r="AI43" s="9">
        <f t="shared" si="13"/>
        <v>54.620033333333708</v>
      </c>
      <c r="AJ43" s="9">
        <f t="shared" si="13"/>
        <v>59.038631666666475</v>
      </c>
      <c r="AK43" s="9">
        <f t="shared" si="13"/>
        <v>57.196269293332733</v>
      </c>
      <c r="AL43" s="9">
        <f t="shared" si="13"/>
        <v>-0.37300800000045342</v>
      </c>
      <c r="AM43" s="9">
        <f t="shared" si="13"/>
        <v>20.106342000000154</v>
      </c>
      <c r="AN43" s="9">
        <f t="shared" si="13"/>
        <v>47.708310000000182</v>
      </c>
      <c r="AO43" s="9">
        <f t="shared" si="13"/>
        <v>60.721800000000485</v>
      </c>
      <c r="AP43" s="9">
        <f t="shared" si="13"/>
        <v>71.364360893910202</v>
      </c>
      <c r="AQ43" s="9">
        <f t="shared" si="13"/>
        <v>91.987128475357196</v>
      </c>
      <c r="AR43" s="9">
        <f t="shared" si="13"/>
        <v>56.936900433074783</v>
      </c>
      <c r="AS43" s="9">
        <f t="shared" si="13"/>
        <v>85.870016539032406</v>
      </c>
      <c r="AT43" s="9">
        <f t="shared" si="13"/>
        <v>75.415701864066961</v>
      </c>
      <c r="AU43" s="9">
        <f t="shared" si="13"/>
        <v>127.68541042133351</v>
      </c>
      <c r="AV43" s="9">
        <f t="shared" si="13"/>
        <v>229.04202973993335</v>
      </c>
      <c r="AW43" s="9">
        <f t="shared" si="13"/>
        <v>275.7426757282667</v>
      </c>
      <c r="AX43" s="10">
        <f t="shared" si="13"/>
        <v>298.10143505895678</v>
      </c>
      <c r="AY43" s="10">
        <f t="shared" si="13"/>
        <v>203.14838124920388</v>
      </c>
    </row>
    <row r="44" spans="1:51" x14ac:dyDescent="0.25">
      <c r="AU44" s="11"/>
      <c r="AV44" s="11"/>
      <c r="AW44" s="11"/>
      <c r="AX44" s="11"/>
      <c r="AY44" s="11"/>
    </row>
    <row r="45" spans="1:51" x14ac:dyDescent="0.25">
      <c r="A45" s="8" t="s">
        <v>26</v>
      </c>
      <c r="AU45" s="11"/>
      <c r="AV45" s="11"/>
      <c r="AW45" s="11"/>
      <c r="AX45" s="11"/>
      <c r="AY45" s="11"/>
    </row>
    <row r="46" spans="1:51" x14ac:dyDescent="0.25">
      <c r="A46" s="8" t="s">
        <v>21</v>
      </c>
      <c r="T46" s="9">
        <f>SUM(T$39:T39)</f>
        <v>-160.518</v>
      </c>
      <c r="U46" s="9">
        <f>SUM(U$39:U39)</f>
        <v>-156.08233333333365</v>
      </c>
      <c r="V46" s="9">
        <f>SUM(V$39:V39)</f>
        <v>88.642333333333013</v>
      </c>
      <c r="W46" s="9">
        <f>SUM(W$39:W39)</f>
        <v>86.906999999999925</v>
      </c>
      <c r="X46" s="9">
        <f>SUM(X$39:X39)</f>
        <v>48.106333333333275</v>
      </c>
      <c r="Y46" s="9">
        <f>SUM(Y$39:Y39)</f>
        <v>61.684333333333541</v>
      </c>
      <c r="Z46" s="9">
        <f>SUM(Z$39:Z39)</f>
        <v>81.93233333333319</v>
      </c>
      <c r="AA46" s="9">
        <f>SUM(AA$39:AA39)</f>
        <v>59.190333333333186</v>
      </c>
      <c r="AB46" s="9">
        <f>SUM(AB$39:AB39)</f>
        <v>86.580999999999449</v>
      </c>
      <c r="AC46" s="9">
        <f>SUM(AC$39:AC39)</f>
        <v>93.058333333333465</v>
      </c>
      <c r="AD46" s="9">
        <f>SUM(AD$39:AD39)</f>
        <v>153.18866666666648</v>
      </c>
      <c r="AE46" s="9">
        <f>SUM(AE$39:AE39)</f>
        <v>113.02866666666679</v>
      </c>
      <c r="AF46" s="9">
        <f>SUM(AF$39:AF39)</f>
        <v>70.931000000000026</v>
      </c>
      <c r="AG46" s="9">
        <f>SUM(AG$39:AG39)</f>
        <v>109.85066666666692</v>
      </c>
      <c r="AH46" s="9">
        <f>SUM(AH$39:AH39)</f>
        <v>106.38418900000026</v>
      </c>
      <c r="AI46" s="9">
        <f>SUM(AI$39:AI39)</f>
        <v>106.83766666666719</v>
      </c>
      <c r="AJ46" s="9">
        <f>SUM(AJ$39:AJ39)</f>
        <v>191.42366666666652</v>
      </c>
      <c r="AK46" s="9">
        <f>SUM(AK$39:AK39)</f>
        <v>141.41900033333309</v>
      </c>
      <c r="AL46" s="9">
        <f>SUM(AL$39:AL39)</f>
        <v>106.92320673516568</v>
      </c>
      <c r="AM46" s="9">
        <f>SUM(AM$39:AM39)</f>
        <v>179.26825358056536</v>
      </c>
      <c r="AN46" s="9">
        <f>SUM(AN$39:AN39)</f>
        <v>243.3744048827387</v>
      </c>
      <c r="AO46" s="9">
        <f>SUM(AO$39:AO39)</f>
        <v>235.22852198940831</v>
      </c>
      <c r="AP46" s="9">
        <f>SUM(AP$39:AP39)</f>
        <v>158.35897285888575</v>
      </c>
      <c r="AQ46" s="9">
        <f>SUM(AQ$39:AQ39)</f>
        <v>166.35730992335712</v>
      </c>
      <c r="AR46" s="9">
        <f>SUM(AR$39:AR39)</f>
        <v>216.66274694212558</v>
      </c>
      <c r="AS46" s="9">
        <f>SUM(AS$39:AS39)</f>
        <v>89.599060211465584</v>
      </c>
      <c r="AT46" s="9">
        <f>SUM(AT$39:AT39)</f>
        <v>95.012182445533313</v>
      </c>
      <c r="AU46" s="9">
        <f>SUM(AU$39:AU39)</f>
        <v>179.82490243366681</v>
      </c>
      <c r="AV46" s="9">
        <f>SUM(AV$39:AV39)</f>
        <v>309.86329667696685</v>
      </c>
      <c r="AW46" s="9">
        <f>SUM(AW$39:AW39)</f>
        <v>321.1514158258334</v>
      </c>
      <c r="AX46" s="10">
        <f>SUM(AX$39:AX39)</f>
        <v>176.50942792356631</v>
      </c>
      <c r="AY46" s="10">
        <f>SUM(AY$39:AY39)</f>
        <v>252.25338140128321</v>
      </c>
    </row>
    <row r="47" spans="1:51" x14ac:dyDescent="0.25">
      <c r="A47" s="8" t="s">
        <v>27</v>
      </c>
      <c r="T47" s="9">
        <f>SUM(T$39:T40)</f>
        <v>-357.05600000000004</v>
      </c>
      <c r="U47" s="9">
        <f>SUM(U$39:U40)</f>
        <v>-80.282666666666671</v>
      </c>
      <c r="V47" s="9">
        <f>SUM(V$39:V40)</f>
        <v>101.12533333333313</v>
      </c>
      <c r="W47" s="9">
        <f>SUM(W$39:W40)</f>
        <v>119.34666666666668</v>
      </c>
      <c r="X47" s="9">
        <f>SUM(X$39:X40)</f>
        <v>88.055666666666411</v>
      </c>
      <c r="Y47" s="9">
        <f>SUM(Y$39:Y40)</f>
        <v>130.79133333333351</v>
      </c>
      <c r="Z47" s="9">
        <f>SUM(Z$39:Z40)</f>
        <v>147.66166666666678</v>
      </c>
      <c r="AA47" s="9">
        <f>SUM(AA$39:AA40)</f>
        <v>140.01566666666645</v>
      </c>
      <c r="AB47" s="9">
        <f>SUM(AB$39:AB40)</f>
        <v>147.05933333333266</v>
      </c>
      <c r="AC47" s="9">
        <f>SUM(AC$39:AC40)</f>
        <v>152.72933333333327</v>
      </c>
      <c r="AD47" s="9">
        <f>SUM(AD$39:AD40)</f>
        <v>181.48599999999988</v>
      </c>
      <c r="AE47" s="9">
        <f>SUM(AE$39:AE40)</f>
        <v>200.60500000000008</v>
      </c>
      <c r="AF47" s="9">
        <f>SUM(AF$39:AF40)</f>
        <v>163.53233333333344</v>
      </c>
      <c r="AG47" s="9">
        <f>SUM(AG$39:AG40)</f>
        <v>187.60921366666696</v>
      </c>
      <c r="AH47" s="9">
        <f>SUM(AH$39:AH40)</f>
        <v>150.80426233333372</v>
      </c>
      <c r="AI47" s="9">
        <f>SUM(AI$39:AI40)</f>
        <v>198.18536666666708</v>
      </c>
      <c r="AJ47" s="9">
        <f>SUM(AJ$39:AJ40)</f>
        <v>168.30235999999974</v>
      </c>
      <c r="AK47" s="9">
        <f>SUM(AK$39:AK40)</f>
        <v>196.46267199999943</v>
      </c>
      <c r="AL47" s="9">
        <f>SUM(AL$39:AL40)</f>
        <v>181.04134124231118</v>
      </c>
      <c r="AM47" s="9">
        <f>SUM(AM$39:AM40)</f>
        <v>148.04573074386838</v>
      </c>
      <c r="AN47" s="9">
        <f>SUM(AN$39:AN40)</f>
        <v>225.58528555534079</v>
      </c>
      <c r="AO47" s="9">
        <f>SUM(AO$39:AO40)</f>
        <v>219.34930716094905</v>
      </c>
      <c r="AP47" s="9">
        <f>SUM(AP$39:AP40)</f>
        <v>205.19328700870042</v>
      </c>
      <c r="AQ47" s="9">
        <f>SUM(AQ$39:AQ40)</f>
        <v>164.28380181895884</v>
      </c>
      <c r="AR47" s="9">
        <f>SUM(AR$39:AR40)</f>
        <v>172.35796446992552</v>
      </c>
      <c r="AS47" s="9">
        <f>SUM(AS$39:AS40)</f>
        <v>114.86922705939891</v>
      </c>
      <c r="AT47" s="9">
        <f>SUM(AT$39:AT40)</f>
        <v>62.332306010400117</v>
      </c>
      <c r="AU47" s="9">
        <f>SUM(AU$39:AU40)</f>
        <v>138.69582556890001</v>
      </c>
      <c r="AV47" s="9">
        <f>SUM(AV$39:AV40)</f>
        <v>307.91563336800004</v>
      </c>
      <c r="AW47" s="9">
        <f>SUM(AW$39:AW40)</f>
        <v>369.07253394659983</v>
      </c>
      <c r="AX47" s="10">
        <f>SUM(AX$39:AX40)</f>
        <v>274.78693080822416</v>
      </c>
      <c r="AY47" s="10">
        <f>SUM(AY$39:AY40)</f>
        <v>269.18442301447584</v>
      </c>
    </row>
    <row r="48" spans="1:51" x14ac:dyDescent="0.25">
      <c r="A48" s="8" t="s">
        <v>28</v>
      </c>
      <c r="T48" s="9">
        <f>SUM(T$39:T41)</f>
        <v>-458.33300000000003</v>
      </c>
      <c r="U48" s="9">
        <f>SUM(U$39:U41)</f>
        <v>-83.991999999999905</v>
      </c>
      <c r="V48" s="9">
        <f>SUM(V$39:V41)</f>
        <v>143.99804761904741</v>
      </c>
      <c r="W48" s="9">
        <f>SUM(W$39:W41)</f>
        <v>150.63809523809508</v>
      </c>
      <c r="X48" s="9">
        <f>SUM(X$39:X41)</f>
        <v>161.94495238095209</v>
      </c>
      <c r="Y48" s="9">
        <f>SUM(Y$39:Y41)</f>
        <v>177.15547619047632</v>
      </c>
      <c r="Z48" s="9">
        <f>SUM(Z$39:Z41)</f>
        <v>182.35400000000021</v>
      </c>
      <c r="AA48" s="9">
        <f>SUM(AA$39:AA41)</f>
        <v>198.74199999999979</v>
      </c>
      <c r="AB48" s="9">
        <f>SUM(AB$39:AB41)</f>
        <v>207.39895238095181</v>
      </c>
      <c r="AC48" s="9">
        <f>SUM(AC$39:AC41)</f>
        <v>164.79447619047613</v>
      </c>
      <c r="AD48" s="9">
        <f>SUM(AD$39:AD41)</f>
        <v>205.96166666666647</v>
      </c>
      <c r="AE48" s="9">
        <f>SUM(AE$39:AE41)</f>
        <v>242.90280952380974</v>
      </c>
      <c r="AF48" s="9">
        <f>SUM(AF$39:AF41)</f>
        <v>219.27699999999993</v>
      </c>
      <c r="AG48" s="9">
        <f>SUM(AG$39:AG41)</f>
        <v>217.76321733333376</v>
      </c>
      <c r="AH48" s="9">
        <f>SUM(AH$39:AH41)</f>
        <v>206.83197661904802</v>
      </c>
      <c r="AI48" s="9">
        <f>SUM(AI$39:AI41)</f>
        <v>227.02184285714318</v>
      </c>
      <c r="AJ48" s="9">
        <f>SUM(AJ$39:AJ41)</f>
        <v>222.43239309523779</v>
      </c>
      <c r="AK48" s="9">
        <f>SUM(AK$39:AK41)</f>
        <v>205.40337676190418</v>
      </c>
      <c r="AL48" s="9">
        <f>SUM(AL$39:AL41)</f>
        <v>189.88973976739001</v>
      </c>
      <c r="AM48" s="9">
        <f>SUM(AM$39:AM41)</f>
        <v>197.99328457073341</v>
      </c>
      <c r="AN48" s="9">
        <f>SUM(AN$39:AN41)</f>
        <v>212.59007088839599</v>
      </c>
      <c r="AO48" s="9">
        <f>SUM(AO$39:AO41)</f>
        <v>258.95531428571473</v>
      </c>
      <c r="AP48" s="9">
        <f>SUM(AP$39:AP41)</f>
        <v>217.2577359757575</v>
      </c>
      <c r="AQ48" s="9">
        <f>SUM(AQ$39:AQ41)</f>
        <v>215.52586676705857</v>
      </c>
      <c r="AR48" s="9">
        <f>SUM(AR$39:AR41)</f>
        <v>239.32315845319138</v>
      </c>
      <c r="AS48" s="9">
        <f>SUM(AS$39:AS41)</f>
        <v>233.35506246840859</v>
      </c>
      <c r="AT48" s="9">
        <f>SUM(AT$39:AT41)</f>
        <v>142.16806550805256</v>
      </c>
      <c r="AU48" s="9">
        <f>SUM(AU$39:AU41)</f>
        <v>249.80011911447156</v>
      </c>
      <c r="AV48" s="9">
        <f>SUM(AV$39:AV41)</f>
        <v>392.89037890857156</v>
      </c>
      <c r="AW48" s="9">
        <f>SUM(AW$39:AW41)</f>
        <v>456.04659783613329</v>
      </c>
      <c r="AX48" s="10">
        <f>SUM(AX$39:AX41)</f>
        <v>427.00959291664276</v>
      </c>
      <c r="AY48" s="10">
        <f>SUM(AY$39:AY41)</f>
        <v>377.88472053376739</v>
      </c>
    </row>
    <row r="49" spans="1:51" x14ac:dyDescent="0.25">
      <c r="A49" s="8" t="s">
        <v>29</v>
      </c>
      <c r="T49" s="9">
        <f>SUM(T$39:T42)</f>
        <v>-526.92000000000007</v>
      </c>
      <c r="U49" s="9">
        <f>SUM(U$39:U42)</f>
        <v>-147.61200000000002</v>
      </c>
      <c r="V49" s="9">
        <f>SUM(V$39:V42)</f>
        <v>38.817999999999927</v>
      </c>
      <c r="W49" s="9">
        <f>SUM(W$39:W42)</f>
        <v>37.712666666666536</v>
      </c>
      <c r="X49" s="9">
        <f>SUM(X$39:X42)</f>
        <v>44.788999999999675</v>
      </c>
      <c r="Y49" s="9">
        <f>SUM(Y$39:Y42)</f>
        <v>68.595333333333429</v>
      </c>
      <c r="Z49" s="9">
        <f>SUM(Z$39:Z42)</f>
        <v>60.345333333333528</v>
      </c>
      <c r="AA49" s="9">
        <f>SUM(AA$39:AA42)</f>
        <v>63.828999999999724</v>
      </c>
      <c r="AB49" s="9">
        <f>SUM(AB$39:AB42)</f>
        <v>67.157666666666103</v>
      </c>
      <c r="AC49" s="9">
        <f>SUM(AC$39:AC42)</f>
        <v>32.616666666666589</v>
      </c>
      <c r="AD49" s="9">
        <f>SUM(AD$39:AD42)</f>
        <v>55.931666666666473</v>
      </c>
      <c r="AE49" s="9">
        <f>SUM(AE$39:AE42)</f>
        <v>133.44066666666686</v>
      </c>
      <c r="AF49" s="9">
        <f>SUM(AF$39:AF42)</f>
        <v>115.36766666666659</v>
      </c>
      <c r="AG49" s="9">
        <f>SUM(AG$39:AG42)</f>
        <v>89.459433333333749</v>
      </c>
      <c r="AH49" s="9">
        <f>SUM(AH$39:AH42)</f>
        <v>43.669929000000366</v>
      </c>
      <c r="AI49" s="9">
        <f>SUM(AI$39:AI42)</f>
        <v>54.620033333333708</v>
      </c>
      <c r="AJ49" s="9">
        <f>SUM(AJ$39:AJ42)</f>
        <v>59.038631666666475</v>
      </c>
      <c r="AK49" s="9">
        <f>SUM(AK$39:AK42)</f>
        <v>57.196269293332733</v>
      </c>
      <c r="AL49" s="9">
        <f>SUM(AL$39:AL42)</f>
        <v>-0.37300800000045342</v>
      </c>
      <c r="AM49" s="9">
        <f>SUM(AM$39:AM42)</f>
        <v>20.106342000000154</v>
      </c>
      <c r="AN49" s="9">
        <f>SUM(AN$39:AN42)</f>
        <v>47.708310000000182</v>
      </c>
      <c r="AO49" s="9">
        <f>SUM(AO$39:AO42)</f>
        <v>60.721800000000485</v>
      </c>
      <c r="AP49" s="9">
        <f>SUM(AP$39:AP42)</f>
        <v>71.364360893910202</v>
      </c>
      <c r="AQ49" s="9">
        <f>SUM(AQ$39:AQ42)</f>
        <v>91.987128475357196</v>
      </c>
      <c r="AR49" s="9">
        <f>SUM(AR$39:AR42)</f>
        <v>56.936900433074783</v>
      </c>
      <c r="AS49" s="9">
        <f>SUM(AS$39:AS42)</f>
        <v>85.870016539032406</v>
      </c>
      <c r="AT49" s="9">
        <f>SUM(AT$39:AT42)</f>
        <v>75.415701864066961</v>
      </c>
      <c r="AU49" s="9">
        <f>SUM(AU$39:AU42)</f>
        <v>127.68541042133351</v>
      </c>
      <c r="AV49" s="9">
        <f>SUM(AV$39:AV42)</f>
        <v>229.04202973993335</v>
      </c>
      <c r="AW49" s="9">
        <f>SUM(AW$39:AW42)</f>
        <v>275.7426757282667</v>
      </c>
      <c r="AX49" s="10">
        <f>SUM(AX$39:AX42)</f>
        <v>298.10143505895678</v>
      </c>
      <c r="AY49" s="10">
        <f>SUM(AY$39:AY42)</f>
        <v>203.14838124920388</v>
      </c>
    </row>
    <row r="50" spans="1:51" x14ac:dyDescent="0.25">
      <c r="A50" s="8"/>
      <c r="AR50" s="11"/>
      <c r="AS50" s="11"/>
      <c r="AT50" s="11"/>
      <c r="AU50" s="11"/>
      <c r="AV50" s="11"/>
      <c r="AW50" s="11"/>
      <c r="AX50" s="11"/>
      <c r="AY50" s="11"/>
    </row>
    <row r="51" spans="1:51" x14ac:dyDescent="0.25">
      <c r="A51" s="8" t="s">
        <v>30</v>
      </c>
      <c r="T51" s="9">
        <f>SUM(T40:T42)</f>
        <v>-366.40199999999999</v>
      </c>
      <c r="U51" s="9">
        <f t="shared" ref="U51:AY51" si="14">SUM(U40:U42)</f>
        <v>8.4703333333336204</v>
      </c>
      <c r="V51" s="9">
        <f t="shared" si="14"/>
        <v>-49.82433333333308</v>
      </c>
      <c r="W51" s="9">
        <f t="shared" si="14"/>
        <v>-49.194333333333383</v>
      </c>
      <c r="X51" s="9">
        <f t="shared" si="14"/>
        <v>-3.317333333333579</v>
      </c>
      <c r="Y51" s="9">
        <f t="shared" si="14"/>
        <v>6.9109999999999019</v>
      </c>
      <c r="Z51" s="9">
        <f t="shared" si="14"/>
        <v>-21.586999999999662</v>
      </c>
      <c r="AA51" s="9">
        <f t="shared" si="14"/>
        <v>4.6386666666665519</v>
      </c>
      <c r="AB51" s="9">
        <f t="shared" si="14"/>
        <v>-19.423333333333346</v>
      </c>
      <c r="AC51" s="9">
        <f t="shared" si="14"/>
        <v>-60.44166666666689</v>
      </c>
      <c r="AD51" s="9">
        <f t="shared" si="14"/>
        <v>-97.256999999999991</v>
      </c>
      <c r="AE51" s="9">
        <f t="shared" si="14"/>
        <v>20.412000000000091</v>
      </c>
      <c r="AF51" s="9">
        <f t="shared" si="14"/>
        <v>44.436666666666582</v>
      </c>
      <c r="AG51" s="9">
        <f t="shared" si="14"/>
        <v>-20.39123333333319</v>
      </c>
      <c r="AH51" s="9">
        <f t="shared" si="14"/>
        <v>-62.714259999999868</v>
      </c>
      <c r="AI51" s="9">
        <f t="shared" si="14"/>
        <v>-52.217633333333481</v>
      </c>
      <c r="AJ51" s="9">
        <f t="shared" si="14"/>
        <v>-132.38503500000004</v>
      </c>
      <c r="AK51" s="9">
        <f t="shared" si="14"/>
        <v>-84.222731040000355</v>
      </c>
      <c r="AL51" s="9">
        <f t="shared" si="14"/>
        <v>-107.29621473516613</v>
      </c>
      <c r="AM51" s="9">
        <f t="shared" si="14"/>
        <v>-159.16191158056523</v>
      </c>
      <c r="AN51" s="9">
        <f t="shared" si="14"/>
        <v>-195.66609488273852</v>
      </c>
      <c r="AO51" s="9">
        <f t="shared" si="14"/>
        <v>-174.50672198940782</v>
      </c>
      <c r="AP51" s="9">
        <f t="shared" si="14"/>
        <v>-86.994611964975562</v>
      </c>
      <c r="AQ51" s="9">
        <f t="shared" si="14"/>
        <v>-74.370181447999926</v>
      </c>
      <c r="AR51" s="9">
        <f t="shared" si="14"/>
        <v>-159.7258465090508</v>
      </c>
      <c r="AS51" s="9">
        <f t="shared" si="14"/>
        <v>-3.7290436724331641</v>
      </c>
      <c r="AT51" s="9">
        <f t="shared" si="14"/>
        <v>-19.596480581466352</v>
      </c>
      <c r="AU51" s="9">
        <f t="shared" si="14"/>
        <v>-52.139492012333292</v>
      </c>
      <c r="AV51" s="9">
        <f t="shared" si="14"/>
        <v>-80.821266937033513</v>
      </c>
      <c r="AW51" s="9">
        <f t="shared" si="14"/>
        <v>-45.408740097566721</v>
      </c>
      <c r="AX51" s="10">
        <f t="shared" si="14"/>
        <v>121.59200713539047</v>
      </c>
      <c r="AY51" s="10">
        <f t="shared" si="14"/>
        <v>-49.105000152079327</v>
      </c>
    </row>
    <row r="52" spans="1:51" x14ac:dyDescent="0.25">
      <c r="A52" s="8" t="s">
        <v>31</v>
      </c>
      <c r="T52" s="9">
        <f>SUM(T41:T42)</f>
        <v>-169.864</v>
      </c>
      <c r="U52" s="9">
        <f t="shared" ref="U52:AY52" si="15">SUM(U41:U42)</f>
        <v>-67.329333333333366</v>
      </c>
      <c r="V52" s="9">
        <f t="shared" si="15"/>
        <v>-62.307333333333197</v>
      </c>
      <c r="W52" s="9">
        <f t="shared" si="15"/>
        <v>-81.634000000000128</v>
      </c>
      <c r="X52" s="9">
        <f t="shared" si="15"/>
        <v>-43.266666666666723</v>
      </c>
      <c r="Y52" s="9">
        <f t="shared" si="15"/>
        <v>-62.196000000000083</v>
      </c>
      <c r="Z52" s="9">
        <f t="shared" si="15"/>
        <v>-87.316333333333233</v>
      </c>
      <c r="AA52" s="9">
        <f t="shared" si="15"/>
        <v>-76.186666666666724</v>
      </c>
      <c r="AB52" s="9">
        <f t="shared" si="15"/>
        <v>-79.901666666666557</v>
      </c>
      <c r="AC52" s="9">
        <f t="shared" si="15"/>
        <v>-120.11266666666668</v>
      </c>
      <c r="AD52" s="9">
        <f t="shared" si="15"/>
        <v>-125.55433333333339</v>
      </c>
      <c r="AE52" s="9">
        <f t="shared" si="15"/>
        <v>-67.164333333333218</v>
      </c>
      <c r="AF52" s="9">
        <f t="shared" si="15"/>
        <v>-48.164666666666854</v>
      </c>
      <c r="AG52" s="9">
        <f t="shared" si="15"/>
        <v>-98.149780333333212</v>
      </c>
      <c r="AH52" s="9">
        <f t="shared" si="15"/>
        <v>-107.13433333333334</v>
      </c>
      <c r="AI52" s="9">
        <f t="shared" si="15"/>
        <v>-143.56533333333337</v>
      </c>
      <c r="AJ52" s="9">
        <f t="shared" si="15"/>
        <v>-109.26372833333326</v>
      </c>
      <c r="AK52" s="9">
        <f t="shared" si="15"/>
        <v>-139.2664027066667</v>
      </c>
      <c r="AL52" s="9">
        <f t="shared" si="15"/>
        <v>-181.41434924231163</v>
      </c>
      <c r="AM52" s="9">
        <f t="shared" si="15"/>
        <v>-127.93938874386824</v>
      </c>
      <c r="AN52" s="9">
        <f t="shared" si="15"/>
        <v>-177.87697555534061</v>
      </c>
      <c r="AO52" s="9">
        <f t="shared" si="15"/>
        <v>-158.62750716094857</v>
      </c>
      <c r="AP52" s="9">
        <f t="shared" si="15"/>
        <v>-133.82892611479022</v>
      </c>
      <c r="AQ52" s="9">
        <f t="shared" si="15"/>
        <v>-72.29667334360164</v>
      </c>
      <c r="AR52" s="9">
        <f t="shared" si="15"/>
        <v>-115.42106403685074</v>
      </c>
      <c r="AS52" s="9">
        <f t="shared" si="15"/>
        <v>-28.999210520366503</v>
      </c>
      <c r="AT52" s="9">
        <f t="shared" si="15"/>
        <v>13.083395853666843</v>
      </c>
      <c r="AU52" s="9">
        <f t="shared" si="15"/>
        <v>-11.010415147566491</v>
      </c>
      <c r="AV52" s="9">
        <f t="shared" si="15"/>
        <v>-78.873603628066675</v>
      </c>
      <c r="AW52" s="9">
        <f t="shared" si="15"/>
        <v>-93.329858218333158</v>
      </c>
      <c r="AX52" s="10">
        <f t="shared" si="15"/>
        <v>23.314504250732654</v>
      </c>
      <c r="AY52" s="10">
        <f t="shared" si="15"/>
        <v>-66.03604176527196</v>
      </c>
    </row>
    <row r="53" spans="1:51" x14ac:dyDescent="0.25">
      <c r="AR53" s="11"/>
      <c r="AS53" s="11"/>
      <c r="AT53" s="11"/>
      <c r="AU53" s="11"/>
      <c r="AV53" s="11"/>
      <c r="AW53" s="11"/>
      <c r="AX53" s="11"/>
      <c r="AY53" s="11"/>
    </row>
    <row r="54" spans="1:51" x14ac:dyDescent="0.25">
      <c r="A54" s="8" t="s">
        <v>32</v>
      </c>
      <c r="AR54" s="11"/>
      <c r="AS54" s="11"/>
      <c r="AT54" s="11"/>
      <c r="AU54" s="11"/>
      <c r="AV54" s="11"/>
      <c r="AW54" s="11"/>
      <c r="AX54" s="11"/>
      <c r="AY54" s="11"/>
    </row>
    <row r="55" spans="1:51" x14ac:dyDescent="0.25">
      <c r="A55" s="8" t="s">
        <v>21</v>
      </c>
      <c r="T55" s="9">
        <f>T21+T74</f>
        <v>1643.49</v>
      </c>
      <c r="U55" s="9">
        <f t="shared" ref="U55:AY58" si="16">U21+U74</f>
        <v>-112.63433333333379</v>
      </c>
      <c r="V55" s="9">
        <f t="shared" si="16"/>
        <v>66.222333333332941</v>
      </c>
      <c r="W55" s="9">
        <f t="shared" si="16"/>
        <v>88.997000000000071</v>
      </c>
      <c r="X55" s="9">
        <f t="shared" si="16"/>
        <v>86.610333333333188</v>
      </c>
      <c r="Y55" s="9">
        <f t="shared" si="16"/>
        <v>77.464333333333286</v>
      </c>
      <c r="Z55" s="9">
        <f t="shared" si="16"/>
        <v>71.082333333333281</v>
      </c>
      <c r="AA55" s="9">
        <f t="shared" si="16"/>
        <v>71.045333333333204</v>
      </c>
      <c r="AB55" s="9">
        <f t="shared" si="16"/>
        <v>86.470999999999776</v>
      </c>
      <c r="AC55" s="9">
        <f t="shared" si="16"/>
        <v>66.620333333333363</v>
      </c>
      <c r="AD55" s="9">
        <f t="shared" si="16"/>
        <v>116.90866666666673</v>
      </c>
      <c r="AE55" s="9">
        <f t="shared" si="16"/>
        <v>130.23466666666693</v>
      </c>
      <c r="AF55" s="9">
        <f t="shared" si="16"/>
        <v>89.020999999999717</v>
      </c>
      <c r="AG55" s="9">
        <f t="shared" si="16"/>
        <v>101.37166666666666</v>
      </c>
      <c r="AH55" s="9">
        <f t="shared" si="16"/>
        <v>14.474188999999953</v>
      </c>
      <c r="AI55" s="9">
        <f t="shared" si="16"/>
        <v>99.004666666667106</v>
      </c>
      <c r="AJ55" s="9">
        <f t="shared" si="16"/>
        <v>191.52066666666627</v>
      </c>
      <c r="AK55" s="9">
        <f t="shared" si="16"/>
        <v>139.45400033333294</v>
      </c>
      <c r="AL55" s="9">
        <f t="shared" si="16"/>
        <v>65.776206735165744</v>
      </c>
      <c r="AM55" s="9">
        <f t="shared" si="16"/>
        <v>152.22225358056554</v>
      </c>
      <c r="AN55" s="9">
        <f t="shared" si="16"/>
        <v>175.20340488273888</v>
      </c>
      <c r="AO55" s="9">
        <f t="shared" si="16"/>
        <v>275.98152198940801</v>
      </c>
      <c r="AP55" s="9">
        <f t="shared" si="16"/>
        <v>161.46497285888597</v>
      </c>
      <c r="AQ55" s="9">
        <f t="shared" si="16"/>
        <v>176.5323099233573</v>
      </c>
      <c r="AR55" s="9">
        <f t="shared" si="16"/>
        <v>196.58274694212565</v>
      </c>
      <c r="AS55" s="9">
        <f t="shared" si="16"/>
        <v>205.33206021146577</v>
      </c>
      <c r="AT55" s="9">
        <f t="shared" si="16"/>
        <v>101.38518244553336</v>
      </c>
      <c r="AU55" s="9">
        <f t="shared" si="16"/>
        <v>98.999902433666989</v>
      </c>
      <c r="AV55" s="9">
        <f t="shared" si="16"/>
        <v>280.60329667696664</v>
      </c>
      <c r="AW55" s="9">
        <f t="shared" si="16"/>
        <v>327.07841582583308</v>
      </c>
      <c r="AX55" s="10">
        <f t="shared" si="16"/>
        <v>219.68021470754314</v>
      </c>
      <c r="AY55" s="10">
        <f t="shared" si="16"/>
        <v>286.52863476353565</v>
      </c>
    </row>
    <row r="56" spans="1:51" x14ac:dyDescent="0.25">
      <c r="A56" s="8" t="s">
        <v>22</v>
      </c>
      <c r="T56" s="9">
        <f t="shared" ref="T56:AI58" si="17">T22+T75</f>
        <v>-196.53800000000001</v>
      </c>
      <c r="U56" s="9">
        <f t="shared" si="17"/>
        <v>75.79966666666698</v>
      </c>
      <c r="V56" s="9">
        <f t="shared" si="17"/>
        <v>12.483000000000118</v>
      </c>
      <c r="W56" s="9">
        <f t="shared" si="17"/>
        <v>32.439666666666753</v>
      </c>
      <c r="X56" s="9">
        <f t="shared" si="17"/>
        <v>39.949333333333144</v>
      </c>
      <c r="Y56" s="9">
        <f t="shared" si="17"/>
        <v>69.106999999999985</v>
      </c>
      <c r="Z56" s="9">
        <f t="shared" si="17"/>
        <v>65.729333333333585</v>
      </c>
      <c r="AA56" s="9">
        <f t="shared" si="17"/>
        <v>80.825333333333276</v>
      </c>
      <c r="AB56" s="9">
        <f t="shared" si="17"/>
        <v>60.478333333333211</v>
      </c>
      <c r="AC56" s="9">
        <f t="shared" si="17"/>
        <v>59.670999999999793</v>
      </c>
      <c r="AD56" s="9">
        <f t="shared" si="17"/>
        <v>28.297333333333398</v>
      </c>
      <c r="AE56" s="9">
        <f t="shared" si="17"/>
        <v>87.576333333333295</v>
      </c>
      <c r="AF56" s="9">
        <f t="shared" si="17"/>
        <v>92.601333333333429</v>
      </c>
      <c r="AG56" s="9">
        <f t="shared" si="17"/>
        <v>77.758547000000036</v>
      </c>
      <c r="AH56" s="9">
        <f t="shared" si="17"/>
        <v>44.420073333333477</v>
      </c>
      <c r="AI56" s="9">
        <f t="shared" si="17"/>
        <v>91.34769999999989</v>
      </c>
      <c r="AJ56" s="9">
        <f t="shared" si="16"/>
        <v>-23.121306666666783</v>
      </c>
      <c r="AK56" s="9">
        <f t="shared" si="16"/>
        <v>55.043671666666341</v>
      </c>
      <c r="AL56" s="9">
        <f t="shared" si="16"/>
        <v>74.118134507145498</v>
      </c>
      <c r="AM56" s="9">
        <f t="shared" si="16"/>
        <v>-31.222522836696982</v>
      </c>
      <c r="AN56" s="9">
        <f t="shared" si="16"/>
        <v>-17.789119327397913</v>
      </c>
      <c r="AO56" s="9">
        <f t="shared" si="16"/>
        <v>-15.879214828459254</v>
      </c>
      <c r="AP56" s="9">
        <f t="shared" si="16"/>
        <v>46.834314149814674</v>
      </c>
      <c r="AQ56" s="9">
        <f t="shared" si="16"/>
        <v>-2.0735081043982859</v>
      </c>
      <c r="AR56" s="9">
        <f t="shared" si="16"/>
        <v>-44.30478247220006</v>
      </c>
      <c r="AS56" s="9">
        <f t="shared" si="16"/>
        <v>25.270166847933325</v>
      </c>
      <c r="AT56" s="9">
        <f t="shared" si="16"/>
        <v>-32.679876435133195</v>
      </c>
      <c r="AU56" s="9">
        <f t="shared" si="16"/>
        <v>-41.129076864766802</v>
      </c>
      <c r="AV56" s="9">
        <f t="shared" si="16"/>
        <v>-1.9476633089668383</v>
      </c>
      <c r="AW56" s="9">
        <f t="shared" si="16"/>
        <v>47.921118120766437</v>
      </c>
      <c r="AX56" s="10">
        <f t="shared" si="16"/>
        <v>98.277502884657821</v>
      </c>
      <c r="AY56" s="10">
        <f t="shared" si="16"/>
        <v>16.931041613192633</v>
      </c>
    </row>
    <row r="57" spans="1:51" x14ac:dyDescent="0.25">
      <c r="A57" s="8" t="s">
        <v>23</v>
      </c>
      <c r="T57" s="9">
        <f t="shared" si="17"/>
        <v>-101.277</v>
      </c>
      <c r="U57" s="9">
        <f t="shared" si="16"/>
        <v>-3.709333333333241</v>
      </c>
      <c r="V57" s="9">
        <f t="shared" si="16"/>
        <v>42.872714285714288</v>
      </c>
      <c r="W57" s="9">
        <f t="shared" si="16"/>
        <v>31.291428571428405</v>
      </c>
      <c r="X57" s="9">
        <f t="shared" si="16"/>
        <v>73.889285714285691</v>
      </c>
      <c r="Y57" s="9">
        <f t="shared" si="16"/>
        <v>46.364142857142809</v>
      </c>
      <c r="Z57" s="9">
        <f t="shared" si="16"/>
        <v>34.692333333333444</v>
      </c>
      <c r="AA57" s="9">
        <f t="shared" si="16"/>
        <v>58.726333333333336</v>
      </c>
      <c r="AB57" s="9">
        <f t="shared" si="16"/>
        <v>60.339619047619152</v>
      </c>
      <c r="AC57" s="9">
        <f t="shared" si="16"/>
        <v>12.06514285714286</v>
      </c>
      <c r="AD57" s="9">
        <f t="shared" si="16"/>
        <v>24.475666666666612</v>
      </c>
      <c r="AE57" s="9">
        <f t="shared" si="16"/>
        <v>42.297809523809669</v>
      </c>
      <c r="AF57" s="9">
        <f t="shared" si="16"/>
        <v>55.744666666666483</v>
      </c>
      <c r="AG57" s="9">
        <f t="shared" si="16"/>
        <v>30.154003666666789</v>
      </c>
      <c r="AH57" s="9">
        <f t="shared" si="16"/>
        <v>56.02771428571431</v>
      </c>
      <c r="AI57" s="9">
        <f t="shared" si="16"/>
        <v>28.836476190476105</v>
      </c>
      <c r="AJ57" s="9">
        <f t="shared" si="16"/>
        <v>54.130033095238048</v>
      </c>
      <c r="AK57" s="9">
        <f t="shared" si="16"/>
        <v>8.9407047619047475</v>
      </c>
      <c r="AL57" s="9">
        <f t="shared" si="16"/>
        <v>8.8483985250788351</v>
      </c>
      <c r="AM57" s="9">
        <f t="shared" si="16"/>
        <v>49.947553826865018</v>
      </c>
      <c r="AN57" s="9">
        <f t="shared" si="16"/>
        <v>-12.995214666944793</v>
      </c>
      <c r="AO57" s="9">
        <f t="shared" si="16"/>
        <v>39.606007124765682</v>
      </c>
      <c r="AP57" s="9">
        <f t="shared" si="16"/>
        <v>12.064448967057064</v>
      </c>
      <c r="AQ57" s="9">
        <f t="shared" si="16"/>
        <v>51.242064948099731</v>
      </c>
      <c r="AR57" s="9">
        <f t="shared" si="16"/>
        <v>66.965193983265863</v>
      </c>
      <c r="AS57" s="9">
        <f t="shared" si="16"/>
        <v>118.48583540900968</v>
      </c>
      <c r="AT57" s="9">
        <f t="shared" si="16"/>
        <v>79.835759497652447</v>
      </c>
      <c r="AU57" s="9">
        <f t="shared" si="16"/>
        <v>111.10429354557155</v>
      </c>
      <c r="AV57" s="9">
        <f t="shared" si="16"/>
        <v>84.974745540571533</v>
      </c>
      <c r="AW57" s="9">
        <f t="shared" si="16"/>
        <v>86.974063889533454</v>
      </c>
      <c r="AX57" s="10">
        <f t="shared" si="16"/>
        <v>152.22266210841863</v>
      </c>
      <c r="AY57" s="10">
        <f t="shared" si="16"/>
        <v>108.70029751929155</v>
      </c>
    </row>
    <row r="58" spans="1:51" x14ac:dyDescent="0.25">
      <c r="A58" s="8" t="s">
        <v>24</v>
      </c>
      <c r="T58" s="9">
        <f t="shared" si="17"/>
        <v>-68.587000000000003</v>
      </c>
      <c r="U58" s="9">
        <f t="shared" si="16"/>
        <v>-63.620000000000125</v>
      </c>
      <c r="V58" s="9">
        <f t="shared" si="16"/>
        <v>-105.18004761904749</v>
      </c>
      <c r="W58" s="9">
        <f t="shared" si="16"/>
        <v>-112.92542857142854</v>
      </c>
      <c r="X58" s="9">
        <f t="shared" si="16"/>
        <v>-117.15595238095241</v>
      </c>
      <c r="Y58" s="9">
        <f t="shared" si="16"/>
        <v>-108.56014285714289</v>
      </c>
      <c r="Z58" s="9">
        <f t="shared" si="16"/>
        <v>-122.00866666666668</v>
      </c>
      <c r="AA58" s="9">
        <f t="shared" si="16"/>
        <v>-134.91300000000007</v>
      </c>
      <c r="AB58" s="9">
        <f t="shared" si="16"/>
        <v>-140.24128571428571</v>
      </c>
      <c r="AC58" s="9">
        <f t="shared" si="16"/>
        <v>-132.17780952380954</v>
      </c>
      <c r="AD58" s="9">
        <f t="shared" si="16"/>
        <v>-150.03</v>
      </c>
      <c r="AE58" s="9">
        <f t="shared" si="16"/>
        <v>-109.46214285714288</v>
      </c>
      <c r="AF58" s="9">
        <f t="shared" si="16"/>
        <v>-103.90933333333334</v>
      </c>
      <c r="AG58" s="9">
        <f t="shared" si="16"/>
        <v>-128.30378400000001</v>
      </c>
      <c r="AH58" s="9">
        <f t="shared" si="16"/>
        <v>-163.16204761904766</v>
      </c>
      <c r="AI58" s="9">
        <f t="shared" si="16"/>
        <v>-172.40180952380948</v>
      </c>
      <c r="AJ58" s="9">
        <f t="shared" si="16"/>
        <v>-163.39376142857131</v>
      </c>
      <c r="AK58" s="9">
        <f t="shared" si="16"/>
        <v>-148.20710746857145</v>
      </c>
      <c r="AL58" s="9">
        <f t="shared" si="16"/>
        <v>-190.26274776739047</v>
      </c>
      <c r="AM58" s="9">
        <f t="shared" si="16"/>
        <v>-177.88694257073325</v>
      </c>
      <c r="AN58" s="9">
        <f t="shared" si="16"/>
        <v>-164.8817608883958</v>
      </c>
      <c r="AO58" s="9">
        <f t="shared" si="16"/>
        <v>-198.23351428571425</v>
      </c>
      <c r="AP58" s="9">
        <f t="shared" si="16"/>
        <v>-145.8933750818473</v>
      </c>
      <c r="AQ58" s="9">
        <f t="shared" si="16"/>
        <v>-123.53873829170138</v>
      </c>
      <c r="AR58" s="9">
        <f t="shared" si="16"/>
        <v>-182.3862580201166</v>
      </c>
      <c r="AS58" s="9">
        <f t="shared" si="16"/>
        <v>-147.48504592937618</v>
      </c>
      <c r="AT58" s="9">
        <f t="shared" si="16"/>
        <v>-66.752363643985603</v>
      </c>
      <c r="AU58" s="9">
        <f t="shared" si="16"/>
        <v>-122.11470869313804</v>
      </c>
      <c r="AV58" s="9">
        <f t="shared" si="16"/>
        <v>-163.84834916863821</v>
      </c>
      <c r="AW58" s="9">
        <f t="shared" si="16"/>
        <v>-180.30392210786661</v>
      </c>
      <c r="AX58" s="10">
        <f t="shared" si="16"/>
        <v>-128.90815785768598</v>
      </c>
      <c r="AY58" s="10">
        <f t="shared" si="16"/>
        <v>-174.73633928456351</v>
      </c>
    </row>
    <row r="59" spans="1:51" x14ac:dyDescent="0.25">
      <c r="A59" s="8" t="s">
        <v>25</v>
      </c>
      <c r="T59" s="9">
        <f>SUM(T55:T58)</f>
        <v>1277.088</v>
      </c>
      <c r="U59" s="9">
        <f t="shared" ref="U59:AY59" si="18">SUM(U55:U58)</f>
        <v>-104.16400000000017</v>
      </c>
      <c r="V59" s="9">
        <f t="shared" si="18"/>
        <v>16.397999999999854</v>
      </c>
      <c r="W59" s="9">
        <f t="shared" si="18"/>
        <v>39.802666666666681</v>
      </c>
      <c r="X59" s="9">
        <f t="shared" si="18"/>
        <v>83.292999999999608</v>
      </c>
      <c r="Y59" s="9">
        <f t="shared" si="18"/>
        <v>84.375333333333174</v>
      </c>
      <c r="Z59" s="9">
        <f t="shared" si="18"/>
        <v>49.495333333333619</v>
      </c>
      <c r="AA59" s="9">
        <f t="shared" si="18"/>
        <v>75.683999999999742</v>
      </c>
      <c r="AB59" s="9">
        <f t="shared" si="18"/>
        <v>67.04766666666643</v>
      </c>
      <c r="AC59" s="9">
        <f t="shared" si="18"/>
        <v>6.1786666666664871</v>
      </c>
      <c r="AD59" s="9">
        <f t="shared" si="18"/>
        <v>19.651666666666728</v>
      </c>
      <c r="AE59" s="9">
        <f t="shared" si="18"/>
        <v>150.64666666666702</v>
      </c>
      <c r="AF59" s="9">
        <f t="shared" si="18"/>
        <v>133.45766666666628</v>
      </c>
      <c r="AG59" s="9">
        <f t="shared" si="18"/>
        <v>80.98043333333348</v>
      </c>
      <c r="AH59" s="9">
        <f t="shared" si="18"/>
        <v>-48.240070999999915</v>
      </c>
      <c r="AI59" s="9">
        <f t="shared" si="18"/>
        <v>46.787033333333625</v>
      </c>
      <c r="AJ59" s="9">
        <f t="shared" si="18"/>
        <v>59.135631666666228</v>
      </c>
      <c r="AK59" s="9">
        <f t="shared" si="18"/>
        <v>55.231269293332588</v>
      </c>
      <c r="AL59" s="9">
        <f t="shared" si="18"/>
        <v>-41.520008000000388</v>
      </c>
      <c r="AM59" s="9">
        <f t="shared" si="18"/>
        <v>-6.9396579999996675</v>
      </c>
      <c r="AN59" s="9">
        <f t="shared" si="18"/>
        <v>-20.46268999999964</v>
      </c>
      <c r="AO59" s="9">
        <f t="shared" si="18"/>
        <v>101.47480000000019</v>
      </c>
      <c r="AP59" s="9">
        <f t="shared" si="18"/>
        <v>74.470360893910424</v>
      </c>
      <c r="AQ59" s="9">
        <f t="shared" si="18"/>
        <v>102.16212847535738</v>
      </c>
      <c r="AR59" s="9">
        <f t="shared" si="18"/>
        <v>36.856900433074856</v>
      </c>
      <c r="AS59" s="9">
        <f t="shared" si="18"/>
        <v>201.60301653903261</v>
      </c>
      <c r="AT59" s="9">
        <f t="shared" si="18"/>
        <v>81.788701864067008</v>
      </c>
      <c r="AU59" s="9">
        <f t="shared" si="18"/>
        <v>46.860410421333697</v>
      </c>
      <c r="AV59" s="9">
        <f t="shared" si="18"/>
        <v>199.78202973993314</v>
      </c>
      <c r="AW59" s="9">
        <f t="shared" si="18"/>
        <v>281.66967572826638</v>
      </c>
      <c r="AX59" s="10">
        <f t="shared" si="18"/>
        <v>341.27222184293362</v>
      </c>
      <c r="AY59" s="10">
        <f t="shared" si="18"/>
        <v>237.42363461145632</v>
      </c>
    </row>
    <row r="60" spans="1:51" x14ac:dyDescent="0.25">
      <c r="AR60" s="11"/>
      <c r="AS60" s="11"/>
      <c r="AT60" s="11"/>
      <c r="AU60" s="11"/>
      <c r="AV60" s="11"/>
      <c r="AW60" s="11"/>
      <c r="AX60" s="11"/>
      <c r="AY60" s="11"/>
    </row>
    <row r="61" spans="1:51" x14ac:dyDescent="0.25">
      <c r="A61" s="8" t="s">
        <v>33</v>
      </c>
      <c r="AR61" s="11"/>
      <c r="AS61" s="11"/>
      <c r="AT61" s="11"/>
      <c r="AU61" s="11"/>
      <c r="AV61" s="11"/>
      <c r="AW61" s="11"/>
      <c r="AX61" s="11"/>
      <c r="AY61" s="11"/>
    </row>
    <row r="62" spans="1:51" x14ac:dyDescent="0.25">
      <c r="A62" s="8" t="s">
        <v>21</v>
      </c>
      <c r="T62" s="9">
        <f>SUM(T$55:T55)</f>
        <v>1643.49</v>
      </c>
      <c r="U62" s="9">
        <f>SUM(U$55:U55)</f>
        <v>-112.63433333333379</v>
      </c>
      <c r="V62" s="9">
        <f>SUM(V$55:V55)</f>
        <v>66.222333333332941</v>
      </c>
      <c r="W62" s="9">
        <f>SUM(W$55:W55)</f>
        <v>88.997000000000071</v>
      </c>
      <c r="X62" s="9">
        <f>SUM(X$55:X55)</f>
        <v>86.610333333333188</v>
      </c>
      <c r="Y62" s="9">
        <f>SUM(Y$55:Y55)</f>
        <v>77.464333333333286</v>
      </c>
      <c r="Z62" s="9">
        <f>SUM(Z$55:Z55)</f>
        <v>71.082333333333281</v>
      </c>
      <c r="AA62" s="9">
        <f>SUM(AA$55:AA55)</f>
        <v>71.045333333333204</v>
      </c>
      <c r="AB62" s="9">
        <f>SUM(AB$55:AB55)</f>
        <v>86.470999999999776</v>
      </c>
      <c r="AC62" s="9">
        <f>SUM(AC$55:AC55)</f>
        <v>66.620333333333363</v>
      </c>
      <c r="AD62" s="9">
        <f>SUM(AD$55:AD55)</f>
        <v>116.90866666666673</v>
      </c>
      <c r="AE62" s="9">
        <f>SUM(AE$55:AE55)</f>
        <v>130.23466666666693</v>
      </c>
      <c r="AF62" s="9">
        <f>SUM(AF$55:AF55)</f>
        <v>89.020999999999717</v>
      </c>
      <c r="AG62" s="9">
        <f>SUM(AG$55:AG55)</f>
        <v>101.37166666666666</v>
      </c>
      <c r="AH62" s="9">
        <f>SUM(AH$55:AH55)</f>
        <v>14.474188999999953</v>
      </c>
      <c r="AI62" s="9">
        <f>SUM(AI$55:AI55)</f>
        <v>99.004666666667106</v>
      </c>
      <c r="AJ62" s="9">
        <f>SUM(AJ$55:AJ55)</f>
        <v>191.52066666666627</v>
      </c>
      <c r="AK62" s="9">
        <f>SUM(AK$55:AK55)</f>
        <v>139.45400033333294</v>
      </c>
      <c r="AL62" s="9">
        <f>SUM(AL$55:AL55)</f>
        <v>65.776206735165744</v>
      </c>
      <c r="AM62" s="9">
        <f>SUM(AM$55:AM55)</f>
        <v>152.22225358056554</v>
      </c>
      <c r="AN62" s="9">
        <f>SUM(AN$55:AN55)</f>
        <v>175.20340488273888</v>
      </c>
      <c r="AO62" s="9">
        <f>SUM(AO$55:AO55)</f>
        <v>275.98152198940801</v>
      </c>
      <c r="AP62" s="9">
        <f>SUM(AP$55:AP55)</f>
        <v>161.46497285888597</v>
      </c>
      <c r="AQ62" s="9">
        <f>SUM(AQ$55:AQ55)</f>
        <v>176.5323099233573</v>
      </c>
      <c r="AR62" s="9">
        <f>SUM(AR$55:AR55)</f>
        <v>196.58274694212565</v>
      </c>
      <c r="AS62" s="9">
        <f>SUM(AS$55:AS55)</f>
        <v>205.33206021146577</v>
      </c>
      <c r="AT62" s="9">
        <f>SUM(AT$55:AT55)</f>
        <v>101.38518244553336</v>
      </c>
      <c r="AU62" s="9">
        <f>SUM(AU$55:AU55)</f>
        <v>98.999902433666989</v>
      </c>
      <c r="AV62" s="9">
        <f>SUM(AV$55:AV55)</f>
        <v>280.60329667696664</v>
      </c>
      <c r="AW62" s="9">
        <f>SUM(AW$55:AW55)</f>
        <v>327.07841582583308</v>
      </c>
      <c r="AX62" s="10">
        <f>SUM(AX$55:AX55)</f>
        <v>219.68021470754314</v>
      </c>
      <c r="AY62" s="10">
        <f>SUM(AY$55:AY55)</f>
        <v>286.52863476353565</v>
      </c>
    </row>
    <row r="63" spans="1:51" x14ac:dyDescent="0.25">
      <c r="A63" s="8" t="s">
        <v>27</v>
      </c>
      <c r="T63" s="9">
        <f>SUM(T$55:T56)</f>
        <v>1446.952</v>
      </c>
      <c r="U63" s="9">
        <f>SUM(U$55:U56)</f>
        <v>-36.834666666666806</v>
      </c>
      <c r="V63" s="9">
        <f>SUM(V$55:V56)</f>
        <v>78.705333333333058</v>
      </c>
      <c r="W63" s="9">
        <f>SUM(W$55:W56)</f>
        <v>121.43666666666682</v>
      </c>
      <c r="X63" s="9">
        <f>SUM(X$55:X56)</f>
        <v>126.55966666666633</v>
      </c>
      <c r="Y63" s="9">
        <f>SUM(Y$55:Y56)</f>
        <v>146.57133333333326</v>
      </c>
      <c r="Z63" s="9">
        <f>SUM(Z$55:Z56)</f>
        <v>136.81166666666687</v>
      </c>
      <c r="AA63" s="9">
        <f>SUM(AA$55:AA56)</f>
        <v>151.87066666666647</v>
      </c>
      <c r="AB63" s="9">
        <f>SUM(AB$55:AB56)</f>
        <v>146.94933333333299</v>
      </c>
      <c r="AC63" s="9">
        <f>SUM(AC$55:AC56)</f>
        <v>126.29133333333316</v>
      </c>
      <c r="AD63" s="9">
        <f>SUM(AD$55:AD56)</f>
        <v>145.20600000000013</v>
      </c>
      <c r="AE63" s="9">
        <f>SUM(AE$55:AE56)</f>
        <v>217.81100000000021</v>
      </c>
      <c r="AF63" s="9">
        <f>SUM(AF$55:AF56)</f>
        <v>181.62233333333313</v>
      </c>
      <c r="AG63" s="9">
        <f>SUM(AG$55:AG56)</f>
        <v>179.13021366666669</v>
      </c>
      <c r="AH63" s="9">
        <f>SUM(AH$55:AH56)</f>
        <v>58.89426233333343</v>
      </c>
      <c r="AI63" s="9">
        <f>SUM(AI$55:AI56)</f>
        <v>190.352366666667</v>
      </c>
      <c r="AJ63" s="9">
        <f>SUM(AJ$55:AJ56)</f>
        <v>168.39935999999949</v>
      </c>
      <c r="AK63" s="9">
        <f>SUM(AK$55:AK56)</f>
        <v>194.49767199999928</v>
      </c>
      <c r="AL63" s="9">
        <f>SUM(AL$55:AL56)</f>
        <v>139.89434124231124</v>
      </c>
      <c r="AM63" s="9">
        <f>SUM(AM$55:AM56)</f>
        <v>120.99973074386855</v>
      </c>
      <c r="AN63" s="9">
        <f>SUM(AN$55:AN56)</f>
        <v>157.41428555534097</v>
      </c>
      <c r="AO63" s="9">
        <f>SUM(AO$55:AO56)</f>
        <v>260.10230716094873</v>
      </c>
      <c r="AP63" s="9">
        <f>SUM(AP$55:AP56)</f>
        <v>208.29928700870065</v>
      </c>
      <c r="AQ63" s="9">
        <f>SUM(AQ$55:AQ56)</f>
        <v>174.45880181895902</v>
      </c>
      <c r="AR63" s="9">
        <f>SUM(AR$55:AR56)</f>
        <v>152.27796446992559</v>
      </c>
      <c r="AS63" s="9">
        <f>SUM(AS$55:AS56)</f>
        <v>230.6022270593991</v>
      </c>
      <c r="AT63" s="9">
        <f>SUM(AT$55:AT56)</f>
        <v>68.705306010400164</v>
      </c>
      <c r="AU63" s="9">
        <f>SUM(AU$55:AU56)</f>
        <v>57.870825568900187</v>
      </c>
      <c r="AV63" s="9">
        <f>SUM(AV$55:AV56)</f>
        <v>278.65563336799983</v>
      </c>
      <c r="AW63" s="9">
        <f>SUM(AW$55:AW56)</f>
        <v>374.99953394659951</v>
      </c>
      <c r="AX63" s="10">
        <f>SUM(AX$55:AX56)</f>
        <v>317.95771759220099</v>
      </c>
      <c r="AY63" s="10">
        <f>SUM(AY$55:AY56)</f>
        <v>303.45967637672828</v>
      </c>
    </row>
    <row r="64" spans="1:51" x14ac:dyDescent="0.25">
      <c r="A64" s="8" t="s">
        <v>28</v>
      </c>
      <c r="T64" s="9">
        <f>SUM(T$55:T57)</f>
        <v>1345.675</v>
      </c>
      <c r="U64" s="9">
        <f>SUM(U$55:U57)</f>
        <v>-40.544000000000047</v>
      </c>
      <c r="V64" s="9">
        <f>SUM(V$55:V57)</f>
        <v>121.57804761904734</v>
      </c>
      <c r="W64" s="9">
        <f>SUM(W$55:W57)</f>
        <v>152.72809523809522</v>
      </c>
      <c r="X64" s="9">
        <f>SUM(X$55:X57)</f>
        <v>200.44895238095202</v>
      </c>
      <c r="Y64" s="9">
        <f>SUM(Y$55:Y57)</f>
        <v>192.93547619047607</v>
      </c>
      <c r="Z64" s="9">
        <f>SUM(Z$55:Z57)</f>
        <v>171.5040000000003</v>
      </c>
      <c r="AA64" s="9">
        <f>SUM(AA$55:AA57)</f>
        <v>210.59699999999981</v>
      </c>
      <c r="AB64" s="9">
        <f>SUM(AB$55:AB57)</f>
        <v>207.28895238095214</v>
      </c>
      <c r="AC64" s="9">
        <f>SUM(AC$55:AC57)</f>
        <v>138.35647619047603</v>
      </c>
      <c r="AD64" s="9">
        <f>SUM(AD$55:AD57)</f>
        <v>169.68166666666673</v>
      </c>
      <c r="AE64" s="9">
        <f>SUM(AE$55:AE57)</f>
        <v>260.1088095238099</v>
      </c>
      <c r="AF64" s="9">
        <f>SUM(AF$55:AF57)</f>
        <v>237.36699999999962</v>
      </c>
      <c r="AG64" s="9">
        <f>SUM(AG$55:AG57)</f>
        <v>209.28421733333349</v>
      </c>
      <c r="AH64" s="9">
        <f>SUM(AH$55:AH57)</f>
        <v>114.92197661904774</v>
      </c>
      <c r="AI64" s="9">
        <f>SUM(AI$55:AI57)</f>
        <v>219.1888428571431</v>
      </c>
      <c r="AJ64" s="9">
        <f>SUM(AJ$55:AJ57)</f>
        <v>222.52939309523754</v>
      </c>
      <c r="AK64" s="9">
        <f>SUM(AK$55:AK57)</f>
        <v>203.43837676190404</v>
      </c>
      <c r="AL64" s="9">
        <f>SUM(AL$55:AL57)</f>
        <v>148.74273976739008</v>
      </c>
      <c r="AM64" s="9">
        <f>SUM(AM$55:AM57)</f>
        <v>170.94728457073359</v>
      </c>
      <c r="AN64" s="9">
        <f>SUM(AN$55:AN57)</f>
        <v>144.41907088839616</v>
      </c>
      <c r="AO64" s="9">
        <f>SUM(AO$55:AO57)</f>
        <v>299.70831428571444</v>
      </c>
      <c r="AP64" s="9">
        <f>SUM(AP$55:AP57)</f>
        <v>220.36373597575772</v>
      </c>
      <c r="AQ64" s="9">
        <f>SUM(AQ$55:AQ57)</f>
        <v>225.70086676705876</v>
      </c>
      <c r="AR64" s="9">
        <f>SUM(AR$55:AR57)</f>
        <v>219.24315845319146</v>
      </c>
      <c r="AS64" s="9">
        <f>SUM(AS$55:AS57)</f>
        <v>349.08806246840879</v>
      </c>
      <c r="AT64" s="9">
        <f>SUM(AT$55:AT57)</f>
        <v>148.54106550805261</v>
      </c>
      <c r="AU64" s="9">
        <f>SUM(AU$55:AU57)</f>
        <v>168.97511911447174</v>
      </c>
      <c r="AV64" s="9">
        <f>SUM(AV$55:AV57)</f>
        <v>363.63037890857134</v>
      </c>
      <c r="AW64" s="9">
        <f>SUM(AW$55:AW57)</f>
        <v>461.97359783613297</v>
      </c>
      <c r="AX64" s="10">
        <f>SUM(AX$55:AX57)</f>
        <v>470.1803797006196</v>
      </c>
      <c r="AY64" s="10">
        <f>SUM(AY$55:AY57)</f>
        <v>412.15997389601984</v>
      </c>
    </row>
    <row r="65" spans="1:51" x14ac:dyDescent="0.25">
      <c r="A65" s="8" t="s">
        <v>29</v>
      </c>
      <c r="T65" s="9">
        <f>SUM(T$55:T58)</f>
        <v>1277.088</v>
      </c>
      <c r="U65" s="9">
        <f>SUM(U$55:U58)</f>
        <v>-104.16400000000017</v>
      </c>
      <c r="V65" s="9">
        <f>SUM(V$55:V58)</f>
        <v>16.397999999999854</v>
      </c>
      <c r="W65" s="9">
        <f>SUM(W$55:W58)</f>
        <v>39.802666666666681</v>
      </c>
      <c r="X65" s="9">
        <f>SUM(X$55:X58)</f>
        <v>83.292999999999608</v>
      </c>
      <c r="Y65" s="9">
        <f>SUM(Y$55:Y58)</f>
        <v>84.375333333333174</v>
      </c>
      <c r="Z65" s="9">
        <f>SUM(Z$55:Z58)</f>
        <v>49.495333333333619</v>
      </c>
      <c r="AA65" s="9">
        <f>SUM(AA$55:AA58)</f>
        <v>75.683999999999742</v>
      </c>
      <c r="AB65" s="9">
        <f>SUM(AB$55:AB58)</f>
        <v>67.04766666666643</v>
      </c>
      <c r="AC65" s="9">
        <f>SUM(AC$55:AC58)</f>
        <v>6.1786666666664871</v>
      </c>
      <c r="AD65" s="9">
        <f>SUM(AD$55:AD58)</f>
        <v>19.651666666666728</v>
      </c>
      <c r="AE65" s="9">
        <f>SUM(AE$55:AE58)</f>
        <v>150.64666666666702</v>
      </c>
      <c r="AF65" s="9">
        <f>SUM(AF$55:AF58)</f>
        <v>133.45766666666628</v>
      </c>
      <c r="AG65" s="9">
        <f>SUM(AG$55:AG58)</f>
        <v>80.98043333333348</v>
      </c>
      <c r="AH65" s="9">
        <f>SUM(AH$55:AH58)</f>
        <v>-48.240070999999915</v>
      </c>
      <c r="AI65" s="9">
        <f>SUM(AI$55:AI58)</f>
        <v>46.787033333333625</v>
      </c>
      <c r="AJ65" s="9">
        <f>SUM(AJ$55:AJ58)</f>
        <v>59.135631666666228</v>
      </c>
      <c r="AK65" s="9">
        <f>SUM(AK$55:AK58)</f>
        <v>55.231269293332588</v>
      </c>
      <c r="AL65" s="9">
        <f>SUM(AL$55:AL58)</f>
        <v>-41.520008000000388</v>
      </c>
      <c r="AM65" s="9">
        <f>SUM(AM$55:AM58)</f>
        <v>-6.9396579999996675</v>
      </c>
      <c r="AN65" s="9">
        <f>SUM(AN$55:AN58)</f>
        <v>-20.46268999999964</v>
      </c>
      <c r="AO65" s="9">
        <f>SUM(AO$55:AO58)</f>
        <v>101.47480000000019</v>
      </c>
      <c r="AP65" s="9">
        <f>SUM(AP$55:AP58)</f>
        <v>74.470360893910424</v>
      </c>
      <c r="AQ65" s="9">
        <f>SUM(AQ$55:AQ58)</f>
        <v>102.16212847535738</v>
      </c>
      <c r="AR65" s="9">
        <f>SUM(AR$55:AR58)</f>
        <v>36.856900433074856</v>
      </c>
      <c r="AS65" s="9">
        <f>SUM(AS$55:AS58)</f>
        <v>201.60301653903261</v>
      </c>
      <c r="AT65" s="9">
        <f>SUM(AT$55:AT58)</f>
        <v>81.788701864067008</v>
      </c>
      <c r="AU65" s="9">
        <f>SUM(AU$55:AU58)</f>
        <v>46.860410421333697</v>
      </c>
      <c r="AV65" s="9">
        <f>SUM(AV$55:AV58)</f>
        <v>199.78202973993314</v>
      </c>
      <c r="AW65" s="9">
        <f>SUM(AW$55:AW58)</f>
        <v>281.66967572826638</v>
      </c>
      <c r="AX65" s="10">
        <f>SUM(AX$55:AX58)</f>
        <v>341.27222184293362</v>
      </c>
      <c r="AY65" s="10">
        <f>SUM(AY$55:AY58)</f>
        <v>237.42363461145632</v>
      </c>
    </row>
    <row r="66" spans="1:51" x14ac:dyDescent="0.25">
      <c r="A66" s="8"/>
      <c r="AR66" s="11"/>
      <c r="AS66" s="11"/>
      <c r="AT66" s="11"/>
      <c r="AU66" s="11"/>
      <c r="AV66" s="11"/>
      <c r="AW66" s="11"/>
      <c r="AX66" s="11"/>
      <c r="AY66" s="11"/>
    </row>
    <row r="67" spans="1:51" x14ac:dyDescent="0.25">
      <c r="A67" s="8" t="s">
        <v>30</v>
      </c>
      <c r="T67" s="9">
        <f>SUM(T56:T58)</f>
        <v>-366.40199999999999</v>
      </c>
      <c r="U67" s="9">
        <f t="shared" ref="U67:AY67" si="19">SUM(U56:U58)</f>
        <v>8.4703333333336204</v>
      </c>
      <c r="V67" s="9">
        <f t="shared" si="19"/>
        <v>-49.82433333333308</v>
      </c>
      <c r="W67" s="9">
        <f t="shared" si="19"/>
        <v>-49.194333333333383</v>
      </c>
      <c r="X67" s="9">
        <f t="shared" si="19"/>
        <v>-3.317333333333579</v>
      </c>
      <c r="Y67" s="9">
        <f t="shared" si="19"/>
        <v>6.9109999999999019</v>
      </c>
      <c r="Z67" s="9">
        <f t="shared" si="19"/>
        <v>-21.586999999999662</v>
      </c>
      <c r="AA67" s="9">
        <f t="shared" si="19"/>
        <v>4.6386666666665519</v>
      </c>
      <c r="AB67" s="9">
        <f t="shared" si="19"/>
        <v>-19.423333333333346</v>
      </c>
      <c r="AC67" s="9">
        <f t="shared" si="19"/>
        <v>-60.44166666666689</v>
      </c>
      <c r="AD67" s="9">
        <f t="shared" si="19"/>
        <v>-97.256999999999991</v>
      </c>
      <c r="AE67" s="9">
        <f t="shared" si="19"/>
        <v>20.412000000000091</v>
      </c>
      <c r="AF67" s="9">
        <f t="shared" si="19"/>
        <v>44.436666666666582</v>
      </c>
      <c r="AG67" s="9">
        <f t="shared" si="19"/>
        <v>-20.39123333333319</v>
      </c>
      <c r="AH67" s="9">
        <f t="shared" si="19"/>
        <v>-62.714259999999868</v>
      </c>
      <c r="AI67" s="9">
        <f t="shared" si="19"/>
        <v>-52.217633333333481</v>
      </c>
      <c r="AJ67" s="9">
        <f t="shared" si="19"/>
        <v>-132.38503500000004</v>
      </c>
      <c r="AK67" s="9">
        <f t="shared" si="19"/>
        <v>-84.222731040000355</v>
      </c>
      <c r="AL67" s="9">
        <f t="shared" si="19"/>
        <v>-107.29621473516613</v>
      </c>
      <c r="AM67" s="9">
        <f t="shared" si="19"/>
        <v>-159.16191158056523</v>
      </c>
      <c r="AN67" s="9">
        <f t="shared" si="19"/>
        <v>-195.66609488273852</v>
      </c>
      <c r="AO67" s="9">
        <f t="shared" si="19"/>
        <v>-174.50672198940782</v>
      </c>
      <c r="AP67" s="9">
        <f t="shared" si="19"/>
        <v>-86.994611964975562</v>
      </c>
      <c r="AQ67" s="9">
        <f t="shared" si="19"/>
        <v>-74.370181447999926</v>
      </c>
      <c r="AR67" s="9">
        <f t="shared" si="19"/>
        <v>-159.7258465090508</v>
      </c>
      <c r="AS67" s="9">
        <f t="shared" si="19"/>
        <v>-3.7290436724331641</v>
      </c>
      <c r="AT67" s="9">
        <f t="shared" si="19"/>
        <v>-19.596480581466352</v>
      </c>
      <c r="AU67" s="9">
        <f t="shared" si="19"/>
        <v>-52.139492012333292</v>
      </c>
      <c r="AV67" s="9">
        <f t="shared" si="19"/>
        <v>-80.821266937033513</v>
      </c>
      <c r="AW67" s="9">
        <f t="shared" si="19"/>
        <v>-45.408740097566721</v>
      </c>
      <c r="AX67" s="10">
        <f t="shared" si="19"/>
        <v>121.59200713539047</v>
      </c>
      <c r="AY67" s="10">
        <f t="shared" si="19"/>
        <v>-49.105000152079327</v>
      </c>
    </row>
    <row r="68" spans="1:51" ht="15.75" thickBot="1" x14ac:dyDescent="0.3">
      <c r="A68" s="8" t="s">
        <v>31</v>
      </c>
      <c r="T68" s="9">
        <f>SUM(T57:T58)</f>
        <v>-169.864</v>
      </c>
      <c r="U68" s="9">
        <f t="shared" ref="U68:AY68" si="20">SUM(U57:U58)</f>
        <v>-67.329333333333366</v>
      </c>
      <c r="V68" s="9">
        <f t="shared" si="20"/>
        <v>-62.307333333333197</v>
      </c>
      <c r="W68" s="9">
        <f t="shared" si="20"/>
        <v>-81.634000000000128</v>
      </c>
      <c r="X68" s="9">
        <f t="shared" si="20"/>
        <v>-43.266666666666723</v>
      </c>
      <c r="Y68" s="9">
        <f t="shared" si="20"/>
        <v>-62.196000000000083</v>
      </c>
      <c r="Z68" s="9">
        <f t="shared" si="20"/>
        <v>-87.316333333333233</v>
      </c>
      <c r="AA68" s="9">
        <f t="shared" si="20"/>
        <v>-76.186666666666724</v>
      </c>
      <c r="AB68" s="9">
        <f t="shared" si="20"/>
        <v>-79.901666666666557</v>
      </c>
      <c r="AC68" s="9">
        <f t="shared" si="20"/>
        <v>-120.11266666666668</v>
      </c>
      <c r="AD68" s="9">
        <f t="shared" si="20"/>
        <v>-125.55433333333339</v>
      </c>
      <c r="AE68" s="9">
        <f t="shared" si="20"/>
        <v>-67.164333333333218</v>
      </c>
      <c r="AF68" s="9">
        <f t="shared" si="20"/>
        <v>-48.164666666666854</v>
      </c>
      <c r="AG68" s="9">
        <f t="shared" si="20"/>
        <v>-98.149780333333212</v>
      </c>
      <c r="AH68" s="9">
        <f t="shared" si="20"/>
        <v>-107.13433333333334</v>
      </c>
      <c r="AI68" s="9">
        <f t="shared" si="20"/>
        <v>-143.56533333333337</v>
      </c>
      <c r="AJ68" s="9">
        <f t="shared" si="20"/>
        <v>-109.26372833333326</v>
      </c>
      <c r="AK68" s="9">
        <f t="shared" si="20"/>
        <v>-139.2664027066667</v>
      </c>
      <c r="AL68" s="9">
        <f t="shared" si="20"/>
        <v>-181.41434924231163</v>
      </c>
      <c r="AM68" s="9">
        <f t="shared" si="20"/>
        <v>-127.93938874386824</v>
      </c>
      <c r="AN68" s="9">
        <f t="shared" si="20"/>
        <v>-177.87697555534061</v>
      </c>
      <c r="AO68" s="9">
        <f t="shared" si="20"/>
        <v>-158.62750716094857</v>
      </c>
      <c r="AP68" s="9">
        <f t="shared" si="20"/>
        <v>-133.82892611479022</v>
      </c>
      <c r="AQ68" s="9">
        <f t="shared" si="20"/>
        <v>-72.29667334360164</v>
      </c>
      <c r="AR68" s="9">
        <f t="shared" si="20"/>
        <v>-115.42106403685074</v>
      </c>
      <c r="AS68" s="9">
        <f t="shared" si="20"/>
        <v>-28.999210520366503</v>
      </c>
      <c r="AT68" s="9">
        <f t="shared" si="20"/>
        <v>13.083395853666843</v>
      </c>
      <c r="AU68" s="9">
        <f t="shared" si="20"/>
        <v>-11.010415147566491</v>
      </c>
      <c r="AV68" s="9">
        <f t="shared" si="20"/>
        <v>-78.873603628066675</v>
      </c>
      <c r="AW68" s="9">
        <f t="shared" si="20"/>
        <v>-93.329858218333158</v>
      </c>
      <c r="AX68" s="10">
        <f t="shared" si="20"/>
        <v>23.314504250732654</v>
      </c>
      <c r="AY68" s="10">
        <f t="shared" si="20"/>
        <v>-66.03604176527196</v>
      </c>
    </row>
    <row r="69" spans="1:5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7"/>
      <c r="AV69" s="17"/>
      <c r="AW69" s="17"/>
      <c r="AX69" s="17"/>
      <c r="AY69" s="17"/>
    </row>
    <row r="70" spans="1:51" ht="18" x14ac:dyDescent="0.25">
      <c r="A70" s="1" t="s">
        <v>35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18"/>
      <c r="AV70" s="18"/>
      <c r="AW70" s="18"/>
      <c r="AX70" s="18"/>
      <c r="AY70" s="18"/>
    </row>
    <row r="71" spans="1:51" ht="15.75" thickBot="1" x14ac:dyDescent="0.3">
      <c r="A71" s="19"/>
      <c r="B71" s="20" t="s">
        <v>1</v>
      </c>
      <c r="C71" s="20" t="s">
        <v>2</v>
      </c>
      <c r="D71" s="20" t="s">
        <v>3</v>
      </c>
      <c r="E71" s="20" t="s">
        <v>4</v>
      </c>
      <c r="F71" s="20" t="s">
        <v>5</v>
      </c>
      <c r="G71" s="20" t="s">
        <v>6</v>
      </c>
      <c r="H71" s="20" t="s">
        <v>7</v>
      </c>
      <c r="I71" s="20" t="s">
        <v>8</v>
      </c>
      <c r="J71" s="20" t="s">
        <v>9</v>
      </c>
      <c r="K71" s="20" t="s">
        <v>10</v>
      </c>
      <c r="L71" s="20" t="s">
        <v>11</v>
      </c>
      <c r="M71" s="20" t="s">
        <v>12</v>
      </c>
      <c r="N71" s="20" t="s">
        <v>13</v>
      </c>
      <c r="O71" s="20" t="s">
        <v>14</v>
      </c>
      <c r="P71" s="20" t="s">
        <v>15</v>
      </c>
      <c r="Q71" s="20" t="s">
        <v>16</v>
      </c>
      <c r="R71" s="20" t="s">
        <v>17</v>
      </c>
      <c r="S71" s="20" t="s">
        <v>18</v>
      </c>
      <c r="T71" s="20" t="s">
        <v>36</v>
      </c>
      <c r="U71" s="21" t="s">
        <v>37</v>
      </c>
      <c r="V71" s="21" t="s">
        <v>38</v>
      </c>
      <c r="W71" s="21" t="s">
        <v>39</v>
      </c>
      <c r="X71" s="21" t="s">
        <v>40</v>
      </c>
      <c r="Y71" s="21" t="s">
        <v>41</v>
      </c>
      <c r="Z71" s="21" t="s">
        <v>42</v>
      </c>
      <c r="AA71" s="21" t="s">
        <v>43</v>
      </c>
      <c r="AB71" s="21" t="s">
        <v>44</v>
      </c>
      <c r="AC71" s="21" t="s">
        <v>45</v>
      </c>
      <c r="AD71" s="21" t="s">
        <v>46</v>
      </c>
      <c r="AE71" s="21" t="s">
        <v>47</v>
      </c>
      <c r="AF71" s="21" t="s">
        <v>48</v>
      </c>
      <c r="AG71" s="21" t="s">
        <v>49</v>
      </c>
      <c r="AH71" s="21" t="s">
        <v>50</v>
      </c>
      <c r="AI71" s="21" t="s">
        <v>51</v>
      </c>
      <c r="AJ71" s="21" t="s">
        <v>52</v>
      </c>
      <c r="AK71" s="21" t="s">
        <v>53</v>
      </c>
      <c r="AL71" s="21" t="s">
        <v>54</v>
      </c>
      <c r="AM71" s="21" t="s">
        <v>55</v>
      </c>
      <c r="AN71" s="21" t="s">
        <v>56</v>
      </c>
      <c r="AO71" s="21" t="s">
        <v>57</v>
      </c>
      <c r="AP71" s="21" t="s">
        <v>58</v>
      </c>
      <c r="AQ71" s="21" t="s">
        <v>59</v>
      </c>
      <c r="AR71" s="21" t="str">
        <f>AR2</f>
        <v xml:space="preserve">17/18 </v>
      </c>
      <c r="AS71" s="21" t="str">
        <f t="shared" ref="AS71:AY71" si="21">AS2</f>
        <v xml:space="preserve">18/19 </v>
      </c>
      <c r="AT71" s="21" t="str">
        <f t="shared" si="21"/>
        <v>19/20</v>
      </c>
      <c r="AU71" s="22" t="str">
        <f t="shared" si="21"/>
        <v>20/21</v>
      </c>
      <c r="AV71" s="22" t="str">
        <f t="shared" si="21"/>
        <v xml:space="preserve">21/22 </v>
      </c>
      <c r="AW71" s="22" t="str">
        <f t="shared" si="21"/>
        <v xml:space="preserve">22/23 </v>
      </c>
      <c r="AX71" s="22" t="str">
        <f t="shared" si="21"/>
        <v xml:space="preserve">23/24 </v>
      </c>
      <c r="AY71" s="22" t="str">
        <f t="shared" si="21"/>
        <v xml:space="preserve">24/25 </v>
      </c>
    </row>
    <row r="72" spans="1:51" x14ac:dyDescent="0.25">
      <c r="A72" s="6" t="s">
        <v>60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23"/>
      <c r="AV72" s="23"/>
      <c r="AW72" s="23"/>
      <c r="AX72" s="23"/>
      <c r="AY72" s="23"/>
    </row>
    <row r="73" spans="1:51" x14ac:dyDescent="0.25">
      <c r="A73" s="8" t="s">
        <v>61</v>
      </c>
      <c r="AU73" s="11"/>
      <c r="AV73" s="11"/>
      <c r="AW73" s="11"/>
      <c r="AX73" s="11"/>
      <c r="AY73" s="11"/>
    </row>
    <row r="74" spans="1:51" x14ac:dyDescent="0.25">
      <c r="A74" s="8" t="s">
        <v>21</v>
      </c>
      <c r="T74" s="9">
        <f>SUM('[2]Soybean Export Forecast'!B$35:B$37)</f>
        <v>-164.988</v>
      </c>
      <c r="U74" s="9">
        <f>SUM('[2]Soybean Export Forecast'!C$35:C$37)</f>
        <v>-6.8840145608000114</v>
      </c>
      <c r="V74" s="9">
        <f>SUM('[2]Soybean Export Forecast'!D$35:D$37)</f>
        <v>-5.2468243860999877</v>
      </c>
      <c r="W74" s="9">
        <f>SUM('[2]Soybean Export Forecast'!E$35:E$37)</f>
        <v>-1.4123808474999962</v>
      </c>
      <c r="X74" s="9">
        <f>SUM('[2]Soybean Export Forecast'!F$35:F$37)</f>
        <v>-10.638646963500044</v>
      </c>
      <c r="Y74" s="9">
        <f>SUM('[2]Soybean Export Forecast'!G$35:G$37)</f>
        <v>-15.251336785600021</v>
      </c>
      <c r="Z74" s="9">
        <f>SUM('[2]Soybean Export Forecast'!H$35:H$37)</f>
        <v>-15.23820338500002</v>
      </c>
      <c r="AA74" s="9">
        <f>SUM('[2]Soybean Export Forecast'!I$35:I$37)</f>
        <v>-12.788395120700031</v>
      </c>
      <c r="AB74" s="9">
        <f>SUM('[2]Soybean Export Forecast'!J$35:J$37)</f>
        <v>-0.91562456840005524</v>
      </c>
      <c r="AC74" s="9">
        <f>SUM('[2]Soybean Export Forecast'!K$35:K$37)</f>
        <v>-19.279148542100007</v>
      </c>
      <c r="AD74" s="9">
        <f>SUM('[2]Soybean Export Forecast'!L$35:L$37)</f>
        <v>10.325308896299966</v>
      </c>
      <c r="AE74" s="9">
        <f>SUM('[2]Soybean Export Forecast'!M$35:M$37)</f>
        <v>13.634258428799932</v>
      </c>
      <c r="AF74" s="9">
        <f>SUM('[2]Soybean Export Forecast'!N$35:N$37)</f>
        <v>2.672212374400015</v>
      </c>
      <c r="AG74" s="9">
        <f>SUM('[2]Soybean Export Forecast'!O$35:O$37)</f>
        <v>-3.3402122725000396</v>
      </c>
      <c r="AH74" s="9">
        <f>SUM('[2]Soybean Export Forecast'!P$35:P$37)</f>
        <v>9.6743566890999517</v>
      </c>
      <c r="AI74" s="9">
        <f>SUM('[2]Soybean Export Forecast'!Q$35:Q$37)</f>
        <v>14.814721631799951</v>
      </c>
      <c r="AJ74" s="9">
        <f>SUM('[2]Soybean Export Forecast'!R$35:R$37)</f>
        <v>8.7142575091001575</v>
      </c>
      <c r="AK74" s="9">
        <f>SUM('[2]Soybean Export Forecast'!S$35:S$37)</f>
        <v>-1.7285077399999409</v>
      </c>
      <c r="AL74" s="9">
        <f>SUM('[2]Soybean Export Forecast'!T$35:T$37)</f>
        <v>-1.5634954949000175</v>
      </c>
      <c r="AM74" s="9">
        <f>SUM('[2]Soybean Export Forecast'!U$35:U$37)</f>
        <v>7.4121558074151892</v>
      </c>
      <c r="AN74" s="9">
        <f>SUM('[2]Soybean Export Forecast'!V$35:V$37)</f>
        <v>14.905787628619066</v>
      </c>
      <c r="AO74" s="9">
        <f>SUM('[2]Soybean Export Forecast'!W$35:W$37)</f>
        <v>-13.026050289658372</v>
      </c>
      <c r="AP74" s="9">
        <f>SUM('[2]Soybean Export Forecast'!X$35:X$37)</f>
        <v>14.282795605283255</v>
      </c>
      <c r="AQ74" s="9">
        <f>SUM('[2]Soybean Export Forecast'!Y$35:Y$37)</f>
        <v>-22.136252421886724</v>
      </c>
      <c r="AR74" s="9">
        <f>SUM('[2]Soybean Export Forecast'!Z$35:Z$37)</f>
        <v>11.148486569036379</v>
      </c>
      <c r="AS74" s="9">
        <f>SUM('[2]Soybean Export Forecast'!AA$35:AA$37)</f>
        <v>2.0680433534474645</v>
      </c>
      <c r="AT74" s="9">
        <f>SUM('[2]Soybean Export Forecast'!AB$35:AB$37)</f>
        <v>18.617292090503611</v>
      </c>
      <c r="AU74" s="9">
        <f>SUM('[2]Soybean Export Forecast'!AC$35:AC$37)</f>
        <v>32.084047684499978</v>
      </c>
      <c r="AV74" s="9">
        <f>SUM('[2]Soybean Export Forecast'!AD$35:AD$37)</f>
        <v>137.42599421879999</v>
      </c>
      <c r="AW74" s="9">
        <f>SUM('[2]Soybean Export Forecast'!AE$35:AE$37)</f>
        <v>157.73024248410013</v>
      </c>
      <c r="AX74" s="10">
        <f>SUM('[2]Soybean Export Forecast'!AF$35:AF$37)</f>
        <v>36.269412320400022</v>
      </c>
      <c r="AY74" s="10">
        <f>SUM('[2]Soybean Export Forecast'!AG$35:AG$37)</f>
        <v>69.046822080259133</v>
      </c>
    </row>
    <row r="75" spans="1:51" x14ac:dyDescent="0.25">
      <c r="A75" s="8" t="s">
        <v>22</v>
      </c>
      <c r="T75" s="9">
        <f>SUM('[2]Soybean Export Forecast'!B$38:B$40)</f>
        <v>-200.90800000000002</v>
      </c>
      <c r="U75" s="9">
        <f>SUM('[2]Soybean Export Forecast'!C$38:C$40)</f>
        <v>-0.4643169182000122</v>
      </c>
      <c r="V75" s="9">
        <f>SUM('[2]Soybean Export Forecast'!D$38:D$40)</f>
        <v>5.7095771818999879</v>
      </c>
      <c r="W75" s="9">
        <f>SUM('[2]Soybean Export Forecast'!E$38:E$40)</f>
        <v>-2.9985820974000177</v>
      </c>
      <c r="X75" s="9">
        <f>SUM('[2]Soybean Export Forecast'!F$38:F$40)</f>
        <v>-7.2285899605000026</v>
      </c>
      <c r="Y75" s="9">
        <f>SUM('[2]Soybean Export Forecast'!G$38:G$40)</f>
        <v>-10.661022923999994</v>
      </c>
      <c r="Z75" s="9">
        <f>SUM('[2]Soybean Export Forecast'!H$38:H$40)</f>
        <v>1.8562776704999635</v>
      </c>
      <c r="AA75" s="9">
        <f>SUM('[2]Soybean Export Forecast'!I$38:I$40)</f>
        <v>-1.8309075361000282</v>
      </c>
      <c r="AB75" s="9">
        <f>SUM('[2]Soybean Export Forecast'!J$38:J$40)</f>
        <v>-9.7456997970000714</v>
      </c>
      <c r="AC75" s="9">
        <f>SUM('[2]Soybean Export Forecast'!K$38:K$40)</f>
        <v>-7.267677446800036</v>
      </c>
      <c r="AD75" s="9">
        <f>SUM('[2]Soybean Export Forecast'!L$38:L$40)</f>
        <v>1.1095926559999896</v>
      </c>
      <c r="AE75" s="9">
        <f>SUM('[2]Soybean Export Forecast'!M$38:M$40)</f>
        <v>9.7931879251999447</v>
      </c>
      <c r="AF75" s="9">
        <f>SUM('[2]Soybean Export Forecast'!N$38:N$40)</f>
        <v>1.980627663999968</v>
      </c>
      <c r="AG75" s="9">
        <f>SUM('[2]Soybean Export Forecast'!O$38:O$40)</f>
        <v>7.5033644814999576</v>
      </c>
      <c r="AH75" s="9">
        <f>SUM('[2]Soybean Export Forecast'!P$38:P$40)</f>
        <v>16.639320011199999</v>
      </c>
      <c r="AI75" s="9">
        <f>SUM('[2]Soybean Export Forecast'!Q$38:Q$40)</f>
        <v>17.911270189200053</v>
      </c>
      <c r="AJ75" s="9">
        <f>SUM('[2]Soybean Export Forecast'!R$38:R$40)</f>
        <v>19.28015116189988</v>
      </c>
      <c r="AK75" s="9">
        <f>SUM('[2]Soybean Export Forecast'!S$38:S$40)</f>
        <v>2.3490091380999729</v>
      </c>
      <c r="AL75" s="9">
        <f>SUM('[2]Soybean Export Forecast'!T$38:T$40)</f>
        <v>0.22493078500696129</v>
      </c>
      <c r="AM75" s="9">
        <f>SUM('[2]Soybean Export Forecast'!U$38:U$40)</f>
        <v>-5.3910920576800265</v>
      </c>
      <c r="AN75" s="9">
        <f>SUM('[2]Soybean Export Forecast'!V$38:V$40)</f>
        <v>12.576046589361994</v>
      </c>
      <c r="AO75" s="9">
        <f>SUM('[2]Soybean Export Forecast'!W$38:W$40)</f>
        <v>-2.6474477704289541</v>
      </c>
      <c r="AP75" s="9">
        <f>SUM('[2]Soybean Export Forecast'!X$38:X$40)</f>
        <v>20.22220759015525</v>
      </c>
      <c r="AQ75" s="9">
        <f>SUM('[2]Soybean Export Forecast'!Y$38:Y$40)</f>
        <v>38.87324371790902</v>
      </c>
      <c r="AR75" s="9">
        <f>SUM('[2]Soybean Export Forecast'!Z$38:Z$40)</f>
        <v>13.776227423679273</v>
      </c>
      <c r="AS75" s="9">
        <f>SUM('[2]Soybean Export Forecast'!AA$38:AA$40)</f>
        <v>22.673765155709845</v>
      </c>
      <c r="AT75" s="9">
        <f>SUM('[2]Soybean Export Forecast'!AB$38:AB$40)</f>
        <v>21.083482872919518</v>
      </c>
      <c r="AU75" s="9">
        <f>SUM('[2]Soybean Export Forecast'!AC$38:AC$40)</f>
        <v>9.0775310849999471</v>
      </c>
      <c r="AV75" s="9">
        <f>SUM('[2]Soybean Export Forecast'!AD$38:AD$40)</f>
        <v>30.286729598999983</v>
      </c>
      <c r="AW75" s="9">
        <f>SUM('[2]Soybean Export Forecast'!AE$38:AE$40)</f>
        <v>52.078862062499979</v>
      </c>
      <c r="AX75" s="10">
        <f>SUM('[2]Soybean Export Forecast'!AF$38:AF$40)</f>
        <v>120.30126049090555</v>
      </c>
      <c r="AY75" s="10">
        <f>SUM('[2]Soybean Export Forecast'!AG$38:AG$40)</f>
        <v>41.931041613192633</v>
      </c>
    </row>
    <row r="76" spans="1:51" x14ac:dyDescent="0.25">
      <c r="A76" s="8" t="s">
        <v>23</v>
      </c>
      <c r="T76" s="9">
        <f>SUM('[2]Soybean Export Forecast'!B$41:B$43)</f>
        <v>-105.577</v>
      </c>
      <c r="U76" s="9">
        <f>SUM('[2]Soybean Export Forecast'!C$41:C$43)</f>
        <v>-12.623475161300014</v>
      </c>
      <c r="V76" s="9">
        <f>SUM('[2]Soybean Export Forecast'!D$41:D$43)</f>
        <v>-2.2798275478000178</v>
      </c>
      <c r="W76" s="9">
        <f>SUM('[2]Soybean Export Forecast'!E$41:E$43)</f>
        <v>5.201071982299986</v>
      </c>
      <c r="X76" s="9">
        <f>SUM('[2]Soybean Export Forecast'!F$41:F$43)</f>
        <v>-7.9050448377000038</v>
      </c>
      <c r="Y76" s="9">
        <f>SUM('[2]Soybean Export Forecast'!G$41:G$43)</f>
        <v>-1.6650351991000036</v>
      </c>
      <c r="Z76" s="9">
        <f>SUM('[2]Soybean Export Forecast'!H$41:H$43)</f>
        <v>-2.2769599445000139</v>
      </c>
      <c r="AA76" s="9">
        <f>SUM('[2]Soybean Export Forecast'!I$41:I$43)</f>
        <v>2.5222508347999835</v>
      </c>
      <c r="AB76" s="9">
        <f>SUM('[2]Soybean Export Forecast'!J$41:J$43)</f>
        <v>-2.6268701012000122</v>
      </c>
      <c r="AC76" s="9">
        <f>SUM('[2]Soybean Export Forecast'!K$41:K$43)</f>
        <v>10.67918182599999</v>
      </c>
      <c r="AD76" s="9">
        <f>SUM('[2]Soybean Export Forecast'!L$41:L$43)</f>
        <v>20.078229955899999</v>
      </c>
      <c r="AE76" s="9">
        <f>SUM('[2]Soybean Export Forecast'!M$41:M$43)</f>
        <v>-5.9818207908000076</v>
      </c>
      <c r="AF76" s="9">
        <f>SUM('[2]Soybean Export Forecast'!N$41:N$43)</f>
        <v>0.74941724669997001</v>
      </c>
      <c r="AG76" s="9">
        <f>SUM('[2]Soybean Export Forecast'!O$41:O$43)</f>
        <v>-0.84268958300001628</v>
      </c>
      <c r="AH76" s="9">
        <f>SUM('[2]Soybean Export Forecast'!P$41:P$43)</f>
        <v>-1.3618504188000173</v>
      </c>
      <c r="AI76" s="9">
        <f>SUM('[2]Soybean Export Forecast'!Q$41:Q$43)</f>
        <v>-1.7806267050999622</v>
      </c>
      <c r="AJ76" s="9">
        <f>SUM('[2]Soybean Export Forecast'!R$41:R$43)</f>
        <v>7.0837168703999964</v>
      </c>
      <c r="AK76" s="9">
        <f>SUM('[2]Soybean Export Forecast'!S$41:S$43)</f>
        <v>1.9991787158000065</v>
      </c>
      <c r="AL76" s="9">
        <f>SUM('[2]Soybean Export Forecast'!T$41:T$43)</f>
        <v>-2.6680531975000008</v>
      </c>
      <c r="AM76" s="9">
        <f>SUM('[2]Soybean Export Forecast'!U$41:U$43)</f>
        <v>6.2106735002642921</v>
      </c>
      <c r="AN76" s="9">
        <f>SUM('[2]Soybean Export Forecast'!V$41:V$43)</f>
        <v>3.8092650875177974</v>
      </c>
      <c r="AO76" s="9">
        <f>SUM('[2]Soybean Export Forecast'!W$41:W$43)</f>
        <v>11.766048644049391</v>
      </c>
      <c r="AP76" s="9">
        <f>SUM('[2]Soybean Export Forecast'!X$41:X$43)</f>
        <v>20.215396230389974</v>
      </c>
      <c r="AQ76" s="9">
        <f>SUM('[2]Soybean Export Forecast'!Y$41:Y$43)</f>
        <v>13.479314628769565</v>
      </c>
      <c r="AR76" s="9">
        <f>SUM('[2]Soybean Export Forecast'!Z$41:Z$43)</f>
        <v>16.671450541870968</v>
      </c>
      <c r="AS76" s="9">
        <f>SUM('[2]Soybean Export Forecast'!AA$41:AA$43)</f>
        <v>13.561653733496271</v>
      </c>
      <c r="AT76" s="9">
        <f>SUM('[2]Soybean Export Forecast'!AB$41:AB$43)</f>
        <v>17.574915890699998</v>
      </c>
      <c r="AU76" s="9">
        <f>SUM('[2]Soybean Export Forecast'!AC$41:AC$43)</f>
        <v>44.440807019699982</v>
      </c>
      <c r="AV76" s="9">
        <f>SUM('[2]Soybean Export Forecast'!AD$41:AD$43)</f>
        <v>12.208278043500016</v>
      </c>
      <c r="AW76" s="9">
        <f>SUM('[2]Soybean Export Forecast'!AE$41:AE$43)</f>
        <v>22.297032496200025</v>
      </c>
      <c r="AX76" s="10">
        <f>SUM('[2]Soybean Export Forecast'!AF$41:AF$43)</f>
        <v>87.268386217453241</v>
      </c>
      <c r="AY76" s="10">
        <f>SUM('[2]Soybean Export Forecast'!AG$41:AG$43)</f>
        <v>38.700297519291553</v>
      </c>
    </row>
    <row r="77" spans="1:51" x14ac:dyDescent="0.25">
      <c r="A77" s="8" t="s">
        <v>24</v>
      </c>
      <c r="T77" s="9">
        <f>SUM('[2]Soybean Export Forecast'!B$44:B$46)</f>
        <v>-72.856999999999999</v>
      </c>
      <c r="U77" s="9">
        <f>SUM('[2]Soybean Export Forecast'!C$44:C$46)</f>
        <v>-0.6489370356000066</v>
      </c>
      <c r="V77" s="9">
        <f>SUM('[2]Soybean Export Forecast'!D$44:D$46)</f>
        <v>3.1934807182999876</v>
      </c>
      <c r="W77" s="9">
        <f>SUM('[2]Soybean Export Forecast'!E$44:E$46)</f>
        <v>-3.0515020800002901E-2</v>
      </c>
      <c r="X77" s="9">
        <f>SUM('[2]Soybean Export Forecast'!F$44:F$46)</f>
        <v>2.0852602376999947</v>
      </c>
      <c r="Y77" s="9">
        <f>SUM('[2]Soybean Export Forecast'!G$44:G$46)</f>
        <v>-18.24317973660002</v>
      </c>
      <c r="Z77" s="9">
        <f>SUM('[2]Soybean Export Forecast'!H$44:H$46)</f>
        <v>0.11645606609998538</v>
      </c>
      <c r="AA77" s="9">
        <f>SUM('[2]Soybean Export Forecast'!I$44:I$46)</f>
        <v>-3.327759724600007</v>
      </c>
      <c r="AB77" s="9">
        <f>SUM('[2]Soybean Export Forecast'!J$44:J$46)</f>
        <v>-0.84835879510000467</v>
      </c>
      <c r="AC77" s="9">
        <f>SUM('[2]Soybean Export Forecast'!K$44:K$46)</f>
        <v>4.107744998599987</v>
      </c>
      <c r="AD77" s="9">
        <f>SUM('[2]Soybean Export Forecast'!L$44:L$46)</f>
        <v>4.3474290874999975</v>
      </c>
      <c r="AE77" s="9">
        <f>SUM('[2]Soybean Export Forecast'!M$44:M$46)</f>
        <v>9.1896742511999889</v>
      </c>
      <c r="AF77" s="9">
        <f>SUM('[2]Soybean Export Forecast'!N$44:N$46)</f>
        <v>-0.42550723220001174</v>
      </c>
      <c r="AG77" s="9">
        <f>SUM('[2]Soybean Export Forecast'!O$44:O$46)</f>
        <v>5.0644060152999941</v>
      </c>
      <c r="AH77" s="9">
        <f>SUM('[2]Soybean Export Forecast'!P$44:P$46)</f>
        <v>14.187230747499989</v>
      </c>
      <c r="AI77" s="9">
        <f>SUM('[2]Soybean Export Forecast'!Q$44:Q$46)</f>
        <v>7.7772063127000237</v>
      </c>
      <c r="AJ77" s="9">
        <f>SUM('[2]Soybean Export Forecast'!R$44:R$46)</f>
        <v>1.8599989688999976</v>
      </c>
      <c r="AK77" s="9">
        <f>SUM('[2]Soybean Export Forecast'!S$44:S$46)</f>
        <v>12.925958983899999</v>
      </c>
      <c r="AL77" s="9">
        <f>SUM('[2]Soybean Export Forecast'!T$44:T$46)</f>
        <v>4.0113180930024015</v>
      </c>
      <c r="AM77" s="9">
        <f>SUM('[2]Soybean Export Forecast'!U$44:U$46)</f>
        <v>6.0233742137266972</v>
      </c>
      <c r="AN77" s="9">
        <f>SUM('[2]Soybean Export Forecast'!V$44:V$46)</f>
        <v>8.6398404636810007</v>
      </c>
      <c r="AO77" s="9">
        <f>SUM('[2]Soybean Export Forecast'!W$44:W$46)</f>
        <v>13.352142008928006</v>
      </c>
      <c r="AP77" s="9">
        <f>SUM('[2]Soybean Export Forecast'!X$44:X$46)</f>
        <v>1.3974799124233002</v>
      </c>
      <c r="AQ77" s="9">
        <f>SUM('[2]Soybean Export Forecast'!Y$44:Y$46)</f>
        <v>14.520226745300896</v>
      </c>
      <c r="AR77" s="9">
        <f>SUM('[2]Soybean Export Forecast'!Z$44:Z$46)</f>
        <v>11.054851621690361</v>
      </c>
      <c r="AS77" s="9">
        <f>SUM('[2]Soybean Export Forecast'!AA$44:AA$46)</f>
        <v>1.9759385625430639</v>
      </c>
      <c r="AT77" s="9">
        <f>SUM('[2]Soybean Export Forecast'!AB$44:AB$46)</f>
        <v>8.6141562842999804</v>
      </c>
      <c r="AU77" s="9">
        <f>SUM('[2]Soybean Export Forecast'!AC$44:AC$46)</f>
        <v>30.752534923100015</v>
      </c>
      <c r="AV77" s="9">
        <f>SUM('[2]Soybean Export Forecast'!AD$44:AD$46)</f>
        <v>21.667539427800008</v>
      </c>
      <c r="AW77" s="9">
        <f>SUM('[2]Soybean Export Forecast'!AE$44:AE$46)</f>
        <v>7.1047250883000004</v>
      </c>
      <c r="AX77" s="10">
        <f>SUM('[2]Soybean Export Forecast'!AF$44:AF$46)</f>
        <v>12.634372030404156</v>
      </c>
      <c r="AY77" s="10">
        <f>SUM('[2]Soybean Export Forecast'!AG$44:AG$46)</f>
        <v>18.470220036460564</v>
      </c>
    </row>
    <row r="78" spans="1:51" x14ac:dyDescent="0.25">
      <c r="A78" s="8" t="s">
        <v>25</v>
      </c>
      <c r="T78" s="9">
        <f t="shared" ref="T78" si="22">SUM(T74:T77)</f>
        <v>-544.33000000000004</v>
      </c>
      <c r="U78" s="9">
        <f t="shared" ref="U78:AY78" si="23">SUM(U74:U77)</f>
        <v>-20.620743675900044</v>
      </c>
      <c r="V78" s="9">
        <f t="shared" si="23"/>
        <v>1.3764059662999699</v>
      </c>
      <c r="W78" s="9">
        <f t="shared" si="23"/>
        <v>0.75959401659996928</v>
      </c>
      <c r="X78" s="9">
        <f t="shared" si="23"/>
        <v>-23.687021524000055</v>
      </c>
      <c r="Y78" s="9">
        <f t="shared" si="23"/>
        <v>-45.820574645300042</v>
      </c>
      <c r="Z78" s="9">
        <f t="shared" si="23"/>
        <v>-15.542429592900085</v>
      </c>
      <c r="AA78" s="9">
        <f t="shared" si="23"/>
        <v>-15.424811546600083</v>
      </c>
      <c r="AB78" s="9">
        <f t="shared" si="23"/>
        <v>-14.136553261700143</v>
      </c>
      <c r="AC78" s="9">
        <f t="shared" si="23"/>
        <v>-11.759899164300066</v>
      </c>
      <c r="AD78" s="9">
        <f t="shared" si="23"/>
        <v>35.860560595699951</v>
      </c>
      <c r="AE78" s="9">
        <f t="shared" si="23"/>
        <v>26.635299814399858</v>
      </c>
      <c r="AF78" s="9">
        <f t="shared" si="23"/>
        <v>4.9767500528999413</v>
      </c>
      <c r="AG78" s="9">
        <f t="shared" si="23"/>
        <v>8.3848686412998958</v>
      </c>
      <c r="AH78" s="9">
        <f t="shared" si="23"/>
        <v>39.139057028999922</v>
      </c>
      <c r="AI78" s="9">
        <f t="shared" si="23"/>
        <v>38.72257142860007</v>
      </c>
      <c r="AJ78" s="9">
        <f t="shared" si="23"/>
        <v>36.938124510300028</v>
      </c>
      <c r="AK78" s="9">
        <f t="shared" si="23"/>
        <v>15.545639097800038</v>
      </c>
      <c r="AL78" s="9">
        <f t="shared" si="23"/>
        <v>4.7001856093444871E-3</v>
      </c>
      <c r="AM78" s="9">
        <f t="shared" si="23"/>
        <v>14.255111463726152</v>
      </c>
      <c r="AN78" s="9">
        <f t="shared" si="23"/>
        <v>39.930939769179858</v>
      </c>
      <c r="AO78" s="9">
        <f t="shared" si="23"/>
        <v>9.4446925928900711</v>
      </c>
      <c r="AP78" s="9">
        <f t="shared" si="23"/>
        <v>56.117879338251775</v>
      </c>
      <c r="AQ78" s="9">
        <f t="shared" si="23"/>
        <v>44.736532670092757</v>
      </c>
      <c r="AR78" s="9">
        <f t="shared" si="23"/>
        <v>52.651016156276981</v>
      </c>
      <c r="AS78" s="9">
        <f t="shared" si="23"/>
        <v>40.279400805196644</v>
      </c>
      <c r="AT78" s="9">
        <f t="shared" si="23"/>
        <v>65.889847138423107</v>
      </c>
      <c r="AU78" s="9">
        <f t="shared" si="23"/>
        <v>116.35492071229991</v>
      </c>
      <c r="AV78" s="9">
        <f t="shared" si="23"/>
        <v>201.58854128910002</v>
      </c>
      <c r="AW78" s="9">
        <f t="shared" si="23"/>
        <v>239.21086213110013</v>
      </c>
      <c r="AX78" s="10">
        <f t="shared" si="23"/>
        <v>256.47343105916298</v>
      </c>
      <c r="AY78" s="10">
        <f t="shared" si="23"/>
        <v>168.14838124920388</v>
      </c>
    </row>
    <row r="79" spans="1:51" x14ac:dyDescent="0.25">
      <c r="AU79" s="11"/>
      <c r="AV79" s="11"/>
      <c r="AW79" s="11"/>
      <c r="AX79" s="11"/>
      <c r="AY79" s="11"/>
    </row>
    <row r="80" spans="1:51" x14ac:dyDescent="0.25">
      <c r="A80" s="8" t="s">
        <v>33</v>
      </c>
      <c r="AU80" s="11"/>
      <c r="AV80" s="11"/>
      <c r="AW80" s="11"/>
      <c r="AX80" s="11"/>
      <c r="AY80" s="11"/>
    </row>
    <row r="81" spans="1:51" x14ac:dyDescent="0.25">
      <c r="A81" s="8" t="s">
        <v>21</v>
      </c>
      <c r="T81" s="9">
        <f>SUM(T$74:T74)</f>
        <v>-164.988</v>
      </c>
      <c r="U81" s="9">
        <f>SUM(U$74:U74)</f>
        <v>-6.8840145608000114</v>
      </c>
      <c r="V81" s="9">
        <f>SUM(V$74:V74)</f>
        <v>-5.2468243860999877</v>
      </c>
      <c r="W81" s="9">
        <f>SUM(W$74:W74)</f>
        <v>-1.4123808474999962</v>
      </c>
      <c r="X81" s="9">
        <f>SUM(X$74:X74)</f>
        <v>-10.638646963500044</v>
      </c>
      <c r="Y81" s="9">
        <f>SUM(Y$74:Y74)</f>
        <v>-15.251336785600021</v>
      </c>
      <c r="Z81" s="9">
        <f>SUM(Z$74:Z74)</f>
        <v>-15.23820338500002</v>
      </c>
      <c r="AA81" s="9">
        <f>SUM(AA$74:AA74)</f>
        <v>-12.788395120700031</v>
      </c>
      <c r="AB81" s="9">
        <f>SUM(AB$74:AB74)</f>
        <v>-0.91562456840005524</v>
      </c>
      <c r="AC81" s="9">
        <f>SUM(AC$74:AC74)</f>
        <v>-19.279148542100007</v>
      </c>
      <c r="AD81" s="9">
        <f>SUM(AD$74:AD74)</f>
        <v>10.325308896299966</v>
      </c>
      <c r="AE81" s="9">
        <f>SUM(AE$74:AE74)</f>
        <v>13.634258428799932</v>
      </c>
      <c r="AF81" s="9">
        <f>SUM(AF$74:AF74)</f>
        <v>2.672212374400015</v>
      </c>
      <c r="AG81" s="9">
        <f>SUM(AG$74:AG74)</f>
        <v>-3.3402122725000396</v>
      </c>
      <c r="AH81" s="9">
        <f>SUM(AH$74:AH74)</f>
        <v>9.6743566890999517</v>
      </c>
      <c r="AI81" s="9">
        <f>SUM(AI$74:AI74)</f>
        <v>14.814721631799951</v>
      </c>
      <c r="AJ81" s="9">
        <f>SUM(AJ$74:AJ74)</f>
        <v>8.7142575091001575</v>
      </c>
      <c r="AK81" s="9">
        <f>SUM(AK$74:AK74)</f>
        <v>-1.7285077399999409</v>
      </c>
      <c r="AL81" s="9">
        <f>SUM(AL$74:AL74)</f>
        <v>-1.5634954949000175</v>
      </c>
      <c r="AM81" s="9">
        <f>SUM(AM$74:AM74)</f>
        <v>7.4121558074151892</v>
      </c>
      <c r="AN81" s="9">
        <f>SUM(AN$74:AN74)</f>
        <v>14.905787628619066</v>
      </c>
      <c r="AO81" s="9">
        <f>SUM(AO$74:AO74)</f>
        <v>-13.026050289658372</v>
      </c>
      <c r="AP81" s="9">
        <f>SUM(AP$74:AP74)</f>
        <v>14.282795605283255</v>
      </c>
      <c r="AQ81" s="9">
        <f>SUM(AQ$74:AQ74)</f>
        <v>-22.136252421886724</v>
      </c>
      <c r="AR81" s="9">
        <f>SUM(AR$74:AR74)</f>
        <v>11.148486569036379</v>
      </c>
      <c r="AS81" s="9">
        <f>SUM(AS$74:AS74)</f>
        <v>2.0680433534474645</v>
      </c>
      <c r="AT81" s="9">
        <f>SUM(AT$74:AT74)</f>
        <v>18.617292090503611</v>
      </c>
      <c r="AU81" s="9">
        <f>SUM(AU$74:AU74)</f>
        <v>32.084047684499978</v>
      </c>
      <c r="AV81" s="9">
        <f>SUM(AV$74:AV74)</f>
        <v>137.42599421879999</v>
      </c>
      <c r="AW81" s="9">
        <f>SUM(AW$74:AW74)</f>
        <v>157.73024248410013</v>
      </c>
      <c r="AX81" s="10">
        <f>SUM(AX$74:AX74)</f>
        <v>36.269412320400022</v>
      </c>
      <c r="AY81" s="10">
        <f>SUM(AY$74:AY74)</f>
        <v>69.046822080259133</v>
      </c>
    </row>
    <row r="82" spans="1:51" x14ac:dyDescent="0.25">
      <c r="A82" s="8" t="s">
        <v>27</v>
      </c>
      <c r="T82" s="9">
        <f>SUM(T$74:T75)</f>
        <v>-365.89600000000002</v>
      </c>
      <c r="U82" s="9">
        <f>SUM(U$74:U75)</f>
        <v>-7.3483314790000236</v>
      </c>
      <c r="V82" s="9">
        <f>SUM(V$74:V75)</f>
        <v>0.46275279580000017</v>
      </c>
      <c r="W82" s="9">
        <f>SUM(W$74:W75)</f>
        <v>-4.4109629449000138</v>
      </c>
      <c r="X82" s="9">
        <f>SUM(X$74:X75)</f>
        <v>-17.867236924000046</v>
      </c>
      <c r="Y82" s="9">
        <f>SUM(Y$74:Y75)</f>
        <v>-25.912359709600015</v>
      </c>
      <c r="Z82" s="9">
        <f>SUM(Z$74:Z75)</f>
        <v>-13.381925714500056</v>
      </c>
      <c r="AA82" s="9">
        <f>SUM(AA$74:AA75)</f>
        <v>-14.619302656800059</v>
      </c>
      <c r="AB82" s="9">
        <f>SUM(AB$74:AB75)</f>
        <v>-10.661324365400127</v>
      </c>
      <c r="AC82" s="9">
        <f>SUM(AC$74:AC75)</f>
        <v>-26.546825988900043</v>
      </c>
      <c r="AD82" s="9">
        <f>SUM(AD$74:AD75)</f>
        <v>11.434901552299955</v>
      </c>
      <c r="AE82" s="9">
        <f>SUM(AE$74:AE75)</f>
        <v>23.427446353999876</v>
      </c>
      <c r="AF82" s="9">
        <f>SUM(AF$74:AF75)</f>
        <v>4.6528400383999831</v>
      </c>
      <c r="AG82" s="9">
        <f>SUM(AG$74:AG75)</f>
        <v>4.163152208999918</v>
      </c>
      <c r="AH82" s="9">
        <f>SUM(AH$74:AH75)</f>
        <v>26.313676700299951</v>
      </c>
      <c r="AI82" s="9">
        <f>SUM(AI$74:AI75)</f>
        <v>32.725991821000008</v>
      </c>
      <c r="AJ82" s="9">
        <f>SUM(AJ$74:AJ75)</f>
        <v>27.994408671000038</v>
      </c>
      <c r="AK82" s="9">
        <f>SUM(AK$74:AK75)</f>
        <v>0.62050139810003202</v>
      </c>
      <c r="AL82" s="9">
        <f>SUM(AL$74:AL75)</f>
        <v>-1.3385647098930562</v>
      </c>
      <c r="AM82" s="9">
        <f>SUM(AM$74:AM75)</f>
        <v>2.0210637497351627</v>
      </c>
      <c r="AN82" s="9">
        <f>SUM(AN$74:AN75)</f>
        <v>27.48183421798106</v>
      </c>
      <c r="AO82" s="9">
        <f>SUM(AO$74:AO75)</f>
        <v>-15.673498060087326</v>
      </c>
      <c r="AP82" s="9">
        <f>SUM(AP$74:AP75)</f>
        <v>34.505003195438505</v>
      </c>
      <c r="AQ82" s="9">
        <f>SUM(AQ$74:AQ75)</f>
        <v>16.736991296022296</v>
      </c>
      <c r="AR82" s="9">
        <f>SUM(AR$74:AR75)</f>
        <v>24.924713992715652</v>
      </c>
      <c r="AS82" s="9">
        <f>SUM(AS$74:AS75)</f>
        <v>24.741808509157309</v>
      </c>
      <c r="AT82" s="9">
        <f>SUM(AT$74:AT75)</f>
        <v>39.700774963423129</v>
      </c>
      <c r="AU82" s="9">
        <f>SUM(AU$74:AU75)</f>
        <v>41.161578769499926</v>
      </c>
      <c r="AV82" s="9">
        <f>SUM(AV$74:AV75)</f>
        <v>167.71272381779997</v>
      </c>
      <c r="AW82" s="9">
        <f>SUM(AW$74:AW75)</f>
        <v>209.80910454660011</v>
      </c>
      <c r="AX82" s="10">
        <f>SUM(AX$74:AX75)</f>
        <v>156.57067281130557</v>
      </c>
      <c r="AY82" s="10">
        <f>SUM(AY$74:AY75)</f>
        <v>110.97786369345177</v>
      </c>
    </row>
    <row r="83" spans="1:51" x14ac:dyDescent="0.25">
      <c r="A83" s="8" t="s">
        <v>28</v>
      </c>
      <c r="T83" s="9">
        <f>SUM(T$74:T76)</f>
        <v>-471.47300000000001</v>
      </c>
      <c r="U83" s="9">
        <f>SUM(U$74:U76)</f>
        <v>-19.971806640300038</v>
      </c>
      <c r="V83" s="9">
        <f>SUM(V$74:V76)</f>
        <v>-1.8170747520000177</v>
      </c>
      <c r="W83" s="9">
        <f>SUM(W$74:W76)</f>
        <v>0.79010903739997218</v>
      </c>
      <c r="X83" s="9">
        <f>SUM(X$74:X76)</f>
        <v>-25.77228176170005</v>
      </c>
      <c r="Y83" s="9">
        <f>SUM(Y$74:Y76)</f>
        <v>-27.577394908700018</v>
      </c>
      <c r="Z83" s="9">
        <f>SUM(Z$74:Z76)</f>
        <v>-15.65888565900007</v>
      </c>
      <c r="AA83" s="9">
        <f>SUM(AA$74:AA76)</f>
        <v>-12.097051822000076</v>
      </c>
      <c r="AB83" s="9">
        <f>SUM(AB$74:AB76)</f>
        <v>-13.288194466600139</v>
      </c>
      <c r="AC83" s="9">
        <f>SUM(AC$74:AC76)</f>
        <v>-15.867644162900053</v>
      </c>
      <c r="AD83" s="9">
        <f>SUM(AD$74:AD76)</f>
        <v>31.513131508199955</v>
      </c>
      <c r="AE83" s="9">
        <f>SUM(AE$74:AE76)</f>
        <v>17.445625563199869</v>
      </c>
      <c r="AF83" s="9">
        <f>SUM(AF$74:AF76)</f>
        <v>5.4022572850999531</v>
      </c>
      <c r="AG83" s="9">
        <f>SUM(AG$74:AG76)</f>
        <v>3.3204626259999017</v>
      </c>
      <c r="AH83" s="9">
        <f>SUM(AH$74:AH76)</f>
        <v>24.951826281499933</v>
      </c>
      <c r="AI83" s="9">
        <f>SUM(AI$74:AI76)</f>
        <v>30.945365115900046</v>
      </c>
      <c r="AJ83" s="9">
        <f>SUM(AJ$74:AJ76)</f>
        <v>35.078125541400034</v>
      </c>
      <c r="AK83" s="9">
        <f>SUM(AK$74:AK76)</f>
        <v>2.6196801139000385</v>
      </c>
      <c r="AL83" s="9">
        <f>SUM(AL$74:AL76)</f>
        <v>-4.006617907393057</v>
      </c>
      <c r="AM83" s="9">
        <f>SUM(AM$74:AM76)</f>
        <v>8.2317372499994548</v>
      </c>
      <c r="AN83" s="9">
        <f>SUM(AN$74:AN76)</f>
        <v>31.291099305498857</v>
      </c>
      <c r="AO83" s="9">
        <f>SUM(AO$74:AO76)</f>
        <v>-3.9074494160379345</v>
      </c>
      <c r="AP83" s="9">
        <f>SUM(AP$74:AP76)</f>
        <v>54.720399425828475</v>
      </c>
      <c r="AQ83" s="9">
        <f>SUM(AQ$74:AQ76)</f>
        <v>30.216305924791861</v>
      </c>
      <c r="AR83" s="9">
        <f>SUM(AR$74:AR76)</f>
        <v>41.59616453458662</v>
      </c>
      <c r="AS83" s="9">
        <f>SUM(AS$74:AS76)</f>
        <v>38.30346224265358</v>
      </c>
      <c r="AT83" s="9">
        <f>SUM(AT$74:AT76)</f>
        <v>57.275690854123127</v>
      </c>
      <c r="AU83" s="9">
        <f>SUM(AU$74:AU76)</f>
        <v>85.6023857891999</v>
      </c>
      <c r="AV83" s="9">
        <f>SUM(AV$74:AV76)</f>
        <v>179.9210018613</v>
      </c>
      <c r="AW83" s="9">
        <f>SUM(AW$74:AW76)</f>
        <v>232.10613704280013</v>
      </c>
      <c r="AX83" s="10">
        <f>SUM(AX$74:AX76)</f>
        <v>243.83905902875881</v>
      </c>
      <c r="AY83" s="10">
        <f>SUM(AY$74:AY76)</f>
        <v>149.6781612127433</v>
      </c>
    </row>
    <row r="84" spans="1:51" x14ac:dyDescent="0.25">
      <c r="A84" s="8" t="s">
        <v>29</v>
      </c>
      <c r="T84" s="9">
        <f>SUM(T$74:T77)</f>
        <v>-544.33000000000004</v>
      </c>
      <c r="U84" s="9">
        <f>SUM(U$74:U77)</f>
        <v>-20.620743675900044</v>
      </c>
      <c r="V84" s="9">
        <f>SUM(V$74:V77)</f>
        <v>1.3764059662999699</v>
      </c>
      <c r="W84" s="9">
        <f>SUM(W$74:W77)</f>
        <v>0.75959401659996928</v>
      </c>
      <c r="X84" s="9">
        <f>SUM(X$74:X77)</f>
        <v>-23.687021524000055</v>
      </c>
      <c r="Y84" s="9">
        <f>SUM(Y$74:Y77)</f>
        <v>-45.820574645300042</v>
      </c>
      <c r="Z84" s="9">
        <f>SUM(Z$74:Z77)</f>
        <v>-15.542429592900085</v>
      </c>
      <c r="AA84" s="9">
        <f>SUM(AA$74:AA77)</f>
        <v>-15.424811546600083</v>
      </c>
      <c r="AB84" s="9">
        <f>SUM(AB$74:AB77)</f>
        <v>-14.136553261700143</v>
      </c>
      <c r="AC84" s="9">
        <f>SUM(AC$74:AC77)</f>
        <v>-11.759899164300066</v>
      </c>
      <c r="AD84" s="9">
        <f>SUM(AD$74:AD77)</f>
        <v>35.860560595699951</v>
      </c>
      <c r="AE84" s="9">
        <f>SUM(AE$74:AE77)</f>
        <v>26.635299814399858</v>
      </c>
      <c r="AF84" s="9">
        <f>SUM(AF$74:AF77)</f>
        <v>4.9767500528999413</v>
      </c>
      <c r="AG84" s="9">
        <f>SUM(AG$74:AG77)</f>
        <v>8.3848686412998958</v>
      </c>
      <c r="AH84" s="9">
        <f>SUM(AH$74:AH77)</f>
        <v>39.139057028999922</v>
      </c>
      <c r="AI84" s="9">
        <f>SUM(AI$74:AI77)</f>
        <v>38.72257142860007</v>
      </c>
      <c r="AJ84" s="9">
        <f>SUM(AJ$74:AJ77)</f>
        <v>36.938124510300028</v>
      </c>
      <c r="AK84" s="9">
        <f>SUM(AK$74:AK77)</f>
        <v>15.545639097800038</v>
      </c>
      <c r="AL84" s="9">
        <f>SUM(AL$74:AL77)</f>
        <v>4.7001856093444871E-3</v>
      </c>
      <c r="AM84" s="9">
        <f>SUM(AM$74:AM77)</f>
        <v>14.255111463726152</v>
      </c>
      <c r="AN84" s="9">
        <f>SUM(AN$74:AN77)</f>
        <v>39.930939769179858</v>
      </c>
      <c r="AO84" s="9">
        <f>SUM(AO$74:AO77)</f>
        <v>9.4446925928900711</v>
      </c>
      <c r="AP84" s="9">
        <f>SUM(AP$74:AP77)</f>
        <v>56.117879338251775</v>
      </c>
      <c r="AQ84" s="9">
        <f>SUM(AQ$74:AQ77)</f>
        <v>44.736532670092757</v>
      </c>
      <c r="AR84" s="9">
        <f>SUM(AR$74:AR77)</f>
        <v>52.651016156276981</v>
      </c>
      <c r="AS84" s="9">
        <f>SUM(AS$74:AS77)</f>
        <v>40.279400805196644</v>
      </c>
      <c r="AT84" s="9">
        <f>SUM(AT$74:AT77)</f>
        <v>65.889847138423107</v>
      </c>
      <c r="AU84" s="9">
        <f>SUM(AU$74:AU77)</f>
        <v>116.35492071229991</v>
      </c>
      <c r="AV84" s="9">
        <f>SUM(AV$74:AV77)</f>
        <v>201.58854128910002</v>
      </c>
      <c r="AW84" s="9">
        <f>SUM(AW$74:AW77)</f>
        <v>239.21086213110013</v>
      </c>
      <c r="AX84" s="10">
        <f>SUM(AX$74:AX77)</f>
        <v>256.47343105916298</v>
      </c>
      <c r="AY84" s="10">
        <f>SUM(AY$74:AY77)</f>
        <v>168.14838124920388</v>
      </c>
    </row>
    <row r="85" spans="1:51" x14ac:dyDescent="0.25">
      <c r="AR85" s="11"/>
      <c r="AS85" s="11"/>
      <c r="AT85" s="11"/>
      <c r="AU85" s="11"/>
      <c r="AV85" s="11"/>
      <c r="AW85" s="11"/>
      <c r="AX85" s="11"/>
      <c r="AY85" s="11"/>
    </row>
    <row r="86" spans="1:51" x14ac:dyDescent="0.25">
      <c r="A86" s="8" t="s">
        <v>31</v>
      </c>
      <c r="T86" s="9">
        <f>SUM(T76:T77)</f>
        <v>-178.434</v>
      </c>
      <c r="U86" s="9">
        <f t="shared" ref="U86:AY86" si="24">SUM(U76:U77)</f>
        <v>-13.272412196900021</v>
      </c>
      <c r="V86" s="9">
        <f t="shared" si="24"/>
        <v>0.91365317049996975</v>
      </c>
      <c r="W86" s="9">
        <f t="shared" si="24"/>
        <v>5.1705569614999831</v>
      </c>
      <c r="X86" s="9">
        <f t="shared" si="24"/>
        <v>-5.8197846000000091</v>
      </c>
      <c r="Y86" s="9">
        <f t="shared" si="24"/>
        <v>-19.908214935700023</v>
      </c>
      <c r="Z86" s="9">
        <f t="shared" si="24"/>
        <v>-2.1605038784000286</v>
      </c>
      <c r="AA86" s="9">
        <f t="shared" si="24"/>
        <v>-0.80550888980002355</v>
      </c>
      <c r="AB86" s="9">
        <f t="shared" si="24"/>
        <v>-3.4752288963000169</v>
      </c>
      <c r="AC86" s="9">
        <f t="shared" si="24"/>
        <v>14.786926824599977</v>
      </c>
      <c r="AD86" s="9">
        <f t="shared" si="24"/>
        <v>24.425659043399996</v>
      </c>
      <c r="AE86" s="9">
        <f t="shared" si="24"/>
        <v>3.2078534603999813</v>
      </c>
      <c r="AF86" s="9">
        <f t="shared" si="24"/>
        <v>0.32391001449995827</v>
      </c>
      <c r="AG86" s="9">
        <f t="shared" si="24"/>
        <v>4.2217164322999778</v>
      </c>
      <c r="AH86" s="9">
        <f t="shared" si="24"/>
        <v>12.825380328699971</v>
      </c>
      <c r="AI86" s="9">
        <f t="shared" si="24"/>
        <v>5.9965796076000615</v>
      </c>
      <c r="AJ86" s="9">
        <f t="shared" si="24"/>
        <v>8.943715839299994</v>
      </c>
      <c r="AK86" s="9">
        <f t="shared" si="24"/>
        <v>14.925137699700006</v>
      </c>
      <c r="AL86" s="9">
        <f t="shared" si="24"/>
        <v>1.3432648955024007</v>
      </c>
      <c r="AM86" s="9">
        <f t="shared" si="24"/>
        <v>12.234047713990989</v>
      </c>
      <c r="AN86" s="9">
        <f t="shared" si="24"/>
        <v>12.449105551198798</v>
      </c>
      <c r="AO86" s="9">
        <f t="shared" si="24"/>
        <v>25.118190652977397</v>
      </c>
      <c r="AP86" s="9">
        <f t="shared" si="24"/>
        <v>21.612876142813274</v>
      </c>
      <c r="AQ86" s="9">
        <f t="shared" si="24"/>
        <v>27.999541374070461</v>
      </c>
      <c r="AR86" s="9">
        <f t="shared" si="24"/>
        <v>27.726302163561328</v>
      </c>
      <c r="AS86" s="9">
        <f t="shared" si="24"/>
        <v>15.537592296039335</v>
      </c>
      <c r="AT86" s="9">
        <f t="shared" si="24"/>
        <v>26.189072174999978</v>
      </c>
      <c r="AU86" s="9">
        <f t="shared" si="24"/>
        <v>75.193341942800004</v>
      </c>
      <c r="AV86" s="9">
        <f t="shared" si="24"/>
        <v>33.875817471300024</v>
      </c>
      <c r="AW86" s="9">
        <f t="shared" si="24"/>
        <v>29.401757584500025</v>
      </c>
      <c r="AX86" s="10">
        <f t="shared" si="24"/>
        <v>99.902758247857392</v>
      </c>
      <c r="AY86" s="10">
        <f t="shared" si="24"/>
        <v>57.170517555752113</v>
      </c>
    </row>
    <row r="87" spans="1:51" x14ac:dyDescent="0.25">
      <c r="AU87" s="11"/>
      <c r="AV87" s="11"/>
      <c r="AW87" s="11"/>
      <c r="AX87" s="11"/>
      <c r="AY87" s="11"/>
    </row>
    <row r="88" spans="1:51" x14ac:dyDescent="0.25">
      <c r="A88" s="8" t="s">
        <v>62</v>
      </c>
      <c r="AU88" s="11"/>
      <c r="AV88" s="11"/>
      <c r="AW88" s="11"/>
      <c r="AX88" s="11"/>
      <c r="AY88" s="11"/>
    </row>
    <row r="89" spans="1:51" x14ac:dyDescent="0.25">
      <c r="A89" s="8" t="s">
        <v>63</v>
      </c>
      <c r="T89" s="9">
        <v>34.597000000000001</v>
      </c>
      <c r="U89" s="9">
        <v>47.636000000000003</v>
      </c>
      <c r="V89" s="9">
        <v>35.679000000000002</v>
      </c>
      <c r="W89" s="9">
        <v>61.1</v>
      </c>
      <c r="X89" s="9">
        <v>55.360999999999997</v>
      </c>
      <c r="Y89" s="9">
        <v>47.366999999999997</v>
      </c>
      <c r="Z89" s="9">
        <v>62.921999999999997</v>
      </c>
      <c r="AA89" s="9">
        <v>45.177999999999997</v>
      </c>
      <c r="AB89" s="9">
        <v>68.001999999999995</v>
      </c>
      <c r="AC89" s="9">
        <v>58.963000000000001</v>
      </c>
      <c r="AD89" s="9">
        <v>71.138000000000005</v>
      </c>
      <c r="AE89" s="9">
        <v>63.389000000000003</v>
      </c>
      <c r="AF89" s="9">
        <v>45.405999999999999</v>
      </c>
      <c r="AG89" s="9">
        <v>61.573</v>
      </c>
      <c r="AH89" s="9">
        <v>69.271000000000001</v>
      </c>
      <c r="AI89" s="9">
        <v>76.938999999999993</v>
      </c>
      <c r="AJ89" s="9">
        <v>110.136</v>
      </c>
      <c r="AK89" s="9">
        <v>103.65600000000001</v>
      </c>
      <c r="AL89" s="9">
        <v>56.923000000000002</v>
      </c>
      <c r="AM89" s="9">
        <v>82.304000000000002</v>
      </c>
      <c r="AN89" s="9">
        <v>123.072</v>
      </c>
      <c r="AO89" s="9">
        <v>160.90600000000001</v>
      </c>
      <c r="AP89" s="9">
        <v>102.727</v>
      </c>
      <c r="AQ89" s="9">
        <v>134.62699999999995</v>
      </c>
      <c r="AR89" s="9">
        <v>111.66990980459998</v>
      </c>
      <c r="AS89" s="9">
        <v>71.604469093500001</v>
      </c>
      <c r="AT89" s="9">
        <v>95.978035051500001</v>
      </c>
      <c r="AU89" s="9">
        <v>182.6017854696</v>
      </c>
      <c r="AV89" s="9">
        <v>134.00636829089999</v>
      </c>
      <c r="AW89" s="9">
        <v>139.75021696230002</v>
      </c>
      <c r="AX89" s="9">
        <v>89.096197247399985</v>
      </c>
      <c r="AY89" s="9">
        <v>147.48072400529998</v>
      </c>
    </row>
    <row r="90" spans="1:51" x14ac:dyDescent="0.25">
      <c r="A90" s="8" t="s">
        <v>64</v>
      </c>
      <c r="T90" s="9">
        <v>23.817</v>
      </c>
      <c r="U90" s="9">
        <v>38.902999999999999</v>
      </c>
      <c r="V90" s="9">
        <v>50.552999999999997</v>
      </c>
      <c r="W90" s="9">
        <v>36.232999999999997</v>
      </c>
      <c r="X90" s="9">
        <v>33.531999999999996</v>
      </c>
      <c r="Y90" s="9">
        <v>34.640999999999998</v>
      </c>
      <c r="Z90" s="9">
        <v>60.774000000000001</v>
      </c>
      <c r="AA90" s="9">
        <v>58.101999999999997</v>
      </c>
      <c r="AB90" s="9">
        <v>41.137999999999998</v>
      </c>
      <c r="AC90" s="9">
        <v>51.078000000000003</v>
      </c>
      <c r="AD90" s="9">
        <v>33.17</v>
      </c>
      <c r="AE90" s="9">
        <v>52.505000000000003</v>
      </c>
      <c r="AF90" s="9">
        <v>55.517000000000003</v>
      </c>
      <c r="AG90" s="9">
        <v>52.228000000000002</v>
      </c>
      <c r="AH90" s="9">
        <v>58.671999999999997</v>
      </c>
      <c r="AI90" s="9">
        <v>52.094000000000001</v>
      </c>
      <c r="AJ90" s="9">
        <v>64.801000000000002</v>
      </c>
      <c r="AK90" s="9">
        <v>61.122999999999998</v>
      </c>
      <c r="AL90" s="9">
        <v>47.012999999999998</v>
      </c>
      <c r="AM90" s="9">
        <v>27.844000000000001</v>
      </c>
      <c r="AN90" s="9">
        <v>70.186000000000007</v>
      </c>
      <c r="AO90" s="9">
        <v>43.914000000000001</v>
      </c>
      <c r="AP90" s="9">
        <v>52.948</v>
      </c>
      <c r="AQ90" s="9">
        <v>49.110999999999997</v>
      </c>
      <c r="AR90" s="9">
        <v>50.971926207300001</v>
      </c>
      <c r="AS90" s="9">
        <v>63.874880642999997</v>
      </c>
      <c r="AT90" s="9">
        <v>44.972084177999996</v>
      </c>
      <c r="AU90" s="9">
        <v>41.209308835800002</v>
      </c>
      <c r="AV90" s="9">
        <v>49.333634855399993</v>
      </c>
      <c r="AW90" s="9">
        <v>42.721679527799992</v>
      </c>
      <c r="AX90" s="10">
        <v>51.3336348554</v>
      </c>
      <c r="AY90" s="10">
        <f>FORECAST(AY109,AJ90:AX90,AJ109:AX109)</f>
        <v>45.662975433261913</v>
      </c>
    </row>
    <row r="91" spans="1:51" x14ac:dyDescent="0.25">
      <c r="A91" s="8" t="s">
        <v>65</v>
      </c>
      <c r="T91" s="9">
        <v>9.4550000000000001</v>
      </c>
      <c r="U91" s="9">
        <v>18.385000000000002</v>
      </c>
      <c r="V91" s="9">
        <v>26.082000000000001</v>
      </c>
      <c r="W91" s="9">
        <v>18.378</v>
      </c>
      <c r="X91" s="9">
        <v>9.3309999999999995</v>
      </c>
      <c r="Y91" s="9">
        <v>16.663</v>
      </c>
      <c r="Z91" s="9">
        <v>22.992000000000001</v>
      </c>
      <c r="AA91" s="9">
        <v>14.375</v>
      </c>
      <c r="AB91" s="9">
        <v>16.411000000000001</v>
      </c>
      <c r="AC91" s="9">
        <v>13.129</v>
      </c>
      <c r="AD91" s="9">
        <v>10.157</v>
      </c>
      <c r="AE91" s="9">
        <v>12.413</v>
      </c>
      <c r="AF91" s="9">
        <v>15.77</v>
      </c>
      <c r="AG91" s="9">
        <v>18.582999999999998</v>
      </c>
      <c r="AH91" s="9">
        <v>20.550999999999998</v>
      </c>
      <c r="AI91" s="9">
        <v>26.420999999999999</v>
      </c>
      <c r="AJ91" s="9">
        <v>17.978000000000002</v>
      </c>
      <c r="AK91" s="9">
        <v>11.58</v>
      </c>
      <c r="AL91" s="9">
        <v>28.143000000000001</v>
      </c>
      <c r="AM91" s="9">
        <v>5.6529999999999996</v>
      </c>
      <c r="AN91" s="9">
        <v>12.016</v>
      </c>
      <c r="AO91" s="9">
        <v>15.692</v>
      </c>
      <c r="AP91" s="9">
        <v>11.157999999999999</v>
      </c>
      <c r="AQ91" s="9">
        <v>29.285</v>
      </c>
      <c r="AR91" s="9">
        <v>54.9119164146</v>
      </c>
      <c r="AS91" s="9">
        <v>52.123620740099994</v>
      </c>
      <c r="AT91" s="9">
        <v>25.3628165931</v>
      </c>
      <c r="AU91" s="9">
        <v>15.863284113599999</v>
      </c>
      <c r="AV91" s="9">
        <v>41.129207569799995</v>
      </c>
      <c r="AW91" s="9">
        <v>12.9748618566</v>
      </c>
      <c r="AX91" s="10">
        <f>FORECAST(AX110,AI91:AW91,AI110:AW110)</f>
        <v>24.8715174616414</v>
      </c>
      <c r="AY91" s="10">
        <f>FORECAST(AY110,AJ91:AX91,AJ110:AX110)</f>
        <v>23.531209750896295</v>
      </c>
    </row>
    <row r="92" spans="1:51" x14ac:dyDescent="0.25">
      <c r="A92" s="8" t="s">
        <v>66</v>
      </c>
      <c r="T92" s="9">
        <v>18.347999999999999</v>
      </c>
      <c r="U92" s="9">
        <v>28.175000000000001</v>
      </c>
      <c r="V92" s="9">
        <v>18.21</v>
      </c>
      <c r="W92" s="9">
        <v>17.484999999999999</v>
      </c>
      <c r="X92" s="9">
        <v>11.169</v>
      </c>
      <c r="Y92" s="9">
        <v>25.829000000000001</v>
      </c>
      <c r="Z92" s="9">
        <v>26.44</v>
      </c>
      <c r="AA92" s="9">
        <v>13.316000000000001</v>
      </c>
      <c r="AB92" s="9">
        <v>13.403</v>
      </c>
      <c r="AC92" s="9">
        <v>8.4580000000000002</v>
      </c>
      <c r="AD92" s="9">
        <v>15.791</v>
      </c>
      <c r="AE92" s="9">
        <v>10.016999999999999</v>
      </c>
      <c r="AF92" s="9">
        <v>21.559000000000001</v>
      </c>
      <c r="AG92" s="9">
        <v>23.077000000000002</v>
      </c>
      <c r="AH92" s="9">
        <v>10.926</v>
      </c>
      <c r="AI92" s="9">
        <v>19.052</v>
      </c>
      <c r="AJ92" s="9">
        <v>18.88</v>
      </c>
      <c r="AK92" s="9">
        <v>24.515999999999998</v>
      </c>
      <c r="AL92" s="9">
        <v>22.797000000000001</v>
      </c>
      <c r="AM92" s="9">
        <v>7.54</v>
      </c>
      <c r="AN92" s="9">
        <v>18.998000000000001</v>
      </c>
      <c r="AO92" s="9">
        <v>25.225000000000001</v>
      </c>
      <c r="AP92" s="9">
        <v>64.489999999999995</v>
      </c>
      <c r="AQ92" s="9">
        <v>74.768000000000001</v>
      </c>
      <c r="AR92" s="9">
        <v>64.827681527699994</v>
      </c>
      <c r="AS92" s="9">
        <v>49.8919553769</v>
      </c>
      <c r="AT92" s="9">
        <v>119.93874879629999</v>
      </c>
      <c r="AU92" s="9">
        <v>15.9146518062</v>
      </c>
      <c r="AV92" s="9">
        <v>28.438852182299996</v>
      </c>
      <c r="AW92" s="9">
        <v>29.521358327999998</v>
      </c>
      <c r="AX92" s="9">
        <v>28.227318701399998</v>
      </c>
      <c r="AY92" s="10">
        <f>FORECAST(AY111,AJ92:AX92,AJ111:AX111)</f>
        <v>51.60652596792054</v>
      </c>
    </row>
    <row r="93" spans="1:51" x14ac:dyDescent="0.25">
      <c r="AR93" s="24"/>
      <c r="AS93" s="24"/>
      <c r="AT93" s="24"/>
      <c r="AU93" s="24"/>
      <c r="AV93" s="24"/>
      <c r="AW93" s="24"/>
      <c r="AX93" s="24"/>
      <c r="AY93" s="24"/>
    </row>
    <row r="94" spans="1:51" x14ac:dyDescent="0.25">
      <c r="A94" s="8" t="s">
        <v>67</v>
      </c>
      <c r="T94" s="9">
        <f t="shared" ref="T94:AT94" si="25">T89-S92</f>
        <v>34.597000000000001</v>
      </c>
      <c r="U94" s="9">
        <f t="shared" si="25"/>
        <v>29.288000000000004</v>
      </c>
      <c r="V94" s="9">
        <f t="shared" si="25"/>
        <v>7.5040000000000013</v>
      </c>
      <c r="W94" s="9">
        <f t="shared" si="25"/>
        <v>42.89</v>
      </c>
      <c r="X94" s="9">
        <f t="shared" si="25"/>
        <v>37.875999999999998</v>
      </c>
      <c r="Y94" s="9">
        <f t="shared" si="25"/>
        <v>36.197999999999993</v>
      </c>
      <c r="Z94" s="9">
        <f t="shared" si="25"/>
        <v>37.092999999999996</v>
      </c>
      <c r="AA94" s="9">
        <f t="shared" si="25"/>
        <v>18.737999999999996</v>
      </c>
      <c r="AB94" s="9">
        <f t="shared" si="25"/>
        <v>54.685999999999993</v>
      </c>
      <c r="AC94" s="9">
        <f t="shared" si="25"/>
        <v>45.56</v>
      </c>
      <c r="AD94" s="9">
        <f t="shared" si="25"/>
        <v>62.680000000000007</v>
      </c>
      <c r="AE94" s="9">
        <f t="shared" si="25"/>
        <v>47.597999999999999</v>
      </c>
      <c r="AF94" s="9">
        <f t="shared" si="25"/>
        <v>35.388999999999996</v>
      </c>
      <c r="AG94" s="9">
        <f t="shared" si="25"/>
        <v>40.013999999999996</v>
      </c>
      <c r="AH94" s="9">
        <f t="shared" si="25"/>
        <v>46.194000000000003</v>
      </c>
      <c r="AI94" s="9">
        <f t="shared" si="25"/>
        <v>66.012999999999991</v>
      </c>
      <c r="AJ94" s="9">
        <f t="shared" si="25"/>
        <v>91.084000000000003</v>
      </c>
      <c r="AK94" s="9">
        <f t="shared" si="25"/>
        <v>84.77600000000001</v>
      </c>
      <c r="AL94" s="9">
        <f t="shared" si="25"/>
        <v>32.407000000000004</v>
      </c>
      <c r="AM94" s="9">
        <f t="shared" si="25"/>
        <v>59.507000000000005</v>
      </c>
      <c r="AN94" s="9">
        <f t="shared" si="25"/>
        <v>115.532</v>
      </c>
      <c r="AO94" s="9">
        <f t="shared" si="25"/>
        <v>141.90800000000002</v>
      </c>
      <c r="AP94" s="9">
        <f t="shared" si="25"/>
        <v>77.50200000000001</v>
      </c>
      <c r="AQ94" s="9">
        <f t="shared" si="25"/>
        <v>70.136999999999958</v>
      </c>
      <c r="AR94" s="9">
        <f t="shared" si="25"/>
        <v>36.901909804599981</v>
      </c>
      <c r="AS94" s="9">
        <f t="shared" si="25"/>
        <v>6.7767875658000065</v>
      </c>
      <c r="AT94" s="9">
        <f t="shared" si="25"/>
        <v>46.086079674600001</v>
      </c>
      <c r="AU94" s="9">
        <f>AU89-AT92</f>
        <v>62.663036673300013</v>
      </c>
      <c r="AV94" s="9">
        <f>AV89-AU92</f>
        <v>118.09171648469999</v>
      </c>
      <c r="AW94" s="9">
        <f t="shared" ref="AW94" si="26">AW89-AV92</f>
        <v>111.31136478000002</v>
      </c>
      <c r="AX94" s="9">
        <f>AX89-AW92</f>
        <v>59.574838919399987</v>
      </c>
      <c r="AY94" s="9">
        <f>AY89-AX92</f>
        <v>119.25340530389998</v>
      </c>
    </row>
    <row r="95" spans="1:51" x14ac:dyDescent="0.25">
      <c r="A95" s="8" t="s">
        <v>68</v>
      </c>
      <c r="T95" s="9">
        <f>T90-T89</f>
        <v>-10.780000000000001</v>
      </c>
      <c r="U95" s="9">
        <f>U90-U89</f>
        <v>-8.7330000000000041</v>
      </c>
      <c r="V95" s="9">
        <f t="shared" ref="V95:AS97" si="27">V90-V89</f>
        <v>14.873999999999995</v>
      </c>
      <c r="W95" s="9">
        <f t="shared" si="27"/>
        <v>-24.867000000000004</v>
      </c>
      <c r="X95" s="9">
        <f t="shared" si="27"/>
        <v>-21.829000000000001</v>
      </c>
      <c r="Y95" s="9">
        <f t="shared" si="27"/>
        <v>-12.725999999999999</v>
      </c>
      <c r="Z95" s="9">
        <f t="shared" si="27"/>
        <v>-2.1479999999999961</v>
      </c>
      <c r="AA95" s="9">
        <f t="shared" si="27"/>
        <v>12.923999999999999</v>
      </c>
      <c r="AB95" s="9">
        <f t="shared" si="27"/>
        <v>-26.863999999999997</v>
      </c>
      <c r="AC95" s="9">
        <f t="shared" si="27"/>
        <v>-7.884999999999998</v>
      </c>
      <c r="AD95" s="9">
        <f t="shared" si="27"/>
        <v>-37.968000000000004</v>
      </c>
      <c r="AE95" s="9">
        <f t="shared" si="27"/>
        <v>-10.884</v>
      </c>
      <c r="AF95" s="9">
        <f t="shared" si="27"/>
        <v>10.111000000000004</v>
      </c>
      <c r="AG95" s="9">
        <f t="shared" si="27"/>
        <v>-9.3449999999999989</v>
      </c>
      <c r="AH95" s="9">
        <f t="shared" si="27"/>
        <v>-10.599000000000004</v>
      </c>
      <c r="AI95" s="9">
        <f t="shared" si="27"/>
        <v>-24.844999999999992</v>
      </c>
      <c r="AJ95" s="9">
        <f t="shared" si="27"/>
        <v>-45.334999999999994</v>
      </c>
      <c r="AK95" s="9">
        <f t="shared" si="27"/>
        <v>-42.533000000000008</v>
      </c>
      <c r="AL95" s="9">
        <f t="shared" si="27"/>
        <v>-9.9100000000000037</v>
      </c>
      <c r="AM95" s="9">
        <f t="shared" si="27"/>
        <v>-54.46</v>
      </c>
      <c r="AN95" s="9">
        <f t="shared" si="27"/>
        <v>-52.885999999999996</v>
      </c>
      <c r="AO95" s="9">
        <f t="shared" si="27"/>
        <v>-116.992</v>
      </c>
      <c r="AP95" s="9">
        <f t="shared" si="27"/>
        <v>-49.779000000000003</v>
      </c>
      <c r="AQ95" s="9">
        <f t="shared" si="27"/>
        <v>-85.515999999999963</v>
      </c>
      <c r="AR95" s="9">
        <f t="shared" si="27"/>
        <v>-60.697983597299981</v>
      </c>
      <c r="AS95" s="9">
        <f t="shared" si="27"/>
        <v>-7.7295884505000032</v>
      </c>
      <c r="AT95" s="9">
        <f>AT90-AT89</f>
        <v>-51.005950873500005</v>
      </c>
      <c r="AU95" s="9">
        <f>AU90-AU89</f>
        <v>-141.39247663380002</v>
      </c>
      <c r="AV95" s="9">
        <f>AV90-AV89</f>
        <v>-84.672733435499993</v>
      </c>
      <c r="AW95" s="9">
        <f>AW90-AW89</f>
        <v>-97.028537434500024</v>
      </c>
      <c r="AX95" s="10">
        <f t="shared" ref="AX95:AY95" si="28">AX90-AX89</f>
        <v>-37.762562391999985</v>
      </c>
      <c r="AY95" s="10">
        <f t="shared" si="28"/>
        <v>-101.81774857203806</v>
      </c>
    </row>
    <row r="96" spans="1:51" x14ac:dyDescent="0.25">
      <c r="A96" s="8" t="s">
        <v>69</v>
      </c>
      <c r="T96" s="9">
        <f t="shared" ref="T96:U97" si="29">T91-T90</f>
        <v>-14.362</v>
      </c>
      <c r="U96" s="9">
        <f t="shared" si="29"/>
        <v>-20.517999999999997</v>
      </c>
      <c r="V96" s="9">
        <f t="shared" si="27"/>
        <v>-24.470999999999997</v>
      </c>
      <c r="W96" s="9">
        <f t="shared" si="27"/>
        <v>-17.854999999999997</v>
      </c>
      <c r="X96" s="9">
        <f t="shared" si="27"/>
        <v>-24.200999999999997</v>
      </c>
      <c r="Y96" s="9">
        <f t="shared" si="27"/>
        <v>-17.977999999999998</v>
      </c>
      <c r="Z96" s="9">
        <f t="shared" si="27"/>
        <v>-37.781999999999996</v>
      </c>
      <c r="AA96" s="9">
        <f t="shared" si="27"/>
        <v>-43.726999999999997</v>
      </c>
      <c r="AB96" s="9">
        <f t="shared" si="27"/>
        <v>-24.726999999999997</v>
      </c>
      <c r="AC96" s="9">
        <f t="shared" si="27"/>
        <v>-37.949000000000005</v>
      </c>
      <c r="AD96" s="9">
        <f t="shared" si="27"/>
        <v>-23.013000000000002</v>
      </c>
      <c r="AE96" s="9">
        <f t="shared" si="27"/>
        <v>-40.091999999999999</v>
      </c>
      <c r="AF96" s="9">
        <f t="shared" si="27"/>
        <v>-39.747</v>
      </c>
      <c r="AG96" s="9">
        <f t="shared" si="27"/>
        <v>-33.645000000000003</v>
      </c>
      <c r="AH96" s="9">
        <f t="shared" si="27"/>
        <v>-38.120999999999995</v>
      </c>
      <c r="AI96" s="9">
        <f t="shared" si="27"/>
        <v>-25.673000000000002</v>
      </c>
      <c r="AJ96" s="9">
        <f t="shared" si="27"/>
        <v>-46.823</v>
      </c>
      <c r="AK96" s="9">
        <f t="shared" si="27"/>
        <v>-49.542999999999999</v>
      </c>
      <c r="AL96" s="9">
        <f t="shared" si="27"/>
        <v>-18.869999999999997</v>
      </c>
      <c r="AM96" s="9">
        <f t="shared" si="27"/>
        <v>-22.191000000000003</v>
      </c>
      <c r="AN96" s="9">
        <f t="shared" si="27"/>
        <v>-58.170000000000009</v>
      </c>
      <c r="AO96" s="9">
        <f t="shared" si="27"/>
        <v>-28.222000000000001</v>
      </c>
      <c r="AP96" s="9">
        <f t="shared" si="27"/>
        <v>-41.79</v>
      </c>
      <c r="AQ96" s="9">
        <f t="shared" si="27"/>
        <v>-19.825999999999997</v>
      </c>
      <c r="AR96" s="9">
        <f t="shared" si="27"/>
        <v>3.9399902072999993</v>
      </c>
      <c r="AS96" s="9">
        <f t="shared" si="27"/>
        <v>-11.751259902900003</v>
      </c>
      <c r="AT96" s="9">
        <f>AT91-AT90</f>
        <v>-19.609267584899996</v>
      </c>
      <c r="AU96" s="9">
        <f t="shared" ref="AU96:AW96" si="30">AU91-AU90</f>
        <v>-25.346024722200003</v>
      </c>
      <c r="AV96" s="9">
        <f t="shared" si="30"/>
        <v>-8.2044272855999978</v>
      </c>
      <c r="AW96" s="9">
        <f>AW91-AW90</f>
        <v>-29.746817671199992</v>
      </c>
      <c r="AX96" s="10">
        <v>-6.5034842598999996</v>
      </c>
      <c r="AY96" s="10">
        <v>-5.5034842598999996</v>
      </c>
    </row>
    <row r="97" spans="1:51" x14ac:dyDescent="0.25">
      <c r="A97" s="8" t="s">
        <v>70</v>
      </c>
      <c r="T97" s="9">
        <f t="shared" si="29"/>
        <v>8.8929999999999989</v>
      </c>
      <c r="U97" s="9">
        <f t="shared" si="29"/>
        <v>9.7899999999999991</v>
      </c>
      <c r="V97" s="9">
        <f t="shared" si="27"/>
        <v>-7.8719999999999999</v>
      </c>
      <c r="W97" s="9">
        <f t="shared" si="27"/>
        <v>-0.89300000000000068</v>
      </c>
      <c r="X97" s="9">
        <f t="shared" si="27"/>
        <v>1.838000000000001</v>
      </c>
      <c r="Y97" s="9">
        <f t="shared" si="27"/>
        <v>9.1660000000000004</v>
      </c>
      <c r="Z97" s="9">
        <f t="shared" si="27"/>
        <v>3.4480000000000004</v>
      </c>
      <c r="AA97" s="9">
        <f t="shared" si="27"/>
        <v>-1.0589999999999993</v>
      </c>
      <c r="AB97" s="9">
        <f t="shared" si="27"/>
        <v>-3.0080000000000009</v>
      </c>
      <c r="AC97" s="9">
        <f t="shared" si="27"/>
        <v>-4.6709999999999994</v>
      </c>
      <c r="AD97" s="9">
        <f t="shared" si="27"/>
        <v>5.6340000000000003</v>
      </c>
      <c r="AE97" s="9">
        <f t="shared" si="27"/>
        <v>-2.3960000000000008</v>
      </c>
      <c r="AF97" s="9">
        <f t="shared" si="27"/>
        <v>5.7890000000000015</v>
      </c>
      <c r="AG97" s="9">
        <f t="shared" si="27"/>
        <v>4.4940000000000033</v>
      </c>
      <c r="AH97" s="9">
        <f t="shared" si="27"/>
        <v>-9.6249999999999982</v>
      </c>
      <c r="AI97" s="9">
        <f t="shared" si="27"/>
        <v>-7.3689999999999998</v>
      </c>
      <c r="AJ97" s="9">
        <f t="shared" si="27"/>
        <v>0.90199999999999747</v>
      </c>
      <c r="AK97" s="9">
        <f t="shared" si="27"/>
        <v>12.935999999999998</v>
      </c>
      <c r="AL97" s="9">
        <f t="shared" si="27"/>
        <v>-5.3460000000000001</v>
      </c>
      <c r="AM97" s="9">
        <f t="shared" si="27"/>
        <v>1.8870000000000005</v>
      </c>
      <c r="AN97" s="9">
        <f t="shared" si="27"/>
        <v>6.9820000000000011</v>
      </c>
      <c r="AO97" s="9">
        <f t="shared" si="27"/>
        <v>9.5330000000000013</v>
      </c>
      <c r="AP97" s="9">
        <f t="shared" si="27"/>
        <v>53.331999999999994</v>
      </c>
      <c r="AQ97" s="9">
        <f t="shared" si="27"/>
        <v>45.483000000000004</v>
      </c>
      <c r="AR97" s="9">
        <f t="shared" si="27"/>
        <v>9.9157651130999938</v>
      </c>
      <c r="AS97" s="9">
        <f t="shared" si="27"/>
        <v>-2.2316653631999941</v>
      </c>
      <c r="AT97" s="9">
        <f>AT92-AT91</f>
        <v>94.575932203199983</v>
      </c>
      <c r="AU97" s="9">
        <f>AU92-AU91</f>
        <v>5.1367692600001291E-2</v>
      </c>
      <c r="AV97" s="9">
        <f>AV92-AV91</f>
        <v>-12.690355387499999</v>
      </c>
      <c r="AW97" s="9">
        <f>AW92-AW91</f>
        <v>16.546496471399998</v>
      </c>
      <c r="AX97" s="10">
        <f t="shared" ref="AX97:AY97" si="31">AX92-AX91</f>
        <v>3.3558012397585983</v>
      </c>
      <c r="AY97" s="10">
        <f t="shared" si="31"/>
        <v>28.075316217024245</v>
      </c>
    </row>
    <row r="98" spans="1:5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</row>
    <row r="99" spans="1:51" x14ac:dyDescent="0.25">
      <c r="AS99" s="11"/>
    </row>
    <row r="100" spans="1:51" x14ac:dyDescent="0.25">
      <c r="A100" s="14" t="s">
        <v>71</v>
      </c>
      <c r="AS100" s="11"/>
    </row>
    <row r="101" spans="1:51" x14ac:dyDescent="0.25">
      <c r="A101" s="15" t="s">
        <v>72</v>
      </c>
      <c r="B101" s="25">
        <v>1521.37</v>
      </c>
      <c r="C101" s="25">
        <v>1264.8900000000001</v>
      </c>
      <c r="D101" s="25">
        <v>1716.3340000000001</v>
      </c>
      <c r="E101" s="25">
        <v>1842.6469999999999</v>
      </c>
      <c r="F101" s="25">
        <v>2267.6469999999999</v>
      </c>
      <c r="G101" s="25">
        <v>1817.097</v>
      </c>
      <c r="H101" s="25">
        <v>2030.452</v>
      </c>
      <c r="I101" s="25">
        <v>2276.9760000000001</v>
      </c>
      <c r="J101" s="25">
        <v>1595.4369999999999</v>
      </c>
      <c r="K101" s="25">
        <v>1860.7829999999999</v>
      </c>
      <c r="L101" s="25">
        <v>2098.5309999999999</v>
      </c>
      <c r="M101" s="25">
        <v>2007.0329999999999</v>
      </c>
      <c r="N101" s="25">
        <v>1904.712</v>
      </c>
      <c r="O101" s="25">
        <v>1538.6659999999999</v>
      </c>
      <c r="P101" s="25">
        <v>1926.806</v>
      </c>
      <c r="Q101" s="25">
        <v>1921.787</v>
      </c>
      <c r="R101" s="25">
        <v>1985.5640000000001</v>
      </c>
      <c r="S101" s="25">
        <v>2196.5039999999999</v>
      </c>
      <c r="T101" s="25">
        <v>1808.538</v>
      </c>
      <c r="U101" s="25">
        <v>2558.317</v>
      </c>
      <c r="V101" s="25">
        <v>2151.8339999999998</v>
      </c>
      <c r="W101" s="25">
        <v>2382.364</v>
      </c>
      <c r="X101" s="25">
        <v>2727.2539999999999</v>
      </c>
      <c r="Y101" s="25">
        <v>2756.7939999999999</v>
      </c>
      <c r="Z101" s="25">
        <v>2642.9079999999999</v>
      </c>
      <c r="AA101" s="25">
        <v>2769.665</v>
      </c>
      <c r="AB101" s="25">
        <v>2890.5720000000001</v>
      </c>
      <c r="AC101" s="25">
        <v>2729.7089999999998</v>
      </c>
      <c r="AD101" s="25">
        <v>2417.5650000000001</v>
      </c>
      <c r="AE101" s="25">
        <v>3140.9960000000001</v>
      </c>
      <c r="AF101" s="25">
        <v>3086.4319999999998</v>
      </c>
      <c r="AG101" s="25">
        <v>3188.2469999999998</v>
      </c>
      <c r="AH101" s="25">
        <v>2585.2069999999999</v>
      </c>
      <c r="AI101" s="25">
        <v>2959.174</v>
      </c>
      <c r="AJ101" s="25">
        <v>3361.0279999999998</v>
      </c>
      <c r="AK101" s="25">
        <v>3329.3409999999999</v>
      </c>
      <c r="AL101" s="25">
        <v>3056.0320000000002</v>
      </c>
      <c r="AM101" s="25">
        <v>3014.998</v>
      </c>
      <c r="AN101" s="25">
        <v>3288.8330000000001</v>
      </c>
      <c r="AO101" s="25">
        <v>3968.8229999999999</v>
      </c>
      <c r="AP101" s="25">
        <v>3929.8850000000002</v>
      </c>
      <c r="AQ101" s="25">
        <v>4306.6710000000003</v>
      </c>
      <c r="AR101" s="25">
        <v>4391.5529999999999</v>
      </c>
      <c r="AS101" s="25">
        <v>4543.8829999999998</v>
      </c>
      <c r="AT101" s="25">
        <v>3558.2809999999999</v>
      </c>
      <c r="AU101" s="25">
        <v>4135.4769999999999</v>
      </c>
      <c r="AV101" s="25">
        <v>4435.232</v>
      </c>
      <c r="AW101" s="25">
        <v>4276.1229999999996</v>
      </c>
      <c r="AX101" s="26">
        <v>4886.4582525234509</v>
      </c>
      <c r="AY101" s="26">
        <v>4887.45825252345</v>
      </c>
    </row>
    <row r="102" spans="1:51" x14ac:dyDescent="0.25">
      <c r="A102" s="8" t="s">
        <v>73</v>
      </c>
      <c r="B102" s="9">
        <f>'[1]Soy Complex'!Q$9</f>
        <v>1548.3440000000001</v>
      </c>
      <c r="C102" s="9">
        <f>'[1]Soy Complex'!R$9</f>
        <v>1288.6079999999999</v>
      </c>
      <c r="D102" s="9">
        <f>'[1]Soy Complex'!S$9</f>
        <v>1767.2670000000001</v>
      </c>
      <c r="E102" s="9">
        <f>'[1]Soy Complex'!T$9</f>
        <v>1868.7539999999999</v>
      </c>
      <c r="F102" s="9">
        <f>'[1]Soy Complex'!U$9</f>
        <v>2260.665</v>
      </c>
      <c r="G102" s="9">
        <f>'[1]Soy Complex'!V$9</f>
        <v>1797.5429999999999</v>
      </c>
      <c r="H102" s="9">
        <f>'[1]Soy Complex'!W$9</f>
        <v>1989.11</v>
      </c>
      <c r="I102" s="9">
        <f>'[1]Soy Complex'!X$9</f>
        <v>2190.297</v>
      </c>
      <c r="J102" s="9">
        <f>'[1]Soy Complex'!Y$9</f>
        <v>1635.7719999999999</v>
      </c>
      <c r="K102" s="9">
        <f>'[1]Soy Complex'!Z$9</f>
        <v>1860.8630000000001</v>
      </c>
      <c r="L102" s="9">
        <f>'[1]Soy Complex'!AA$9</f>
        <v>2099.056</v>
      </c>
      <c r="M102" s="9">
        <f>'[1]Soy Complex'!AB$9</f>
        <v>1942.558</v>
      </c>
      <c r="N102" s="9">
        <f>'[1]Soy Complex'!AC$9</f>
        <v>1937.722</v>
      </c>
      <c r="O102" s="9">
        <f>'[1]Soy Complex'!AD$9</f>
        <v>1548.8409999999999</v>
      </c>
      <c r="P102" s="9">
        <f>'[1]Soy Complex'!AE$9</f>
        <v>1923.6659999999999</v>
      </c>
      <c r="Q102" s="9">
        <f>'[1]Soy Complex'!AF$9</f>
        <v>1925.9469999999999</v>
      </c>
      <c r="R102" s="9">
        <f>'[1]Soy Complex'!AG$9</f>
        <v>1986.539</v>
      </c>
      <c r="S102" s="9">
        <f>'[1]Soy Complex'!AH$9</f>
        <v>36840</v>
      </c>
      <c r="T102" s="9">
        <f>'[1]Soy Complex'!AI$9</f>
        <v>4.53</v>
      </c>
      <c r="U102" s="9">
        <f>'[1]Soy Complex'!AJ$9</f>
        <v>2514.8690000000001</v>
      </c>
      <c r="V102" s="9">
        <f>'[1]Soy Complex'!AK$9</f>
        <v>2174.2539999999999</v>
      </c>
      <c r="W102" s="9">
        <f>'[1]Soy Complex'!AL$9</f>
        <v>2380.2739999999999</v>
      </c>
      <c r="X102" s="9">
        <f>'[1]Soy Complex'!AM$9</f>
        <v>2688.75</v>
      </c>
      <c r="Y102" s="9">
        <f>'[1]Soy Complex'!AN$9</f>
        <v>2741.0140000000001</v>
      </c>
      <c r="Z102" s="9">
        <f>'[1]Soy Complex'!AO$9</f>
        <v>2653.7579999999998</v>
      </c>
      <c r="AA102" s="9">
        <f>'[1]Soy Complex'!AP$9</f>
        <v>2757.81</v>
      </c>
      <c r="AB102" s="9">
        <f>'[1]Soy Complex'!AQ$9</f>
        <v>2890.6819999999998</v>
      </c>
      <c r="AC102" s="9">
        <f>'[1]Soy Complex'!AR$9</f>
        <v>2756.1469999999999</v>
      </c>
      <c r="AD102" s="9">
        <f>'[1]Soy Complex'!AS$9</f>
        <v>2453.8449999999998</v>
      </c>
      <c r="AE102" s="9">
        <f>'[1]Soy Complex'!AT$9</f>
        <v>3123.79</v>
      </c>
      <c r="AF102" s="9">
        <f>'[1]Soy Complex'!AU$9</f>
        <v>3068.3420000000001</v>
      </c>
      <c r="AG102" s="9">
        <f>'[1]Soy Complex'!AV$9</f>
        <v>3196.7260000000001</v>
      </c>
      <c r="AH102" s="9">
        <f>'[1]Soy Complex'!AW$9</f>
        <v>2677.1170000000002</v>
      </c>
      <c r="AI102" s="9">
        <f>'[1]Soy Complex'!AX$9</f>
        <v>2967.0070000000001</v>
      </c>
      <c r="AJ102" s="9">
        <f>'[1]Soy Complex'!AY$9</f>
        <v>3360.931</v>
      </c>
      <c r="AK102" s="9">
        <f>'[1]Soy Complex'!AZ$9</f>
        <v>3331.306</v>
      </c>
      <c r="AL102" s="9">
        <f>'[1]Soy Complex'!BA$9</f>
        <v>3097.1790000000001</v>
      </c>
      <c r="AM102" s="9">
        <f>'[1]Soy Complex'!BB$9</f>
        <v>3042.0439999999999</v>
      </c>
      <c r="AN102" s="9">
        <f>'[1]Soy Complex'!BC$9</f>
        <v>3357.0039999999999</v>
      </c>
      <c r="AO102" s="9">
        <f>'[1]Soy Complex'!BD$9</f>
        <v>3928.07</v>
      </c>
      <c r="AP102" s="9">
        <f>'[1]Soy Complex'!BE$9</f>
        <v>3926.779</v>
      </c>
      <c r="AQ102" s="9">
        <f>'[1]Soy Complex'!BF$9</f>
        <v>4296.4960000000001</v>
      </c>
      <c r="AR102" s="9">
        <f>'[1]Soy Complex'!BG$9</f>
        <v>4411.6329999999998</v>
      </c>
      <c r="AS102" s="9">
        <f>'[1]Soy Complex'!BH$9</f>
        <v>4428.1499999999996</v>
      </c>
      <c r="AT102" s="9">
        <f>'[1]Soy Complex'!BI$9</f>
        <v>3551.9079999999999</v>
      </c>
      <c r="AU102" s="9">
        <f>'[1]Soy Complex'!BJ$9</f>
        <v>4216.3019999999997</v>
      </c>
      <c r="AV102" s="9">
        <f>'[1]Soy Complex'!BK$9</f>
        <v>4464.4920000000002</v>
      </c>
      <c r="AW102" s="9">
        <v>4270.1959999999999</v>
      </c>
      <c r="AX102" s="10">
        <f>FORECAST(AX101,AN102:AW102,AN101:AW101)</f>
        <v>4843.2874657394741</v>
      </c>
      <c r="AY102" s="10">
        <f>FORECAST(AY101,AO102:AX102,AO101:AX101)</f>
        <v>4853.1829991611976</v>
      </c>
    </row>
    <row r="103" spans="1:51" x14ac:dyDescent="0.25">
      <c r="A103" s="8" t="s">
        <v>74</v>
      </c>
      <c r="B103" s="9">
        <f t="shared" ref="B103:AY103" si="32">B102-B101</f>
        <v>26.97400000000016</v>
      </c>
      <c r="C103" s="9">
        <f t="shared" si="32"/>
        <v>23.717999999999847</v>
      </c>
      <c r="D103" s="9">
        <f t="shared" si="32"/>
        <v>50.932999999999993</v>
      </c>
      <c r="E103" s="9">
        <f t="shared" si="32"/>
        <v>26.106999999999971</v>
      </c>
      <c r="F103" s="9">
        <f t="shared" si="32"/>
        <v>-6.9819999999999709</v>
      </c>
      <c r="G103" s="9">
        <f t="shared" si="32"/>
        <v>-19.554000000000087</v>
      </c>
      <c r="H103" s="9">
        <f t="shared" si="32"/>
        <v>-41.342000000000098</v>
      </c>
      <c r="I103" s="9">
        <f t="shared" si="32"/>
        <v>-86.679000000000087</v>
      </c>
      <c r="J103" s="9">
        <f t="shared" si="32"/>
        <v>40.335000000000036</v>
      </c>
      <c r="K103" s="9">
        <f t="shared" si="32"/>
        <v>8.0000000000154614E-2</v>
      </c>
      <c r="L103" s="9">
        <f t="shared" si="32"/>
        <v>0.52500000000009095</v>
      </c>
      <c r="M103" s="9">
        <f t="shared" si="32"/>
        <v>-64.474999999999909</v>
      </c>
      <c r="N103" s="9">
        <f t="shared" si="32"/>
        <v>33.009999999999991</v>
      </c>
      <c r="O103" s="9">
        <f t="shared" si="32"/>
        <v>10.174999999999955</v>
      </c>
      <c r="P103" s="9">
        <f t="shared" si="32"/>
        <v>-3.1400000000001</v>
      </c>
      <c r="Q103" s="9">
        <f t="shared" si="32"/>
        <v>4.1599999999998545</v>
      </c>
      <c r="R103" s="9">
        <f t="shared" si="32"/>
        <v>0.97499999999990905</v>
      </c>
      <c r="S103" s="9">
        <f t="shared" si="32"/>
        <v>34643.495999999999</v>
      </c>
      <c r="T103" s="9">
        <f t="shared" si="32"/>
        <v>-1804.008</v>
      </c>
      <c r="U103" s="9">
        <f t="shared" si="32"/>
        <v>-43.447999999999865</v>
      </c>
      <c r="V103" s="9">
        <f t="shared" si="32"/>
        <v>22.420000000000073</v>
      </c>
      <c r="W103" s="9">
        <f t="shared" si="32"/>
        <v>-2.0900000000001455</v>
      </c>
      <c r="X103" s="9">
        <f t="shared" si="32"/>
        <v>-38.503999999999905</v>
      </c>
      <c r="Y103" s="9">
        <f t="shared" si="32"/>
        <v>-15.779999999999745</v>
      </c>
      <c r="Z103" s="9">
        <f t="shared" si="32"/>
        <v>10.849999999999909</v>
      </c>
      <c r="AA103" s="9">
        <f t="shared" si="32"/>
        <v>-11.855000000000018</v>
      </c>
      <c r="AB103" s="9">
        <f t="shared" si="32"/>
        <v>0.10999999999967258</v>
      </c>
      <c r="AC103" s="9">
        <f t="shared" si="32"/>
        <v>26.438000000000102</v>
      </c>
      <c r="AD103" s="9">
        <f t="shared" si="32"/>
        <v>36.279999999999745</v>
      </c>
      <c r="AE103" s="9">
        <f t="shared" si="32"/>
        <v>-17.206000000000131</v>
      </c>
      <c r="AF103" s="9">
        <f t="shared" si="32"/>
        <v>-18.089999999999691</v>
      </c>
      <c r="AG103" s="9">
        <f t="shared" si="32"/>
        <v>8.4790000000002692</v>
      </c>
      <c r="AH103" s="9">
        <f t="shared" si="32"/>
        <v>91.910000000000309</v>
      </c>
      <c r="AI103" s="9">
        <f t="shared" si="32"/>
        <v>7.8330000000000837</v>
      </c>
      <c r="AJ103" s="9">
        <f t="shared" si="32"/>
        <v>-9.6999999999752617E-2</v>
      </c>
      <c r="AK103" s="9">
        <f t="shared" si="32"/>
        <v>1.9650000000001455</v>
      </c>
      <c r="AL103" s="9">
        <f t="shared" si="32"/>
        <v>41.146999999999935</v>
      </c>
      <c r="AM103" s="9">
        <f t="shared" si="32"/>
        <v>27.045999999999822</v>
      </c>
      <c r="AN103" s="9">
        <f t="shared" si="32"/>
        <v>68.170999999999822</v>
      </c>
      <c r="AO103" s="9">
        <f t="shared" si="32"/>
        <v>-40.752999999999702</v>
      </c>
      <c r="AP103" s="9">
        <f t="shared" si="32"/>
        <v>-3.1060000000002219</v>
      </c>
      <c r="AQ103" s="9">
        <f t="shared" si="32"/>
        <v>-10.175000000000182</v>
      </c>
      <c r="AR103" s="9">
        <f t="shared" si="32"/>
        <v>20.079999999999927</v>
      </c>
      <c r="AS103" s="9">
        <f t="shared" si="32"/>
        <v>-115.73300000000017</v>
      </c>
      <c r="AT103" s="9">
        <f t="shared" si="32"/>
        <v>-6.3730000000000473</v>
      </c>
      <c r="AU103" s="9">
        <f t="shared" si="32"/>
        <v>80.824999999999818</v>
      </c>
      <c r="AV103" s="9">
        <f t="shared" si="32"/>
        <v>29.260000000000218</v>
      </c>
      <c r="AW103" s="9">
        <f t="shared" si="32"/>
        <v>-5.9269999999996799</v>
      </c>
      <c r="AX103" s="10">
        <f t="shared" si="32"/>
        <v>-43.170786783976837</v>
      </c>
      <c r="AY103" s="10">
        <f t="shared" si="32"/>
        <v>-34.275253362252442</v>
      </c>
    </row>
    <row r="104" spans="1:51" x14ac:dyDescent="0.25">
      <c r="A104" s="8" t="s">
        <v>75</v>
      </c>
      <c r="M104" s="9">
        <f>'[1]Crop Progress'!M$42</f>
        <v>5.827674</v>
      </c>
      <c r="N104" s="9">
        <f>'[1]Crop Progress'!N$42</f>
        <v>5.8131659999999998</v>
      </c>
      <c r="O104" s="9">
        <f>'[1]Crop Progress'!O$42</f>
        <v>4.6465230000000002</v>
      </c>
      <c r="P104" s="9">
        <f>'[1]Crop Progress'!P$42</f>
        <v>5.7709979999999996</v>
      </c>
      <c r="Q104" s="9">
        <f>'[1]Crop Progress'!Q$42</f>
        <v>5.7778410000000004</v>
      </c>
      <c r="R104" s="9">
        <f>'[1]Crop Progress'!R$42</f>
        <v>5.9596169999999997</v>
      </c>
      <c r="S104" s="9">
        <f>'[1]Crop Progress'!S$42</f>
        <v>6.5710620000000013</v>
      </c>
      <c r="T104" s="9">
        <f>'[1]Crop Progress'!T$42</f>
        <v>5.6091540000000002</v>
      </c>
      <c r="U104" s="9">
        <f>'[1]Crop Progress'!U$42</f>
        <v>2.1577428571428574</v>
      </c>
      <c r="V104" s="9">
        <f>'[1]Crop Progress'!V$42</f>
        <v>1.8828571428571428</v>
      </c>
      <c r="W104" s="9">
        <f>'[1]Crop Progress'!W$42</f>
        <v>12.497099999999998</v>
      </c>
      <c r="X104" s="9">
        <f>'[1]Crop Progress'!X$42</f>
        <v>6.1389857142857149</v>
      </c>
      <c r="Y104" s="9">
        <f>'[1]Crop Progress'!Y$42</f>
        <v>7.7173285714285713</v>
      </c>
      <c r="Z104" s="9">
        <f>'[1]Crop Progress'!Z$42</f>
        <v>15.508085714285714</v>
      </c>
      <c r="AA104" s="9">
        <f>'[1]Crop Progress'!AA$42</f>
        <v>14.661599999999998</v>
      </c>
      <c r="AB104" s="9">
        <f>'[1]Crop Progress'!AB$42</f>
        <v>11.816035714285714</v>
      </c>
      <c r="AC104" s="9">
        <f>'[1]Crop Progress'!AC$42</f>
        <v>12.529199999999999</v>
      </c>
      <c r="AD104" s="9">
        <f>'[1]Crop Progress'!AD$42</f>
        <v>21.829849999999997</v>
      </c>
      <c r="AE104" s="9">
        <f>'[1]Crop Progress'!AE$42</f>
        <v>54.155857142857137</v>
      </c>
      <c r="AF104" s="9">
        <f>'[1]Crop Progress'!AF$42</f>
        <v>39.846150000000002</v>
      </c>
      <c r="AG104" s="9">
        <f>'[1]Crop Progress'!AG$42</f>
        <v>54.54262857142858</v>
      </c>
      <c r="AH104" s="9">
        <f>'[1]Crop Progress'!AH$42</f>
        <v>30.501471428571428</v>
      </c>
      <c r="AI104" s="9">
        <f>'[1]Crop Progress'!AI$42</f>
        <v>11.34773857142857</v>
      </c>
      <c r="AJ104" s="9">
        <f>'[1]Crop Progress'!AJ$42</f>
        <v>16.733292857142857</v>
      </c>
      <c r="AK104" s="9">
        <f>'[1]Crop Progress'!AK$42</f>
        <v>43.64378571428572</v>
      </c>
      <c r="AL104" s="9">
        <f>'[1]Crop Progress'!AL$42</f>
        <v>16.878357142857144</v>
      </c>
      <c r="AM104" s="9">
        <f>'[1]Crop Progress'!AM$42</f>
        <v>51.383964285714278</v>
      </c>
      <c r="AN104" s="9">
        <f>'[1]Crop Progress'!AN$42</f>
        <v>7.1842400000000008</v>
      </c>
      <c r="AO104" s="9">
        <f>'[1]Crop Progress'!AO$42</f>
        <v>33.629085714285715</v>
      </c>
      <c r="AP104" s="9">
        <f>'[1]Crop Progress'!AP$42</f>
        <v>48.588500000000003</v>
      </c>
      <c r="AQ104" s="9">
        <f>'[1]Crop Progress'!AQ$42</f>
        <v>34.909479539821497</v>
      </c>
      <c r="AR104" s="9">
        <f>'[1]Crop Progress'!AR$42</f>
        <v>35.110622382484131</v>
      </c>
      <c r="AS104" s="9">
        <f>'[1]Crop Progress'!AS$42</f>
        <v>49.61075393177223</v>
      </c>
      <c r="AT104" s="9">
        <f>'[1]Crop Progress'!AT$42</f>
        <v>20.723461038915605</v>
      </c>
      <c r="AU104" s="9">
        <f>'[1]Crop Progress'!AU$42</f>
        <v>44.961318291783606</v>
      </c>
      <c r="AV104" s="9">
        <f>'[1]Crop Progress'!AV$42</f>
        <v>39.804570472316605</v>
      </c>
      <c r="AW104" s="9">
        <f>'[1]Crop Progress'!AW$42</f>
        <v>39.199453625507488</v>
      </c>
      <c r="AX104" s="9">
        <f>'[1]Crop Progress'!AX$42</f>
        <v>39.923812745857532</v>
      </c>
      <c r="AY104" s="9">
        <f>'[1]Crop Progress'!AY$42</f>
        <v>0</v>
      </c>
    </row>
    <row r="105" spans="1:5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</row>
    <row r="107" spans="1:51" x14ac:dyDescent="0.25">
      <c r="A107" s="8" t="s">
        <v>76</v>
      </c>
    </row>
    <row r="108" spans="1:51" x14ac:dyDescent="0.25">
      <c r="A108" s="8" t="s">
        <v>77</v>
      </c>
      <c r="T108" s="9">
        <f>'[2]Soybean Export Forecast'!B$22</f>
        <v>74.474999999999994</v>
      </c>
      <c r="U108" s="9">
        <f>'[2]Soybean Export Forecast'!C$22</f>
        <v>95.736999999999995</v>
      </c>
      <c r="V108" s="9">
        <f>'[2]Soybean Export Forecast'!D$22</f>
        <v>90.462000000000003</v>
      </c>
      <c r="W108" s="9">
        <f>'[2]Soybean Export Forecast'!E$22</f>
        <v>123.718</v>
      </c>
      <c r="X108" s="9">
        <f>'[2]Soybean Export Forecast'!F$22</f>
        <v>123.253</v>
      </c>
      <c r="Y108" s="9">
        <f>'[2]Soybean Export Forecast'!G$22</f>
        <v>93.49</v>
      </c>
      <c r="Z108" s="9">
        <f>'[2]Soybean Export Forecast'!H$22</f>
        <v>108.804</v>
      </c>
      <c r="AA108" s="9">
        <f>'[2]Soybean Export Forecast'!I$22</f>
        <v>100.268</v>
      </c>
      <c r="AB108" s="9">
        <f>'[2]Soybean Export Forecast'!J$22</f>
        <v>143.154</v>
      </c>
      <c r="AC108" s="9">
        <f>'[2]Soybean Export Forecast'!K$22</f>
        <v>119.64400000000001</v>
      </c>
      <c r="AD108" s="9">
        <f>'[2]Soybean Export Forecast'!L$22</f>
        <v>132.392</v>
      </c>
      <c r="AE108" s="9">
        <f>'[2]Soybean Export Forecast'!M$22</f>
        <v>146.173</v>
      </c>
      <c r="AF108" s="9">
        <f>'[2]Soybean Export Forecast'!N$22</f>
        <v>92.596999999999994</v>
      </c>
      <c r="AG108" s="9">
        <f>'[2]Soybean Export Forecast'!O$22</f>
        <v>121.044</v>
      </c>
      <c r="AH108" s="9">
        <f>'[2]Soybean Export Forecast'!P$22</f>
        <v>137.386</v>
      </c>
      <c r="AI108" s="9">
        <f>'[2]Soybean Export Forecast'!Q$22</f>
        <v>153.61799999999999</v>
      </c>
      <c r="AJ108" s="9">
        <f>'[2]Soybean Export Forecast'!R$22</f>
        <v>224.446</v>
      </c>
      <c r="AK108" s="9">
        <f>'[2]Soybean Export Forecast'!S$22</f>
        <v>189.393</v>
      </c>
      <c r="AL108" s="9">
        <f>'[2]Soybean Export Forecast'!T$22</f>
        <v>146.88800000000001</v>
      </c>
      <c r="AM108" s="9">
        <f>'[2]Soybean Export Forecast'!U$22</f>
        <v>194.346</v>
      </c>
      <c r="AN108" s="9">
        <f>'[2]Soybean Export Forecast'!V$22</f>
        <v>247.85</v>
      </c>
      <c r="AO108" s="9">
        <f>'[2]Soybean Export Forecast'!W$22</f>
        <v>305.40899999999999</v>
      </c>
      <c r="AP108" s="9">
        <f>'[2]Soybean Export Forecast'!X$22</f>
        <v>242.33</v>
      </c>
      <c r="AQ108" s="9">
        <f>'[2]Soybean Export Forecast'!Y$22</f>
        <v>279.17</v>
      </c>
      <c r="AR108" s="9">
        <f>'[2]Soybean Export Forecast'!Z$22</f>
        <v>223.40194919419864</v>
      </c>
      <c r="AS108" s="9">
        <f>'[2]Soybean Export Forecast'!AA$22</f>
        <v>139.95498960239999</v>
      </c>
      <c r="AT108" s="9">
        <f>'[2]Soybean Export Forecast'!AB$22</f>
        <v>194.58511858169999</v>
      </c>
      <c r="AU108" s="9">
        <f>'[2]Soybean Export Forecast'!AC$22</f>
        <v>389.73770686619997</v>
      </c>
      <c r="AV108" s="9">
        <f>'[2]Soybean Export Forecast'!AD$22</f>
        <v>264.20495020709996</v>
      </c>
      <c r="AW108" s="9">
        <f>'[2]Soybean Export Forecast'!AE$22</f>
        <v>296.27771757569997</v>
      </c>
      <c r="AX108" s="9">
        <f>'[2]Soybean Export Forecast'!AF$22</f>
        <v>172.67690791889999</v>
      </c>
      <c r="AY108" s="9">
        <f>'[2]Soybean Export Forecast'!AG$22</f>
        <v>246.55584123952852</v>
      </c>
    </row>
    <row r="109" spans="1:51" x14ac:dyDescent="0.25">
      <c r="A109" s="8" t="s">
        <v>78</v>
      </c>
      <c r="T109" s="9">
        <f>'[2]Soybean Export Forecast'!B$25</f>
        <v>51.087000000000003</v>
      </c>
      <c r="U109" s="9">
        <f>'[2]Soybean Export Forecast'!C$25</f>
        <v>85.986999999999995</v>
      </c>
      <c r="V109" s="9">
        <f>'[2]Soybean Export Forecast'!D$25</f>
        <v>91.808000000000007</v>
      </c>
      <c r="W109" s="9">
        <f>'[2]Soybean Export Forecast'!E$25</f>
        <v>65.867000000000004</v>
      </c>
      <c r="X109" s="9">
        <f>'[2]Soybean Export Forecast'!F$25</f>
        <v>66.215999999999994</v>
      </c>
      <c r="Y109" s="9">
        <f>'[2]Soybean Export Forecast'!G$25</f>
        <v>70.423000000000002</v>
      </c>
      <c r="Z109" s="9">
        <f>'[2]Soybean Export Forecast'!H$25</f>
        <v>113.024</v>
      </c>
      <c r="AA109" s="9">
        <f>'[2]Soybean Export Forecast'!I$25</f>
        <v>132.852</v>
      </c>
      <c r="AB109" s="9">
        <f>'[2]Soybean Export Forecast'!J$25</f>
        <v>68.73</v>
      </c>
      <c r="AC109" s="9">
        <f>'[2]Soybean Export Forecast'!K$25</f>
        <v>91.17</v>
      </c>
      <c r="AD109" s="9">
        <f>'[2]Soybean Export Forecast'!L$25</f>
        <v>61.66</v>
      </c>
      <c r="AE109" s="9">
        <f>'[2]Soybean Export Forecast'!M$25</f>
        <v>96.352000000000004</v>
      </c>
      <c r="AF109" s="9">
        <f>'[2]Soybean Export Forecast'!N$25</f>
        <v>98.888000000000005</v>
      </c>
      <c r="AG109" s="9">
        <f>'[2]Soybean Export Forecast'!O$25</f>
        <v>101.27800000000001</v>
      </c>
      <c r="AH109" s="9">
        <f>'[2]Soybean Export Forecast'!P$25</f>
        <v>116.128</v>
      </c>
      <c r="AI109" s="9">
        <f>'[2]Soybean Export Forecast'!Q$25</f>
        <v>107.914</v>
      </c>
      <c r="AJ109" s="9">
        <f>'[2]Soybean Export Forecast'!R$25</f>
        <v>130.31399999999999</v>
      </c>
      <c r="AK109" s="9">
        <f>'[2]Soybean Export Forecast'!S$25</f>
        <v>128.482</v>
      </c>
      <c r="AL109" s="9">
        <f>'[2]Soybean Export Forecast'!T$25</f>
        <v>116.789</v>
      </c>
      <c r="AM109" s="9">
        <f>'[2]Soybean Export Forecast'!U$25</f>
        <v>72.369</v>
      </c>
      <c r="AN109" s="9">
        <f>'[2]Soybean Export Forecast'!V$25</f>
        <v>124.211</v>
      </c>
      <c r="AO109" s="9">
        <f>'[2]Soybean Export Forecast'!W$25</f>
        <v>94.409000000000006</v>
      </c>
      <c r="AP109" s="9">
        <f>'[2]Soybean Export Forecast'!X$25</f>
        <v>91.01</v>
      </c>
      <c r="AQ109" s="9">
        <f>'[2]Soybean Export Forecast'!Y$25</f>
        <v>107.81</v>
      </c>
      <c r="AR109" s="9">
        <f>'[2]Soybean Export Forecast'!Z$25</f>
        <v>108.88234900409999</v>
      </c>
      <c r="AS109" s="9">
        <f>'[2]Soybean Export Forecast'!AA$25</f>
        <v>132.52192281090001</v>
      </c>
      <c r="AT109" s="9">
        <f>'[2]Soybean Export Forecast'!AB$25</f>
        <v>82.863106210499993</v>
      </c>
      <c r="AU109" s="9">
        <f>'[2]Soybean Export Forecast'!AC$25</f>
        <v>64.264474094099995</v>
      </c>
      <c r="AV109" s="9">
        <f>'[2]Soybean Export Forecast'!AD$25</f>
        <v>110.62594780019998</v>
      </c>
      <c r="AW109" s="9">
        <f>'[2]Soybean Export Forecast'!AE$25</f>
        <v>106.50701577389998</v>
      </c>
      <c r="AX109" s="10">
        <f>'[2]Soybean Export Forecast'!AF$25</f>
        <v>79.763040241499979</v>
      </c>
      <c r="AY109" s="10">
        <f>'[2]Soybean Export Forecast'!AG$25</f>
        <v>90.170831881720318</v>
      </c>
    </row>
    <row r="110" spans="1:51" x14ac:dyDescent="0.25">
      <c r="A110" s="8" t="s">
        <v>79</v>
      </c>
      <c r="T110" s="9">
        <f>'[2]Soybean Export Forecast'!B$28</f>
        <v>20.690999999999999</v>
      </c>
      <c r="U110" s="9">
        <f>'[2]Soybean Export Forecast'!C$28</f>
        <v>32.481000000000002</v>
      </c>
      <c r="V110" s="9">
        <f>'[2]Soybean Export Forecast'!D$28</f>
        <v>52.865000000000002</v>
      </c>
      <c r="W110" s="9">
        <f>'[2]Soybean Export Forecast'!E$28</f>
        <v>32.445999999999998</v>
      </c>
      <c r="X110" s="9">
        <f>'[2]Soybean Export Forecast'!F$28</f>
        <v>22.821000000000002</v>
      </c>
      <c r="Y110" s="9">
        <f>'[2]Soybean Export Forecast'!G$28</f>
        <v>39.576999999999998</v>
      </c>
      <c r="Z110" s="9">
        <f>'[2]Soybean Export Forecast'!H$28</f>
        <v>46.783999999999999</v>
      </c>
      <c r="AA110" s="9">
        <f>'[2]Soybean Export Forecast'!I$28</f>
        <v>40.915999999999997</v>
      </c>
      <c r="AB110" s="9">
        <f>'[2]Soybean Export Forecast'!J$28</f>
        <v>42.372</v>
      </c>
      <c r="AC110" s="9">
        <f>'[2]Soybean Export Forecast'!K$28</f>
        <v>30.047000000000001</v>
      </c>
      <c r="AD110" s="9">
        <f>'[2]Soybean Export Forecast'!L$28</f>
        <v>20.867000000000001</v>
      </c>
      <c r="AE110" s="9">
        <f>'[2]Soybean Export Forecast'!M$28</f>
        <v>28.148</v>
      </c>
      <c r="AF110" s="9">
        <f>'[2]Soybean Export Forecast'!N$28</f>
        <v>37.564</v>
      </c>
      <c r="AG110" s="9">
        <f>'[2]Soybean Export Forecast'!O$28</f>
        <v>47.914999999999999</v>
      </c>
      <c r="AH110" s="9">
        <f>'[2]Soybean Export Forecast'!P$28</f>
        <v>55.665999999999997</v>
      </c>
      <c r="AI110" s="9">
        <f>'[2]Soybean Export Forecast'!Q$28</f>
        <v>59.335999999999999</v>
      </c>
      <c r="AJ110" s="9">
        <f>'[2]Soybean Export Forecast'!R$28</f>
        <v>28.036999999999999</v>
      </c>
      <c r="AK110" s="9">
        <f>'[2]Soybean Export Forecast'!S$28</f>
        <v>27.667000000000002</v>
      </c>
      <c r="AL110" s="9">
        <f>'[2]Soybean Export Forecast'!T$28</f>
        <v>51.305</v>
      </c>
      <c r="AM110" s="9">
        <f>'[2]Soybean Export Forecast'!U$28</f>
        <v>18.869</v>
      </c>
      <c r="AN110" s="9">
        <f>'[2]Soybean Export Forecast'!V$28</f>
        <v>19.123000000000001</v>
      </c>
      <c r="AO110" s="9">
        <f>'[2]Soybean Export Forecast'!W$28</f>
        <v>33.253</v>
      </c>
      <c r="AP110" s="9">
        <f>'[2]Soybean Export Forecast'!X$28</f>
        <v>35.512</v>
      </c>
      <c r="AQ110" s="9">
        <f>'[2]Soybean Export Forecast'!Y$28</f>
        <v>57.988999999999997</v>
      </c>
      <c r="AR110" s="9">
        <f>'[2]Soybean Export Forecast'!Z$28</f>
        <v>117.95051044559999</v>
      </c>
      <c r="AS110" s="9">
        <f>'[2]Soybean Export Forecast'!AA$28</f>
        <v>119.3068306437</v>
      </c>
      <c r="AT110" s="9">
        <f>'[2]Soybean Export Forecast'!AB$28</f>
        <v>63.025292811599996</v>
      </c>
      <c r="AU110" s="9">
        <f>'[2]Soybean Export Forecast'!AC$28</f>
        <v>21.106683590999996</v>
      </c>
      <c r="AV110" s="9">
        <f>'[2]Soybean Export Forecast'!AD$28</f>
        <v>78.615314028299977</v>
      </c>
      <c r="AW110" s="9">
        <f>'[2]Soybean Export Forecast'!AE$28</f>
        <v>28.197960485099998</v>
      </c>
      <c r="AX110" s="10">
        <f>'[2]Soybean Export Forecast'!AF$28</f>
        <v>52.537658558391897</v>
      </c>
      <c r="AY110" s="10">
        <f>'[2]Soybean Export Forecast'!AG$28</f>
        <v>49.301547947881744</v>
      </c>
    </row>
    <row r="111" spans="1:51" x14ac:dyDescent="0.25">
      <c r="A111" s="8" t="s">
        <v>80</v>
      </c>
      <c r="T111" s="9">
        <f>'[2]Soybean Export Forecast'!C$19</f>
        <v>44.85</v>
      </c>
      <c r="U111" s="9">
        <f>'[2]Soybean Export Forecast'!D$19</f>
        <v>65.123999999999995</v>
      </c>
      <c r="V111" s="9">
        <f>'[2]Soybean Export Forecast'!E$19</f>
        <v>41.762</v>
      </c>
      <c r="W111" s="9">
        <f>'[2]Soybean Export Forecast'!F$19</f>
        <v>39.65</v>
      </c>
      <c r="X111" s="9">
        <f>'[2]Soybean Export Forecast'!G$19</f>
        <v>27.542000000000002</v>
      </c>
      <c r="Y111" s="9">
        <f>'[2]Soybean Export Forecast'!H$19</f>
        <v>72.680999999999997</v>
      </c>
      <c r="Z111" s="9">
        <f>'[2]Soybean Export Forecast'!I$19</f>
        <v>57.543999999999997</v>
      </c>
      <c r="AA111" s="9">
        <f>'[2]Soybean Export Forecast'!J$19</f>
        <v>33.877000000000002</v>
      </c>
      <c r="AB111" s="9">
        <f>'[2]Soybean Export Forecast'!K$19</f>
        <v>30.847000000000001</v>
      </c>
      <c r="AC111" s="9">
        <f>'[2]Soybean Export Forecast'!L$19</f>
        <v>26.884</v>
      </c>
      <c r="AD111" s="9">
        <f>'[2]Soybean Export Forecast'!M$19</f>
        <v>44.466000000000001</v>
      </c>
      <c r="AE111" s="9">
        <f>'[2]Soybean Export Forecast'!N$19</f>
        <v>29.702000000000002</v>
      </c>
      <c r="AF111" s="9">
        <f>'[2]Soybean Export Forecast'!O$19</f>
        <v>63.563000000000002</v>
      </c>
      <c r="AG111" s="9">
        <f>'[2]Soybean Export Forecast'!P$19</f>
        <v>59.25</v>
      </c>
      <c r="AH111" s="9">
        <f>'[2]Soybean Export Forecast'!Q$19</f>
        <v>30.12</v>
      </c>
      <c r="AI111" s="9">
        <f>'[2]Soybean Export Forecast'!R$19</f>
        <v>38.664999999999999</v>
      </c>
      <c r="AJ111" s="9">
        <f>'[2]Soybean Export Forecast'!S$19</f>
        <v>69.295000000000002</v>
      </c>
      <c r="AK111" s="9">
        <f>'[2]Soybean Export Forecast'!T$19</f>
        <v>48.164999999999999</v>
      </c>
      <c r="AL111" s="9">
        <f>'[2]Soybean Export Forecast'!U$19</f>
        <v>91.78</v>
      </c>
      <c r="AM111" s="9">
        <f>'[2]Soybean Export Forecast'!V$19</f>
        <v>54.831000000000003</v>
      </c>
      <c r="AN111" s="9">
        <f>'[2]Soybean Export Forecast'!W$19</f>
        <v>79.793000000000006</v>
      </c>
      <c r="AO111" s="9">
        <f>'[2]Soybean Export Forecast'!X$19</f>
        <v>83.972999999999999</v>
      </c>
      <c r="AP111" s="9">
        <f>'[2]Soybean Export Forecast'!Y$19</f>
        <v>133.70699999999999</v>
      </c>
      <c r="AQ111" s="9">
        <f>'[2]Soybean Export Forecast'!Z$19</f>
        <v>153.23091899933772</v>
      </c>
      <c r="AR111" s="9">
        <f>'[2]Soybean Export Forecast'!AA$19</f>
        <v>118.3699397811</v>
      </c>
      <c r="AS111" s="9">
        <f>'[2]Soybean Export Forecast'!AB$19</f>
        <v>135.39880754609999</v>
      </c>
      <c r="AT111" s="9">
        <f>'[2]Soybean Export Forecast'!AC$19</f>
        <v>246.69848782949998</v>
      </c>
      <c r="AU111" s="9">
        <f>'[2]Soybean Export Forecast'!AD$19</f>
        <v>67.279074216899986</v>
      </c>
      <c r="AV111" s="9">
        <f>'[2]Soybean Export Forecast'!AE$3</f>
        <v>74.866587371699993</v>
      </c>
      <c r="AW111" s="9">
        <f>'[2]Soybean Export Forecast'!AF$3</f>
        <v>91.9317820638</v>
      </c>
      <c r="AX111" s="10">
        <f>'[2]Soybean Export Forecast'!AG$3</f>
        <v>109.52932144628844</v>
      </c>
      <c r="AY111" s="10">
        <f>'[2]Soybean Export Forecast'!AH$3</f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12</vt:i4>
      </vt:variant>
    </vt:vector>
  </HeadingPairs>
  <TitlesOfParts>
    <vt:vector size="13" baseType="lpstr">
      <vt:lpstr>Data</vt:lpstr>
      <vt:lpstr>Quarterly Residual</vt:lpstr>
      <vt:lpstr>SepNov Res vs Expo Change</vt:lpstr>
      <vt:lpstr>Crop Rev vs Sep-Feb Residual</vt:lpstr>
      <vt:lpstr>Crop Rev vs Sep-May Residual</vt:lpstr>
      <vt:lpstr>Crop Rev vs MY Residual</vt:lpstr>
      <vt:lpstr>DecFeb Res vs Expo Change</vt:lpstr>
      <vt:lpstr>MarMay vs Expo Change</vt:lpstr>
      <vt:lpstr>MarMay vs. Census - Inspections</vt:lpstr>
      <vt:lpstr>MarMay Res vs 1st Half Res</vt:lpstr>
      <vt:lpstr>JunAug Res vs Expo Change</vt:lpstr>
      <vt:lpstr>Q1 Res Use vs Q2 Res Use</vt:lpstr>
      <vt:lpstr>SepNov Res vs Early Harvest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2025-07-17T09:27:55Z</dcterms:created>
  <dcterms:modified xsi:type="dcterms:W3CDTF">2025-07-17T09:28:18Z</dcterms:modified>
</cp:coreProperties>
</file>