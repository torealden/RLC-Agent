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worksheets/sheet1.xml" ContentType="application/vnd.openxmlformats-officedocument.spreadsheetml.work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3.xml" ContentType="application/vnd.openxmlformats-officedocument.themeOverride+xml"/>
  <Override PartName="/xl/drawings/drawing3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4.xml" ContentType="application/vnd.openxmlformats-officedocument.themeOverride+xml"/>
  <Override PartName="/xl/drawings/drawing36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5.xml" ContentType="application/vnd.openxmlformats-officedocument.themeOverride+xml"/>
  <Override PartName="/xl/drawings/drawing37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6.xml" ContentType="application/vnd.openxmlformats-officedocument.themeOverride+xml"/>
  <Override PartName="/xl/drawings/drawing38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7.xml" ContentType="application/vnd.openxmlformats-officedocument.themeOverride+xml"/>
  <Override PartName="/xl/drawings/drawing3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C9C2B609-E154-4A6B-9A24-8CAF14AD0C66}" xr6:coauthVersionLast="47" xr6:coauthVersionMax="47" xr10:uidLastSave="{00000000-0000-0000-0000-000000000000}"/>
  <bookViews>
    <workbookView xWindow="1140" yWindow="630" windowWidth="27240" windowHeight="14550" xr2:uid="{D44AD91B-E4E5-4BBC-8355-17B18BDCFD49}"/>
  </bookViews>
  <sheets>
    <sheet name="Oilshare" sheetId="1" r:id="rId1"/>
    <sheet name="Chart1" sheetId="2" r:id="rId2"/>
    <sheet name="Chart2" sheetId="3" r:id="rId3"/>
    <sheet name="Chart3" sheetId="4" r:id="rId4"/>
    <sheet name="Chart4" sheetId="5" r:id="rId5"/>
    <sheet name="Chart5" sheetId="6" r:id="rId6"/>
    <sheet name="Monthly Oil Share Change (2)" sheetId="7" r:id="rId7"/>
    <sheet name="Monthly Oil Share Change" sheetId="8" r:id="rId8"/>
    <sheet name="Chart6" sheetId="9" r:id="rId9"/>
    <sheet name="Chart7" sheetId="10" r:id="rId10"/>
    <sheet name="Chart8" sheetId="11" r:id="rId11"/>
    <sheet name="Chart9" sheetId="12" r:id="rId12"/>
    <sheet name="Chart10" sheetId="13" r:id="rId13"/>
    <sheet name="Chart11" sheetId="14" r:id="rId14"/>
    <sheet name="Chart12" sheetId="15" r:id="rId15"/>
    <sheet name="Chart13" sheetId="16" r:id="rId16"/>
    <sheet name="Chart14" sheetId="17" r:id="rId17"/>
    <sheet name="PDF Data" sheetId="18" r:id="rId18"/>
    <sheet name="Chart15" sheetId="19" r:id="rId19"/>
    <sheet name="Chart16" sheetId="20" r:id="rId20"/>
    <sheet name="Chart17" sheetId="21" r:id="rId21"/>
    <sheet name="Chart18" sheetId="22" r:id="rId22"/>
    <sheet name="Forecast Print" sheetId="23" r:id="rId23"/>
    <sheet name="PDF Print" sheetId="24" r:id="rId24"/>
  </sheets>
  <externalReferences>
    <externalReference r:id="rId25"/>
    <externalReference r:id="rId26"/>
  </externalReferences>
  <definedNames>
    <definedName name="_xlchart.v1.0" hidden="1">[1]Prices!$A$4:$A$654</definedName>
    <definedName name="_xlchart.v1.1" hidden="1">[1]Prices!$G$4:$G$654</definedName>
    <definedName name="_xlnm.Print_Area" localSheetId="23">'PDF Print'!$A$1:$T$51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18" l="1"/>
  <c r="D63" i="18"/>
  <c r="D62" i="18"/>
  <c r="D61" i="18"/>
  <c r="D60" i="18"/>
  <c r="D59" i="18"/>
  <c r="D58" i="18"/>
  <c r="D57" i="18"/>
  <c r="D56" i="18"/>
  <c r="W55" i="18"/>
  <c r="D55" i="18"/>
  <c r="D54" i="18"/>
  <c r="D53" i="18"/>
  <c r="K52" i="18"/>
  <c r="D52" i="18"/>
  <c r="D51" i="18"/>
  <c r="D50" i="18"/>
  <c r="A50" i="18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Q49" i="18"/>
  <c r="D49" i="18"/>
  <c r="D64" i="18" s="1"/>
  <c r="A49" i="18"/>
  <c r="E37" i="18"/>
  <c r="D32" i="18"/>
  <c r="S30" i="18"/>
  <c r="J26" i="18"/>
  <c r="V25" i="18"/>
  <c r="S25" i="18"/>
  <c r="K25" i="18"/>
  <c r="J51" i="18" s="1"/>
  <c r="J25" i="18"/>
  <c r="K24" i="18" s="1"/>
  <c r="G25" i="18"/>
  <c r="A25" i="18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W24" i="18"/>
  <c r="V24" i="18"/>
  <c r="W23" i="18" s="1"/>
  <c r="S24" i="18"/>
  <c r="T25" i="18" s="1"/>
  <c r="J24" i="18"/>
  <c r="K23" i="18" s="1"/>
  <c r="J49" i="18" s="1"/>
  <c r="G24" i="18"/>
  <c r="H25" i="18" s="1"/>
  <c r="I51" i="18" s="1"/>
  <c r="A24" i="18"/>
  <c r="V23" i="18"/>
  <c r="W22" i="18" s="1"/>
  <c r="V48" i="18" s="1"/>
  <c r="S23" i="18"/>
  <c r="T24" i="18" s="1"/>
  <c r="U50" i="18" s="1"/>
  <c r="J23" i="18"/>
  <c r="K22" i="18" s="1"/>
  <c r="G23" i="18"/>
  <c r="H24" i="18" s="1"/>
  <c r="A23" i="18"/>
  <c r="V22" i="18"/>
  <c r="S22" i="18"/>
  <c r="T23" i="18" s="1"/>
  <c r="P22" i="18"/>
  <c r="Q21" i="18" s="1"/>
  <c r="M22" i="18"/>
  <c r="J22" i="18"/>
  <c r="G22" i="18"/>
  <c r="H23" i="18" s="1"/>
  <c r="I49" i="18" s="1"/>
  <c r="W21" i="18"/>
  <c r="V21" i="18"/>
  <c r="W20" i="18" s="1"/>
  <c r="V46" i="18" s="1"/>
  <c r="S21" i="18"/>
  <c r="T22" i="18" s="1"/>
  <c r="U48" i="18" s="1"/>
  <c r="P21" i="18"/>
  <c r="Q20" i="18" s="1"/>
  <c r="P46" i="18" s="1"/>
  <c r="M21" i="18"/>
  <c r="N22" i="18" s="1"/>
  <c r="K21" i="18"/>
  <c r="J21" i="18"/>
  <c r="K20" i="18" s="1"/>
  <c r="J46" i="18" s="1"/>
  <c r="H46" i="18" s="1"/>
  <c r="G21" i="18"/>
  <c r="H22" i="18" s="1"/>
  <c r="V20" i="18"/>
  <c r="S20" i="18"/>
  <c r="T21" i="18" s="1"/>
  <c r="P20" i="18"/>
  <c r="Q19" i="18" s="1"/>
  <c r="M20" i="18"/>
  <c r="N21" i="18" s="1"/>
  <c r="J20" i="18"/>
  <c r="G20" i="18"/>
  <c r="H21" i="18" s="1"/>
  <c r="I47" i="18" s="1"/>
  <c r="W19" i="18"/>
  <c r="V45" i="18" s="1"/>
  <c r="V19" i="18"/>
  <c r="W18" i="18" s="1"/>
  <c r="V44" i="18" s="1"/>
  <c r="T19" i="18"/>
  <c r="U45" i="18" s="1"/>
  <c r="S19" i="18"/>
  <c r="T20" i="18" s="1"/>
  <c r="U46" i="18" s="1"/>
  <c r="P19" i="18"/>
  <c r="Q18" i="18" s="1"/>
  <c r="P44" i="18" s="1"/>
  <c r="N19" i="18"/>
  <c r="M19" i="18"/>
  <c r="N20" i="18" s="1"/>
  <c r="O46" i="18" s="1"/>
  <c r="K19" i="18"/>
  <c r="J19" i="18"/>
  <c r="K18" i="18" s="1"/>
  <c r="J44" i="18" s="1"/>
  <c r="H19" i="18"/>
  <c r="G19" i="18"/>
  <c r="H20" i="18" s="1"/>
  <c r="I46" i="18" s="1"/>
  <c r="D19" i="18"/>
  <c r="E18" i="18" s="1"/>
  <c r="V18" i="18"/>
  <c r="S18" i="18"/>
  <c r="P18" i="18"/>
  <c r="Q17" i="18" s="1"/>
  <c r="M18" i="18"/>
  <c r="J18" i="18"/>
  <c r="K17" i="18" s="1"/>
  <c r="G18" i="18"/>
  <c r="D18" i="18"/>
  <c r="E17" i="18" s="1"/>
  <c r="B18" i="18"/>
  <c r="C36" i="18" s="1"/>
  <c r="A18" i="18"/>
  <c r="W17" i="18"/>
  <c r="V17" i="18"/>
  <c r="W16" i="18" s="1"/>
  <c r="V42" i="18" s="1"/>
  <c r="S17" i="18"/>
  <c r="T18" i="18" s="1"/>
  <c r="U44" i="18" s="1"/>
  <c r="P17" i="18"/>
  <c r="Q16" i="18" s="1"/>
  <c r="P42" i="18" s="1"/>
  <c r="M17" i="18"/>
  <c r="N18" i="18" s="1"/>
  <c r="O44" i="18" s="1"/>
  <c r="J17" i="18"/>
  <c r="K16" i="18" s="1"/>
  <c r="J42" i="18" s="1"/>
  <c r="H17" i="18"/>
  <c r="G17" i="18"/>
  <c r="H18" i="18" s="1"/>
  <c r="I44" i="18" s="1"/>
  <c r="D17" i="18"/>
  <c r="E16" i="18" s="1"/>
  <c r="D34" i="18" s="1"/>
  <c r="B17" i="18"/>
  <c r="C35" i="18" s="1"/>
  <c r="A17" i="18"/>
  <c r="V16" i="18"/>
  <c r="W15" i="18" s="1"/>
  <c r="S16" i="18"/>
  <c r="T17" i="18" s="1"/>
  <c r="P16" i="18"/>
  <c r="M16" i="18"/>
  <c r="N17" i="18" s="1"/>
  <c r="O43" i="18" s="1"/>
  <c r="J16" i="18"/>
  <c r="K15" i="18" s="1"/>
  <c r="G16" i="18"/>
  <c r="D16" i="18"/>
  <c r="E15" i="18" s="1"/>
  <c r="D33" i="18" s="1"/>
  <c r="B16" i="18"/>
  <c r="A16" i="18"/>
  <c r="V15" i="18"/>
  <c r="W14" i="18" s="1"/>
  <c r="V40" i="18" s="1"/>
  <c r="T15" i="18"/>
  <c r="U41" i="18" s="1"/>
  <c r="S15" i="18"/>
  <c r="T16" i="18" s="1"/>
  <c r="U42" i="18" s="1"/>
  <c r="Q15" i="18"/>
  <c r="P15" i="18"/>
  <c r="Q14" i="18" s="1"/>
  <c r="P40" i="18" s="1"/>
  <c r="N40" i="18" s="1"/>
  <c r="M15" i="18"/>
  <c r="N16" i="18" s="1"/>
  <c r="O42" i="18" s="1"/>
  <c r="J15" i="18"/>
  <c r="K14" i="18" s="1"/>
  <c r="J40" i="18" s="1"/>
  <c r="G15" i="18"/>
  <c r="H16" i="18" s="1"/>
  <c r="I42" i="18" s="1"/>
  <c r="D15" i="18"/>
  <c r="A15" i="18"/>
  <c r="V14" i="18"/>
  <c r="S14" i="18"/>
  <c r="P14" i="18"/>
  <c r="Q13" i="18" s="1"/>
  <c r="P39" i="18" s="1"/>
  <c r="N14" i="18"/>
  <c r="O40" i="18" s="1"/>
  <c r="M14" i="18"/>
  <c r="N15" i="18" s="1"/>
  <c r="J14" i="18"/>
  <c r="K13" i="18" s="1"/>
  <c r="J39" i="18" s="1"/>
  <c r="H14" i="18"/>
  <c r="I40" i="18" s="1"/>
  <c r="G14" i="18"/>
  <c r="H15" i="18" s="1"/>
  <c r="I41" i="18" s="1"/>
  <c r="E14" i="18"/>
  <c r="D14" i="18"/>
  <c r="E13" i="18" s="1"/>
  <c r="B14" i="18"/>
  <c r="C32" i="18" s="1"/>
  <c r="A14" i="18"/>
  <c r="B15" i="18" s="1"/>
  <c r="C33" i="18" s="1"/>
  <c r="W13" i="18"/>
  <c r="V39" i="18" s="1"/>
  <c r="V13" i="18"/>
  <c r="W12" i="18" s="1"/>
  <c r="V38" i="18" s="1"/>
  <c r="T13" i="18"/>
  <c r="S13" i="18"/>
  <c r="T14" i="18" s="1"/>
  <c r="U40" i="18" s="1"/>
  <c r="P13" i="18"/>
  <c r="Q12" i="18" s="1"/>
  <c r="M13" i="18"/>
  <c r="J13" i="18"/>
  <c r="G13" i="18"/>
  <c r="D13" i="18"/>
  <c r="E12" i="18" s="1"/>
  <c r="A13" i="18"/>
  <c r="V12" i="18"/>
  <c r="W11" i="18" s="1"/>
  <c r="S12" i="18"/>
  <c r="P12" i="18"/>
  <c r="Q11" i="18" s="1"/>
  <c r="P37" i="18" s="1"/>
  <c r="N12" i="18"/>
  <c r="M12" i="18"/>
  <c r="N13" i="18" s="1"/>
  <c r="O39" i="18" s="1"/>
  <c r="K12" i="18"/>
  <c r="J12" i="18"/>
  <c r="K11" i="18" s="1"/>
  <c r="J37" i="18" s="1"/>
  <c r="H37" i="18" s="1"/>
  <c r="G12" i="18"/>
  <c r="H13" i="18" s="1"/>
  <c r="I39" i="18" s="1"/>
  <c r="D12" i="18"/>
  <c r="E11" i="18" s="1"/>
  <c r="D29" i="18" s="1"/>
  <c r="B29" i="18" s="1"/>
  <c r="B12" i="18"/>
  <c r="A12" i="18"/>
  <c r="B13" i="18" s="1"/>
  <c r="C31" i="18" s="1"/>
  <c r="V11" i="18"/>
  <c r="W10" i="18" s="1"/>
  <c r="V36" i="18" s="1"/>
  <c r="S11" i="18"/>
  <c r="T12" i="18" s="1"/>
  <c r="P11" i="18"/>
  <c r="M11" i="18"/>
  <c r="J11" i="18"/>
  <c r="K10" i="18" s="1"/>
  <c r="H11" i="18"/>
  <c r="I37" i="18" s="1"/>
  <c r="G11" i="18"/>
  <c r="H12" i="18" s="1"/>
  <c r="D11" i="18"/>
  <c r="A11" i="18"/>
  <c r="V10" i="18"/>
  <c r="W9" i="18" s="1"/>
  <c r="V35" i="18" s="1"/>
  <c r="T10" i="18"/>
  <c r="U36" i="18" s="1"/>
  <c r="S10" i="18"/>
  <c r="T11" i="18" s="1"/>
  <c r="U37" i="18" s="1"/>
  <c r="Q10" i="18"/>
  <c r="P36" i="18" s="1"/>
  <c r="P10" i="18"/>
  <c r="Q9" i="18" s="1"/>
  <c r="P35" i="18" s="1"/>
  <c r="N10" i="18"/>
  <c r="O36" i="18" s="1"/>
  <c r="M10" i="18"/>
  <c r="N11" i="18" s="1"/>
  <c r="O37" i="18" s="1"/>
  <c r="J10" i="18"/>
  <c r="K9" i="18" s="1"/>
  <c r="J35" i="18" s="1"/>
  <c r="H35" i="18" s="1"/>
  <c r="H10" i="18"/>
  <c r="I36" i="18" s="1"/>
  <c r="G10" i="18"/>
  <c r="E10" i="18"/>
  <c r="D28" i="18" s="1"/>
  <c r="D10" i="18"/>
  <c r="E9" i="18" s="1"/>
  <c r="A10" i="18"/>
  <c r="B11" i="18" s="1"/>
  <c r="C29" i="18" s="1"/>
  <c r="V9" i="18"/>
  <c r="W8" i="18" s="1"/>
  <c r="S9" i="18"/>
  <c r="P9" i="18"/>
  <c r="M9" i="18"/>
  <c r="J9" i="18"/>
  <c r="K8" i="18" s="1"/>
  <c r="J34" i="18" s="1"/>
  <c r="H9" i="18"/>
  <c r="G9" i="18"/>
  <c r="I35" i="18" s="1"/>
  <c r="D9" i="18"/>
  <c r="E8" i="18" s="1"/>
  <c r="D26" i="18" s="1"/>
  <c r="B9" i="18"/>
  <c r="A9" i="18"/>
  <c r="B10" i="18" s="1"/>
  <c r="C28" i="18" s="1"/>
  <c r="V8" i="18"/>
  <c r="W7" i="18" s="1"/>
  <c r="V33" i="18" s="1"/>
  <c r="T8" i="18"/>
  <c r="S8" i="18"/>
  <c r="T9" i="18" s="1"/>
  <c r="U35" i="18" s="1"/>
  <c r="Q8" i="18"/>
  <c r="P8" i="18"/>
  <c r="Q7" i="18" s="1"/>
  <c r="P33" i="18" s="1"/>
  <c r="M8" i="18"/>
  <c r="N9" i="18" s="1"/>
  <c r="O35" i="18" s="1"/>
  <c r="J8" i="18"/>
  <c r="G8" i="18"/>
  <c r="D8" i="18"/>
  <c r="E7" i="18" s="1"/>
  <c r="A8" i="18"/>
  <c r="V7" i="18"/>
  <c r="S7" i="18"/>
  <c r="P7" i="18"/>
  <c r="Q6" i="18" s="1"/>
  <c r="P32" i="18" s="1"/>
  <c r="M7" i="18"/>
  <c r="N8" i="18" s="1"/>
  <c r="O34" i="18" s="1"/>
  <c r="K7" i="18"/>
  <c r="J7" i="18"/>
  <c r="K6" i="18" s="1"/>
  <c r="J32" i="18" s="1"/>
  <c r="G7" i="18"/>
  <c r="H8" i="18" s="1"/>
  <c r="I34" i="18" s="1"/>
  <c r="D7" i="18"/>
  <c r="E6" i="18" s="1"/>
  <c r="D24" i="18" s="1"/>
  <c r="B24" i="18" s="1"/>
  <c r="B7" i="18"/>
  <c r="A7" i="18"/>
  <c r="B8" i="18" s="1"/>
  <c r="C26" i="18" s="1"/>
  <c r="V6" i="18"/>
  <c r="W6" i="18" s="1"/>
  <c r="V32" i="18" s="1"/>
  <c r="T32" i="18" s="1"/>
  <c r="U6" i="18"/>
  <c r="U7" i="18" s="1"/>
  <c r="S6" i="18"/>
  <c r="T7" i="18" s="1"/>
  <c r="P6" i="18"/>
  <c r="M6" i="18"/>
  <c r="N7" i="18" s="1"/>
  <c r="J6" i="18"/>
  <c r="G6" i="18"/>
  <c r="H7" i="18" s="1"/>
  <c r="D6" i="18"/>
  <c r="B6" i="18"/>
  <c r="C24" i="18" s="1"/>
  <c r="A6" i="18"/>
  <c r="V5" i="18"/>
  <c r="W5" i="18" s="1"/>
  <c r="V31" i="18" s="1"/>
  <c r="U5" i="18"/>
  <c r="S31" i="18" s="1"/>
  <c r="T5" i="18"/>
  <c r="S5" i="18"/>
  <c r="T6" i="18" s="1"/>
  <c r="U32" i="18" s="1"/>
  <c r="Q5" i="18"/>
  <c r="P31" i="18" s="1"/>
  <c r="P5" i="18"/>
  <c r="Q4" i="18" s="1"/>
  <c r="M5" i="18"/>
  <c r="N6" i="18" s="1"/>
  <c r="K5" i="18"/>
  <c r="J5" i="18"/>
  <c r="K4" i="18" s="1"/>
  <c r="J30" i="18" s="1"/>
  <c r="G5" i="18"/>
  <c r="H6" i="18" s="1"/>
  <c r="I32" i="18" s="1"/>
  <c r="E5" i="18"/>
  <c r="D23" i="18" s="1"/>
  <c r="B23" i="18" s="1"/>
  <c r="D5" i="18"/>
  <c r="E4" i="18" s="1"/>
  <c r="A5" i="18"/>
  <c r="V4" i="18"/>
  <c r="W4" i="18" s="1"/>
  <c r="V30" i="18" s="1"/>
  <c r="U4" i="18"/>
  <c r="S4" i="18"/>
  <c r="P4" i="18"/>
  <c r="O4" i="18"/>
  <c r="M30" i="18" s="1"/>
  <c r="M4" i="18"/>
  <c r="N5" i="18" s="1"/>
  <c r="J4" i="18"/>
  <c r="K3" i="18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G4" i="18"/>
  <c r="H5" i="18" s="1"/>
  <c r="D4" i="18"/>
  <c r="C4" i="18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B4" i="18"/>
  <c r="C22" i="18" s="1"/>
  <c r="A4" i="18"/>
  <c r="B5" i="18" s="1"/>
  <c r="C23" i="18" s="1"/>
  <c r="V3" i="18"/>
  <c r="W3" i="18" s="1"/>
  <c r="S3" i="18"/>
  <c r="T4" i="18" s="1"/>
  <c r="U30" i="18" s="1"/>
  <c r="P3" i="18"/>
  <c r="Q3" i="18" s="1"/>
  <c r="M3" i="18"/>
  <c r="N4" i="18" s="1"/>
  <c r="O30" i="18" s="1"/>
  <c r="J3" i="18"/>
  <c r="G3" i="18"/>
  <c r="H4" i="18" s="1"/>
  <c r="A3" i="18"/>
  <c r="T45" i="18" l="1"/>
  <c r="N36" i="18"/>
  <c r="T36" i="18"/>
  <c r="T33" i="18"/>
  <c r="H42" i="18"/>
  <c r="J47" i="18"/>
  <c r="H47" i="18" s="1"/>
  <c r="P34" i="18"/>
  <c r="N34" i="18" s="1"/>
  <c r="I45" i="18"/>
  <c r="J31" i="18"/>
  <c r="T46" i="18"/>
  <c r="T40" i="18"/>
  <c r="B33" i="18"/>
  <c r="O31" i="18"/>
  <c r="N31" i="18" s="1"/>
  <c r="V37" i="18"/>
  <c r="T37" i="18" s="1"/>
  <c r="O41" i="18"/>
  <c r="P47" i="18"/>
  <c r="N47" i="18" s="1"/>
  <c r="J50" i="18"/>
  <c r="H50" i="18" s="1"/>
  <c r="H40" i="18"/>
  <c r="B32" i="18"/>
  <c r="J45" i="18"/>
  <c r="V50" i="18"/>
  <c r="N37" i="18"/>
  <c r="T42" i="18"/>
  <c r="U49" i="18"/>
  <c r="P30" i="18"/>
  <c r="N30" i="18" s="1"/>
  <c r="N49" i="18" s="1"/>
  <c r="N39" i="18"/>
  <c r="J41" i="18"/>
  <c r="H41" i="18" s="1"/>
  <c r="D35" i="18"/>
  <c r="B35" i="18" s="1"/>
  <c r="O47" i="18"/>
  <c r="N35" i="18"/>
  <c r="C27" i="18"/>
  <c r="V49" i="18"/>
  <c r="T49" i="18" s="1"/>
  <c r="T35" i="18"/>
  <c r="O38" i="18"/>
  <c r="V43" i="18"/>
  <c r="T43" i="18" s="1"/>
  <c r="I33" i="18"/>
  <c r="I38" i="18"/>
  <c r="D30" i="18"/>
  <c r="B30" i="18" s="1"/>
  <c r="C30" i="18"/>
  <c r="J43" i="18"/>
  <c r="H43" i="18" s="1"/>
  <c r="P45" i="18"/>
  <c r="U39" i="18"/>
  <c r="P41" i="18"/>
  <c r="O45" i="18"/>
  <c r="V34" i="18"/>
  <c r="J36" i="18"/>
  <c r="H36" i="18" s="1"/>
  <c r="U34" i="18"/>
  <c r="J38" i="18"/>
  <c r="B26" i="18"/>
  <c r="U31" i="18"/>
  <c r="T31" i="18" s="1"/>
  <c r="O33" i="18"/>
  <c r="N33" i="18" s="1"/>
  <c r="P43" i="18"/>
  <c r="U47" i="18"/>
  <c r="U43" i="18"/>
  <c r="I50" i="18"/>
  <c r="H32" i="18"/>
  <c r="J33" i="18"/>
  <c r="V47" i="18"/>
  <c r="T47" i="18" s="1"/>
  <c r="I30" i="18"/>
  <c r="H30" i="18" s="1"/>
  <c r="H52" i="18" s="1"/>
  <c r="D27" i="18"/>
  <c r="B27" i="18" s="1"/>
  <c r="I31" i="18"/>
  <c r="D25" i="18"/>
  <c r="B25" i="18" s="1"/>
  <c r="U33" i="18"/>
  <c r="V41" i="18"/>
  <c r="T41" i="18" s="1"/>
  <c r="I48" i="18"/>
  <c r="J48" i="18"/>
  <c r="T48" i="18"/>
  <c r="C25" i="18"/>
  <c r="I43" i="18"/>
  <c r="C34" i="18"/>
  <c r="B28" i="18"/>
  <c r="U38" i="18"/>
  <c r="T38" i="18" s="1"/>
  <c r="D22" i="18"/>
  <c r="B22" i="18" s="1"/>
  <c r="B37" i="18" s="1"/>
  <c r="P38" i="18"/>
  <c r="D36" i="18"/>
  <c r="B34" i="18"/>
  <c r="N44" i="18"/>
  <c r="H45" i="18"/>
  <c r="H51" i="18"/>
  <c r="T39" i="18"/>
  <c r="T34" i="18"/>
  <c r="N42" i="18"/>
  <c r="N46" i="18"/>
  <c r="H39" i="18"/>
  <c r="T44" i="18"/>
  <c r="H48" i="18"/>
  <c r="H44" i="18"/>
  <c r="N32" i="18"/>
  <c r="T50" i="18"/>
  <c r="N45" i="18"/>
  <c r="N43" i="18"/>
  <c r="T30" i="18"/>
  <c r="T55" i="18" s="1"/>
  <c r="H34" i="18"/>
  <c r="S33" i="18"/>
  <c r="U8" i="18"/>
  <c r="N38" i="18"/>
  <c r="B36" i="18"/>
  <c r="H49" i="18"/>
  <c r="O32" i="18"/>
  <c r="D31" i="18"/>
  <c r="B31" i="18" s="1"/>
  <c r="S32" i="18"/>
  <c r="O5" i="18"/>
  <c r="H31" i="18" l="1"/>
  <c r="H33" i="18"/>
  <c r="H38" i="18"/>
  <c r="N41" i="18"/>
  <c r="O6" i="18"/>
  <c r="M31" i="18"/>
  <c r="S34" i="18"/>
  <c r="U9" i="18"/>
  <c r="U10" i="18" l="1"/>
  <c r="S35" i="18"/>
  <c r="O7" i="18"/>
  <c r="M32" i="18"/>
  <c r="M33" i="18" l="1"/>
  <c r="O8" i="18"/>
  <c r="U11" i="18"/>
  <c r="S36" i="18"/>
  <c r="U12" i="18" l="1"/>
  <c r="S37" i="18"/>
  <c r="M34" i="18"/>
  <c r="O9" i="18"/>
  <c r="M35" i="18" l="1"/>
  <c r="O10" i="18"/>
  <c r="U13" i="18"/>
  <c r="S38" i="18"/>
  <c r="S39" i="18" l="1"/>
  <c r="U14" i="18"/>
  <c r="M36" i="18"/>
  <c r="O11" i="18"/>
  <c r="U15" i="18" l="1"/>
  <c r="S40" i="18"/>
  <c r="O12" i="18"/>
  <c r="M37" i="18"/>
  <c r="M38" i="18" l="1"/>
  <c r="O13" i="18"/>
  <c r="S41" i="18"/>
  <c r="U16" i="18"/>
  <c r="U17" i="18" l="1"/>
  <c r="S42" i="18"/>
  <c r="M39" i="18"/>
  <c r="O14" i="18"/>
  <c r="O15" i="18" l="1"/>
  <c r="M40" i="18"/>
  <c r="U18" i="18"/>
  <c r="S43" i="18"/>
  <c r="U19" i="18" l="1"/>
  <c r="S44" i="18"/>
  <c r="O16" i="18"/>
  <c r="M41" i="18"/>
  <c r="O17" i="18" l="1"/>
  <c r="M42" i="18"/>
  <c r="S45" i="18"/>
  <c r="U20" i="18"/>
  <c r="U21" i="18" l="1"/>
  <c r="S46" i="18"/>
  <c r="M43" i="18"/>
  <c r="O18" i="18"/>
  <c r="O19" i="18" l="1"/>
  <c r="M44" i="18"/>
  <c r="S47" i="18"/>
  <c r="U22" i="18"/>
  <c r="U23" i="18" l="1"/>
  <c r="S48" i="18"/>
  <c r="M45" i="18"/>
  <c r="O20" i="18"/>
  <c r="O21" i="18" l="1"/>
  <c r="M46" i="18"/>
  <c r="U24" i="18"/>
  <c r="S49" i="18"/>
  <c r="U25" i="18" l="1"/>
  <c r="S50" i="18"/>
  <c r="M47" i="18"/>
  <c r="O22" i="18"/>
</calcChain>
</file>

<file path=xl/sharedStrings.xml><?xml version="1.0" encoding="utf-8"?>
<sst xmlns="http://schemas.openxmlformats.org/spreadsheetml/2006/main" count="34" uniqueCount="13">
  <si>
    <t>November</t>
  </si>
  <si>
    <t>March</t>
  </si>
  <si>
    <t>May</t>
  </si>
  <si>
    <t>July</t>
  </si>
  <si>
    <t>Calls</t>
  </si>
  <si>
    <t>Strike</t>
  </si>
  <si>
    <t>Puts</t>
  </si>
  <si>
    <t>Options Market</t>
  </si>
  <si>
    <t>Call Chance</t>
  </si>
  <si>
    <t>Put Chance</t>
  </si>
  <si>
    <t>The Jacobsen</t>
  </si>
  <si>
    <t>Call Delta</t>
  </si>
  <si>
    <t>Put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</si>
</sst>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2" fontId="0" fillId="0" borderId="0" xfId="0" quotePrefix="1" applyNumberFormat="1"/>
    <xf numFmtId="164" fontId="0" fillId="0" borderId="0" xfId="1" applyNumberFormat="1" applyFon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1.xml"/><Relationship Id="rId26" Type="http://schemas.openxmlformats.org/officeDocument/2006/relationships/externalLink" Target="externalLinks/externalLink2.xml"/><Relationship Id="rId3" Type="http://schemas.openxmlformats.org/officeDocument/2006/relationships/chartsheet" Target="chartsheets/sheet3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5" Type="http://schemas.openxmlformats.org/officeDocument/2006/relationships/externalLink" Target="externalLinks/externalLink1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chartsheet" Target="chartsheets/sheet19.xml"/><Relationship Id="rId29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24" Type="http://schemas.openxmlformats.org/officeDocument/2006/relationships/worksheet" Target="worksheets/sheet3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worksheet" Target="worksheets/sheet2.xml"/><Relationship Id="rId28" Type="http://schemas.openxmlformats.org/officeDocument/2006/relationships/styles" Target="styles.xml"/><Relationship Id="rId10" Type="http://schemas.openxmlformats.org/officeDocument/2006/relationships/chartsheet" Target="chartsheets/sheet10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chartsheet" Target="chartsheets/sheet2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5.xml"/><Relationship Id="rId1" Type="http://schemas.microsoft.com/office/2011/relationships/chartStyle" Target="style25.xml"/><Relationship Id="rId4" Type="http://schemas.openxmlformats.org/officeDocument/2006/relationships/chartUserShapes" Target="../drawings/drawing36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6.xml"/><Relationship Id="rId1" Type="http://schemas.microsoft.com/office/2011/relationships/chartStyle" Target="style26.xml"/><Relationship Id="rId4" Type="http://schemas.openxmlformats.org/officeDocument/2006/relationships/chartUserShapes" Target="../drawings/drawing37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7.xml"/><Relationship Id="rId1" Type="http://schemas.microsoft.com/office/2011/relationships/chartStyle" Target="style27.xml"/><Relationship Id="rId4" Type="http://schemas.openxmlformats.org/officeDocument/2006/relationships/chartUserShapes" Target="../drawings/drawing38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8.xml"/><Relationship Id="rId1" Type="http://schemas.microsoft.com/office/2011/relationships/chartStyle" Target="style28.xml"/><Relationship Id="rId4" Type="http://schemas.openxmlformats.org/officeDocument/2006/relationships/chartUserShapes" Target="../drawings/drawing3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800" b="1" i="0" u="none" strike="noStrike" baseline="0"/>
              <a:t>Will biofuel demand push oil share higher?</a:t>
            </a:r>
            <a:endParaRPr lang="pt-BR" sz="2800"/>
          </a:p>
        </c:rich>
      </c:tx>
      <c:layout>
        <c:manualLayout>
          <c:xMode val="edge"/>
          <c:yMode val="edge"/>
          <c:x val="0.16489559574572918"/>
          <c:y val="3.1366177206878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029848013499589E-2"/>
          <c:y val="0.13614670807007109"/>
          <c:w val="0.89194072007964131"/>
          <c:h val="0.70156953684686041"/>
        </c:manualLayout>
      </c:layout>
      <c:lineChart>
        <c:grouping val="standard"/>
        <c:varyColors val="0"/>
        <c:ser>
          <c:idx val="0"/>
          <c:order val="0"/>
          <c:tx>
            <c:v>Series1</c:v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86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79-4801-9FE8-79E93180E5CA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79-4801-9FE8-79E93180E5CA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79-4801-9FE8-79E93180E5CA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79-4801-9FE8-79E93180E5CA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79-4801-9FE8-79E93180E5CA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79-4801-9FE8-79E93180E5CA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379-4801-9FE8-79E93180E5CA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379-4801-9FE8-79E93180E5CA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379-4801-9FE8-79E93180E5CA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25400" cap="rnd">
                <a:solidFill>
                  <a:srgbClr val="7030A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379-4801-9FE8-79E93180E5CA}"/>
              </c:ext>
            </c:extLst>
          </c:dPt>
          <c:dLbls>
            <c:dLbl>
              <c:idx val="9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79-4801-9FE8-79E93180E5C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[1]Prices!$A$579:$A$674</c:f>
              <c:numCache>
                <c:formatCode>General</c:formatCode>
                <c:ptCount val="9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</c:numCache>
            </c:numRef>
          </c:cat>
          <c:val>
            <c:numRef>
              <c:f>[1]Prices!$F$579:$F$674</c:f>
              <c:numCache>
                <c:formatCode>General</c:formatCode>
                <c:ptCount val="96"/>
                <c:pt idx="0">
                  <c:v>0.33524611847058589</c:v>
                </c:pt>
                <c:pt idx="1">
                  <c:v>0.30858633321186779</c:v>
                </c:pt>
                <c:pt idx="2">
                  <c:v>0.29799775449101801</c:v>
                </c:pt>
                <c:pt idx="3">
                  <c:v>0.2916116309787361</c:v>
                </c:pt>
                <c:pt idx="4">
                  <c:v>0.28730305838739573</c:v>
                </c:pt>
                <c:pt idx="5">
                  <c:v>0.3011816988183012</c:v>
                </c:pt>
                <c:pt idx="6">
                  <c:v>0.30031556430946482</c:v>
                </c:pt>
                <c:pt idx="7">
                  <c:v>0.30518151459657433</c:v>
                </c:pt>
                <c:pt idx="8">
                  <c:v>0.3120514122921314</c:v>
                </c:pt>
                <c:pt idx="9">
                  <c:v>0.31632242457523996</c:v>
                </c:pt>
                <c:pt idx="10">
                  <c:v>0.31059314429289303</c:v>
                </c:pt>
                <c:pt idx="11">
                  <c:v>0.31403162493624004</c:v>
                </c:pt>
                <c:pt idx="12">
                  <c:v>0.31555440414507763</c:v>
                </c:pt>
                <c:pt idx="13">
                  <c:v>0.33015158796033373</c:v>
                </c:pt>
                <c:pt idx="14">
                  <c:v>0.32266567092055265</c:v>
                </c:pt>
                <c:pt idx="15">
                  <c:v>0.31829158904298632</c:v>
                </c:pt>
                <c:pt idx="16">
                  <c:v>0.31200749980469256</c:v>
                </c:pt>
                <c:pt idx="17">
                  <c:v>0.30474460541865461</c:v>
                </c:pt>
                <c:pt idx="18">
                  <c:v>0.31355127130483373</c:v>
                </c:pt>
                <c:pt idx="19">
                  <c:v>0.32685727360658973</c:v>
                </c:pt>
                <c:pt idx="20">
                  <c:v>0.3315271947435664</c:v>
                </c:pt>
                <c:pt idx="21">
                  <c:v>0.33084406947136391</c:v>
                </c:pt>
                <c:pt idx="22">
                  <c:v>0.33974605195289781</c:v>
                </c:pt>
                <c:pt idx="23">
                  <c:v>0.35386661443137424</c:v>
                </c:pt>
                <c:pt idx="24">
                  <c:v>0.35616094953060651</c:v>
                </c:pt>
                <c:pt idx="25">
                  <c:v>0.34207894862149424</c:v>
                </c:pt>
                <c:pt idx="26">
                  <c:v>0.30221017790228838</c:v>
                </c:pt>
                <c:pt idx="27">
                  <c:v>0.3097543401409561</c:v>
                </c:pt>
                <c:pt idx="28">
                  <c:v>0.31750692454916135</c:v>
                </c:pt>
                <c:pt idx="29">
                  <c:v>0.32719410036419483</c:v>
                </c:pt>
                <c:pt idx="30">
                  <c:v>0.33466668750032552</c:v>
                </c:pt>
                <c:pt idx="31">
                  <c:v>0.35190902050645539</c:v>
                </c:pt>
                <c:pt idx="32">
                  <c:v>0.34140283127795618</c:v>
                </c:pt>
                <c:pt idx="33">
                  <c:v>0.31129319618840279</c:v>
                </c:pt>
                <c:pt idx="34">
                  <c:v>0.3207568512967322</c:v>
                </c:pt>
                <c:pt idx="35">
                  <c:v>0.33123813364888166</c:v>
                </c:pt>
                <c:pt idx="36">
                  <c:v>0.32859896682870915</c:v>
                </c:pt>
                <c:pt idx="37">
                  <c:v>0.35377220049656133</c:v>
                </c:pt>
                <c:pt idx="38">
                  <c:v>0.39532442102754528</c:v>
                </c:pt>
                <c:pt idx="39">
                  <c:v>0.41448204572028952</c:v>
                </c:pt>
                <c:pt idx="40">
                  <c:v>0.4418070882173783</c:v>
                </c:pt>
                <c:pt idx="41">
                  <c:v>0.46587903081841647</c:v>
                </c:pt>
                <c:pt idx="42">
                  <c:v>0.4732629971541612</c:v>
                </c:pt>
                <c:pt idx="43">
                  <c:v>0.46468815401057745</c:v>
                </c:pt>
                <c:pt idx="44">
                  <c:v>0.45905460659559016</c:v>
                </c:pt>
                <c:pt idx="45">
                  <c:v>0.48701773252401637</c:v>
                </c:pt>
                <c:pt idx="46">
                  <c:v>0.45675122914853694</c:v>
                </c:pt>
                <c:pt idx="47">
                  <c:v>0.42059900062677258</c:v>
                </c:pt>
                <c:pt idx="48">
                  <c:v>0.42712542057916741</c:v>
                </c:pt>
                <c:pt idx="49">
                  <c:v>0.42656607010044023</c:v>
                </c:pt>
                <c:pt idx="50">
                  <c:v>0.43882851876200424</c:v>
                </c:pt>
                <c:pt idx="51">
                  <c:v>0.46372823401290442</c:v>
                </c:pt>
                <c:pt idx="52">
                  <c:v>0.492695444645257</c:v>
                </c:pt>
                <c:pt idx="53">
                  <c:v>0.47111329255855372</c:v>
                </c:pt>
                <c:pt idx="54">
                  <c:v>0.41005262736088482</c:v>
                </c:pt>
                <c:pt idx="55">
                  <c:v>0.42726667143793046</c:v>
                </c:pt>
                <c:pt idx="56">
                  <c:v>0.43878768942352764</c:v>
                </c:pt>
                <c:pt idx="57">
                  <c:v>0.45555837081142714</c:v>
                </c:pt>
                <c:pt idx="58">
                  <c:v>0.47591739999214022</c:v>
                </c:pt>
                <c:pt idx="59">
                  <c:v>0.41431486307094739</c:v>
                </c:pt>
                <c:pt idx="60">
                  <c:v>0.39773031558814148</c:v>
                </c:pt>
                <c:pt idx="61">
                  <c:v>0.38140026420079259</c:v>
                </c:pt>
                <c:pt idx="62">
                  <c:v>0.37749620628573732</c:v>
                </c:pt>
                <c:pt idx="63">
                  <c:v>0.37436414664094025</c:v>
                </c:pt>
                <c:pt idx="64">
                  <c:v>0.3735762787047463</c:v>
                </c:pt>
                <c:pt idx="65">
                  <c:v>0.40739300151416225</c:v>
                </c:pt>
                <c:pt idx="66">
                  <c:v>0.43415709175565814</c:v>
                </c:pt>
                <c:pt idx="67">
                  <c:v>0.4409498289057272</c:v>
                </c:pt>
                <c:pt idx="68">
                  <c:v>0.43708677722770506</c:v>
                </c:pt>
                <c:pt idx="69">
                  <c:v>0.40121471470454817</c:v>
                </c:pt>
                <c:pt idx="70">
                  <c:v>0.36362235015783434</c:v>
                </c:pt>
                <c:pt idx="71">
                  <c:v>0.38101981918533889</c:v>
                </c:pt>
                <c:pt idx="72">
                  <c:v>0.39483727570782784</c:v>
                </c:pt>
                <c:pt idx="73">
                  <c:v>0.39851908770214101</c:v>
                </c:pt>
                <c:pt idx="74">
                  <c:v>0.41336340520394294</c:v>
                </c:pt>
                <c:pt idx="75">
                  <c:v>0.40550203912241917</c:v>
                </c:pt>
                <c:pt idx="76">
                  <c:v>0.37468266481387447</c:v>
                </c:pt>
                <c:pt idx="77">
                  <c:v>0.37613972469958368</c:v>
                </c:pt>
                <c:pt idx="78">
                  <c:v>0.38790833107832567</c:v>
                </c:pt>
                <c:pt idx="79">
                  <c:v>0.39650690070315631</c:v>
                </c:pt>
                <c:pt idx="80">
                  <c:v>0.39126990862542083</c:v>
                </c:pt>
                <c:pt idx="81">
                  <c:v>0.40547232278478423</c:v>
                </c:pt>
                <c:pt idx="82">
                  <c:v>0.43303781331342722</c:v>
                </c:pt>
                <c:pt idx="83">
                  <c:v>0.41329925232392284</c:v>
                </c:pt>
                <c:pt idx="84">
                  <c:v>0.43364995767892406</c:v>
                </c:pt>
                <c:pt idx="85">
                  <c:v>0.43498506150264293</c:v>
                </c:pt>
                <c:pt idx="86">
                  <c:v>0.41890547263681605</c:v>
                </c:pt>
                <c:pt idx="87">
                  <c:v>0.42630622444343469</c:v>
                </c:pt>
                <c:pt idx="88">
                  <c:v>0.43075221238938061</c:v>
                </c:pt>
                <c:pt idx="89">
                  <c:v>0.43370044052863449</c:v>
                </c:pt>
                <c:pt idx="90">
                  <c:v>0.43457388240475658</c:v>
                </c:pt>
                <c:pt idx="91">
                  <c:v>0.43620258914376564</c:v>
                </c:pt>
                <c:pt idx="92">
                  <c:v>0.43754844961240302</c:v>
                </c:pt>
                <c:pt idx="93">
                  <c:v>0.44053593179049949</c:v>
                </c:pt>
                <c:pt idx="94">
                  <c:v>0.4441854934601665</c:v>
                </c:pt>
                <c:pt idx="95">
                  <c:v>0.44623376623376632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79-4801-9FE8-79E93180E5CA}"/>
            </c:ext>
          </c:extLst>
        </c:ser>
        <c:ser>
          <c:idx val="1"/>
          <c:order val="1"/>
          <c:tx>
            <c:v>5 year avg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79-4801-9FE8-79E93180E5C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[1]Prices!$AM$579:$AM$674</c:f>
              <c:numCache>
                <c:formatCode>General</c:formatCode>
                <c:ptCount val="96"/>
                <c:pt idx="0">
                  <c:v>0.3876350221000594</c:v>
                </c:pt>
                <c:pt idx="1">
                  <c:v>0.3876350221000594</c:v>
                </c:pt>
                <c:pt idx="2">
                  <c:v>0.3876350221000594</c:v>
                </c:pt>
                <c:pt idx="3">
                  <c:v>0.3876350221000594</c:v>
                </c:pt>
                <c:pt idx="4">
                  <c:v>0.3876350221000594</c:v>
                </c:pt>
                <c:pt idx="5">
                  <c:v>0.3876350221000594</c:v>
                </c:pt>
                <c:pt idx="6">
                  <c:v>0.3876350221000594</c:v>
                </c:pt>
                <c:pt idx="7">
                  <c:v>0.3876350221000594</c:v>
                </c:pt>
                <c:pt idx="8">
                  <c:v>0.3876350221000594</c:v>
                </c:pt>
                <c:pt idx="9">
                  <c:v>0.3876350221000594</c:v>
                </c:pt>
                <c:pt idx="10">
                  <c:v>0.3876350221000594</c:v>
                </c:pt>
                <c:pt idx="11">
                  <c:v>0.3876350221000594</c:v>
                </c:pt>
                <c:pt idx="12">
                  <c:v>0.3876350221000594</c:v>
                </c:pt>
                <c:pt idx="13">
                  <c:v>0.3876350221000594</c:v>
                </c:pt>
                <c:pt idx="14">
                  <c:v>0.3876350221000594</c:v>
                </c:pt>
                <c:pt idx="15">
                  <c:v>0.3876350221000594</c:v>
                </c:pt>
                <c:pt idx="16">
                  <c:v>0.3876350221000594</c:v>
                </c:pt>
                <c:pt idx="17">
                  <c:v>0.3876350221000594</c:v>
                </c:pt>
                <c:pt idx="18">
                  <c:v>0.3876350221000594</c:v>
                </c:pt>
                <c:pt idx="19">
                  <c:v>0.3876350221000594</c:v>
                </c:pt>
                <c:pt idx="20">
                  <c:v>0.3876350221000594</c:v>
                </c:pt>
                <c:pt idx="21">
                  <c:v>0.3876350221000594</c:v>
                </c:pt>
                <c:pt idx="22">
                  <c:v>0.3876350221000594</c:v>
                </c:pt>
                <c:pt idx="23">
                  <c:v>0.3876350221000594</c:v>
                </c:pt>
                <c:pt idx="24">
                  <c:v>0.3876350221000594</c:v>
                </c:pt>
                <c:pt idx="25">
                  <c:v>0.3876350221000594</c:v>
                </c:pt>
                <c:pt idx="26">
                  <c:v>0.3876350221000594</c:v>
                </c:pt>
                <c:pt idx="27">
                  <c:v>0.3876350221000594</c:v>
                </c:pt>
                <c:pt idx="28">
                  <c:v>0.3876350221000594</c:v>
                </c:pt>
                <c:pt idx="29">
                  <c:v>0.3876350221000594</c:v>
                </c:pt>
                <c:pt idx="30">
                  <c:v>0.3876350221000594</c:v>
                </c:pt>
                <c:pt idx="31">
                  <c:v>0.3876350221000594</c:v>
                </c:pt>
                <c:pt idx="32">
                  <c:v>0.3876350221000594</c:v>
                </c:pt>
                <c:pt idx="33">
                  <c:v>0.3876350221000594</c:v>
                </c:pt>
                <c:pt idx="34">
                  <c:v>0.3876350221000594</c:v>
                </c:pt>
                <c:pt idx="35">
                  <c:v>0.3876350221000594</c:v>
                </c:pt>
                <c:pt idx="36">
                  <c:v>0.3876350221000594</c:v>
                </c:pt>
                <c:pt idx="37">
                  <c:v>0.3876350221000594</c:v>
                </c:pt>
                <c:pt idx="38">
                  <c:v>0.3876350221000594</c:v>
                </c:pt>
                <c:pt idx="39">
                  <c:v>0.3876350221000594</c:v>
                </c:pt>
                <c:pt idx="40">
                  <c:v>0.3876350221000594</c:v>
                </c:pt>
                <c:pt idx="41">
                  <c:v>0.3876350221000594</c:v>
                </c:pt>
                <c:pt idx="42">
                  <c:v>0.3876350221000594</c:v>
                </c:pt>
                <c:pt idx="43">
                  <c:v>0.3876350221000594</c:v>
                </c:pt>
                <c:pt idx="44">
                  <c:v>0.3876350221000594</c:v>
                </c:pt>
                <c:pt idx="45">
                  <c:v>0.3876350221000594</c:v>
                </c:pt>
                <c:pt idx="46">
                  <c:v>0.3876350221000594</c:v>
                </c:pt>
                <c:pt idx="47">
                  <c:v>0.3876350221000594</c:v>
                </c:pt>
                <c:pt idx="48">
                  <c:v>0.3876350221000594</c:v>
                </c:pt>
                <c:pt idx="49">
                  <c:v>0.3876350221000594</c:v>
                </c:pt>
                <c:pt idx="50">
                  <c:v>0.3876350221000594</c:v>
                </c:pt>
                <c:pt idx="51">
                  <c:v>0.3876350221000594</c:v>
                </c:pt>
                <c:pt idx="52">
                  <c:v>0.3876350221000594</c:v>
                </c:pt>
                <c:pt idx="53">
                  <c:v>0.3876350221000594</c:v>
                </c:pt>
                <c:pt idx="54">
                  <c:v>0.3876350221000594</c:v>
                </c:pt>
                <c:pt idx="55">
                  <c:v>0.3876350221000594</c:v>
                </c:pt>
                <c:pt idx="56">
                  <c:v>0.3876350221000594</c:v>
                </c:pt>
                <c:pt idx="57">
                  <c:v>0.3876350221000594</c:v>
                </c:pt>
                <c:pt idx="58">
                  <c:v>0.3876350221000594</c:v>
                </c:pt>
                <c:pt idx="59">
                  <c:v>0.3876350221000594</c:v>
                </c:pt>
                <c:pt idx="60">
                  <c:v>0.3876350221000594</c:v>
                </c:pt>
                <c:pt idx="61">
                  <c:v>0.3876350221000594</c:v>
                </c:pt>
                <c:pt idx="62">
                  <c:v>0.3876350221000594</c:v>
                </c:pt>
                <c:pt idx="63">
                  <c:v>0.3876350221000594</c:v>
                </c:pt>
                <c:pt idx="64">
                  <c:v>0.3876350221000594</c:v>
                </c:pt>
                <c:pt idx="65">
                  <c:v>0.3876350221000594</c:v>
                </c:pt>
                <c:pt idx="66">
                  <c:v>0.3876350221000594</c:v>
                </c:pt>
                <c:pt idx="67">
                  <c:v>0.3876350221000594</c:v>
                </c:pt>
                <c:pt idx="68">
                  <c:v>0.3876350221000594</c:v>
                </c:pt>
                <c:pt idx="69">
                  <c:v>0.3876350221000594</c:v>
                </c:pt>
                <c:pt idx="70">
                  <c:v>0.3876350221000594</c:v>
                </c:pt>
                <c:pt idx="71">
                  <c:v>0.3876350221000594</c:v>
                </c:pt>
                <c:pt idx="72">
                  <c:v>0.3876350221000594</c:v>
                </c:pt>
                <c:pt idx="73">
                  <c:v>0.3876350221000594</c:v>
                </c:pt>
                <c:pt idx="74">
                  <c:v>0.3876350221000594</c:v>
                </c:pt>
                <c:pt idx="75">
                  <c:v>0.3876350221000594</c:v>
                </c:pt>
                <c:pt idx="76">
                  <c:v>0.3876350221000594</c:v>
                </c:pt>
                <c:pt idx="77">
                  <c:v>0.3876350221000594</c:v>
                </c:pt>
                <c:pt idx="78">
                  <c:v>0.3876350221000594</c:v>
                </c:pt>
                <c:pt idx="79">
                  <c:v>0.3876350221000594</c:v>
                </c:pt>
                <c:pt idx="80">
                  <c:v>0.3876350221000594</c:v>
                </c:pt>
                <c:pt idx="81">
                  <c:v>0.3876350221000594</c:v>
                </c:pt>
                <c:pt idx="82">
                  <c:v>0.3876350221000594</c:v>
                </c:pt>
                <c:pt idx="83">
                  <c:v>0.3876350221000594</c:v>
                </c:pt>
                <c:pt idx="84">
                  <c:v>0.3876350221000594</c:v>
                </c:pt>
                <c:pt idx="85">
                  <c:v>0.3876350221000594</c:v>
                </c:pt>
                <c:pt idx="86">
                  <c:v>0.3876350221000594</c:v>
                </c:pt>
                <c:pt idx="87">
                  <c:v>0.3876350221000594</c:v>
                </c:pt>
                <c:pt idx="88">
                  <c:v>0.3876350221000594</c:v>
                </c:pt>
                <c:pt idx="89">
                  <c:v>0.3876350221000594</c:v>
                </c:pt>
                <c:pt idx="90">
                  <c:v>0.3876350221000594</c:v>
                </c:pt>
                <c:pt idx="91">
                  <c:v>0.3876350221000594</c:v>
                </c:pt>
                <c:pt idx="92">
                  <c:v>0.3876350221000594</c:v>
                </c:pt>
                <c:pt idx="93">
                  <c:v>0.3876350221000594</c:v>
                </c:pt>
                <c:pt idx="94">
                  <c:v>0.3876350221000594</c:v>
                </c:pt>
                <c:pt idx="95">
                  <c:v>0.3876350221000594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79-4801-9FE8-79E93180E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810704"/>
        <c:axId val="1319806384"/>
      </c:lineChart>
      <c:catAx>
        <c:axId val="13198107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06384"/>
        <c:crosses val="autoZero"/>
        <c:auto val="1"/>
        <c:lblAlgn val="ctr"/>
        <c:lblOffset val="100"/>
        <c:tickMarkSkip val="30"/>
        <c:noMultiLvlLbl val="1"/>
      </c:catAx>
      <c:valAx>
        <c:axId val="1319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/>
                  <a:t>Oilshare</a:t>
                </a:r>
                <a:br>
                  <a:rPr lang="pt-BR"/>
                </a:br>
                <a:r>
                  <a:rPr lang="pt-BR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107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45756777277737415"/>
          <c:y val="0.94795969793225787"/>
          <c:w val="0.1145306633372398"/>
          <c:h val="3.8023968576305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Heating Oil - Crush Margin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8C8C8C"/>
              </a:solidFill>
              <a:ln w="15875">
                <a:solidFill>
                  <a:srgbClr val="CF3C5F"/>
                </a:solidFill>
              </a:ln>
              <a:effectLst/>
            </c:spPr>
          </c:marker>
          <c:dLbls>
            <c:dLbl>
              <c:idx val="0"/>
              <c:tx>
                <c:strRef>
                  <c:f>[1]Forecasts!$P$106</c:f>
                  <c:strCache>
                    <c:ptCount val="1"/>
                    <c:pt idx="0">
                      <c:v>45712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{F008593C-4650-43BF-813E-19E8F38ED675}</c15:txfldGUID>
                      <c15:f>[1]Forecasts!$P$106</c15:f>
                      <c15:dlblFieldTableCache>
                        <c:ptCount val="1"/>
                        <c:pt idx="0">
                          <c:v>45712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CDC7-4509-9CA5-FFCDD6D5642B}"/>
                </c:ext>
              </c:extLst>
            </c:dLbl>
            <c:dLbl>
              <c:idx val="1"/>
              <c:tx>
                <c:strRef>
                  <c:f>[1]Forecasts!$P$107</c:f>
                  <c:strCache>
                    <c:ptCount val="1"/>
                    <c:pt idx="0">
                      <c:v>45713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{81EF9E0B-7D0B-4B01-B65B-CB1835F102BA}</c15:txfldGUID>
                      <c15:f>[1]Forecasts!$P$107</c15:f>
                      <c15:dlblFieldTableCache>
                        <c:ptCount val="1"/>
                        <c:pt idx="0">
                          <c:v>45713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DC7-4509-9CA5-FFCDD6D5642B}"/>
                </c:ext>
              </c:extLst>
            </c:dLbl>
            <c:dLbl>
              <c:idx val="2"/>
              <c:tx>
                <c:strRef>
                  <c:f>[1]Forecasts!$P$108</c:f>
                  <c:strCache>
                    <c:ptCount val="1"/>
                    <c:pt idx="0">
                      <c:v>45714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{57993C6B-7955-4F8E-AA72-D8FF241442D5}</c15:txfldGUID>
                      <c15:f>[1]Forecasts!$P$108</c15:f>
                      <c15:dlblFieldTableCache>
                        <c:ptCount val="1"/>
                        <c:pt idx="0">
                          <c:v>45714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DC7-4509-9CA5-FFCDD6D5642B}"/>
                </c:ext>
              </c:extLst>
            </c:dLbl>
            <c:dLbl>
              <c:idx val="3"/>
              <c:tx>
                <c:strRef>
                  <c:f>[1]Forecasts!$P$109</c:f>
                  <c:strCache>
                    <c:ptCount val="1"/>
                    <c:pt idx="0">
                      <c:v>45715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{26041631-ADCB-4782-94F0-F86C3FAB78E9}</c15:txfldGUID>
                      <c15:f>[1]Forecasts!$P$109</c15:f>
                      <c15:dlblFieldTableCache>
                        <c:ptCount val="1"/>
                        <c:pt idx="0">
                          <c:v>45715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DC7-4509-9CA5-FFCDD6D5642B}"/>
                </c:ext>
              </c:extLst>
            </c:dLbl>
            <c:dLbl>
              <c:idx val="4"/>
              <c:tx>
                <c:strRef>
                  <c:f>[1]Forecasts!$P$110</c:f>
                  <c:strCache>
                    <c:ptCount val="1"/>
                    <c:pt idx="0">
                      <c:v>45716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{A58FEA25-0C60-4744-B376-B8CC97058E80}</c15:txfldGUID>
                      <c15:f>[1]Forecasts!$P$110</c15:f>
                      <c15:dlblFieldTableCache>
                        <c:ptCount val="1"/>
                        <c:pt idx="0">
                          <c:v>45716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DC7-4509-9CA5-FFCDD6D5642B}"/>
                </c:ext>
              </c:extLst>
            </c:dLbl>
            <c:dLbl>
              <c:idx val="5"/>
              <c:tx>
                <c:strRef>
                  <c:f>[1]Forecasts!$P$111</c:f>
                  <c:strCache>
                    <c:ptCount val="1"/>
                    <c:pt idx="0">
                      <c:v>45719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{8409FABC-26DE-4532-9A65-9417501A7E72}</c15:txfldGUID>
                      <c15:f>[1]Forecasts!$P$111</c15:f>
                      <c15:dlblFieldTableCache>
                        <c:ptCount val="1"/>
                        <c:pt idx="0">
                          <c:v>45719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DC7-4509-9CA5-FFCDD6D5642B}"/>
                </c:ext>
              </c:extLst>
            </c:dLbl>
            <c:dLbl>
              <c:idx val="6"/>
              <c:tx>
                <c:strRef>
                  <c:f>[1]Forecasts!$P$112</c:f>
                  <c:strCache>
                    <c:ptCount val="1"/>
                    <c:pt idx="0">
                      <c:v>45720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{18CD1911-9FEF-4426-B494-08FE6E7101CC}</c15:txfldGUID>
                      <c15:f>[1]Forecasts!$P$112</c15:f>
                      <c15:dlblFieldTableCache>
                        <c:ptCount val="1"/>
                        <c:pt idx="0">
                          <c:v>45720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DC7-4509-9CA5-FFCDD6D5642B}"/>
                </c:ext>
              </c:extLst>
            </c:dLbl>
            <c:dLbl>
              <c:idx val="7"/>
              <c:tx>
                <c:strRef>
                  <c:f>[1]Forecasts!$P$113</c:f>
                  <c:strCache>
                    <c:ptCount val="1"/>
                    <c:pt idx="0">
                      <c:v>45721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{19CFB7D2-0A53-4276-8D6C-32D6D707C43A}</c15:txfldGUID>
                      <c15:f>[1]Forecasts!$P$113</c15:f>
                      <c15:dlblFieldTableCache>
                        <c:ptCount val="1"/>
                        <c:pt idx="0">
                          <c:v>45721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DC7-4509-9CA5-FFCDD6D5642B}"/>
                </c:ext>
              </c:extLst>
            </c:dLbl>
            <c:dLbl>
              <c:idx val="8"/>
              <c:tx>
                <c:strRef>
                  <c:f>[1]Forecasts!$P$114</c:f>
                  <c:strCache>
                    <c:ptCount val="1"/>
                    <c:pt idx="0">
                      <c:v>45722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{68211589-67C0-4E14-8F70-A7EFAE8C55FD}</c15:txfldGUID>
                      <c15:f>[1]Forecasts!$P$114</c15:f>
                      <c15:dlblFieldTableCache>
                        <c:ptCount val="1"/>
                        <c:pt idx="0">
                          <c:v>45722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DC7-4509-9CA5-FFCDD6D5642B}"/>
                </c:ext>
              </c:extLst>
            </c:dLbl>
            <c:dLbl>
              <c:idx val="9"/>
              <c:tx>
                <c:strRef>
                  <c:f>[1]Forecasts!$P$115</c:f>
                  <c:strCache>
                    <c:ptCount val="1"/>
                    <c:pt idx="0">
                      <c:v>45723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{36A72BA1-B70B-4742-9C89-4A118313FC45}</c15:txfldGUID>
                      <c15:f>[1]Forecasts!$P$115</c15:f>
                      <c15:dlblFieldTableCache>
                        <c:ptCount val="1"/>
                        <c:pt idx="0">
                          <c:v>45723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CDC7-4509-9CA5-FFCDD6D5642B}"/>
                </c:ext>
              </c:extLst>
            </c:dLbl>
            <c:dLbl>
              <c:idx val="10"/>
              <c:tx>
                <c:strRef>
                  <c:f>[1]Forecasts!$P$116</c:f>
                  <c:strCache>
                    <c:ptCount val="1"/>
                    <c:pt idx="0">
                      <c:v>45726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{06717452-85A4-42C6-95F5-7B2CBF33AD36}</c15:txfldGUID>
                      <c15:f>[1]Forecasts!$P$116</c15:f>
                      <c15:dlblFieldTableCache>
                        <c:ptCount val="1"/>
                        <c:pt idx="0">
                          <c:v>45726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DC7-4509-9CA5-FFCDD6D5642B}"/>
                </c:ext>
              </c:extLst>
            </c:dLbl>
            <c:dLbl>
              <c:idx val="11"/>
              <c:tx>
                <c:strRef>
                  <c:f>[1]Forecasts!$P$117</c:f>
                  <c:strCache>
                    <c:ptCount val="1"/>
                    <c:pt idx="0">
                      <c:v>45727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{15A243EB-6A8D-4480-B6B1-1D586D62E543}</c15:txfldGUID>
                      <c15:f>[1]Forecasts!$P$117</c15:f>
                      <c15:dlblFieldTableCache>
                        <c:ptCount val="1"/>
                        <c:pt idx="0">
                          <c:v>45727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DC7-4509-9CA5-FFCDD6D5642B}"/>
                </c:ext>
              </c:extLst>
            </c:dLbl>
            <c:dLbl>
              <c:idx val="12"/>
              <c:tx>
                <c:strRef>
                  <c:f>[1]Forecasts!$P$118</c:f>
                  <c:strCache>
                    <c:ptCount val="1"/>
                    <c:pt idx="0">
                      <c:v>45728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{5A37DE00-183E-4DA3-B0F2-7628893AA592}</c15:txfldGUID>
                      <c15:f>[1]Forecasts!$P$118</c15:f>
                      <c15:dlblFieldTableCache>
                        <c:ptCount val="1"/>
                        <c:pt idx="0">
                          <c:v>45728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DC7-4509-9CA5-FFCDD6D5642B}"/>
                </c:ext>
              </c:extLst>
            </c:dLbl>
            <c:dLbl>
              <c:idx val="13"/>
              <c:tx>
                <c:strRef>
                  <c:f>[1]Forecasts!$P$119</c:f>
                  <c:strCache>
                    <c:ptCount val="1"/>
                    <c:pt idx="0">
                      <c:v>45729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{4B8E2F05-8D92-4178-92F3-7611E1277875}</c15:txfldGUID>
                      <c15:f>[1]Forecasts!$P$119</c15:f>
                      <c15:dlblFieldTableCache>
                        <c:ptCount val="1"/>
                        <c:pt idx="0">
                          <c:v>45729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DC7-4509-9CA5-FFCDD6D5642B}"/>
                </c:ext>
              </c:extLst>
            </c:dLbl>
            <c:dLbl>
              <c:idx val="14"/>
              <c:tx>
                <c:strRef>
                  <c:f>[1]Forecasts!$P$120</c:f>
                  <c:strCache>
                    <c:ptCount val="1"/>
                    <c:pt idx="0">
                      <c:v>45730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{E3F7B865-BA99-4839-8BFB-0A6619158EED}</c15:txfldGUID>
                      <c15:f>[1]Forecasts!$P$120</c15:f>
                      <c15:dlblFieldTableCache>
                        <c:ptCount val="1"/>
                        <c:pt idx="0">
                          <c:v>45730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DC7-4509-9CA5-FFCDD6D5642B}"/>
                </c:ext>
              </c:extLst>
            </c:dLbl>
            <c:dLbl>
              <c:idx val="15"/>
              <c:tx>
                <c:strRef>
                  <c:f>[1]Forecasts!$P$121</c:f>
                  <c:strCache>
                    <c:ptCount val="1"/>
                    <c:pt idx="0">
                      <c:v>45733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{74F3D6CA-E846-4E6C-ACC8-9CCB04B38E11}</c15:txfldGUID>
                      <c15:f>[1]Forecasts!$P$121</c15:f>
                      <c15:dlblFieldTableCache>
                        <c:ptCount val="1"/>
                        <c:pt idx="0">
                          <c:v>45733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DC7-4509-9CA5-FFCDD6D5642B}"/>
                </c:ext>
              </c:extLst>
            </c:dLbl>
            <c:dLbl>
              <c:idx val="16"/>
              <c:tx>
                <c:strRef>
                  <c:f>[1]Forecasts!$P$122</c:f>
                  <c:strCache>
                    <c:ptCount val="1"/>
                    <c:pt idx="0">
                      <c:v>45734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{539B1ED5-B03B-4436-AD36-139D56C821B4}</c15:txfldGUID>
                      <c15:f>[1]Forecasts!$P$122</c15:f>
                      <c15:dlblFieldTableCache>
                        <c:ptCount val="1"/>
                        <c:pt idx="0">
                          <c:v>45734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DC7-4509-9CA5-FFCDD6D5642B}"/>
                </c:ext>
              </c:extLst>
            </c:dLbl>
            <c:dLbl>
              <c:idx val="17"/>
              <c:tx>
                <c:strRef>
                  <c:f>[1]Forecasts!$P$123</c:f>
                  <c:strCache>
                    <c:ptCount val="1"/>
                    <c:pt idx="0">
                      <c:v>45735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{668029EE-0BAE-4A67-8F09-4A93D2AAC305}</c15:txfldGUID>
                      <c15:f>[1]Forecasts!$P$123</c15:f>
                      <c15:dlblFieldTableCache>
                        <c:ptCount val="1"/>
                        <c:pt idx="0">
                          <c:v>45735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CDC7-4509-9CA5-FFCDD6D5642B}"/>
                </c:ext>
              </c:extLst>
            </c:dLbl>
            <c:dLbl>
              <c:idx val="18"/>
              <c:tx>
                <c:strRef>
                  <c:f>[1]Forecasts!$P$124</c:f>
                  <c:strCache>
                    <c:ptCount val="1"/>
                    <c:pt idx="0">
                      <c:v>45736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{F3C85A63-B63F-4BDD-B37F-E0DC57CBD4F9}</c15:txfldGUID>
                      <c15:f>[1]Forecasts!$P$124</c15:f>
                      <c15:dlblFieldTableCache>
                        <c:ptCount val="1"/>
                        <c:pt idx="0">
                          <c:v>45736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CDC7-4509-9CA5-FFCDD6D56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32323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[1]Forecasts!$M$106:$M$124</c:f>
              <c:numCache>
                <c:formatCode>General</c:formatCode>
                <c:ptCount val="19"/>
                <c:pt idx="0">
                  <c:v>1.6371249999999993</c:v>
                </c:pt>
                <c:pt idx="1">
                  <c:v>1.6420999999999992</c:v>
                </c:pt>
                <c:pt idx="2">
                  <c:v>1.6521550000000005</c:v>
                </c:pt>
                <c:pt idx="3">
                  <c:v>1.612899999999998</c:v>
                </c:pt>
                <c:pt idx="4">
                  <c:v>1.5839899999999982</c:v>
                </c:pt>
                <c:pt idx="5">
                  <c:v>1.6038300000000003</c:v>
                </c:pt>
                <c:pt idx="6">
                  <c:v>1.5526549999999997</c:v>
                </c:pt>
                <c:pt idx="7">
                  <c:v>1.5828799999999994</c:v>
                </c:pt>
                <c:pt idx="8">
                  <c:v>1.5624149999999979</c:v>
                </c:pt>
                <c:pt idx="9">
                  <c:v>1.60304</c:v>
                </c:pt>
                <c:pt idx="10">
                  <c:v>1.5305949999999982</c:v>
                </c:pt>
                <c:pt idx="11">
                  <c:v>1.5083599999999997</c:v>
                </c:pt>
                <c:pt idx="12">
                  <c:v>1.551009999999998</c:v>
                </c:pt>
                <c:pt idx="13">
                  <c:v>1.5552350000000015</c:v>
                </c:pt>
                <c:pt idx="14">
                  <c:v>1.5123049999999978</c:v>
                </c:pt>
                <c:pt idx="15">
                  <c:v>1.5413750000000004</c:v>
                </c:pt>
                <c:pt idx="16">
                  <c:v>1.522454999999999</c:v>
                </c:pt>
                <c:pt idx="17">
                  <c:v>1.497444999999999</c:v>
                </c:pt>
                <c:pt idx="18">
                  <c:v>1.477545000000001</c:v>
                </c:pt>
              </c:numCache>
            </c:numRef>
          </c:xVal>
          <c:yVal>
            <c:numRef>
              <c:f>[1]Forecasts!$R$106:$R$124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2.2134999999999998</c:v>
                </c:pt>
                <c:pt idx="6">
                  <c:v>2.2258</c:v>
                </c:pt>
                <c:pt idx="7">
                  <c:v>2.1844000000000001</c:v>
                </c:pt>
                <c:pt idx="8">
                  <c:v>2.1753999999999998</c:v>
                </c:pt>
                <c:pt idx="9">
                  <c:v>2.181</c:v>
                </c:pt>
                <c:pt idx="10">
                  <c:v>2.1480000000000001</c:v>
                </c:pt>
                <c:pt idx="11">
                  <c:v>2.1610999999999998</c:v>
                </c:pt>
                <c:pt idx="12">
                  <c:v>2.1787999999999998</c:v>
                </c:pt>
                <c:pt idx="13">
                  <c:v>2.1343999999999999</c:v>
                </c:pt>
                <c:pt idx="14">
                  <c:v>2.1347999999999998</c:v>
                </c:pt>
                <c:pt idx="15">
                  <c:v>2.1661999999999999</c:v>
                </c:pt>
                <c:pt idx="16">
                  <c:v>2.1570999999999998</c:v>
                </c:pt>
                <c:pt idx="17">
                  <c:v>2.1869999999999998</c:v>
                </c:pt>
                <c:pt idx="18">
                  <c:v>2.2069000000000001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DC7-4509-9CA5-FFCDD6D5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350143"/>
        <c:axId val="349350503"/>
      </c:scatterChart>
      <c:valAx>
        <c:axId val="349350143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Crush Margin ($/bu)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9350503"/>
        <c:crosses val="autoZero"/>
        <c:crossBetween val="midCat"/>
      </c:valAx>
      <c:valAx>
        <c:axId val="34935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Heating</a:t>
                </a:r>
                <a:r>
                  <a:rPr lang="en-US" sz="1200" baseline="0"/>
                  <a:t> Oil ($/gal)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9350143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>
                <a:latin typeface="Aptos Display" panose="020B0004020202020204" pitchFamily="34" charset="0"/>
              </a:rPr>
              <a:t>Canola Oil/Soybean</a:t>
            </a:r>
            <a:r>
              <a:rPr lang="en-US" sz="3600" baseline="0">
                <a:latin typeface="Aptos Display" panose="020B0004020202020204" pitchFamily="34" charset="0"/>
              </a:rPr>
              <a:t> Oil Spread</a:t>
            </a:r>
            <a:endParaRPr lang="en-US" sz="3600">
              <a:latin typeface="Aptos Display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033630672852391E-2"/>
          <c:y val="0.13008635867419224"/>
          <c:w val="0.80073962248296293"/>
          <c:h val="0.69644243142173612"/>
        </c:manualLayout>
      </c:layout>
      <c:barChart>
        <c:barDir val="col"/>
        <c:grouping val="clustered"/>
        <c:varyColors val="0"/>
        <c:ser>
          <c:idx val="1"/>
          <c:order val="2"/>
          <c:tx>
            <c:v>Canola Oil - Soybean Oil</c:v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F4-473F-966F-9DACC2D3C68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F4-473F-966F-9DACC2D3C68A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F4-473F-966F-9DACC2D3C68A}"/>
              </c:ext>
            </c:extLst>
          </c:dPt>
          <c:dPt>
            <c:idx val="8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F4-473F-966F-9DACC2D3C68A}"/>
              </c:ext>
            </c:extLst>
          </c:dPt>
          <c:dPt>
            <c:idx val="87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F4-473F-966F-9DACC2D3C68A}"/>
              </c:ext>
            </c:extLst>
          </c:dPt>
          <c:dPt>
            <c:idx val="9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F4-473F-966F-9DACC2D3C68A}"/>
              </c:ext>
            </c:extLst>
          </c:dPt>
          <c:cat>
            <c:numRef>
              <c:f>[1]Prices!$A$413:$A$656</c:f>
              <c:numCache>
                <c:formatCode>General</c:formatCode>
                <c:ptCount val="244"/>
                <c:pt idx="0">
                  <c:v>38047</c:v>
                </c:pt>
                <c:pt idx="1">
                  <c:v>38078</c:v>
                </c:pt>
                <c:pt idx="2">
                  <c:v>38108</c:v>
                </c:pt>
                <c:pt idx="3">
                  <c:v>38139</c:v>
                </c:pt>
                <c:pt idx="4">
                  <c:v>38169</c:v>
                </c:pt>
                <c:pt idx="5">
                  <c:v>38200</c:v>
                </c:pt>
                <c:pt idx="6">
                  <c:v>38231</c:v>
                </c:pt>
                <c:pt idx="7">
                  <c:v>38261</c:v>
                </c:pt>
                <c:pt idx="8">
                  <c:v>38292</c:v>
                </c:pt>
                <c:pt idx="9">
                  <c:v>38322</c:v>
                </c:pt>
                <c:pt idx="10">
                  <c:v>38353</c:v>
                </c:pt>
                <c:pt idx="11">
                  <c:v>38384</c:v>
                </c:pt>
                <c:pt idx="12">
                  <c:v>38412</c:v>
                </c:pt>
                <c:pt idx="13">
                  <c:v>38443</c:v>
                </c:pt>
                <c:pt idx="14">
                  <c:v>38473</c:v>
                </c:pt>
                <c:pt idx="15">
                  <c:v>38504</c:v>
                </c:pt>
                <c:pt idx="16">
                  <c:v>38534</c:v>
                </c:pt>
                <c:pt idx="17">
                  <c:v>38565</c:v>
                </c:pt>
                <c:pt idx="18">
                  <c:v>38596</c:v>
                </c:pt>
                <c:pt idx="19">
                  <c:v>38626</c:v>
                </c:pt>
                <c:pt idx="20">
                  <c:v>38657</c:v>
                </c:pt>
                <c:pt idx="21">
                  <c:v>38687</c:v>
                </c:pt>
                <c:pt idx="22">
                  <c:v>38718</c:v>
                </c:pt>
                <c:pt idx="23">
                  <c:v>38749</c:v>
                </c:pt>
                <c:pt idx="24">
                  <c:v>38777</c:v>
                </c:pt>
                <c:pt idx="25">
                  <c:v>38808</c:v>
                </c:pt>
                <c:pt idx="26">
                  <c:v>38838</c:v>
                </c:pt>
                <c:pt idx="27">
                  <c:v>38869</c:v>
                </c:pt>
                <c:pt idx="28">
                  <c:v>38899</c:v>
                </c:pt>
                <c:pt idx="29">
                  <c:v>38930</c:v>
                </c:pt>
                <c:pt idx="30">
                  <c:v>38961</c:v>
                </c:pt>
                <c:pt idx="31">
                  <c:v>38991</c:v>
                </c:pt>
                <c:pt idx="32">
                  <c:v>39022</c:v>
                </c:pt>
                <c:pt idx="33">
                  <c:v>39052</c:v>
                </c:pt>
                <c:pt idx="34">
                  <c:v>39083</c:v>
                </c:pt>
                <c:pt idx="35">
                  <c:v>39114</c:v>
                </c:pt>
                <c:pt idx="36">
                  <c:v>39142</c:v>
                </c:pt>
                <c:pt idx="37">
                  <c:v>39173</c:v>
                </c:pt>
                <c:pt idx="38">
                  <c:v>39203</c:v>
                </c:pt>
                <c:pt idx="39">
                  <c:v>39234</c:v>
                </c:pt>
                <c:pt idx="40">
                  <c:v>39264</c:v>
                </c:pt>
                <c:pt idx="41">
                  <c:v>39295</c:v>
                </c:pt>
                <c:pt idx="42">
                  <c:v>39326</c:v>
                </c:pt>
                <c:pt idx="43">
                  <c:v>39356</c:v>
                </c:pt>
                <c:pt idx="44">
                  <c:v>39387</c:v>
                </c:pt>
                <c:pt idx="45">
                  <c:v>39417</c:v>
                </c:pt>
                <c:pt idx="46">
                  <c:v>39448</c:v>
                </c:pt>
                <c:pt idx="47">
                  <c:v>39479</c:v>
                </c:pt>
                <c:pt idx="48">
                  <c:v>39508</c:v>
                </c:pt>
                <c:pt idx="49">
                  <c:v>39539</c:v>
                </c:pt>
                <c:pt idx="50">
                  <c:v>39569</c:v>
                </c:pt>
                <c:pt idx="51">
                  <c:v>39600</c:v>
                </c:pt>
                <c:pt idx="52">
                  <c:v>39630</c:v>
                </c:pt>
                <c:pt idx="53">
                  <c:v>39661</c:v>
                </c:pt>
                <c:pt idx="54">
                  <c:v>39692</c:v>
                </c:pt>
                <c:pt idx="55">
                  <c:v>39722</c:v>
                </c:pt>
                <c:pt idx="56">
                  <c:v>39753</c:v>
                </c:pt>
                <c:pt idx="57">
                  <c:v>39783</c:v>
                </c:pt>
                <c:pt idx="58">
                  <c:v>39814</c:v>
                </c:pt>
                <c:pt idx="59">
                  <c:v>39845</c:v>
                </c:pt>
                <c:pt idx="60">
                  <c:v>39873</c:v>
                </c:pt>
                <c:pt idx="61">
                  <c:v>39904</c:v>
                </c:pt>
                <c:pt idx="62">
                  <c:v>39934</c:v>
                </c:pt>
                <c:pt idx="63">
                  <c:v>39965</c:v>
                </c:pt>
                <c:pt idx="64">
                  <c:v>39995</c:v>
                </c:pt>
                <c:pt idx="65">
                  <c:v>40026</c:v>
                </c:pt>
                <c:pt idx="66">
                  <c:v>40057</c:v>
                </c:pt>
                <c:pt idx="67">
                  <c:v>40087</c:v>
                </c:pt>
                <c:pt idx="68">
                  <c:v>40118</c:v>
                </c:pt>
                <c:pt idx="69">
                  <c:v>40148</c:v>
                </c:pt>
                <c:pt idx="70">
                  <c:v>40179</c:v>
                </c:pt>
                <c:pt idx="71">
                  <c:v>40210</c:v>
                </c:pt>
                <c:pt idx="72">
                  <c:v>40238</c:v>
                </c:pt>
                <c:pt idx="73">
                  <c:v>40269</c:v>
                </c:pt>
                <c:pt idx="74">
                  <c:v>40299</c:v>
                </c:pt>
                <c:pt idx="75">
                  <c:v>40330</c:v>
                </c:pt>
                <c:pt idx="76">
                  <c:v>40360</c:v>
                </c:pt>
                <c:pt idx="77">
                  <c:v>40391</c:v>
                </c:pt>
                <c:pt idx="78">
                  <c:v>40422</c:v>
                </c:pt>
                <c:pt idx="79">
                  <c:v>40452</c:v>
                </c:pt>
                <c:pt idx="80">
                  <c:v>40483</c:v>
                </c:pt>
                <c:pt idx="81">
                  <c:v>40513</c:v>
                </c:pt>
                <c:pt idx="82">
                  <c:v>40544</c:v>
                </c:pt>
                <c:pt idx="83">
                  <c:v>40575</c:v>
                </c:pt>
                <c:pt idx="84">
                  <c:v>40603</c:v>
                </c:pt>
                <c:pt idx="85">
                  <c:v>40634</c:v>
                </c:pt>
                <c:pt idx="86">
                  <c:v>40664</c:v>
                </c:pt>
                <c:pt idx="87">
                  <c:v>40695</c:v>
                </c:pt>
                <c:pt idx="88">
                  <c:v>40725</c:v>
                </c:pt>
                <c:pt idx="89">
                  <c:v>40756</c:v>
                </c:pt>
                <c:pt idx="90">
                  <c:v>40787</c:v>
                </c:pt>
                <c:pt idx="91">
                  <c:v>40817</c:v>
                </c:pt>
                <c:pt idx="92">
                  <c:v>40848</c:v>
                </c:pt>
                <c:pt idx="93">
                  <c:v>40878</c:v>
                </c:pt>
                <c:pt idx="94">
                  <c:v>40909</c:v>
                </c:pt>
                <c:pt idx="95">
                  <c:v>40940</c:v>
                </c:pt>
                <c:pt idx="96">
                  <c:v>40969</c:v>
                </c:pt>
                <c:pt idx="97">
                  <c:v>41000</c:v>
                </c:pt>
                <c:pt idx="98">
                  <c:v>41030</c:v>
                </c:pt>
                <c:pt idx="99">
                  <c:v>41061</c:v>
                </c:pt>
                <c:pt idx="100">
                  <c:v>41091</c:v>
                </c:pt>
                <c:pt idx="101">
                  <c:v>41122</c:v>
                </c:pt>
                <c:pt idx="102">
                  <c:v>41153</c:v>
                </c:pt>
                <c:pt idx="103">
                  <c:v>41183</c:v>
                </c:pt>
                <c:pt idx="104">
                  <c:v>41214</c:v>
                </c:pt>
                <c:pt idx="105">
                  <c:v>41244</c:v>
                </c:pt>
                <c:pt idx="106">
                  <c:v>41275</c:v>
                </c:pt>
                <c:pt idx="107">
                  <c:v>41306</c:v>
                </c:pt>
                <c:pt idx="108">
                  <c:v>41334</c:v>
                </c:pt>
                <c:pt idx="109">
                  <c:v>41365</c:v>
                </c:pt>
                <c:pt idx="110">
                  <c:v>41395</c:v>
                </c:pt>
                <c:pt idx="111">
                  <c:v>41426</c:v>
                </c:pt>
                <c:pt idx="112">
                  <c:v>41456</c:v>
                </c:pt>
                <c:pt idx="113">
                  <c:v>41487</c:v>
                </c:pt>
                <c:pt idx="114">
                  <c:v>41518</c:v>
                </c:pt>
                <c:pt idx="115">
                  <c:v>41548</c:v>
                </c:pt>
                <c:pt idx="116">
                  <c:v>41579</c:v>
                </c:pt>
                <c:pt idx="117">
                  <c:v>41609</c:v>
                </c:pt>
                <c:pt idx="118">
                  <c:v>41640</c:v>
                </c:pt>
                <c:pt idx="119">
                  <c:v>41671</c:v>
                </c:pt>
                <c:pt idx="120">
                  <c:v>41699</c:v>
                </c:pt>
                <c:pt idx="121">
                  <c:v>41730</c:v>
                </c:pt>
                <c:pt idx="122">
                  <c:v>41760</c:v>
                </c:pt>
                <c:pt idx="123">
                  <c:v>41791</c:v>
                </c:pt>
                <c:pt idx="124">
                  <c:v>41821</c:v>
                </c:pt>
                <c:pt idx="125">
                  <c:v>41852</c:v>
                </c:pt>
                <c:pt idx="126">
                  <c:v>41883</c:v>
                </c:pt>
                <c:pt idx="127">
                  <c:v>41913</c:v>
                </c:pt>
                <c:pt idx="128">
                  <c:v>41944</c:v>
                </c:pt>
                <c:pt idx="129">
                  <c:v>41974</c:v>
                </c:pt>
                <c:pt idx="130">
                  <c:v>42005</c:v>
                </c:pt>
                <c:pt idx="131">
                  <c:v>42036</c:v>
                </c:pt>
                <c:pt idx="132">
                  <c:v>42064</c:v>
                </c:pt>
                <c:pt idx="133">
                  <c:v>42095</c:v>
                </c:pt>
                <c:pt idx="134">
                  <c:v>42125</c:v>
                </c:pt>
                <c:pt idx="135">
                  <c:v>42156</c:v>
                </c:pt>
                <c:pt idx="136">
                  <c:v>42186</c:v>
                </c:pt>
                <c:pt idx="137">
                  <c:v>42217</c:v>
                </c:pt>
                <c:pt idx="138">
                  <c:v>42248</c:v>
                </c:pt>
                <c:pt idx="139">
                  <c:v>42278</c:v>
                </c:pt>
                <c:pt idx="140">
                  <c:v>42309</c:v>
                </c:pt>
                <c:pt idx="141">
                  <c:v>42339</c:v>
                </c:pt>
                <c:pt idx="142">
                  <c:v>42370</c:v>
                </c:pt>
                <c:pt idx="143">
                  <c:v>42401</c:v>
                </c:pt>
                <c:pt idx="144">
                  <c:v>42430</c:v>
                </c:pt>
                <c:pt idx="145">
                  <c:v>42461</c:v>
                </c:pt>
                <c:pt idx="146">
                  <c:v>42491</c:v>
                </c:pt>
                <c:pt idx="147">
                  <c:v>42522</c:v>
                </c:pt>
                <c:pt idx="148">
                  <c:v>42552</c:v>
                </c:pt>
                <c:pt idx="149">
                  <c:v>42583</c:v>
                </c:pt>
                <c:pt idx="150">
                  <c:v>42614</c:v>
                </c:pt>
                <c:pt idx="151">
                  <c:v>42644</c:v>
                </c:pt>
                <c:pt idx="152">
                  <c:v>42675</c:v>
                </c:pt>
                <c:pt idx="153">
                  <c:v>42705</c:v>
                </c:pt>
                <c:pt idx="154">
                  <c:v>42736</c:v>
                </c:pt>
                <c:pt idx="155">
                  <c:v>42767</c:v>
                </c:pt>
                <c:pt idx="156">
                  <c:v>42795</c:v>
                </c:pt>
                <c:pt idx="157">
                  <c:v>42826</c:v>
                </c:pt>
                <c:pt idx="158">
                  <c:v>42856</c:v>
                </c:pt>
                <c:pt idx="159">
                  <c:v>42887</c:v>
                </c:pt>
                <c:pt idx="160">
                  <c:v>42917</c:v>
                </c:pt>
                <c:pt idx="161">
                  <c:v>42948</c:v>
                </c:pt>
                <c:pt idx="162">
                  <c:v>42979</c:v>
                </c:pt>
                <c:pt idx="163">
                  <c:v>43009</c:v>
                </c:pt>
                <c:pt idx="164">
                  <c:v>43040</c:v>
                </c:pt>
                <c:pt idx="165">
                  <c:v>43070</c:v>
                </c:pt>
                <c:pt idx="166">
                  <c:v>43101</c:v>
                </c:pt>
                <c:pt idx="167">
                  <c:v>43132</c:v>
                </c:pt>
                <c:pt idx="168">
                  <c:v>43160</c:v>
                </c:pt>
                <c:pt idx="169">
                  <c:v>43191</c:v>
                </c:pt>
                <c:pt idx="170">
                  <c:v>43221</c:v>
                </c:pt>
                <c:pt idx="171">
                  <c:v>43252</c:v>
                </c:pt>
                <c:pt idx="172">
                  <c:v>43282</c:v>
                </c:pt>
                <c:pt idx="173">
                  <c:v>43313</c:v>
                </c:pt>
                <c:pt idx="174">
                  <c:v>43344</c:v>
                </c:pt>
                <c:pt idx="175">
                  <c:v>43374</c:v>
                </c:pt>
                <c:pt idx="176">
                  <c:v>43405</c:v>
                </c:pt>
                <c:pt idx="177">
                  <c:v>43435</c:v>
                </c:pt>
                <c:pt idx="178">
                  <c:v>43466</c:v>
                </c:pt>
                <c:pt idx="179">
                  <c:v>43497</c:v>
                </c:pt>
                <c:pt idx="180">
                  <c:v>43525</c:v>
                </c:pt>
                <c:pt idx="181">
                  <c:v>43556</c:v>
                </c:pt>
                <c:pt idx="182">
                  <c:v>43586</c:v>
                </c:pt>
                <c:pt idx="183">
                  <c:v>43617</c:v>
                </c:pt>
                <c:pt idx="184">
                  <c:v>43647</c:v>
                </c:pt>
                <c:pt idx="185">
                  <c:v>43678</c:v>
                </c:pt>
                <c:pt idx="186">
                  <c:v>43709</c:v>
                </c:pt>
                <c:pt idx="187">
                  <c:v>43739</c:v>
                </c:pt>
                <c:pt idx="188">
                  <c:v>43770</c:v>
                </c:pt>
                <c:pt idx="189">
                  <c:v>43800</c:v>
                </c:pt>
                <c:pt idx="190">
                  <c:v>43831</c:v>
                </c:pt>
                <c:pt idx="191">
                  <c:v>43862</c:v>
                </c:pt>
                <c:pt idx="192">
                  <c:v>43891</c:v>
                </c:pt>
                <c:pt idx="193">
                  <c:v>43922</c:v>
                </c:pt>
                <c:pt idx="194">
                  <c:v>43952</c:v>
                </c:pt>
                <c:pt idx="195">
                  <c:v>43983</c:v>
                </c:pt>
                <c:pt idx="196">
                  <c:v>44013</c:v>
                </c:pt>
                <c:pt idx="197">
                  <c:v>44044</c:v>
                </c:pt>
                <c:pt idx="198">
                  <c:v>44075</c:v>
                </c:pt>
                <c:pt idx="199">
                  <c:v>44105</c:v>
                </c:pt>
                <c:pt idx="200">
                  <c:v>44136</c:v>
                </c:pt>
                <c:pt idx="201">
                  <c:v>44166</c:v>
                </c:pt>
                <c:pt idx="202">
                  <c:v>44197</c:v>
                </c:pt>
                <c:pt idx="203">
                  <c:v>44228</c:v>
                </c:pt>
                <c:pt idx="204">
                  <c:v>44256</c:v>
                </c:pt>
                <c:pt idx="205">
                  <c:v>44287</c:v>
                </c:pt>
                <c:pt idx="206">
                  <c:v>44317</c:v>
                </c:pt>
                <c:pt idx="207">
                  <c:v>44348</c:v>
                </c:pt>
                <c:pt idx="208">
                  <c:v>44378</c:v>
                </c:pt>
                <c:pt idx="209">
                  <c:v>44409</c:v>
                </c:pt>
                <c:pt idx="210">
                  <c:v>44440</c:v>
                </c:pt>
                <c:pt idx="211">
                  <c:v>44470</c:v>
                </c:pt>
                <c:pt idx="212">
                  <c:v>44501</c:v>
                </c:pt>
                <c:pt idx="213">
                  <c:v>44531</c:v>
                </c:pt>
                <c:pt idx="214">
                  <c:v>44562</c:v>
                </c:pt>
                <c:pt idx="215">
                  <c:v>44593</c:v>
                </c:pt>
                <c:pt idx="216">
                  <c:v>44621</c:v>
                </c:pt>
                <c:pt idx="217">
                  <c:v>44652</c:v>
                </c:pt>
                <c:pt idx="218">
                  <c:v>44682</c:v>
                </c:pt>
                <c:pt idx="219">
                  <c:v>44713</c:v>
                </c:pt>
                <c:pt idx="220">
                  <c:v>44743</c:v>
                </c:pt>
                <c:pt idx="221">
                  <c:v>44774</c:v>
                </c:pt>
                <c:pt idx="222">
                  <c:v>44805</c:v>
                </c:pt>
                <c:pt idx="223">
                  <c:v>44835</c:v>
                </c:pt>
                <c:pt idx="224">
                  <c:v>44866</c:v>
                </c:pt>
                <c:pt idx="225">
                  <c:v>44896</c:v>
                </c:pt>
                <c:pt idx="226">
                  <c:v>44927</c:v>
                </c:pt>
                <c:pt idx="227">
                  <c:v>44958</c:v>
                </c:pt>
                <c:pt idx="228">
                  <c:v>44986</c:v>
                </c:pt>
                <c:pt idx="229">
                  <c:v>45017</c:v>
                </c:pt>
                <c:pt idx="230">
                  <c:v>45047</c:v>
                </c:pt>
                <c:pt idx="231">
                  <c:v>45078</c:v>
                </c:pt>
                <c:pt idx="232">
                  <c:v>45108</c:v>
                </c:pt>
                <c:pt idx="233">
                  <c:v>45139</c:v>
                </c:pt>
                <c:pt idx="234">
                  <c:v>45170</c:v>
                </c:pt>
                <c:pt idx="235">
                  <c:v>45200</c:v>
                </c:pt>
                <c:pt idx="236">
                  <c:v>45231</c:v>
                </c:pt>
                <c:pt idx="237">
                  <c:v>45261</c:v>
                </c:pt>
                <c:pt idx="238">
                  <c:v>45292</c:v>
                </c:pt>
                <c:pt idx="239">
                  <c:v>45323</c:v>
                </c:pt>
                <c:pt idx="240">
                  <c:v>45352</c:v>
                </c:pt>
                <c:pt idx="241">
                  <c:v>45383</c:v>
                </c:pt>
                <c:pt idx="242">
                  <c:v>45413</c:v>
                </c:pt>
                <c:pt idx="243">
                  <c:v>45444</c:v>
                </c:pt>
              </c:numCache>
            </c:numRef>
          </c:cat>
          <c:val>
            <c:numRef>
              <c:f>[1]Prices!$AA$413:$AA$656</c:f>
              <c:numCache>
                <c:formatCode>General</c:formatCode>
                <c:ptCount val="244"/>
                <c:pt idx="0">
                  <c:v>45729</c:v>
                </c:pt>
                <c:pt idx="1">
                  <c:v>45730</c:v>
                </c:pt>
                <c:pt idx="2">
                  <c:v>45733</c:v>
                </c:pt>
                <c:pt idx="3">
                  <c:v>-0.51330000000000098</c:v>
                </c:pt>
                <c:pt idx="4">
                  <c:v>-0.14189999999999969</c:v>
                </c:pt>
                <c:pt idx="5">
                  <c:v>0.29540000000000077</c:v>
                </c:pt>
                <c:pt idx="6">
                  <c:v>-0.21430000000000149</c:v>
                </c:pt>
                <c:pt idx="7">
                  <c:v>1.0583999999999989</c:v>
                </c:pt>
                <c:pt idx="8">
                  <c:v>5.3125</c:v>
                </c:pt>
                <c:pt idx="9">
                  <c:v>4.3737999999999992</c:v>
                </c:pt>
                <c:pt idx="10">
                  <c:v>1.9938000000000002</c:v>
                </c:pt>
                <c:pt idx="11">
                  <c:v>2.8106000000000009</c:v>
                </c:pt>
                <c:pt idx="12">
                  <c:v>4.4135999999999989</c:v>
                </c:pt>
                <c:pt idx="13">
                  <c:v>5.2143000000000015</c:v>
                </c:pt>
                <c:pt idx="14">
                  <c:v>4.166599999999999</c:v>
                </c:pt>
                <c:pt idx="15">
                  <c:v>3.2840999999999987</c:v>
                </c:pt>
                <c:pt idx="16">
                  <c:v>2.1875</c:v>
                </c:pt>
                <c:pt idx="17">
                  <c:v>2.6000000000000014</c:v>
                </c:pt>
                <c:pt idx="18">
                  <c:v>4.2666000000000004</c:v>
                </c:pt>
                <c:pt idx="19">
                  <c:v>4.6119000000000021</c:v>
                </c:pt>
                <c:pt idx="20">
                  <c:v>4.2924999999999969</c:v>
                </c:pt>
                <c:pt idx="21">
                  <c:v>3.3724999999999987</c:v>
                </c:pt>
                <c:pt idx="22">
                  <c:v>2.0874999999999986</c:v>
                </c:pt>
                <c:pt idx="23">
                  <c:v>2.3578999999999972</c:v>
                </c:pt>
                <c:pt idx="24">
                  <c:v>5.8873999999999995</c:v>
                </c:pt>
                <c:pt idx="25">
                  <c:v>6.5921000000000021</c:v>
                </c:pt>
                <c:pt idx="26">
                  <c:v>7.6000000000000014</c:v>
                </c:pt>
                <c:pt idx="27">
                  <c:v>7.6591000000000022</c:v>
                </c:pt>
                <c:pt idx="28">
                  <c:v>7.7249999999999979</c:v>
                </c:pt>
                <c:pt idx="29">
                  <c:v>7.9990999999999985</c:v>
                </c:pt>
                <c:pt idx="30">
                  <c:v>7.32</c:v>
                </c:pt>
                <c:pt idx="31">
                  <c:v>6.3692999999999955</c:v>
                </c:pt>
                <c:pt idx="32">
                  <c:v>7.0424999999999969</c:v>
                </c:pt>
                <c:pt idx="33">
                  <c:v>6.9320000000000022</c:v>
                </c:pt>
                <c:pt idx="34">
                  <c:v>7.4375</c:v>
                </c:pt>
                <c:pt idx="35">
                  <c:v>8.2685000000000031</c:v>
                </c:pt>
                <c:pt idx="36">
                  <c:v>7.0227000000000004</c:v>
                </c:pt>
                <c:pt idx="37">
                  <c:v>5.8449999999999989</c:v>
                </c:pt>
                <c:pt idx="38">
                  <c:v>5.708599999999997</c:v>
                </c:pt>
                <c:pt idx="39">
                  <c:v>6.0714000000000041</c:v>
                </c:pt>
                <c:pt idx="40">
                  <c:v>7.9809999999999945</c:v>
                </c:pt>
                <c:pt idx="41">
                  <c:v>8.2912999999999997</c:v>
                </c:pt>
                <c:pt idx="42">
                  <c:v>9.657900000000005</c:v>
                </c:pt>
                <c:pt idx="43">
                  <c:v>12.543500000000002</c:v>
                </c:pt>
                <c:pt idx="44">
                  <c:v>11.412500000000001</c:v>
                </c:pt>
                <c:pt idx="45">
                  <c:v>11.326499999999996</c:v>
                </c:pt>
                <c:pt idx="46">
                  <c:v>11.850000000000001</c:v>
                </c:pt>
                <c:pt idx="47">
                  <c:v>10.649999999999999</c:v>
                </c:pt>
                <c:pt idx="48">
                  <c:v>9.8125000000000071</c:v>
                </c:pt>
                <c:pt idx="49">
                  <c:v>10.5227</c:v>
                </c:pt>
                <c:pt idx="50">
                  <c:v>9.2077000000000027</c:v>
                </c:pt>
                <c:pt idx="51">
                  <c:v>7.7738999999999976</c:v>
                </c:pt>
                <c:pt idx="52">
                  <c:v>8.0909000000000049</c:v>
                </c:pt>
                <c:pt idx="53">
                  <c:v>6.5714000000000041</c:v>
                </c:pt>
                <c:pt idx="54">
                  <c:v>4.478599999999993</c:v>
                </c:pt>
                <c:pt idx="55">
                  <c:v>6.3282000000000025</c:v>
                </c:pt>
                <c:pt idx="56">
                  <c:v>5.4737000000000009</c:v>
                </c:pt>
                <c:pt idx="57">
                  <c:v>5.438600000000001</c:v>
                </c:pt>
                <c:pt idx="58">
                  <c:v>3.9125000000000014</c:v>
                </c:pt>
                <c:pt idx="59">
                  <c:v>4.3683999999999941</c:v>
                </c:pt>
                <c:pt idx="60">
                  <c:v>4.5340999999999987</c:v>
                </c:pt>
                <c:pt idx="61">
                  <c:v>4.5519000000000034</c:v>
                </c:pt>
                <c:pt idx="62">
                  <c:v>4.5159999999999982</c:v>
                </c:pt>
                <c:pt idx="63">
                  <c:v>5.3635999999999981</c:v>
                </c:pt>
                <c:pt idx="64">
                  <c:v>7.0909000000000049</c:v>
                </c:pt>
                <c:pt idx="65">
                  <c:v>8.7571999999999974</c:v>
                </c:pt>
                <c:pt idx="66">
                  <c:v>7.7789999999999964</c:v>
                </c:pt>
                <c:pt idx="67">
                  <c:v>7.4350000000000023</c:v>
                </c:pt>
                <c:pt idx="68">
                  <c:v>6.9500000000000028</c:v>
                </c:pt>
                <c:pt idx="69">
                  <c:v>7.2804000000000002</c:v>
                </c:pt>
                <c:pt idx="70">
                  <c:v>7.1058000000000021</c:v>
                </c:pt>
                <c:pt idx="71">
                  <c:v>7.2894000000000005</c:v>
                </c:pt>
                <c:pt idx="72">
                  <c:v>6.383899999999997</c:v>
                </c:pt>
                <c:pt idx="73">
                  <c:v>5.1666000000000025</c:v>
                </c:pt>
                <c:pt idx="74">
                  <c:v>4.8804999999999978</c:v>
                </c:pt>
                <c:pt idx="75">
                  <c:v>6.2349999999999994</c:v>
                </c:pt>
                <c:pt idx="76">
                  <c:v>8.9686000000000021</c:v>
                </c:pt>
                <c:pt idx="77">
                  <c:v>9.0599999999999952</c:v>
                </c:pt>
                <c:pt idx="78">
                  <c:v>6.7713999999999999</c:v>
                </c:pt>
                <c:pt idx="79">
                  <c:v>4.8352000000000004</c:v>
                </c:pt>
                <c:pt idx="80">
                  <c:v>4.3667000000000016</c:v>
                </c:pt>
                <c:pt idx="81">
                  <c:v>4.0731999999999999</c:v>
                </c:pt>
                <c:pt idx="82">
                  <c:v>2.6749999999999972</c:v>
                </c:pt>
                <c:pt idx="83">
                  <c:v>1.3947000000000003</c:v>
                </c:pt>
                <c:pt idx="84">
                  <c:v>1.4596000000000018</c:v>
                </c:pt>
                <c:pt idx="85">
                  <c:v>0.10750000000000171</c:v>
                </c:pt>
                <c:pt idx="86">
                  <c:v>-0.3405000000000058</c:v>
                </c:pt>
                <c:pt idx="87">
                  <c:v>-0.60269999999999868</c:v>
                </c:pt>
                <c:pt idx="88">
                  <c:v>0.5</c:v>
                </c:pt>
                <c:pt idx="89">
                  <c:v>0.74430000000000263</c:v>
                </c:pt>
                <c:pt idx="90">
                  <c:v>-0.39620000000000033</c:v>
                </c:pt>
                <c:pt idx="91">
                  <c:v>0.51910000000000167</c:v>
                </c:pt>
                <c:pt idx="92">
                  <c:v>1.1104999999999947</c:v>
                </c:pt>
                <c:pt idx="93">
                  <c:v>1.4167000000000058</c:v>
                </c:pt>
                <c:pt idx="94">
                  <c:v>0.52499999999999858</c:v>
                </c:pt>
                <c:pt idx="95">
                  <c:v>0.375</c:v>
                </c:pt>
                <c:pt idx="96">
                  <c:v>1.1364000000000019</c:v>
                </c:pt>
                <c:pt idx="97">
                  <c:v>1.3554999999999993</c:v>
                </c:pt>
                <c:pt idx="98">
                  <c:v>2.6135999999999981</c:v>
                </c:pt>
                <c:pt idx="99">
                  <c:v>4.5715000000000003</c:v>
                </c:pt>
                <c:pt idx="100">
                  <c:v>5.188299999999991</c:v>
                </c:pt>
                <c:pt idx="101">
                  <c:v>5.4996000000000009</c:v>
                </c:pt>
                <c:pt idx="102">
                  <c:v>5.5715999999999966</c:v>
                </c:pt>
                <c:pt idx="103">
                  <c:v>7.6696000000000026</c:v>
                </c:pt>
                <c:pt idx="104">
                  <c:v>8.1204999999999998</c:v>
                </c:pt>
                <c:pt idx="105">
                  <c:v>6.1185000000000045</c:v>
                </c:pt>
                <c:pt idx="106">
                  <c:v>5.4590999999999994</c:v>
                </c:pt>
                <c:pt idx="107">
                  <c:v>5.7083999999999975</c:v>
                </c:pt>
                <c:pt idx="108">
                  <c:v>6.1499999999999986</c:v>
                </c:pt>
                <c:pt idx="109">
                  <c:v>9.9312999999999931</c:v>
                </c:pt>
                <c:pt idx="110">
                  <c:v>8.7499999999999929</c:v>
                </c:pt>
                <c:pt idx="111">
                  <c:v>7.1875</c:v>
                </c:pt>
                <c:pt idx="112">
                  <c:v>6.0225999999999971</c:v>
                </c:pt>
                <c:pt idx="113">
                  <c:v>4.3068000000000026</c:v>
                </c:pt>
                <c:pt idx="114">
                  <c:v>2.544000000000004</c:v>
                </c:pt>
                <c:pt idx="115">
                  <c:v>1.2195000000000036</c:v>
                </c:pt>
                <c:pt idx="116">
                  <c:v>3.5200000000000031</c:v>
                </c:pt>
                <c:pt idx="117">
                  <c:v>2.8214000000000041</c:v>
                </c:pt>
                <c:pt idx="118">
                  <c:v>2.4405000000000001</c:v>
                </c:pt>
                <c:pt idx="119">
                  <c:v>3.9868999999999986</c:v>
                </c:pt>
                <c:pt idx="120">
                  <c:v>5.9290999999999983</c:v>
                </c:pt>
                <c:pt idx="121">
                  <c:v>6.821399999999997</c:v>
                </c:pt>
                <c:pt idx="122">
                  <c:v>5.7380999999999958</c:v>
                </c:pt>
                <c:pt idx="123">
                  <c:v>5.2285000000000039</c:v>
                </c:pt>
                <c:pt idx="124">
                  <c:v>4.4431000000000012</c:v>
                </c:pt>
                <c:pt idx="125">
                  <c:v>4.1471000000000018</c:v>
                </c:pt>
                <c:pt idx="126">
                  <c:v>4.380900000000004</c:v>
                </c:pt>
                <c:pt idx="127">
                  <c:v>5.3152000000000044</c:v>
                </c:pt>
                <c:pt idx="128">
                  <c:v>5.0788999999999973</c:v>
                </c:pt>
                <c:pt idx="129">
                  <c:v>5.9165999999999954</c:v>
                </c:pt>
                <c:pt idx="130">
                  <c:v>6.7999999999999972</c:v>
                </c:pt>
                <c:pt idx="131">
                  <c:v>6.9342000000000041</c:v>
                </c:pt>
                <c:pt idx="132">
                  <c:v>6.2142999999999944</c:v>
                </c:pt>
                <c:pt idx="133">
                  <c:v>0.88889999999999958</c:v>
                </c:pt>
                <c:pt idx="134">
                  <c:v>0.5</c:v>
                </c:pt>
                <c:pt idx="135">
                  <c:v>1.1021999999999963</c:v>
                </c:pt>
                <c:pt idx="136">
                  <c:v>1.7387000000000015</c:v>
                </c:pt>
                <c:pt idx="137">
                  <c:v>1.8215000000000003</c:v>
                </c:pt>
                <c:pt idx="138">
                  <c:v>2.9761999999999986</c:v>
                </c:pt>
                <c:pt idx="139">
                  <c:v>2.7385999999999981</c:v>
                </c:pt>
                <c:pt idx="140">
                  <c:v>1.5625</c:v>
                </c:pt>
                <c:pt idx="141">
                  <c:v>1.1819000000000059</c:v>
                </c:pt>
                <c:pt idx="142">
                  <c:v>1.6446999999999967</c:v>
                </c:pt>
                <c:pt idx="143">
                  <c:v>2.7250000000000014</c:v>
                </c:pt>
                <c:pt idx="144">
                  <c:v>2</c:v>
                </c:pt>
                <c:pt idx="145">
                  <c:v>2.0118999999999971</c:v>
                </c:pt>
                <c:pt idx="146">
                  <c:v>2.1903999999999968</c:v>
                </c:pt>
                <c:pt idx="147">
                  <c:v>3.0454000000000008</c:v>
                </c:pt>
                <c:pt idx="148">
                  <c:v>3.1439999999999984</c:v>
                </c:pt>
                <c:pt idx="149">
                  <c:v>4.0433999999999983</c:v>
                </c:pt>
                <c:pt idx="150">
                  <c:v>3.5833999999999975</c:v>
                </c:pt>
                <c:pt idx="151">
                  <c:v>4.4642999999999944</c:v>
                </c:pt>
                <c:pt idx="152">
                  <c:v>4.2618999999999971</c:v>
                </c:pt>
                <c:pt idx="153">
                  <c:v>3.4405000000000001</c:v>
                </c:pt>
                <c:pt idx="154">
                  <c:v>3.75</c:v>
                </c:pt>
                <c:pt idx="155">
                  <c:v>3.6657999999999973</c:v>
                </c:pt>
                <c:pt idx="156">
                  <c:v>4.3042999999999978</c:v>
                </c:pt>
                <c:pt idx="157">
                  <c:v>4.6709999999999994</c:v>
                </c:pt>
                <c:pt idx="158">
                  <c:v>4.5368000000000066</c:v>
                </c:pt>
                <c:pt idx="159">
                  <c:v>3.9432000000000045</c:v>
                </c:pt>
                <c:pt idx="160">
                  <c:v>3.875</c:v>
                </c:pt>
                <c:pt idx="161">
                  <c:v>4.5</c:v>
                </c:pt>
                <c:pt idx="162">
                  <c:v>4.7750000000000057</c:v>
                </c:pt>
                <c:pt idx="163">
                  <c:v>5.25</c:v>
                </c:pt>
                <c:pt idx="164">
                  <c:v>4.8453000000000017</c:v>
                </c:pt>
                <c:pt idx="165">
                  <c:v>4.75</c:v>
                </c:pt>
                <c:pt idx="166">
                  <c:v>4.9403999999999968</c:v>
                </c:pt>
                <c:pt idx="167">
                  <c:v>5.3094999999999999</c:v>
                </c:pt>
                <c:pt idx="168">
                  <c:v>5.4000000000000057</c:v>
                </c:pt>
                <c:pt idx="169">
                  <c:v>5.3999999999999986</c:v>
                </c:pt>
                <c:pt idx="170">
                  <c:v>5.399999999999995</c:v>
                </c:pt>
                <c:pt idx="171">
                  <c:v>6.421400000000002</c:v>
                </c:pt>
                <c:pt idx="172">
                  <c:v>7.5633000000000017</c:v>
                </c:pt>
                <c:pt idx="173">
                  <c:v>7.6677999999999997</c:v>
                </c:pt>
                <c:pt idx="174">
                  <c:v>6.9448000000000008</c:v>
                </c:pt>
                <c:pt idx="175">
                  <c:v>7.7108999999999988</c:v>
                </c:pt>
                <c:pt idx="176">
                  <c:v>7.4977000000000018</c:v>
                </c:pt>
                <c:pt idx="177">
                  <c:v>7.1999999999999993</c:v>
                </c:pt>
                <c:pt idx="178">
                  <c:v>6.6713999999999984</c:v>
                </c:pt>
                <c:pt idx="179">
                  <c:v>5.8606000000000051</c:v>
                </c:pt>
                <c:pt idx="180">
                  <c:v>5.6738</c:v>
                </c:pt>
                <c:pt idx="181">
                  <c:v>4.5642999999999994</c:v>
                </c:pt>
                <c:pt idx="182">
                  <c:v>4.8491</c:v>
                </c:pt>
                <c:pt idx="183">
                  <c:v>4.2125000000000021</c:v>
                </c:pt>
                <c:pt idx="184">
                  <c:v>4.063600000000001</c:v>
                </c:pt>
                <c:pt idx="185">
                  <c:v>5.1172999999999966</c:v>
                </c:pt>
                <c:pt idx="186">
                  <c:v>5.3874999999999957</c:v>
                </c:pt>
                <c:pt idx="187">
                  <c:v>5.5108999999999995</c:v>
                </c:pt>
                <c:pt idx="188">
                  <c:v>3.8164999999999978</c:v>
                </c:pt>
                <c:pt idx="189">
                  <c:v>3.0571000000000055</c:v>
                </c:pt>
                <c:pt idx="190">
                  <c:v>2.4737999999999971</c:v>
                </c:pt>
                <c:pt idx="191">
                  <c:v>2.434199999999997</c:v>
                </c:pt>
                <c:pt idx="192">
                  <c:v>3.0681999999999974</c:v>
                </c:pt>
                <c:pt idx="193">
                  <c:v>4.5308999999999955</c:v>
                </c:pt>
                <c:pt idx="194">
                  <c:v>4.0850000000000009</c:v>
                </c:pt>
                <c:pt idx="195">
                  <c:v>5.5136000000000038</c:v>
                </c:pt>
                <c:pt idx="196">
                  <c:v>10.141400000000001</c:v>
                </c:pt>
                <c:pt idx="197">
                  <c:v>11.4619</c:v>
                </c:pt>
                <c:pt idx="198">
                  <c:v>11.292900000000003</c:v>
                </c:pt>
                <c:pt idx="199">
                  <c:v>11.25</c:v>
                </c:pt>
                <c:pt idx="200">
                  <c:v>9.4549999999999983</c:v>
                </c:pt>
                <c:pt idx="201">
                  <c:v>8.8522999999999996</c:v>
                </c:pt>
                <c:pt idx="202">
                  <c:v>8.3157999999999959</c:v>
                </c:pt>
                <c:pt idx="203">
                  <c:v>10.079000000000001</c:v>
                </c:pt>
                <c:pt idx="204">
                  <c:v>10.021799999999999</c:v>
                </c:pt>
                <c:pt idx="205">
                  <c:v>16.373800000000003</c:v>
                </c:pt>
                <c:pt idx="206">
                  <c:v>10.849999999999994</c:v>
                </c:pt>
                <c:pt idx="207">
                  <c:v>1.7954999999999899</c:v>
                </c:pt>
                <c:pt idx="208">
                  <c:v>3.827699999999993</c:v>
                </c:pt>
                <c:pt idx="209">
                  <c:v>8.3182000000000045</c:v>
                </c:pt>
                <c:pt idx="210">
                  <c:v>8.5715000000000003</c:v>
                </c:pt>
                <c:pt idx="211">
                  <c:v>7.1951999999999998</c:v>
                </c:pt>
                <c:pt idx="212">
                  <c:v>13.471900000000005</c:v>
                </c:pt>
                <c:pt idx="213">
                  <c:v>14.119</c:v>
                </c:pt>
                <c:pt idx="214">
                  <c:v>17.112500000000011</c:v>
                </c:pt>
                <c:pt idx="215">
                  <c:v>19.355200000000011</c:v>
                </c:pt>
                <c:pt idx="216">
                  <c:v>11.4131</c:v>
                </c:pt>
                <c:pt idx="217">
                  <c:v>12.650000000000006</c:v>
                </c:pt>
                <c:pt idx="218">
                  <c:v>10.833300000000008</c:v>
                </c:pt>
                <c:pt idx="219">
                  <c:v>12.547600000000003</c:v>
                </c:pt>
                <c:pt idx="220">
                  <c:v>14.899999999999991</c:v>
                </c:pt>
                <c:pt idx="221">
                  <c:v>11.941299999999998</c:v>
                </c:pt>
                <c:pt idx="222">
                  <c:v>6.7856999999999914</c:v>
                </c:pt>
                <c:pt idx="223">
                  <c:v>3.964742857142852</c:v>
                </c:pt>
                <c:pt idx="224">
                  <c:v>1.6428523809523909</c:v>
                </c:pt>
                <c:pt idx="225">
                  <c:v>3.4999904761904759</c:v>
                </c:pt>
                <c:pt idx="226">
                  <c:v>5.6124999999999972</c:v>
                </c:pt>
                <c:pt idx="227">
                  <c:v>4.5395052631579063</c:v>
                </c:pt>
                <c:pt idx="228">
                  <c:v>3.7608217391304493</c:v>
                </c:pt>
                <c:pt idx="229">
                  <c:v>2.8947263157894838</c:v>
                </c:pt>
                <c:pt idx="230">
                  <c:v>2.6364090909090905</c:v>
                </c:pt>
                <c:pt idx="231">
                  <c:v>3.5357238095238017</c:v>
                </c:pt>
                <c:pt idx="232">
                  <c:v>4.1750000000000114</c:v>
                </c:pt>
                <c:pt idx="233">
                  <c:v>4.8261173913043365</c:v>
                </c:pt>
                <c:pt idx="234">
                  <c:v>4.1150000000000233</c:v>
                </c:pt>
                <c:pt idx="235">
                  <c:v>4.9477090909090862</c:v>
                </c:pt>
                <c:pt idx="236">
                  <c:v>3.8273809523809419</c:v>
                </c:pt>
                <c:pt idx="237">
                  <c:v>4.5834999999999937</c:v>
                </c:pt>
                <c:pt idx="238">
                  <c:v>4.4285857142857239</c:v>
                </c:pt>
                <c:pt idx="239">
                  <c:v>4.2750000000000057</c:v>
                </c:pt>
                <c:pt idx="240">
                  <c:v>5.1875000000000071</c:v>
                </c:pt>
                <c:pt idx="241">
                  <c:v>6.1704818181818339</c:v>
                </c:pt>
                <c:pt idx="242">
                  <c:v>6.2272545454545494</c:v>
                </c:pt>
                <c:pt idx="243">
                  <c:v>5.6052210526315775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F4-473F-966F-9DACC2D3C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66346048"/>
        <c:axId val="1066345392"/>
      </c:barChart>
      <c:lineChart>
        <c:grouping val="standard"/>
        <c:varyColors val="0"/>
        <c:ser>
          <c:idx val="0"/>
          <c:order val="0"/>
          <c:tx>
            <c:v>Canola Oil - RDB - Chicago</c:v>
          </c:tx>
          <c:spPr>
            <a:ln w="15875" cap="rnd">
              <a:solidFill>
                <a:srgbClr val="CF3C5F"/>
              </a:solidFill>
              <a:round/>
            </a:ln>
            <a:effectLst/>
          </c:spPr>
          <c:marker>
            <c:symbol val="none"/>
          </c:marker>
          <c:dPt>
            <c:idx val="2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06F4-473F-966F-9DACC2D3C68A}"/>
              </c:ext>
            </c:extLst>
          </c:dPt>
          <c:cat>
            <c:numRef>
              <c:f>[1]Prices!$A$413:$A$652</c:f>
              <c:numCache>
                <c:formatCode>General</c:formatCode>
                <c:ptCount val="240"/>
                <c:pt idx="0">
                  <c:v>38047</c:v>
                </c:pt>
                <c:pt idx="1">
                  <c:v>38078</c:v>
                </c:pt>
                <c:pt idx="2">
                  <c:v>38108</c:v>
                </c:pt>
                <c:pt idx="3">
                  <c:v>38139</c:v>
                </c:pt>
                <c:pt idx="4">
                  <c:v>38169</c:v>
                </c:pt>
                <c:pt idx="5">
                  <c:v>38200</c:v>
                </c:pt>
                <c:pt idx="6">
                  <c:v>38231</c:v>
                </c:pt>
                <c:pt idx="7">
                  <c:v>38261</c:v>
                </c:pt>
                <c:pt idx="8">
                  <c:v>38292</c:v>
                </c:pt>
                <c:pt idx="9">
                  <c:v>38322</c:v>
                </c:pt>
                <c:pt idx="10">
                  <c:v>38353</c:v>
                </c:pt>
                <c:pt idx="11">
                  <c:v>38384</c:v>
                </c:pt>
                <c:pt idx="12">
                  <c:v>38412</c:v>
                </c:pt>
                <c:pt idx="13">
                  <c:v>38443</c:v>
                </c:pt>
                <c:pt idx="14">
                  <c:v>38473</c:v>
                </c:pt>
                <c:pt idx="15">
                  <c:v>38504</c:v>
                </c:pt>
                <c:pt idx="16">
                  <c:v>38534</c:v>
                </c:pt>
                <c:pt idx="17">
                  <c:v>38565</c:v>
                </c:pt>
                <c:pt idx="18">
                  <c:v>38596</c:v>
                </c:pt>
                <c:pt idx="19">
                  <c:v>38626</c:v>
                </c:pt>
                <c:pt idx="20">
                  <c:v>38657</c:v>
                </c:pt>
                <c:pt idx="21">
                  <c:v>38687</c:v>
                </c:pt>
                <c:pt idx="22">
                  <c:v>38718</c:v>
                </c:pt>
                <c:pt idx="23">
                  <c:v>38749</c:v>
                </c:pt>
                <c:pt idx="24">
                  <c:v>38777</c:v>
                </c:pt>
                <c:pt idx="25">
                  <c:v>38808</c:v>
                </c:pt>
                <c:pt idx="26">
                  <c:v>38838</c:v>
                </c:pt>
                <c:pt idx="27">
                  <c:v>38869</c:v>
                </c:pt>
                <c:pt idx="28">
                  <c:v>38899</c:v>
                </c:pt>
                <c:pt idx="29">
                  <c:v>38930</c:v>
                </c:pt>
                <c:pt idx="30">
                  <c:v>38961</c:v>
                </c:pt>
                <c:pt idx="31">
                  <c:v>38991</c:v>
                </c:pt>
                <c:pt idx="32">
                  <c:v>39022</c:v>
                </c:pt>
                <c:pt idx="33">
                  <c:v>39052</c:v>
                </c:pt>
                <c:pt idx="34">
                  <c:v>39083</c:v>
                </c:pt>
                <c:pt idx="35">
                  <c:v>39114</c:v>
                </c:pt>
                <c:pt idx="36">
                  <c:v>39142</c:v>
                </c:pt>
                <c:pt idx="37">
                  <c:v>39173</c:v>
                </c:pt>
                <c:pt idx="38">
                  <c:v>39203</c:v>
                </c:pt>
                <c:pt idx="39">
                  <c:v>39234</c:v>
                </c:pt>
                <c:pt idx="40">
                  <c:v>39264</c:v>
                </c:pt>
                <c:pt idx="41">
                  <c:v>39295</c:v>
                </c:pt>
                <c:pt idx="42">
                  <c:v>39326</c:v>
                </c:pt>
                <c:pt idx="43">
                  <c:v>39356</c:v>
                </c:pt>
                <c:pt idx="44">
                  <c:v>39387</c:v>
                </c:pt>
                <c:pt idx="45">
                  <c:v>39417</c:v>
                </c:pt>
                <c:pt idx="46">
                  <c:v>39448</c:v>
                </c:pt>
                <c:pt idx="47">
                  <c:v>39479</c:v>
                </c:pt>
                <c:pt idx="48">
                  <c:v>39508</c:v>
                </c:pt>
                <c:pt idx="49">
                  <c:v>39539</c:v>
                </c:pt>
                <c:pt idx="50">
                  <c:v>39569</c:v>
                </c:pt>
                <c:pt idx="51">
                  <c:v>39600</c:v>
                </c:pt>
                <c:pt idx="52">
                  <c:v>39630</c:v>
                </c:pt>
                <c:pt idx="53">
                  <c:v>39661</c:v>
                </c:pt>
                <c:pt idx="54">
                  <c:v>39692</c:v>
                </c:pt>
                <c:pt idx="55">
                  <c:v>39722</c:v>
                </c:pt>
                <c:pt idx="56">
                  <c:v>39753</c:v>
                </c:pt>
                <c:pt idx="57">
                  <c:v>39783</c:v>
                </c:pt>
                <c:pt idx="58">
                  <c:v>39814</c:v>
                </c:pt>
                <c:pt idx="59">
                  <c:v>39845</c:v>
                </c:pt>
                <c:pt idx="60">
                  <c:v>39873</c:v>
                </c:pt>
                <c:pt idx="61">
                  <c:v>39904</c:v>
                </c:pt>
                <c:pt idx="62">
                  <c:v>39934</c:v>
                </c:pt>
                <c:pt idx="63">
                  <c:v>39965</c:v>
                </c:pt>
                <c:pt idx="64">
                  <c:v>39995</c:v>
                </c:pt>
                <c:pt idx="65">
                  <c:v>40026</c:v>
                </c:pt>
                <c:pt idx="66">
                  <c:v>40057</c:v>
                </c:pt>
                <c:pt idx="67">
                  <c:v>40087</c:v>
                </c:pt>
                <c:pt idx="68">
                  <c:v>40118</c:v>
                </c:pt>
                <c:pt idx="69">
                  <c:v>40148</c:v>
                </c:pt>
                <c:pt idx="70">
                  <c:v>40179</c:v>
                </c:pt>
                <c:pt idx="71">
                  <c:v>40210</c:v>
                </c:pt>
                <c:pt idx="72">
                  <c:v>40238</c:v>
                </c:pt>
                <c:pt idx="73">
                  <c:v>40269</c:v>
                </c:pt>
                <c:pt idx="74">
                  <c:v>40299</c:v>
                </c:pt>
                <c:pt idx="75">
                  <c:v>40330</c:v>
                </c:pt>
                <c:pt idx="76">
                  <c:v>40360</c:v>
                </c:pt>
                <c:pt idx="77">
                  <c:v>40391</c:v>
                </c:pt>
                <c:pt idx="78">
                  <c:v>40422</c:v>
                </c:pt>
                <c:pt idx="79">
                  <c:v>40452</c:v>
                </c:pt>
                <c:pt idx="80">
                  <c:v>40483</c:v>
                </c:pt>
                <c:pt idx="81">
                  <c:v>40513</c:v>
                </c:pt>
                <c:pt idx="82">
                  <c:v>40544</c:v>
                </c:pt>
                <c:pt idx="83">
                  <c:v>40575</c:v>
                </c:pt>
                <c:pt idx="84">
                  <c:v>40603</c:v>
                </c:pt>
                <c:pt idx="85">
                  <c:v>40634</c:v>
                </c:pt>
                <c:pt idx="86">
                  <c:v>40664</c:v>
                </c:pt>
                <c:pt idx="87">
                  <c:v>40695</c:v>
                </c:pt>
                <c:pt idx="88">
                  <c:v>40725</c:v>
                </c:pt>
                <c:pt idx="89">
                  <c:v>40756</c:v>
                </c:pt>
                <c:pt idx="90">
                  <c:v>40787</c:v>
                </c:pt>
                <c:pt idx="91">
                  <c:v>40817</c:v>
                </c:pt>
                <c:pt idx="92">
                  <c:v>40848</c:v>
                </c:pt>
                <c:pt idx="93">
                  <c:v>40878</c:v>
                </c:pt>
                <c:pt idx="94">
                  <c:v>40909</c:v>
                </c:pt>
                <c:pt idx="95">
                  <c:v>40940</c:v>
                </c:pt>
                <c:pt idx="96">
                  <c:v>40969</c:v>
                </c:pt>
                <c:pt idx="97">
                  <c:v>41000</c:v>
                </c:pt>
                <c:pt idx="98">
                  <c:v>41030</c:v>
                </c:pt>
                <c:pt idx="99">
                  <c:v>41061</c:v>
                </c:pt>
                <c:pt idx="100">
                  <c:v>41091</c:v>
                </c:pt>
                <c:pt idx="101">
                  <c:v>41122</c:v>
                </c:pt>
                <c:pt idx="102">
                  <c:v>41153</c:v>
                </c:pt>
                <c:pt idx="103">
                  <c:v>41183</c:v>
                </c:pt>
                <c:pt idx="104">
                  <c:v>41214</c:v>
                </c:pt>
                <c:pt idx="105">
                  <c:v>41244</c:v>
                </c:pt>
                <c:pt idx="106">
                  <c:v>41275</c:v>
                </c:pt>
                <c:pt idx="107">
                  <c:v>41306</c:v>
                </c:pt>
                <c:pt idx="108">
                  <c:v>41334</c:v>
                </c:pt>
                <c:pt idx="109">
                  <c:v>41365</c:v>
                </c:pt>
                <c:pt idx="110">
                  <c:v>41395</c:v>
                </c:pt>
                <c:pt idx="111">
                  <c:v>41426</c:v>
                </c:pt>
                <c:pt idx="112">
                  <c:v>41456</c:v>
                </c:pt>
                <c:pt idx="113">
                  <c:v>41487</c:v>
                </c:pt>
                <c:pt idx="114">
                  <c:v>41518</c:v>
                </c:pt>
                <c:pt idx="115">
                  <c:v>41548</c:v>
                </c:pt>
                <c:pt idx="116">
                  <c:v>41579</c:v>
                </c:pt>
                <c:pt idx="117">
                  <c:v>41609</c:v>
                </c:pt>
                <c:pt idx="118">
                  <c:v>41640</c:v>
                </c:pt>
                <c:pt idx="119">
                  <c:v>41671</c:v>
                </c:pt>
                <c:pt idx="120">
                  <c:v>41699</c:v>
                </c:pt>
                <c:pt idx="121">
                  <c:v>41730</c:v>
                </c:pt>
                <c:pt idx="122">
                  <c:v>41760</c:v>
                </c:pt>
                <c:pt idx="123">
                  <c:v>41791</c:v>
                </c:pt>
                <c:pt idx="124">
                  <c:v>41821</c:v>
                </c:pt>
                <c:pt idx="125">
                  <c:v>41852</c:v>
                </c:pt>
                <c:pt idx="126">
                  <c:v>41883</c:v>
                </c:pt>
                <c:pt idx="127">
                  <c:v>41913</c:v>
                </c:pt>
                <c:pt idx="128">
                  <c:v>41944</c:v>
                </c:pt>
                <c:pt idx="129">
                  <c:v>41974</c:v>
                </c:pt>
                <c:pt idx="130">
                  <c:v>42005</c:v>
                </c:pt>
                <c:pt idx="131">
                  <c:v>42036</c:v>
                </c:pt>
                <c:pt idx="132">
                  <c:v>42064</c:v>
                </c:pt>
                <c:pt idx="133">
                  <c:v>42095</c:v>
                </c:pt>
                <c:pt idx="134">
                  <c:v>42125</c:v>
                </c:pt>
                <c:pt idx="135">
                  <c:v>42156</c:v>
                </c:pt>
                <c:pt idx="136">
                  <c:v>42186</c:v>
                </c:pt>
                <c:pt idx="137">
                  <c:v>42217</c:v>
                </c:pt>
                <c:pt idx="138">
                  <c:v>42248</c:v>
                </c:pt>
                <c:pt idx="139">
                  <c:v>42278</c:v>
                </c:pt>
                <c:pt idx="140">
                  <c:v>42309</c:v>
                </c:pt>
                <c:pt idx="141">
                  <c:v>42339</c:v>
                </c:pt>
                <c:pt idx="142">
                  <c:v>42370</c:v>
                </c:pt>
                <c:pt idx="143">
                  <c:v>42401</c:v>
                </c:pt>
                <c:pt idx="144">
                  <c:v>42430</c:v>
                </c:pt>
                <c:pt idx="145">
                  <c:v>42461</c:v>
                </c:pt>
                <c:pt idx="146">
                  <c:v>42491</c:v>
                </c:pt>
                <c:pt idx="147">
                  <c:v>42522</c:v>
                </c:pt>
                <c:pt idx="148">
                  <c:v>42552</c:v>
                </c:pt>
                <c:pt idx="149">
                  <c:v>42583</c:v>
                </c:pt>
                <c:pt idx="150">
                  <c:v>42614</c:v>
                </c:pt>
                <c:pt idx="151">
                  <c:v>42644</c:v>
                </c:pt>
                <c:pt idx="152">
                  <c:v>42675</c:v>
                </c:pt>
                <c:pt idx="153">
                  <c:v>42705</c:v>
                </c:pt>
                <c:pt idx="154">
                  <c:v>42736</c:v>
                </c:pt>
                <c:pt idx="155">
                  <c:v>42767</c:v>
                </c:pt>
                <c:pt idx="156">
                  <c:v>42795</c:v>
                </c:pt>
                <c:pt idx="157">
                  <c:v>42826</c:v>
                </c:pt>
                <c:pt idx="158">
                  <c:v>42856</c:v>
                </c:pt>
                <c:pt idx="159">
                  <c:v>42887</c:v>
                </c:pt>
                <c:pt idx="160">
                  <c:v>42917</c:v>
                </c:pt>
                <c:pt idx="161">
                  <c:v>42948</c:v>
                </c:pt>
                <c:pt idx="162">
                  <c:v>42979</c:v>
                </c:pt>
                <c:pt idx="163">
                  <c:v>43009</c:v>
                </c:pt>
                <c:pt idx="164">
                  <c:v>43040</c:v>
                </c:pt>
                <c:pt idx="165">
                  <c:v>43070</c:v>
                </c:pt>
                <c:pt idx="166">
                  <c:v>43101</c:v>
                </c:pt>
                <c:pt idx="167">
                  <c:v>43132</c:v>
                </c:pt>
                <c:pt idx="168">
                  <c:v>43160</c:v>
                </c:pt>
                <c:pt idx="169">
                  <c:v>43191</c:v>
                </c:pt>
                <c:pt idx="170">
                  <c:v>43221</c:v>
                </c:pt>
                <c:pt idx="171">
                  <c:v>43252</c:v>
                </c:pt>
                <c:pt idx="172">
                  <c:v>43282</c:v>
                </c:pt>
                <c:pt idx="173">
                  <c:v>43313</c:v>
                </c:pt>
                <c:pt idx="174">
                  <c:v>43344</c:v>
                </c:pt>
                <c:pt idx="175">
                  <c:v>43374</c:v>
                </c:pt>
                <c:pt idx="176">
                  <c:v>43405</c:v>
                </c:pt>
                <c:pt idx="177">
                  <c:v>43435</c:v>
                </c:pt>
                <c:pt idx="178">
                  <c:v>43466</c:v>
                </c:pt>
                <c:pt idx="179">
                  <c:v>43497</c:v>
                </c:pt>
                <c:pt idx="180">
                  <c:v>43525</c:v>
                </c:pt>
                <c:pt idx="181">
                  <c:v>43556</c:v>
                </c:pt>
                <c:pt idx="182">
                  <c:v>43586</c:v>
                </c:pt>
                <c:pt idx="183">
                  <c:v>43617</c:v>
                </c:pt>
                <c:pt idx="184">
                  <c:v>43647</c:v>
                </c:pt>
                <c:pt idx="185">
                  <c:v>43678</c:v>
                </c:pt>
                <c:pt idx="186">
                  <c:v>43709</c:v>
                </c:pt>
                <c:pt idx="187">
                  <c:v>43739</c:v>
                </c:pt>
                <c:pt idx="188">
                  <c:v>43770</c:v>
                </c:pt>
                <c:pt idx="189">
                  <c:v>43800</c:v>
                </c:pt>
                <c:pt idx="190">
                  <c:v>43831</c:v>
                </c:pt>
                <c:pt idx="191">
                  <c:v>43862</c:v>
                </c:pt>
                <c:pt idx="192">
                  <c:v>43891</c:v>
                </c:pt>
                <c:pt idx="193">
                  <c:v>43922</c:v>
                </c:pt>
                <c:pt idx="194">
                  <c:v>43952</c:v>
                </c:pt>
                <c:pt idx="195">
                  <c:v>43983</c:v>
                </c:pt>
                <c:pt idx="196">
                  <c:v>44013</c:v>
                </c:pt>
                <c:pt idx="197">
                  <c:v>44044</c:v>
                </c:pt>
                <c:pt idx="198">
                  <c:v>44075</c:v>
                </c:pt>
                <c:pt idx="199">
                  <c:v>44105</c:v>
                </c:pt>
                <c:pt idx="200">
                  <c:v>44136</c:v>
                </c:pt>
                <c:pt idx="201">
                  <c:v>44166</c:v>
                </c:pt>
                <c:pt idx="202">
                  <c:v>44197</c:v>
                </c:pt>
                <c:pt idx="203">
                  <c:v>44228</c:v>
                </c:pt>
                <c:pt idx="204">
                  <c:v>44256</c:v>
                </c:pt>
                <c:pt idx="205">
                  <c:v>44287</c:v>
                </c:pt>
                <c:pt idx="206">
                  <c:v>44317</c:v>
                </c:pt>
                <c:pt idx="207">
                  <c:v>44348</c:v>
                </c:pt>
                <c:pt idx="208">
                  <c:v>44378</c:v>
                </c:pt>
                <c:pt idx="209">
                  <c:v>44409</c:v>
                </c:pt>
                <c:pt idx="210">
                  <c:v>44440</c:v>
                </c:pt>
                <c:pt idx="211">
                  <c:v>44470</c:v>
                </c:pt>
                <c:pt idx="212">
                  <c:v>44501</c:v>
                </c:pt>
                <c:pt idx="213">
                  <c:v>44531</c:v>
                </c:pt>
                <c:pt idx="214">
                  <c:v>44562</c:v>
                </c:pt>
                <c:pt idx="215">
                  <c:v>44593</c:v>
                </c:pt>
                <c:pt idx="216">
                  <c:v>44621</c:v>
                </c:pt>
                <c:pt idx="217">
                  <c:v>44652</c:v>
                </c:pt>
                <c:pt idx="218">
                  <c:v>44682</c:v>
                </c:pt>
                <c:pt idx="219">
                  <c:v>44713</c:v>
                </c:pt>
                <c:pt idx="220">
                  <c:v>44743</c:v>
                </c:pt>
                <c:pt idx="221">
                  <c:v>44774</c:v>
                </c:pt>
                <c:pt idx="222">
                  <c:v>44805</c:v>
                </c:pt>
                <c:pt idx="223">
                  <c:v>44835</c:v>
                </c:pt>
                <c:pt idx="224">
                  <c:v>44866</c:v>
                </c:pt>
                <c:pt idx="225">
                  <c:v>44896</c:v>
                </c:pt>
                <c:pt idx="226">
                  <c:v>44927</c:v>
                </c:pt>
                <c:pt idx="227">
                  <c:v>44958</c:v>
                </c:pt>
                <c:pt idx="228">
                  <c:v>44986</c:v>
                </c:pt>
                <c:pt idx="229">
                  <c:v>45017</c:v>
                </c:pt>
                <c:pt idx="230">
                  <c:v>45047</c:v>
                </c:pt>
                <c:pt idx="231">
                  <c:v>45078</c:v>
                </c:pt>
                <c:pt idx="232">
                  <c:v>45108</c:v>
                </c:pt>
                <c:pt idx="233">
                  <c:v>45139</c:v>
                </c:pt>
                <c:pt idx="234">
                  <c:v>45170</c:v>
                </c:pt>
                <c:pt idx="235">
                  <c:v>45200</c:v>
                </c:pt>
                <c:pt idx="236">
                  <c:v>45231</c:v>
                </c:pt>
                <c:pt idx="237">
                  <c:v>45261</c:v>
                </c:pt>
                <c:pt idx="238">
                  <c:v>45292</c:v>
                </c:pt>
                <c:pt idx="239">
                  <c:v>45323</c:v>
                </c:pt>
              </c:numCache>
            </c:numRef>
          </c:cat>
          <c:val>
            <c:numRef>
              <c:f>[1]Prices!$Z$413:$Z$656</c:f>
              <c:numCache>
                <c:formatCode>General</c:formatCode>
                <c:ptCount val="244"/>
                <c:pt idx="0">
                  <c:v>-0.25</c:v>
                </c:pt>
                <c:pt idx="1">
                  <c:v>-0.25</c:v>
                </c:pt>
                <c:pt idx="2">
                  <c:v>-0.23</c:v>
                </c:pt>
                <c:pt idx="3">
                  <c:v>35.3247</c:v>
                </c:pt>
                <c:pt idx="4">
                  <c:v>33.977600000000002</c:v>
                </c:pt>
                <c:pt idx="5">
                  <c:v>31.954000000000001</c:v>
                </c:pt>
                <c:pt idx="6">
                  <c:v>32.154699999999998</c:v>
                </c:pt>
                <c:pt idx="7">
                  <c:v>29.848800000000001</c:v>
                </c:pt>
                <c:pt idx="8">
                  <c:v>33.9285</c:v>
                </c:pt>
                <c:pt idx="9">
                  <c:v>32.174199999999999</c:v>
                </c:pt>
                <c:pt idx="10">
                  <c:v>28.314</c:v>
                </c:pt>
                <c:pt idx="11">
                  <c:v>29.132100000000001</c:v>
                </c:pt>
                <c:pt idx="12">
                  <c:v>34.124499999999998</c:v>
                </c:pt>
                <c:pt idx="13">
                  <c:v>34.331400000000002</c:v>
                </c:pt>
                <c:pt idx="14">
                  <c:v>33.456099999999999</c:v>
                </c:pt>
                <c:pt idx="15">
                  <c:v>33.7104</c:v>
                </c:pt>
                <c:pt idx="16">
                  <c:v>33.296500000000002</c:v>
                </c:pt>
                <c:pt idx="17">
                  <c:v>31.920400000000001</c:v>
                </c:pt>
                <c:pt idx="18">
                  <c:v>33.246600000000001</c:v>
                </c:pt>
                <c:pt idx="19">
                  <c:v>34.695700000000002</c:v>
                </c:pt>
                <c:pt idx="20">
                  <c:v>32.631999999999998</c:v>
                </c:pt>
                <c:pt idx="21">
                  <c:v>29.997</c:v>
                </c:pt>
                <c:pt idx="22">
                  <c:v>29.032</c:v>
                </c:pt>
                <c:pt idx="23">
                  <c:v>28.940999999999999</c:v>
                </c:pt>
                <c:pt idx="24">
                  <c:v>31.6769</c:v>
                </c:pt>
                <c:pt idx="25">
                  <c:v>32.1736</c:v>
                </c:pt>
                <c:pt idx="26">
                  <c:v>34.944000000000003</c:v>
                </c:pt>
                <c:pt idx="27">
                  <c:v>34.862200000000001</c:v>
                </c:pt>
                <c:pt idx="28">
                  <c:v>36.606999999999999</c:v>
                </c:pt>
                <c:pt idx="29">
                  <c:v>35.304699999999997</c:v>
                </c:pt>
                <c:pt idx="30">
                  <c:v>35.330500000000001</c:v>
                </c:pt>
                <c:pt idx="31">
                  <c:v>37.463099999999997</c:v>
                </c:pt>
                <c:pt idx="32">
                  <c:v>40.256</c:v>
                </c:pt>
                <c:pt idx="33">
                  <c:v>39.664000000000001</c:v>
                </c:pt>
                <c:pt idx="34">
                  <c:v>38.338999999999999</c:v>
                </c:pt>
                <c:pt idx="35">
                  <c:v>39.476300000000002</c:v>
                </c:pt>
                <c:pt idx="36">
                  <c:v>39.4163</c:v>
                </c:pt>
                <c:pt idx="37">
                  <c:v>39.965699999999998</c:v>
                </c:pt>
                <c:pt idx="38">
                  <c:v>42.359499999999997</c:v>
                </c:pt>
                <c:pt idx="39">
                  <c:v>44.024700000000003</c:v>
                </c:pt>
                <c:pt idx="40">
                  <c:v>46.988999999999997</c:v>
                </c:pt>
                <c:pt idx="41">
                  <c:v>46.901299999999999</c:v>
                </c:pt>
                <c:pt idx="42">
                  <c:v>51.52</c:v>
                </c:pt>
                <c:pt idx="43">
                  <c:v>55.290399999999998</c:v>
                </c:pt>
                <c:pt idx="44">
                  <c:v>58.707999999999998</c:v>
                </c:pt>
                <c:pt idx="45">
                  <c:v>59.820999999999998</c:v>
                </c:pt>
                <c:pt idx="46">
                  <c:v>65.177599999999998</c:v>
                </c:pt>
                <c:pt idx="47">
                  <c:v>71.618499999999997</c:v>
                </c:pt>
                <c:pt idx="48">
                  <c:v>73.590500000000006</c:v>
                </c:pt>
                <c:pt idx="49">
                  <c:v>72.471299999999999</c:v>
                </c:pt>
                <c:pt idx="50">
                  <c:v>74.085700000000003</c:v>
                </c:pt>
                <c:pt idx="51">
                  <c:v>76.811899999999994</c:v>
                </c:pt>
                <c:pt idx="52">
                  <c:v>74.517200000000003</c:v>
                </c:pt>
                <c:pt idx="53">
                  <c:v>63.018500000000003</c:v>
                </c:pt>
                <c:pt idx="54">
                  <c:v>56.219499999999996</c:v>
                </c:pt>
                <c:pt idx="55">
                  <c:v>47.186</c:v>
                </c:pt>
                <c:pt idx="56">
                  <c:v>42.045200000000001</c:v>
                </c:pt>
                <c:pt idx="57">
                  <c:v>39.098599999999998</c:v>
                </c:pt>
                <c:pt idx="58">
                  <c:v>40.2605</c:v>
                </c:pt>
                <c:pt idx="59">
                  <c:v>37.046799999999998</c:v>
                </c:pt>
                <c:pt idx="60">
                  <c:v>36.049999999999997</c:v>
                </c:pt>
                <c:pt idx="61">
                  <c:v>40.263300000000001</c:v>
                </c:pt>
                <c:pt idx="62">
                  <c:v>43.67</c:v>
                </c:pt>
                <c:pt idx="63">
                  <c:v>44.089500000000001</c:v>
                </c:pt>
                <c:pt idx="64">
                  <c:v>41.892200000000003</c:v>
                </c:pt>
                <c:pt idx="65">
                  <c:v>45.4833</c:v>
                </c:pt>
                <c:pt idx="66">
                  <c:v>41.8309</c:v>
                </c:pt>
                <c:pt idx="67">
                  <c:v>43.594999999999999</c:v>
                </c:pt>
                <c:pt idx="68">
                  <c:v>46.622500000000002</c:v>
                </c:pt>
                <c:pt idx="69">
                  <c:v>47.033099999999997</c:v>
                </c:pt>
                <c:pt idx="70">
                  <c:v>44.061</c:v>
                </c:pt>
                <c:pt idx="71">
                  <c:v>43.935699999999997</c:v>
                </c:pt>
                <c:pt idx="72">
                  <c:v>44.695999999999998</c:v>
                </c:pt>
                <c:pt idx="73">
                  <c:v>44.372300000000003</c:v>
                </c:pt>
                <c:pt idx="74">
                  <c:v>42.500999999999998</c:v>
                </c:pt>
                <c:pt idx="75">
                  <c:v>42.906300000000002</c:v>
                </c:pt>
                <c:pt idx="76">
                  <c:v>46.2209</c:v>
                </c:pt>
                <c:pt idx="77">
                  <c:v>48.727699999999999</c:v>
                </c:pt>
                <c:pt idx="78">
                  <c:v>48.954700000000003</c:v>
                </c:pt>
                <c:pt idx="79">
                  <c:v>52.412300000000002</c:v>
                </c:pt>
                <c:pt idx="80">
                  <c:v>55.437600000000003</c:v>
                </c:pt>
                <c:pt idx="81">
                  <c:v>59.100900000000003</c:v>
                </c:pt>
                <c:pt idx="82">
                  <c:v>60.7455</c:v>
                </c:pt>
                <c:pt idx="83">
                  <c:v>61.031500000000001</c:v>
                </c:pt>
                <c:pt idx="84">
                  <c:v>61.055199999999999</c:v>
                </c:pt>
                <c:pt idx="85">
                  <c:v>63.170999999999999</c:v>
                </c:pt>
                <c:pt idx="86">
                  <c:v>62.238999999999997</c:v>
                </c:pt>
                <c:pt idx="87">
                  <c:v>61.626300000000001</c:v>
                </c:pt>
                <c:pt idx="88">
                  <c:v>62.262</c:v>
                </c:pt>
                <c:pt idx="89">
                  <c:v>61.594700000000003</c:v>
                </c:pt>
                <c:pt idx="90">
                  <c:v>61.0657</c:v>
                </c:pt>
                <c:pt idx="91">
                  <c:v>59.011400000000002</c:v>
                </c:pt>
                <c:pt idx="92">
                  <c:v>59.336599999999997</c:v>
                </c:pt>
                <c:pt idx="93">
                  <c:v>58.209000000000003</c:v>
                </c:pt>
                <c:pt idx="94">
                  <c:v>58.1325</c:v>
                </c:pt>
                <c:pt idx="95">
                  <c:v>59.280500000000004</c:v>
                </c:pt>
                <c:pt idx="96">
                  <c:v>61.055900000000001</c:v>
                </c:pt>
                <c:pt idx="97">
                  <c:v>62.947499999999998</c:v>
                </c:pt>
                <c:pt idx="98">
                  <c:v>60.384999999999998</c:v>
                </c:pt>
                <c:pt idx="99">
                  <c:v>60.366700000000002</c:v>
                </c:pt>
                <c:pt idx="100">
                  <c:v>64.307599999999994</c:v>
                </c:pt>
                <c:pt idx="101">
                  <c:v>63.730899999999998</c:v>
                </c:pt>
                <c:pt idx="102">
                  <c:v>64.228399999999993</c:v>
                </c:pt>
                <c:pt idx="103">
                  <c:v>62.069600000000001</c:v>
                </c:pt>
                <c:pt idx="104">
                  <c:v>59.417299999999997</c:v>
                </c:pt>
                <c:pt idx="105">
                  <c:v>58.735500000000002</c:v>
                </c:pt>
                <c:pt idx="106">
                  <c:v>60.016199999999998</c:v>
                </c:pt>
                <c:pt idx="107">
                  <c:v>60.952599999999997</c:v>
                </c:pt>
                <c:pt idx="108">
                  <c:v>60.4</c:v>
                </c:pt>
                <c:pt idx="109">
                  <c:v>64.556799999999996</c:v>
                </c:pt>
                <c:pt idx="110">
                  <c:v>64.290499999999994</c:v>
                </c:pt>
                <c:pt idx="111">
                  <c:v>61.517000000000003</c:v>
                </c:pt>
                <c:pt idx="112">
                  <c:v>57.3996</c:v>
                </c:pt>
                <c:pt idx="113">
                  <c:v>52.412700000000001</c:v>
                </c:pt>
                <c:pt idx="114">
                  <c:v>51.182000000000002</c:v>
                </c:pt>
                <c:pt idx="115">
                  <c:v>48.380400000000002</c:v>
                </c:pt>
                <c:pt idx="116">
                  <c:v>47.5015</c:v>
                </c:pt>
                <c:pt idx="117">
                  <c:v>45.551900000000003</c:v>
                </c:pt>
                <c:pt idx="118">
                  <c:v>43.264800000000001</c:v>
                </c:pt>
                <c:pt idx="119">
                  <c:v>46.6295</c:v>
                </c:pt>
                <c:pt idx="120">
                  <c:v>50.0762</c:v>
                </c:pt>
                <c:pt idx="121">
                  <c:v>51.584299999999999</c:v>
                </c:pt>
                <c:pt idx="122">
                  <c:v>49.852899999999998</c:v>
                </c:pt>
                <c:pt idx="123">
                  <c:v>48.855200000000004</c:v>
                </c:pt>
                <c:pt idx="124">
                  <c:v>46.1995</c:v>
                </c:pt>
                <c:pt idx="125">
                  <c:v>43.285699999999999</c:v>
                </c:pt>
                <c:pt idx="126">
                  <c:v>42.217100000000002</c:v>
                </c:pt>
                <c:pt idx="127">
                  <c:v>43.631700000000002</c:v>
                </c:pt>
                <c:pt idx="128">
                  <c:v>42.472099999999998</c:v>
                </c:pt>
                <c:pt idx="129">
                  <c:v>41.307099999999998</c:v>
                </c:pt>
                <c:pt idx="130">
                  <c:v>41.877499999999998</c:v>
                </c:pt>
                <c:pt idx="131">
                  <c:v>40.723700000000001</c:v>
                </c:pt>
                <c:pt idx="132">
                  <c:v>39.461399999999998</c:v>
                </c:pt>
                <c:pt idx="133">
                  <c:v>36.270000000000003</c:v>
                </c:pt>
                <c:pt idx="134">
                  <c:v>36.150500000000001</c:v>
                </c:pt>
                <c:pt idx="135">
                  <c:v>37.639499999999998</c:v>
                </c:pt>
                <c:pt idx="136">
                  <c:v>36.3523</c:v>
                </c:pt>
                <c:pt idx="137">
                  <c:v>33.2986</c:v>
                </c:pt>
                <c:pt idx="138">
                  <c:v>31.523299999999999</c:v>
                </c:pt>
                <c:pt idx="139">
                  <c:v>32.539099999999998</c:v>
                </c:pt>
                <c:pt idx="140">
                  <c:v>30.634</c:v>
                </c:pt>
                <c:pt idx="141">
                  <c:v>33.195500000000003</c:v>
                </c:pt>
                <c:pt idx="142">
                  <c:v>32.938899999999997</c:v>
                </c:pt>
                <c:pt idx="143">
                  <c:v>34.8825</c:v>
                </c:pt>
                <c:pt idx="144">
                  <c:v>35.476399999999998</c:v>
                </c:pt>
                <c:pt idx="145">
                  <c:v>36.9529</c:v>
                </c:pt>
                <c:pt idx="146">
                  <c:v>35.268999999999998</c:v>
                </c:pt>
                <c:pt idx="147">
                  <c:v>36.0627</c:v>
                </c:pt>
                <c:pt idx="148">
                  <c:v>34.643999999999998</c:v>
                </c:pt>
                <c:pt idx="149">
                  <c:v>38.0991</c:v>
                </c:pt>
                <c:pt idx="150">
                  <c:v>39.0486</c:v>
                </c:pt>
                <c:pt idx="151">
                  <c:v>40.598599999999998</c:v>
                </c:pt>
                <c:pt idx="152">
                  <c:v>41.048099999999998</c:v>
                </c:pt>
                <c:pt idx="153">
                  <c:v>41.288600000000002</c:v>
                </c:pt>
                <c:pt idx="154">
                  <c:v>39.861499999999999</c:v>
                </c:pt>
                <c:pt idx="155">
                  <c:v>38.448399999999999</c:v>
                </c:pt>
                <c:pt idx="156">
                  <c:v>37.666499999999999</c:v>
                </c:pt>
                <c:pt idx="157">
                  <c:v>36.788400000000003</c:v>
                </c:pt>
                <c:pt idx="158">
                  <c:v>37.740900000000003</c:v>
                </c:pt>
                <c:pt idx="159">
                  <c:v>37.220500000000001</c:v>
                </c:pt>
                <c:pt idx="160">
                  <c:v>39.085000000000001</c:v>
                </c:pt>
                <c:pt idx="161">
                  <c:v>40.159599999999998</c:v>
                </c:pt>
                <c:pt idx="162">
                  <c:v>40.567500000000003</c:v>
                </c:pt>
                <c:pt idx="163">
                  <c:v>39.887700000000002</c:v>
                </c:pt>
                <c:pt idx="164">
                  <c:v>40.660499999999999</c:v>
                </c:pt>
                <c:pt idx="165">
                  <c:v>39.433500000000002</c:v>
                </c:pt>
                <c:pt idx="166">
                  <c:v>39.267099999999999</c:v>
                </c:pt>
                <c:pt idx="167">
                  <c:v>38.452100000000002</c:v>
                </c:pt>
                <c:pt idx="168">
                  <c:v>38.184800000000003</c:v>
                </c:pt>
                <c:pt idx="169">
                  <c:v>37.598599999999998</c:v>
                </c:pt>
                <c:pt idx="170">
                  <c:v>37.336799999999997</c:v>
                </c:pt>
                <c:pt idx="171">
                  <c:v>37.142400000000002</c:v>
                </c:pt>
                <c:pt idx="172">
                  <c:v>37.249000000000002</c:v>
                </c:pt>
                <c:pt idx="173">
                  <c:v>37.837800000000001</c:v>
                </c:pt>
                <c:pt idx="174">
                  <c:v>37.2211</c:v>
                </c:pt>
                <c:pt idx="175">
                  <c:v>39.1496</c:v>
                </c:pt>
                <c:pt idx="176">
                  <c:v>38.441000000000003</c:v>
                </c:pt>
                <c:pt idx="177">
                  <c:v>39.072499999999998</c:v>
                </c:pt>
                <c:pt idx="178">
                  <c:v>38.988999999999997</c:v>
                </c:pt>
                <c:pt idx="179">
                  <c:v>38.765300000000003</c:v>
                </c:pt>
                <c:pt idx="180">
                  <c:v>37.463799999999999</c:v>
                </c:pt>
                <c:pt idx="181">
                  <c:v>35.592399999999998</c:v>
                </c:pt>
                <c:pt idx="182">
                  <c:v>34.980499999999999</c:v>
                </c:pt>
                <c:pt idx="183">
                  <c:v>35.603000000000002</c:v>
                </c:pt>
                <c:pt idx="184">
                  <c:v>35.486800000000002</c:v>
                </c:pt>
                <c:pt idx="185">
                  <c:v>36.638199999999998</c:v>
                </c:pt>
                <c:pt idx="186">
                  <c:v>37.350499999999997</c:v>
                </c:pt>
                <c:pt idx="187">
                  <c:v>38.78</c:v>
                </c:pt>
                <c:pt idx="188">
                  <c:v>37.582999999999998</c:v>
                </c:pt>
                <c:pt idx="189">
                  <c:v>38.439500000000002</c:v>
                </c:pt>
                <c:pt idx="190">
                  <c:v>38.566699999999997</c:v>
                </c:pt>
                <c:pt idx="191">
                  <c:v>35.866799999999998</c:v>
                </c:pt>
                <c:pt idx="192">
                  <c:v>33.244999999999997</c:v>
                </c:pt>
                <c:pt idx="193">
                  <c:v>33.333799999999997</c:v>
                </c:pt>
                <c:pt idx="194">
                  <c:v>32.503500000000003</c:v>
                </c:pt>
                <c:pt idx="195">
                  <c:v>35.277700000000003</c:v>
                </c:pt>
                <c:pt idx="196">
                  <c:v>41.952300000000001</c:v>
                </c:pt>
                <c:pt idx="197">
                  <c:v>46.604799999999997</c:v>
                </c:pt>
                <c:pt idx="198">
                  <c:v>48.5105</c:v>
                </c:pt>
                <c:pt idx="199">
                  <c:v>48.276800000000001</c:v>
                </c:pt>
                <c:pt idx="200">
                  <c:v>50.557499999999997</c:v>
                </c:pt>
                <c:pt idx="201">
                  <c:v>54.571399999999997</c:v>
                </c:pt>
                <c:pt idx="202">
                  <c:v>57.733199999999997</c:v>
                </c:pt>
                <c:pt idx="203">
                  <c:v>62.683199999999999</c:v>
                </c:pt>
                <c:pt idx="204">
                  <c:v>72.630899999999997</c:v>
                </c:pt>
                <c:pt idx="205">
                  <c:v>88.140500000000003</c:v>
                </c:pt>
                <c:pt idx="206">
                  <c:v>103.6395</c:v>
                </c:pt>
                <c:pt idx="207">
                  <c:v>99.152299999999997</c:v>
                </c:pt>
                <c:pt idx="208">
                  <c:v>96.620999999999995</c:v>
                </c:pt>
                <c:pt idx="209">
                  <c:v>91.145899999999997</c:v>
                </c:pt>
                <c:pt idx="210">
                  <c:v>83.7286</c:v>
                </c:pt>
                <c:pt idx="211">
                  <c:v>86.846199999999996</c:v>
                </c:pt>
                <c:pt idx="212">
                  <c:v>90.849500000000006</c:v>
                </c:pt>
                <c:pt idx="213">
                  <c:v>87.157600000000002</c:v>
                </c:pt>
                <c:pt idx="214">
                  <c:v>92.68</c:v>
                </c:pt>
                <c:pt idx="215">
                  <c:v>99.012600000000006</c:v>
                </c:pt>
                <c:pt idx="216">
                  <c:v>102.7022</c:v>
                </c:pt>
                <c:pt idx="217">
                  <c:v>109.152</c:v>
                </c:pt>
                <c:pt idx="218">
                  <c:v>114.86190000000001</c:v>
                </c:pt>
                <c:pt idx="219">
                  <c:v>111.33</c:v>
                </c:pt>
                <c:pt idx="220">
                  <c:v>96.397999999999996</c:v>
                </c:pt>
                <c:pt idx="221">
                  <c:v>97.350399999999993</c:v>
                </c:pt>
                <c:pt idx="222">
                  <c:v>90.587599999999995</c:v>
                </c:pt>
                <c:pt idx="223">
                  <c:v>88.137600000000006</c:v>
                </c:pt>
                <c:pt idx="224">
                  <c:v>93.081900000000005</c:v>
                </c:pt>
                <c:pt idx="225">
                  <c:v>82.203800000000001</c:v>
                </c:pt>
                <c:pt idx="226">
                  <c:v>80.384</c:v>
                </c:pt>
                <c:pt idx="227">
                  <c:v>76.467399999999998</c:v>
                </c:pt>
                <c:pt idx="228">
                  <c:v>71.804299999999998</c:v>
                </c:pt>
                <c:pt idx="229">
                  <c:v>68.944199999999995</c:v>
                </c:pt>
                <c:pt idx="230">
                  <c:v>65.765500000000003</c:v>
                </c:pt>
                <c:pt idx="231">
                  <c:v>75.456199999999995</c:v>
                </c:pt>
                <c:pt idx="232">
                  <c:v>87.39</c:v>
                </c:pt>
                <c:pt idx="233">
                  <c:v>84.650899999999993</c:v>
                </c:pt>
                <c:pt idx="234">
                  <c:v>78.456500000000005</c:v>
                </c:pt>
                <c:pt idx="235">
                  <c:v>70.656800000000004</c:v>
                </c:pt>
                <c:pt idx="236">
                  <c:v>67.099999999999994</c:v>
                </c:pt>
                <c:pt idx="237">
                  <c:v>64.906499999999994</c:v>
                </c:pt>
                <c:pt idx="238">
                  <c:v>60.564300000000003</c:v>
                </c:pt>
                <c:pt idx="239">
                  <c:v>57.365000000000002</c:v>
                </c:pt>
                <c:pt idx="240">
                  <c:v>58.494</c:v>
                </c:pt>
                <c:pt idx="241">
                  <c:v>56.967300000000002</c:v>
                </c:pt>
                <c:pt idx="242">
                  <c:v>54.816800000000001</c:v>
                </c:pt>
                <c:pt idx="243">
                  <c:v>54.206800000000001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F4-473F-966F-9DACC2D3C68A}"/>
            </c:ext>
          </c:extLst>
        </c:ser>
        <c:ser>
          <c:idx val="2"/>
          <c:order val="1"/>
          <c:tx>
            <c:v>Soybean Oil - RBD - Central Illinois</c:v>
          </c:tx>
          <c:spPr>
            <a:ln w="15875" cap="rnd">
              <a:solidFill>
                <a:srgbClr val="215ADE"/>
              </a:solidFill>
              <a:round/>
            </a:ln>
            <a:effectLst/>
          </c:spPr>
          <c:marker>
            <c:symbol val="none"/>
          </c:marker>
          <c:cat>
            <c:numRef>
              <c:f>[1]Prices!$A$413:$A$652</c:f>
              <c:numCache>
                <c:formatCode>General</c:formatCode>
                <c:ptCount val="240"/>
                <c:pt idx="0">
                  <c:v>38047</c:v>
                </c:pt>
                <c:pt idx="1">
                  <c:v>38078</c:v>
                </c:pt>
                <c:pt idx="2">
                  <c:v>38108</c:v>
                </c:pt>
                <c:pt idx="3">
                  <c:v>38139</c:v>
                </c:pt>
                <c:pt idx="4">
                  <c:v>38169</c:v>
                </c:pt>
                <c:pt idx="5">
                  <c:v>38200</c:v>
                </c:pt>
                <c:pt idx="6">
                  <c:v>38231</c:v>
                </c:pt>
                <c:pt idx="7">
                  <c:v>38261</c:v>
                </c:pt>
                <c:pt idx="8">
                  <c:v>38292</c:v>
                </c:pt>
                <c:pt idx="9">
                  <c:v>38322</c:v>
                </c:pt>
                <c:pt idx="10">
                  <c:v>38353</c:v>
                </c:pt>
                <c:pt idx="11">
                  <c:v>38384</c:v>
                </c:pt>
                <c:pt idx="12">
                  <c:v>38412</c:v>
                </c:pt>
                <c:pt idx="13">
                  <c:v>38443</c:v>
                </c:pt>
                <c:pt idx="14">
                  <c:v>38473</c:v>
                </c:pt>
                <c:pt idx="15">
                  <c:v>38504</c:v>
                </c:pt>
                <c:pt idx="16">
                  <c:v>38534</c:v>
                </c:pt>
                <c:pt idx="17">
                  <c:v>38565</c:v>
                </c:pt>
                <c:pt idx="18">
                  <c:v>38596</c:v>
                </c:pt>
                <c:pt idx="19">
                  <c:v>38626</c:v>
                </c:pt>
                <c:pt idx="20">
                  <c:v>38657</c:v>
                </c:pt>
                <c:pt idx="21">
                  <c:v>38687</c:v>
                </c:pt>
                <c:pt idx="22">
                  <c:v>38718</c:v>
                </c:pt>
                <c:pt idx="23">
                  <c:v>38749</c:v>
                </c:pt>
                <c:pt idx="24">
                  <c:v>38777</c:v>
                </c:pt>
                <c:pt idx="25">
                  <c:v>38808</c:v>
                </c:pt>
                <c:pt idx="26">
                  <c:v>38838</c:v>
                </c:pt>
                <c:pt idx="27">
                  <c:v>38869</c:v>
                </c:pt>
                <c:pt idx="28">
                  <c:v>38899</c:v>
                </c:pt>
                <c:pt idx="29">
                  <c:v>38930</c:v>
                </c:pt>
                <c:pt idx="30">
                  <c:v>38961</c:v>
                </c:pt>
                <c:pt idx="31">
                  <c:v>38991</c:v>
                </c:pt>
                <c:pt idx="32">
                  <c:v>39022</c:v>
                </c:pt>
                <c:pt idx="33">
                  <c:v>39052</c:v>
                </c:pt>
                <c:pt idx="34">
                  <c:v>39083</c:v>
                </c:pt>
                <c:pt idx="35">
                  <c:v>39114</c:v>
                </c:pt>
                <c:pt idx="36">
                  <c:v>39142</c:v>
                </c:pt>
                <c:pt idx="37">
                  <c:v>39173</c:v>
                </c:pt>
                <c:pt idx="38">
                  <c:v>39203</c:v>
                </c:pt>
                <c:pt idx="39">
                  <c:v>39234</c:v>
                </c:pt>
                <c:pt idx="40">
                  <c:v>39264</c:v>
                </c:pt>
                <c:pt idx="41">
                  <c:v>39295</c:v>
                </c:pt>
                <c:pt idx="42">
                  <c:v>39326</c:v>
                </c:pt>
                <c:pt idx="43">
                  <c:v>39356</c:v>
                </c:pt>
                <c:pt idx="44">
                  <c:v>39387</c:v>
                </c:pt>
                <c:pt idx="45">
                  <c:v>39417</c:v>
                </c:pt>
                <c:pt idx="46">
                  <c:v>39448</c:v>
                </c:pt>
                <c:pt idx="47">
                  <c:v>39479</c:v>
                </c:pt>
                <c:pt idx="48">
                  <c:v>39508</c:v>
                </c:pt>
                <c:pt idx="49">
                  <c:v>39539</c:v>
                </c:pt>
                <c:pt idx="50">
                  <c:v>39569</c:v>
                </c:pt>
                <c:pt idx="51">
                  <c:v>39600</c:v>
                </c:pt>
                <c:pt idx="52">
                  <c:v>39630</c:v>
                </c:pt>
                <c:pt idx="53">
                  <c:v>39661</c:v>
                </c:pt>
                <c:pt idx="54">
                  <c:v>39692</c:v>
                </c:pt>
                <c:pt idx="55">
                  <c:v>39722</c:v>
                </c:pt>
                <c:pt idx="56">
                  <c:v>39753</c:v>
                </c:pt>
                <c:pt idx="57">
                  <c:v>39783</c:v>
                </c:pt>
                <c:pt idx="58">
                  <c:v>39814</c:v>
                </c:pt>
                <c:pt idx="59">
                  <c:v>39845</c:v>
                </c:pt>
                <c:pt idx="60">
                  <c:v>39873</c:v>
                </c:pt>
                <c:pt idx="61">
                  <c:v>39904</c:v>
                </c:pt>
                <c:pt idx="62">
                  <c:v>39934</c:v>
                </c:pt>
                <c:pt idx="63">
                  <c:v>39965</c:v>
                </c:pt>
                <c:pt idx="64">
                  <c:v>39995</c:v>
                </c:pt>
                <c:pt idx="65">
                  <c:v>40026</c:v>
                </c:pt>
                <c:pt idx="66">
                  <c:v>40057</c:v>
                </c:pt>
                <c:pt idx="67">
                  <c:v>40087</c:v>
                </c:pt>
                <c:pt idx="68">
                  <c:v>40118</c:v>
                </c:pt>
                <c:pt idx="69">
                  <c:v>40148</c:v>
                </c:pt>
                <c:pt idx="70">
                  <c:v>40179</c:v>
                </c:pt>
                <c:pt idx="71">
                  <c:v>40210</c:v>
                </c:pt>
                <c:pt idx="72">
                  <c:v>40238</c:v>
                </c:pt>
                <c:pt idx="73">
                  <c:v>40269</c:v>
                </c:pt>
                <c:pt idx="74">
                  <c:v>40299</c:v>
                </c:pt>
                <c:pt idx="75">
                  <c:v>40330</c:v>
                </c:pt>
                <c:pt idx="76">
                  <c:v>40360</c:v>
                </c:pt>
                <c:pt idx="77">
                  <c:v>40391</c:v>
                </c:pt>
                <c:pt idx="78">
                  <c:v>40422</c:v>
                </c:pt>
                <c:pt idx="79">
                  <c:v>40452</c:v>
                </c:pt>
                <c:pt idx="80">
                  <c:v>40483</c:v>
                </c:pt>
                <c:pt idx="81">
                  <c:v>40513</c:v>
                </c:pt>
                <c:pt idx="82">
                  <c:v>40544</c:v>
                </c:pt>
                <c:pt idx="83">
                  <c:v>40575</c:v>
                </c:pt>
                <c:pt idx="84">
                  <c:v>40603</c:v>
                </c:pt>
                <c:pt idx="85">
                  <c:v>40634</c:v>
                </c:pt>
                <c:pt idx="86">
                  <c:v>40664</c:v>
                </c:pt>
                <c:pt idx="87">
                  <c:v>40695</c:v>
                </c:pt>
                <c:pt idx="88">
                  <c:v>40725</c:v>
                </c:pt>
                <c:pt idx="89">
                  <c:v>40756</c:v>
                </c:pt>
                <c:pt idx="90">
                  <c:v>40787</c:v>
                </c:pt>
                <c:pt idx="91">
                  <c:v>40817</c:v>
                </c:pt>
                <c:pt idx="92">
                  <c:v>40848</c:v>
                </c:pt>
                <c:pt idx="93">
                  <c:v>40878</c:v>
                </c:pt>
                <c:pt idx="94">
                  <c:v>40909</c:v>
                </c:pt>
                <c:pt idx="95">
                  <c:v>40940</c:v>
                </c:pt>
                <c:pt idx="96">
                  <c:v>40969</c:v>
                </c:pt>
                <c:pt idx="97">
                  <c:v>41000</c:v>
                </c:pt>
                <c:pt idx="98">
                  <c:v>41030</c:v>
                </c:pt>
                <c:pt idx="99">
                  <c:v>41061</c:v>
                </c:pt>
                <c:pt idx="100">
                  <c:v>41091</c:v>
                </c:pt>
                <c:pt idx="101">
                  <c:v>41122</c:v>
                </c:pt>
                <c:pt idx="102">
                  <c:v>41153</c:v>
                </c:pt>
                <c:pt idx="103">
                  <c:v>41183</c:v>
                </c:pt>
                <c:pt idx="104">
                  <c:v>41214</c:v>
                </c:pt>
                <c:pt idx="105">
                  <c:v>41244</c:v>
                </c:pt>
                <c:pt idx="106">
                  <c:v>41275</c:v>
                </c:pt>
                <c:pt idx="107">
                  <c:v>41306</c:v>
                </c:pt>
                <c:pt idx="108">
                  <c:v>41334</c:v>
                </c:pt>
                <c:pt idx="109">
                  <c:v>41365</c:v>
                </c:pt>
                <c:pt idx="110">
                  <c:v>41395</c:v>
                </c:pt>
                <c:pt idx="111">
                  <c:v>41426</c:v>
                </c:pt>
                <c:pt idx="112">
                  <c:v>41456</c:v>
                </c:pt>
                <c:pt idx="113">
                  <c:v>41487</c:v>
                </c:pt>
                <c:pt idx="114">
                  <c:v>41518</c:v>
                </c:pt>
                <c:pt idx="115">
                  <c:v>41548</c:v>
                </c:pt>
                <c:pt idx="116">
                  <c:v>41579</c:v>
                </c:pt>
                <c:pt idx="117">
                  <c:v>41609</c:v>
                </c:pt>
                <c:pt idx="118">
                  <c:v>41640</c:v>
                </c:pt>
                <c:pt idx="119">
                  <c:v>41671</c:v>
                </c:pt>
                <c:pt idx="120">
                  <c:v>41699</c:v>
                </c:pt>
                <c:pt idx="121">
                  <c:v>41730</c:v>
                </c:pt>
                <c:pt idx="122">
                  <c:v>41760</c:v>
                </c:pt>
                <c:pt idx="123">
                  <c:v>41791</c:v>
                </c:pt>
                <c:pt idx="124">
                  <c:v>41821</c:v>
                </c:pt>
                <c:pt idx="125">
                  <c:v>41852</c:v>
                </c:pt>
                <c:pt idx="126">
                  <c:v>41883</c:v>
                </c:pt>
                <c:pt idx="127">
                  <c:v>41913</c:v>
                </c:pt>
                <c:pt idx="128">
                  <c:v>41944</c:v>
                </c:pt>
                <c:pt idx="129">
                  <c:v>41974</c:v>
                </c:pt>
                <c:pt idx="130">
                  <c:v>42005</c:v>
                </c:pt>
                <c:pt idx="131">
                  <c:v>42036</c:v>
                </c:pt>
                <c:pt idx="132">
                  <c:v>42064</c:v>
                </c:pt>
                <c:pt idx="133">
                  <c:v>42095</c:v>
                </c:pt>
                <c:pt idx="134">
                  <c:v>42125</c:v>
                </c:pt>
                <c:pt idx="135">
                  <c:v>42156</c:v>
                </c:pt>
                <c:pt idx="136">
                  <c:v>42186</c:v>
                </c:pt>
                <c:pt idx="137">
                  <c:v>42217</c:v>
                </c:pt>
                <c:pt idx="138">
                  <c:v>42248</c:v>
                </c:pt>
                <c:pt idx="139">
                  <c:v>42278</c:v>
                </c:pt>
                <c:pt idx="140">
                  <c:v>42309</c:v>
                </c:pt>
                <c:pt idx="141">
                  <c:v>42339</c:v>
                </c:pt>
                <c:pt idx="142">
                  <c:v>42370</c:v>
                </c:pt>
                <c:pt idx="143">
                  <c:v>42401</c:v>
                </c:pt>
                <c:pt idx="144">
                  <c:v>42430</c:v>
                </c:pt>
                <c:pt idx="145">
                  <c:v>42461</c:v>
                </c:pt>
                <c:pt idx="146">
                  <c:v>42491</c:v>
                </c:pt>
                <c:pt idx="147">
                  <c:v>42522</c:v>
                </c:pt>
                <c:pt idx="148">
                  <c:v>42552</c:v>
                </c:pt>
                <c:pt idx="149">
                  <c:v>42583</c:v>
                </c:pt>
                <c:pt idx="150">
                  <c:v>42614</c:v>
                </c:pt>
                <c:pt idx="151">
                  <c:v>42644</c:v>
                </c:pt>
                <c:pt idx="152">
                  <c:v>42675</c:v>
                </c:pt>
                <c:pt idx="153">
                  <c:v>42705</c:v>
                </c:pt>
                <c:pt idx="154">
                  <c:v>42736</c:v>
                </c:pt>
                <c:pt idx="155">
                  <c:v>42767</c:v>
                </c:pt>
                <c:pt idx="156">
                  <c:v>42795</c:v>
                </c:pt>
                <c:pt idx="157">
                  <c:v>42826</c:v>
                </c:pt>
                <c:pt idx="158">
                  <c:v>42856</c:v>
                </c:pt>
                <c:pt idx="159">
                  <c:v>42887</c:v>
                </c:pt>
                <c:pt idx="160">
                  <c:v>42917</c:v>
                </c:pt>
                <c:pt idx="161">
                  <c:v>42948</c:v>
                </c:pt>
                <c:pt idx="162">
                  <c:v>42979</c:v>
                </c:pt>
                <c:pt idx="163">
                  <c:v>43009</c:v>
                </c:pt>
                <c:pt idx="164">
                  <c:v>43040</c:v>
                </c:pt>
                <c:pt idx="165">
                  <c:v>43070</c:v>
                </c:pt>
                <c:pt idx="166">
                  <c:v>43101</c:v>
                </c:pt>
                <c:pt idx="167">
                  <c:v>43132</c:v>
                </c:pt>
                <c:pt idx="168">
                  <c:v>43160</c:v>
                </c:pt>
                <c:pt idx="169">
                  <c:v>43191</c:v>
                </c:pt>
                <c:pt idx="170">
                  <c:v>43221</c:v>
                </c:pt>
                <c:pt idx="171">
                  <c:v>43252</c:v>
                </c:pt>
                <c:pt idx="172">
                  <c:v>43282</c:v>
                </c:pt>
                <c:pt idx="173">
                  <c:v>43313</c:v>
                </c:pt>
                <c:pt idx="174">
                  <c:v>43344</c:v>
                </c:pt>
                <c:pt idx="175">
                  <c:v>43374</c:v>
                </c:pt>
                <c:pt idx="176">
                  <c:v>43405</c:v>
                </c:pt>
                <c:pt idx="177">
                  <c:v>43435</c:v>
                </c:pt>
                <c:pt idx="178">
                  <c:v>43466</c:v>
                </c:pt>
                <c:pt idx="179">
                  <c:v>43497</c:v>
                </c:pt>
                <c:pt idx="180">
                  <c:v>43525</c:v>
                </c:pt>
                <c:pt idx="181">
                  <c:v>43556</c:v>
                </c:pt>
                <c:pt idx="182">
                  <c:v>43586</c:v>
                </c:pt>
                <c:pt idx="183">
                  <c:v>43617</c:v>
                </c:pt>
                <c:pt idx="184">
                  <c:v>43647</c:v>
                </c:pt>
                <c:pt idx="185">
                  <c:v>43678</c:v>
                </c:pt>
                <c:pt idx="186">
                  <c:v>43709</c:v>
                </c:pt>
                <c:pt idx="187">
                  <c:v>43739</c:v>
                </c:pt>
                <c:pt idx="188">
                  <c:v>43770</c:v>
                </c:pt>
                <c:pt idx="189">
                  <c:v>43800</c:v>
                </c:pt>
                <c:pt idx="190">
                  <c:v>43831</c:v>
                </c:pt>
                <c:pt idx="191">
                  <c:v>43862</c:v>
                </c:pt>
                <c:pt idx="192">
                  <c:v>43891</c:v>
                </c:pt>
                <c:pt idx="193">
                  <c:v>43922</c:v>
                </c:pt>
                <c:pt idx="194">
                  <c:v>43952</c:v>
                </c:pt>
                <c:pt idx="195">
                  <c:v>43983</c:v>
                </c:pt>
                <c:pt idx="196">
                  <c:v>44013</c:v>
                </c:pt>
                <c:pt idx="197">
                  <c:v>44044</c:v>
                </c:pt>
                <c:pt idx="198">
                  <c:v>44075</c:v>
                </c:pt>
                <c:pt idx="199">
                  <c:v>44105</c:v>
                </c:pt>
                <c:pt idx="200">
                  <c:v>44136</c:v>
                </c:pt>
                <c:pt idx="201">
                  <c:v>44166</c:v>
                </c:pt>
                <c:pt idx="202">
                  <c:v>44197</c:v>
                </c:pt>
                <c:pt idx="203">
                  <c:v>44228</c:v>
                </c:pt>
                <c:pt idx="204">
                  <c:v>44256</c:v>
                </c:pt>
                <c:pt idx="205">
                  <c:v>44287</c:v>
                </c:pt>
                <c:pt idx="206">
                  <c:v>44317</c:v>
                </c:pt>
                <c:pt idx="207">
                  <c:v>44348</c:v>
                </c:pt>
                <c:pt idx="208">
                  <c:v>44378</c:v>
                </c:pt>
                <c:pt idx="209">
                  <c:v>44409</c:v>
                </c:pt>
                <c:pt idx="210">
                  <c:v>44440</c:v>
                </c:pt>
                <c:pt idx="211">
                  <c:v>44470</c:v>
                </c:pt>
                <c:pt idx="212">
                  <c:v>44501</c:v>
                </c:pt>
                <c:pt idx="213">
                  <c:v>44531</c:v>
                </c:pt>
                <c:pt idx="214">
                  <c:v>44562</c:v>
                </c:pt>
                <c:pt idx="215">
                  <c:v>44593</c:v>
                </c:pt>
                <c:pt idx="216">
                  <c:v>44621</c:v>
                </c:pt>
                <c:pt idx="217">
                  <c:v>44652</c:v>
                </c:pt>
                <c:pt idx="218">
                  <c:v>44682</c:v>
                </c:pt>
                <c:pt idx="219">
                  <c:v>44713</c:v>
                </c:pt>
                <c:pt idx="220">
                  <c:v>44743</c:v>
                </c:pt>
                <c:pt idx="221">
                  <c:v>44774</c:v>
                </c:pt>
                <c:pt idx="222">
                  <c:v>44805</c:v>
                </c:pt>
                <c:pt idx="223">
                  <c:v>44835</c:v>
                </c:pt>
                <c:pt idx="224">
                  <c:v>44866</c:v>
                </c:pt>
                <c:pt idx="225">
                  <c:v>44896</c:v>
                </c:pt>
                <c:pt idx="226">
                  <c:v>44927</c:v>
                </c:pt>
                <c:pt idx="227">
                  <c:v>44958</c:v>
                </c:pt>
                <c:pt idx="228">
                  <c:v>44986</c:v>
                </c:pt>
                <c:pt idx="229">
                  <c:v>45017</c:v>
                </c:pt>
                <c:pt idx="230">
                  <c:v>45047</c:v>
                </c:pt>
                <c:pt idx="231">
                  <c:v>45078</c:v>
                </c:pt>
                <c:pt idx="232">
                  <c:v>45108</c:v>
                </c:pt>
                <c:pt idx="233">
                  <c:v>45139</c:v>
                </c:pt>
                <c:pt idx="234">
                  <c:v>45170</c:v>
                </c:pt>
                <c:pt idx="235">
                  <c:v>45200</c:v>
                </c:pt>
                <c:pt idx="236">
                  <c:v>45231</c:v>
                </c:pt>
                <c:pt idx="237">
                  <c:v>45261</c:v>
                </c:pt>
                <c:pt idx="238">
                  <c:v>45292</c:v>
                </c:pt>
                <c:pt idx="239">
                  <c:v>45323</c:v>
                </c:pt>
              </c:numCache>
            </c:numRef>
          </c:cat>
          <c:val>
            <c:numRef>
              <c:f>[1]Prices!$AB$413:$AB$656</c:f>
              <c:numCache>
                <c:formatCode>General</c:formatCode>
                <c:ptCount val="244"/>
                <c:pt idx="0">
                  <c:v>-0.48</c:v>
                </c:pt>
                <c:pt idx="1">
                  <c:v>-0.48</c:v>
                </c:pt>
                <c:pt idx="2">
                  <c:v>-0.48</c:v>
                </c:pt>
                <c:pt idx="3">
                  <c:v>35.838000000000001</c:v>
                </c:pt>
                <c:pt idx="4">
                  <c:v>34.119500000000002</c:v>
                </c:pt>
                <c:pt idx="5">
                  <c:v>31.6586</c:v>
                </c:pt>
                <c:pt idx="6">
                  <c:v>32.369</c:v>
                </c:pt>
                <c:pt idx="7">
                  <c:v>28.790400000000002</c:v>
                </c:pt>
                <c:pt idx="8">
                  <c:v>28.616</c:v>
                </c:pt>
                <c:pt idx="9">
                  <c:v>27.8004</c:v>
                </c:pt>
                <c:pt idx="10">
                  <c:v>26.3202</c:v>
                </c:pt>
                <c:pt idx="11">
                  <c:v>26.3215</c:v>
                </c:pt>
                <c:pt idx="12">
                  <c:v>29.710899999999999</c:v>
                </c:pt>
                <c:pt idx="13">
                  <c:v>29.117100000000001</c:v>
                </c:pt>
                <c:pt idx="14">
                  <c:v>29.2895</c:v>
                </c:pt>
                <c:pt idx="15">
                  <c:v>30.426300000000001</c:v>
                </c:pt>
                <c:pt idx="16">
                  <c:v>31.109000000000002</c:v>
                </c:pt>
                <c:pt idx="17">
                  <c:v>29.320399999999999</c:v>
                </c:pt>
                <c:pt idx="18">
                  <c:v>28.98</c:v>
                </c:pt>
                <c:pt idx="19">
                  <c:v>30.0838</c:v>
                </c:pt>
                <c:pt idx="20">
                  <c:v>28.339500000000001</c:v>
                </c:pt>
                <c:pt idx="21">
                  <c:v>26.624500000000001</c:v>
                </c:pt>
                <c:pt idx="22">
                  <c:v>26.944500000000001</c:v>
                </c:pt>
                <c:pt idx="23">
                  <c:v>26.583100000000002</c:v>
                </c:pt>
                <c:pt idx="24">
                  <c:v>25.7895</c:v>
                </c:pt>
                <c:pt idx="25">
                  <c:v>25.581499999999998</c:v>
                </c:pt>
                <c:pt idx="26">
                  <c:v>27.344000000000001</c:v>
                </c:pt>
                <c:pt idx="27">
                  <c:v>27.203099999999999</c:v>
                </c:pt>
                <c:pt idx="28">
                  <c:v>28.882000000000001</c:v>
                </c:pt>
                <c:pt idx="29">
                  <c:v>27.305599999999998</c:v>
                </c:pt>
                <c:pt idx="30">
                  <c:v>28.0105</c:v>
                </c:pt>
                <c:pt idx="31">
                  <c:v>31.093800000000002</c:v>
                </c:pt>
                <c:pt idx="32">
                  <c:v>33.213500000000003</c:v>
                </c:pt>
                <c:pt idx="33">
                  <c:v>32.731999999999999</c:v>
                </c:pt>
                <c:pt idx="34">
                  <c:v>30.901499999999999</c:v>
                </c:pt>
                <c:pt idx="35">
                  <c:v>31.207799999999999</c:v>
                </c:pt>
                <c:pt idx="36">
                  <c:v>32.393599999999999</c:v>
                </c:pt>
                <c:pt idx="37">
                  <c:v>34.120699999999999</c:v>
                </c:pt>
                <c:pt idx="38">
                  <c:v>36.6509</c:v>
                </c:pt>
                <c:pt idx="39">
                  <c:v>37.953299999999999</c:v>
                </c:pt>
                <c:pt idx="40">
                  <c:v>39.008000000000003</c:v>
                </c:pt>
                <c:pt idx="41">
                  <c:v>38.61</c:v>
                </c:pt>
                <c:pt idx="42">
                  <c:v>41.862099999999998</c:v>
                </c:pt>
                <c:pt idx="43">
                  <c:v>42.746899999999997</c:v>
                </c:pt>
                <c:pt idx="44">
                  <c:v>47.295499999999997</c:v>
                </c:pt>
                <c:pt idx="45">
                  <c:v>48.494500000000002</c:v>
                </c:pt>
                <c:pt idx="46">
                  <c:v>53.327599999999997</c:v>
                </c:pt>
                <c:pt idx="47">
                  <c:v>60.968499999999999</c:v>
                </c:pt>
                <c:pt idx="48">
                  <c:v>63.777999999999999</c:v>
                </c:pt>
                <c:pt idx="49">
                  <c:v>61.948599999999999</c:v>
                </c:pt>
                <c:pt idx="50">
                  <c:v>64.878</c:v>
                </c:pt>
                <c:pt idx="51">
                  <c:v>69.037999999999997</c:v>
                </c:pt>
                <c:pt idx="52">
                  <c:v>66.426299999999998</c:v>
                </c:pt>
                <c:pt idx="53">
                  <c:v>56.447099999999999</c:v>
                </c:pt>
                <c:pt idx="54">
                  <c:v>51.740900000000003</c:v>
                </c:pt>
                <c:pt idx="55">
                  <c:v>40.857799999999997</c:v>
                </c:pt>
                <c:pt idx="56">
                  <c:v>36.5715</c:v>
                </c:pt>
                <c:pt idx="57">
                  <c:v>33.659999999999997</c:v>
                </c:pt>
                <c:pt idx="58">
                  <c:v>36.347999999999999</c:v>
                </c:pt>
                <c:pt idx="59">
                  <c:v>32.678400000000003</c:v>
                </c:pt>
                <c:pt idx="60">
                  <c:v>31.515899999999998</c:v>
                </c:pt>
                <c:pt idx="61">
                  <c:v>35.711399999999998</c:v>
                </c:pt>
                <c:pt idx="62">
                  <c:v>39.154000000000003</c:v>
                </c:pt>
                <c:pt idx="63">
                  <c:v>38.725900000000003</c:v>
                </c:pt>
                <c:pt idx="64">
                  <c:v>34.801299999999998</c:v>
                </c:pt>
                <c:pt idx="65">
                  <c:v>36.726100000000002</c:v>
                </c:pt>
                <c:pt idx="66">
                  <c:v>34.051900000000003</c:v>
                </c:pt>
                <c:pt idx="67">
                  <c:v>36.159999999999997</c:v>
                </c:pt>
                <c:pt idx="68">
                  <c:v>39.672499999999999</c:v>
                </c:pt>
                <c:pt idx="69">
                  <c:v>39.752699999999997</c:v>
                </c:pt>
                <c:pt idx="70">
                  <c:v>36.955199999999998</c:v>
                </c:pt>
                <c:pt idx="71">
                  <c:v>36.646299999999997</c:v>
                </c:pt>
                <c:pt idx="72">
                  <c:v>38.312100000000001</c:v>
                </c:pt>
                <c:pt idx="73">
                  <c:v>39.2057</c:v>
                </c:pt>
                <c:pt idx="74">
                  <c:v>37.6205</c:v>
                </c:pt>
                <c:pt idx="75">
                  <c:v>36.671300000000002</c:v>
                </c:pt>
                <c:pt idx="76">
                  <c:v>37.252299999999998</c:v>
                </c:pt>
                <c:pt idx="77">
                  <c:v>39.667700000000004</c:v>
                </c:pt>
                <c:pt idx="78">
                  <c:v>42.183300000000003</c:v>
                </c:pt>
                <c:pt idx="79">
                  <c:v>47.577100000000002</c:v>
                </c:pt>
                <c:pt idx="80">
                  <c:v>51.070900000000002</c:v>
                </c:pt>
                <c:pt idx="81">
                  <c:v>55.027700000000003</c:v>
                </c:pt>
                <c:pt idx="82">
                  <c:v>58.070500000000003</c:v>
                </c:pt>
                <c:pt idx="83">
                  <c:v>59.636800000000001</c:v>
                </c:pt>
                <c:pt idx="84">
                  <c:v>59.595599999999997</c:v>
                </c:pt>
                <c:pt idx="85">
                  <c:v>63.063499999999998</c:v>
                </c:pt>
                <c:pt idx="86">
                  <c:v>62.579500000000003</c:v>
                </c:pt>
                <c:pt idx="87">
                  <c:v>62.228999999999999</c:v>
                </c:pt>
                <c:pt idx="88">
                  <c:v>61.762</c:v>
                </c:pt>
                <c:pt idx="89">
                  <c:v>60.8504</c:v>
                </c:pt>
                <c:pt idx="90">
                  <c:v>61.4619</c:v>
                </c:pt>
                <c:pt idx="91">
                  <c:v>58.4923</c:v>
                </c:pt>
                <c:pt idx="92">
                  <c:v>58.226100000000002</c:v>
                </c:pt>
                <c:pt idx="93">
                  <c:v>56.792299999999997</c:v>
                </c:pt>
                <c:pt idx="94">
                  <c:v>57.607500000000002</c:v>
                </c:pt>
                <c:pt idx="95">
                  <c:v>58.905500000000004</c:v>
                </c:pt>
                <c:pt idx="96">
                  <c:v>59.919499999999999</c:v>
                </c:pt>
                <c:pt idx="97">
                  <c:v>61.591999999999999</c:v>
                </c:pt>
                <c:pt idx="98">
                  <c:v>57.7714</c:v>
                </c:pt>
                <c:pt idx="99">
                  <c:v>55.795200000000001</c:v>
                </c:pt>
                <c:pt idx="100">
                  <c:v>59.119300000000003</c:v>
                </c:pt>
                <c:pt idx="101">
                  <c:v>58.231299999999997</c:v>
                </c:pt>
                <c:pt idx="102">
                  <c:v>58.656799999999997</c:v>
                </c:pt>
                <c:pt idx="103">
                  <c:v>54.4</c:v>
                </c:pt>
                <c:pt idx="104">
                  <c:v>51.296799999999998</c:v>
                </c:pt>
                <c:pt idx="105">
                  <c:v>52.616999999999997</c:v>
                </c:pt>
                <c:pt idx="106">
                  <c:v>54.557099999999998</c:v>
                </c:pt>
                <c:pt idx="107">
                  <c:v>55.244199999999999</c:v>
                </c:pt>
                <c:pt idx="108">
                  <c:v>54.25</c:v>
                </c:pt>
                <c:pt idx="109">
                  <c:v>54.625500000000002</c:v>
                </c:pt>
                <c:pt idx="110">
                  <c:v>55.540500000000002</c:v>
                </c:pt>
                <c:pt idx="111">
                  <c:v>54.329500000000003</c:v>
                </c:pt>
                <c:pt idx="112">
                  <c:v>51.377000000000002</c:v>
                </c:pt>
                <c:pt idx="113">
                  <c:v>48.105899999999998</c:v>
                </c:pt>
                <c:pt idx="114">
                  <c:v>48.637999999999998</c:v>
                </c:pt>
                <c:pt idx="115">
                  <c:v>47.160899999999998</c:v>
                </c:pt>
                <c:pt idx="116">
                  <c:v>43.981499999999997</c:v>
                </c:pt>
                <c:pt idx="117">
                  <c:v>42.730499999999999</c:v>
                </c:pt>
                <c:pt idx="118">
                  <c:v>40.824300000000001</c:v>
                </c:pt>
                <c:pt idx="119">
                  <c:v>42.642600000000002</c:v>
                </c:pt>
                <c:pt idx="120">
                  <c:v>44.147100000000002</c:v>
                </c:pt>
                <c:pt idx="121">
                  <c:v>44.762900000000002</c:v>
                </c:pt>
                <c:pt idx="122">
                  <c:v>44.114800000000002</c:v>
                </c:pt>
                <c:pt idx="123">
                  <c:v>43.6267</c:v>
                </c:pt>
                <c:pt idx="124">
                  <c:v>41.756399999999999</c:v>
                </c:pt>
                <c:pt idx="125">
                  <c:v>39.138599999999997</c:v>
                </c:pt>
                <c:pt idx="126">
                  <c:v>37.836199999999998</c:v>
                </c:pt>
                <c:pt idx="127">
                  <c:v>38.316499999999998</c:v>
                </c:pt>
                <c:pt idx="128">
                  <c:v>37.3932</c:v>
                </c:pt>
                <c:pt idx="129">
                  <c:v>35.390500000000003</c:v>
                </c:pt>
                <c:pt idx="130">
                  <c:v>35.077500000000001</c:v>
                </c:pt>
                <c:pt idx="131">
                  <c:v>33.789499999999997</c:v>
                </c:pt>
                <c:pt idx="132">
                  <c:v>33.247100000000003</c:v>
                </c:pt>
                <c:pt idx="133">
                  <c:v>35.381100000000004</c:v>
                </c:pt>
                <c:pt idx="134">
                  <c:v>35.650500000000001</c:v>
                </c:pt>
                <c:pt idx="135">
                  <c:v>36.537300000000002</c:v>
                </c:pt>
                <c:pt idx="136">
                  <c:v>34.613599999999998</c:v>
                </c:pt>
                <c:pt idx="137">
                  <c:v>31.4771</c:v>
                </c:pt>
                <c:pt idx="138">
                  <c:v>28.5471</c:v>
                </c:pt>
                <c:pt idx="139">
                  <c:v>29.8005</c:v>
                </c:pt>
                <c:pt idx="140">
                  <c:v>29.0715</c:v>
                </c:pt>
                <c:pt idx="141">
                  <c:v>32.013599999999997</c:v>
                </c:pt>
                <c:pt idx="142">
                  <c:v>31.2942</c:v>
                </c:pt>
                <c:pt idx="143">
                  <c:v>32.157499999999999</c:v>
                </c:pt>
                <c:pt idx="144">
                  <c:v>33.476399999999998</c:v>
                </c:pt>
                <c:pt idx="145">
                  <c:v>34.941000000000003</c:v>
                </c:pt>
                <c:pt idx="146">
                  <c:v>33.078600000000002</c:v>
                </c:pt>
                <c:pt idx="147">
                  <c:v>33.017299999999999</c:v>
                </c:pt>
                <c:pt idx="148">
                  <c:v>31.5</c:v>
                </c:pt>
                <c:pt idx="149">
                  <c:v>34.055700000000002</c:v>
                </c:pt>
                <c:pt idx="150">
                  <c:v>35.465200000000003</c:v>
                </c:pt>
                <c:pt idx="151">
                  <c:v>36.134300000000003</c:v>
                </c:pt>
                <c:pt idx="152">
                  <c:v>36.786200000000001</c:v>
                </c:pt>
                <c:pt idx="153">
                  <c:v>37.848100000000002</c:v>
                </c:pt>
                <c:pt idx="154">
                  <c:v>36.111499999999999</c:v>
                </c:pt>
                <c:pt idx="155">
                  <c:v>34.782600000000002</c:v>
                </c:pt>
                <c:pt idx="156">
                  <c:v>33.362200000000001</c:v>
                </c:pt>
                <c:pt idx="157">
                  <c:v>32.117400000000004</c:v>
                </c:pt>
                <c:pt idx="158">
                  <c:v>33.204099999999997</c:v>
                </c:pt>
                <c:pt idx="159">
                  <c:v>33.277299999999997</c:v>
                </c:pt>
                <c:pt idx="160">
                  <c:v>35.21</c:v>
                </c:pt>
                <c:pt idx="161">
                  <c:v>35.659599999999998</c:v>
                </c:pt>
                <c:pt idx="162">
                  <c:v>35.792499999999997</c:v>
                </c:pt>
                <c:pt idx="163">
                  <c:v>34.637700000000002</c:v>
                </c:pt>
                <c:pt idx="164">
                  <c:v>35.815199999999997</c:v>
                </c:pt>
                <c:pt idx="165">
                  <c:v>34.683500000000002</c:v>
                </c:pt>
                <c:pt idx="166">
                  <c:v>34.326700000000002</c:v>
                </c:pt>
                <c:pt idx="167">
                  <c:v>33.142600000000002</c:v>
                </c:pt>
                <c:pt idx="168">
                  <c:v>32.784799999999997</c:v>
                </c:pt>
                <c:pt idx="169">
                  <c:v>32.198599999999999</c:v>
                </c:pt>
                <c:pt idx="170">
                  <c:v>31.936800000000002</c:v>
                </c:pt>
                <c:pt idx="171">
                  <c:v>30.721</c:v>
                </c:pt>
                <c:pt idx="172">
                  <c:v>29.685700000000001</c:v>
                </c:pt>
                <c:pt idx="173">
                  <c:v>30.17</c:v>
                </c:pt>
                <c:pt idx="174">
                  <c:v>30.276299999999999</c:v>
                </c:pt>
                <c:pt idx="175">
                  <c:v>31.438700000000001</c:v>
                </c:pt>
                <c:pt idx="176">
                  <c:v>30.943300000000001</c:v>
                </c:pt>
                <c:pt idx="177">
                  <c:v>31.872499999999999</c:v>
                </c:pt>
                <c:pt idx="178">
                  <c:v>32.317599999999999</c:v>
                </c:pt>
                <c:pt idx="179">
                  <c:v>32.904699999999998</c:v>
                </c:pt>
                <c:pt idx="180">
                  <c:v>31.79</c:v>
                </c:pt>
                <c:pt idx="181">
                  <c:v>31.028099999999998</c:v>
                </c:pt>
                <c:pt idx="182">
                  <c:v>30.131399999999999</c:v>
                </c:pt>
                <c:pt idx="183">
                  <c:v>31.390499999999999</c:v>
                </c:pt>
                <c:pt idx="184">
                  <c:v>31.423200000000001</c:v>
                </c:pt>
                <c:pt idx="185">
                  <c:v>31.520900000000001</c:v>
                </c:pt>
                <c:pt idx="186">
                  <c:v>31.963000000000001</c:v>
                </c:pt>
                <c:pt idx="187">
                  <c:v>33.269100000000002</c:v>
                </c:pt>
                <c:pt idx="188">
                  <c:v>33.766500000000001</c:v>
                </c:pt>
                <c:pt idx="189">
                  <c:v>35.382399999999997</c:v>
                </c:pt>
                <c:pt idx="190">
                  <c:v>36.0929</c:v>
                </c:pt>
                <c:pt idx="191">
                  <c:v>33.432600000000001</c:v>
                </c:pt>
                <c:pt idx="192">
                  <c:v>30.1768</c:v>
                </c:pt>
                <c:pt idx="193">
                  <c:v>28.802900000000001</c:v>
                </c:pt>
                <c:pt idx="194">
                  <c:v>28.418500000000002</c:v>
                </c:pt>
                <c:pt idx="195">
                  <c:v>29.764099999999999</c:v>
                </c:pt>
                <c:pt idx="196">
                  <c:v>31.8109</c:v>
                </c:pt>
                <c:pt idx="197">
                  <c:v>35.142899999999997</c:v>
                </c:pt>
                <c:pt idx="198">
                  <c:v>37.217599999999997</c:v>
                </c:pt>
                <c:pt idx="199">
                  <c:v>37.026800000000001</c:v>
                </c:pt>
                <c:pt idx="200">
                  <c:v>41.102499999999999</c:v>
                </c:pt>
                <c:pt idx="201">
                  <c:v>45.719099999999997</c:v>
                </c:pt>
                <c:pt idx="202">
                  <c:v>49.417400000000001</c:v>
                </c:pt>
                <c:pt idx="203">
                  <c:v>52.604199999999999</c:v>
                </c:pt>
                <c:pt idx="204">
                  <c:v>62.609099999999998</c:v>
                </c:pt>
                <c:pt idx="205">
                  <c:v>71.7667</c:v>
                </c:pt>
                <c:pt idx="206">
                  <c:v>92.789500000000004</c:v>
                </c:pt>
                <c:pt idx="207">
                  <c:v>97.356800000000007</c:v>
                </c:pt>
                <c:pt idx="208">
                  <c:v>92.793300000000002</c:v>
                </c:pt>
                <c:pt idx="209">
                  <c:v>82.827699999999993</c:v>
                </c:pt>
                <c:pt idx="210">
                  <c:v>75.1571</c:v>
                </c:pt>
                <c:pt idx="211">
                  <c:v>79.650999999999996</c:v>
                </c:pt>
                <c:pt idx="212">
                  <c:v>77.377600000000001</c:v>
                </c:pt>
                <c:pt idx="213">
                  <c:v>73.038600000000002</c:v>
                </c:pt>
                <c:pt idx="214">
                  <c:v>75.567499999999995</c:v>
                </c:pt>
                <c:pt idx="215">
                  <c:v>79.657399999999996</c:v>
                </c:pt>
                <c:pt idx="216">
                  <c:v>91.289100000000005</c:v>
                </c:pt>
                <c:pt idx="217">
                  <c:v>96.501999999999995</c:v>
                </c:pt>
                <c:pt idx="218">
                  <c:v>104.0286</c:v>
                </c:pt>
                <c:pt idx="219">
                  <c:v>98.782399999999996</c:v>
                </c:pt>
                <c:pt idx="220">
                  <c:v>81.498000000000005</c:v>
                </c:pt>
                <c:pt idx="221">
                  <c:v>85.409099999999995</c:v>
                </c:pt>
                <c:pt idx="222">
                  <c:v>83.801900000000003</c:v>
                </c:pt>
                <c:pt idx="223">
                  <c:v>84.172857142857154</c:v>
                </c:pt>
                <c:pt idx="224">
                  <c:v>91.439047619047614</c:v>
                </c:pt>
                <c:pt idx="225">
                  <c:v>78.703809523809525</c:v>
                </c:pt>
                <c:pt idx="226">
                  <c:v>74.771500000000003</c:v>
                </c:pt>
                <c:pt idx="227">
                  <c:v>71.927894736842092</c:v>
                </c:pt>
                <c:pt idx="228">
                  <c:v>68.043478260869549</c:v>
                </c:pt>
                <c:pt idx="229">
                  <c:v>66.049473684210511</c:v>
                </c:pt>
                <c:pt idx="230">
                  <c:v>63.129090909090912</c:v>
                </c:pt>
                <c:pt idx="231">
                  <c:v>71.920476190476194</c:v>
                </c:pt>
                <c:pt idx="232">
                  <c:v>83.214999999999989</c:v>
                </c:pt>
                <c:pt idx="233">
                  <c:v>79.824782608695656</c:v>
                </c:pt>
                <c:pt idx="234">
                  <c:v>74.341499999999982</c:v>
                </c:pt>
                <c:pt idx="235">
                  <c:v>65.709090909090918</c:v>
                </c:pt>
                <c:pt idx="236">
                  <c:v>63.272619047619052</c:v>
                </c:pt>
                <c:pt idx="237">
                  <c:v>60.323</c:v>
                </c:pt>
                <c:pt idx="238">
                  <c:v>56.135714285714279</c:v>
                </c:pt>
                <c:pt idx="239">
                  <c:v>53.089999999999996</c:v>
                </c:pt>
                <c:pt idx="240">
                  <c:v>53.306499999999993</c:v>
                </c:pt>
                <c:pt idx="241">
                  <c:v>50.796818181818168</c:v>
                </c:pt>
                <c:pt idx="242">
                  <c:v>48.589545454545451</c:v>
                </c:pt>
                <c:pt idx="243">
                  <c:v>48.601578947368424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6F4-473F-966F-9DACC2D3C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501048"/>
        <c:axId val="995503344"/>
      </c:lineChart>
      <c:catAx>
        <c:axId val="10663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6345392"/>
        <c:crosses val="autoZero"/>
        <c:auto val="1"/>
        <c:lblAlgn val="ctr"/>
        <c:lblOffset val="100"/>
        <c:tickLblSkip val="12"/>
        <c:noMultiLvlLbl val="1"/>
      </c:catAx>
      <c:valAx>
        <c:axId val="1066345392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Spread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(</a:t>
                </a:r>
                <a:r>
                  <a:rPr lang="en-US" sz="1200">
                    <a:latin typeface="Aptos Display" panose="020B0004020202020204" pitchFamily="34" charset="0"/>
                  </a:rPr>
                  <a:t>cents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per pound)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6346048"/>
        <c:crosses val="autoZero"/>
        <c:crossBetween val="between"/>
      </c:valAx>
      <c:valAx>
        <c:axId val="9955033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Vegetable Oil Prices (cents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per pound)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5501048"/>
        <c:crosses val="max"/>
        <c:crossBetween val="between"/>
      </c:valAx>
      <c:catAx>
        <c:axId val="995501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503344"/>
        <c:crosses val="autoZero"/>
        <c:auto val="1"/>
        <c:lblAlgn val="ctr"/>
        <c:lblOffset val="100"/>
        <c:tickLblSkip val="1"/>
        <c:tickMarkSkip val="1"/>
        <c:noMultiLvlLbl val="1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3129561914088719"/>
          <c:y val="0.17407177200195109"/>
          <c:w val="0.28878204166304688"/>
          <c:h val="0.13727177284657599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Soybean Oil/Palm</a:t>
            </a:r>
            <a:r>
              <a:rPr lang="en-US" sz="2400" baseline="0"/>
              <a:t> Oil Spread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6313965692588"/>
          <c:y val="9.6808080808080801E-2"/>
          <c:w val="0.79194421170207485"/>
          <c:h val="0.8569143402529229"/>
        </c:manualLayout>
      </c:layout>
      <c:barChart>
        <c:barDir val="col"/>
        <c:grouping val="clustered"/>
        <c:varyColors val="0"/>
        <c:ser>
          <c:idx val="1"/>
          <c:order val="2"/>
          <c:tx>
            <c:v>Soybean Oil - Palm Oil</c:v>
          </c:tx>
          <c:spPr>
            <a:solidFill>
              <a:srgbClr val="8E9A4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[1]Prices!$A$407:$A$609</c:f>
              <c:numCache>
                <c:formatCode>General</c:formatCode>
                <c:ptCount val="203"/>
                <c:pt idx="0">
                  <c:v>37865</c:v>
                </c:pt>
                <c:pt idx="1">
                  <c:v>37895</c:v>
                </c:pt>
                <c:pt idx="2">
                  <c:v>37926</c:v>
                </c:pt>
                <c:pt idx="3">
                  <c:v>37956</c:v>
                </c:pt>
                <c:pt idx="4">
                  <c:v>37987</c:v>
                </c:pt>
                <c:pt idx="5">
                  <c:v>38018</c:v>
                </c:pt>
                <c:pt idx="6">
                  <c:v>38047</c:v>
                </c:pt>
                <c:pt idx="7">
                  <c:v>38078</c:v>
                </c:pt>
                <c:pt idx="8">
                  <c:v>38108</c:v>
                </c:pt>
                <c:pt idx="9">
                  <c:v>38139</c:v>
                </c:pt>
                <c:pt idx="10">
                  <c:v>38169</c:v>
                </c:pt>
                <c:pt idx="11">
                  <c:v>38200</c:v>
                </c:pt>
                <c:pt idx="12">
                  <c:v>38231</c:v>
                </c:pt>
                <c:pt idx="13">
                  <c:v>38261</c:v>
                </c:pt>
                <c:pt idx="14">
                  <c:v>38292</c:v>
                </c:pt>
                <c:pt idx="15">
                  <c:v>38322</c:v>
                </c:pt>
                <c:pt idx="16">
                  <c:v>38353</c:v>
                </c:pt>
                <c:pt idx="17">
                  <c:v>38384</c:v>
                </c:pt>
                <c:pt idx="18">
                  <c:v>38412</c:v>
                </c:pt>
                <c:pt idx="19">
                  <c:v>38443</c:v>
                </c:pt>
                <c:pt idx="20">
                  <c:v>38473</c:v>
                </c:pt>
                <c:pt idx="21">
                  <c:v>38504</c:v>
                </c:pt>
                <c:pt idx="22">
                  <c:v>38534</c:v>
                </c:pt>
                <c:pt idx="23">
                  <c:v>38565</c:v>
                </c:pt>
                <c:pt idx="24">
                  <c:v>38596</c:v>
                </c:pt>
                <c:pt idx="25">
                  <c:v>38626</c:v>
                </c:pt>
                <c:pt idx="26">
                  <c:v>38657</c:v>
                </c:pt>
                <c:pt idx="27">
                  <c:v>38687</c:v>
                </c:pt>
                <c:pt idx="28">
                  <c:v>38718</c:v>
                </c:pt>
                <c:pt idx="29">
                  <c:v>38749</c:v>
                </c:pt>
                <c:pt idx="30">
                  <c:v>38777</c:v>
                </c:pt>
                <c:pt idx="31">
                  <c:v>38808</c:v>
                </c:pt>
                <c:pt idx="32">
                  <c:v>38838</c:v>
                </c:pt>
                <c:pt idx="33">
                  <c:v>38869</c:v>
                </c:pt>
                <c:pt idx="34">
                  <c:v>38899</c:v>
                </c:pt>
                <c:pt idx="35">
                  <c:v>38930</c:v>
                </c:pt>
                <c:pt idx="36">
                  <c:v>38961</c:v>
                </c:pt>
                <c:pt idx="37">
                  <c:v>38991</c:v>
                </c:pt>
                <c:pt idx="38">
                  <c:v>39022</c:v>
                </c:pt>
                <c:pt idx="39">
                  <c:v>39052</c:v>
                </c:pt>
                <c:pt idx="40">
                  <c:v>39083</c:v>
                </c:pt>
                <c:pt idx="41">
                  <c:v>39114</c:v>
                </c:pt>
                <c:pt idx="42">
                  <c:v>39142</c:v>
                </c:pt>
                <c:pt idx="43">
                  <c:v>39173</c:v>
                </c:pt>
                <c:pt idx="44">
                  <c:v>39203</c:v>
                </c:pt>
                <c:pt idx="45">
                  <c:v>39234</c:v>
                </c:pt>
                <c:pt idx="46">
                  <c:v>39264</c:v>
                </c:pt>
                <c:pt idx="47">
                  <c:v>39295</c:v>
                </c:pt>
                <c:pt idx="48">
                  <c:v>39326</c:v>
                </c:pt>
                <c:pt idx="49">
                  <c:v>39356</c:v>
                </c:pt>
                <c:pt idx="50">
                  <c:v>39387</c:v>
                </c:pt>
                <c:pt idx="51">
                  <c:v>39417</c:v>
                </c:pt>
                <c:pt idx="52">
                  <c:v>39448</c:v>
                </c:pt>
                <c:pt idx="53">
                  <c:v>39479</c:v>
                </c:pt>
                <c:pt idx="54">
                  <c:v>39508</c:v>
                </c:pt>
                <c:pt idx="55">
                  <c:v>39539</c:v>
                </c:pt>
                <c:pt idx="56">
                  <c:v>39569</c:v>
                </c:pt>
                <c:pt idx="57">
                  <c:v>39600</c:v>
                </c:pt>
                <c:pt idx="58">
                  <c:v>39630</c:v>
                </c:pt>
                <c:pt idx="59">
                  <c:v>39661</c:v>
                </c:pt>
                <c:pt idx="60">
                  <c:v>39692</c:v>
                </c:pt>
                <c:pt idx="61">
                  <c:v>39722</c:v>
                </c:pt>
                <c:pt idx="62">
                  <c:v>39753</c:v>
                </c:pt>
                <c:pt idx="63">
                  <c:v>39783</c:v>
                </c:pt>
                <c:pt idx="64">
                  <c:v>39814</c:v>
                </c:pt>
                <c:pt idx="65">
                  <c:v>39845</c:v>
                </c:pt>
                <c:pt idx="66">
                  <c:v>39873</c:v>
                </c:pt>
                <c:pt idx="67">
                  <c:v>39904</c:v>
                </c:pt>
                <c:pt idx="68">
                  <c:v>39934</c:v>
                </c:pt>
                <c:pt idx="69">
                  <c:v>39965</c:v>
                </c:pt>
                <c:pt idx="70">
                  <c:v>39995</c:v>
                </c:pt>
                <c:pt idx="71">
                  <c:v>40026</c:v>
                </c:pt>
                <c:pt idx="72">
                  <c:v>40057</c:v>
                </c:pt>
                <c:pt idx="73">
                  <c:v>40087</c:v>
                </c:pt>
                <c:pt idx="74">
                  <c:v>40118</c:v>
                </c:pt>
                <c:pt idx="75">
                  <c:v>40148</c:v>
                </c:pt>
                <c:pt idx="76">
                  <c:v>40179</c:v>
                </c:pt>
                <c:pt idx="77">
                  <c:v>40210</c:v>
                </c:pt>
                <c:pt idx="78">
                  <c:v>40238</c:v>
                </c:pt>
                <c:pt idx="79">
                  <c:v>40269</c:v>
                </c:pt>
                <c:pt idx="80">
                  <c:v>40299</c:v>
                </c:pt>
                <c:pt idx="81">
                  <c:v>40330</c:v>
                </c:pt>
                <c:pt idx="82">
                  <c:v>40360</c:v>
                </c:pt>
                <c:pt idx="83">
                  <c:v>40391</c:v>
                </c:pt>
                <c:pt idx="84">
                  <c:v>40422</c:v>
                </c:pt>
                <c:pt idx="85">
                  <c:v>40452</c:v>
                </c:pt>
                <c:pt idx="86">
                  <c:v>40483</c:v>
                </c:pt>
                <c:pt idx="87">
                  <c:v>40513</c:v>
                </c:pt>
                <c:pt idx="88">
                  <c:v>40544</c:v>
                </c:pt>
                <c:pt idx="89">
                  <c:v>40575</c:v>
                </c:pt>
                <c:pt idx="90">
                  <c:v>40603</c:v>
                </c:pt>
                <c:pt idx="91">
                  <c:v>40634</c:v>
                </c:pt>
                <c:pt idx="92">
                  <c:v>40664</c:v>
                </c:pt>
                <c:pt idx="93">
                  <c:v>40695</c:v>
                </c:pt>
                <c:pt idx="94">
                  <c:v>40725</c:v>
                </c:pt>
                <c:pt idx="95">
                  <c:v>40756</c:v>
                </c:pt>
                <c:pt idx="96">
                  <c:v>40787</c:v>
                </c:pt>
                <c:pt idx="97">
                  <c:v>40817</c:v>
                </c:pt>
                <c:pt idx="98">
                  <c:v>40848</c:v>
                </c:pt>
                <c:pt idx="99">
                  <c:v>40878</c:v>
                </c:pt>
                <c:pt idx="100">
                  <c:v>40909</c:v>
                </c:pt>
                <c:pt idx="101">
                  <c:v>40940</c:v>
                </c:pt>
                <c:pt idx="102">
                  <c:v>40969</c:v>
                </c:pt>
                <c:pt idx="103">
                  <c:v>41000</c:v>
                </c:pt>
                <c:pt idx="104">
                  <c:v>41030</c:v>
                </c:pt>
                <c:pt idx="105">
                  <c:v>41061</c:v>
                </c:pt>
                <c:pt idx="106">
                  <c:v>41091</c:v>
                </c:pt>
                <c:pt idx="107">
                  <c:v>41122</c:v>
                </c:pt>
                <c:pt idx="108">
                  <c:v>41153</c:v>
                </c:pt>
                <c:pt idx="109">
                  <c:v>41183</c:v>
                </c:pt>
                <c:pt idx="110">
                  <c:v>41214</c:v>
                </c:pt>
                <c:pt idx="111">
                  <c:v>41244</c:v>
                </c:pt>
                <c:pt idx="112">
                  <c:v>41275</c:v>
                </c:pt>
                <c:pt idx="113">
                  <c:v>41306</c:v>
                </c:pt>
                <c:pt idx="114">
                  <c:v>41334</c:v>
                </c:pt>
                <c:pt idx="115">
                  <c:v>41365</c:v>
                </c:pt>
                <c:pt idx="116">
                  <c:v>41395</c:v>
                </c:pt>
                <c:pt idx="117">
                  <c:v>41426</c:v>
                </c:pt>
                <c:pt idx="118">
                  <c:v>41456</c:v>
                </c:pt>
                <c:pt idx="119">
                  <c:v>41487</c:v>
                </c:pt>
                <c:pt idx="120">
                  <c:v>41518</c:v>
                </c:pt>
                <c:pt idx="121">
                  <c:v>41548</c:v>
                </c:pt>
                <c:pt idx="122">
                  <c:v>41579</c:v>
                </c:pt>
                <c:pt idx="123">
                  <c:v>41609</c:v>
                </c:pt>
                <c:pt idx="124">
                  <c:v>41640</c:v>
                </c:pt>
                <c:pt idx="125">
                  <c:v>41671</c:v>
                </c:pt>
                <c:pt idx="126">
                  <c:v>41699</c:v>
                </c:pt>
                <c:pt idx="127">
                  <c:v>41730</c:v>
                </c:pt>
                <c:pt idx="128">
                  <c:v>41760</c:v>
                </c:pt>
                <c:pt idx="129">
                  <c:v>41791</c:v>
                </c:pt>
                <c:pt idx="130">
                  <c:v>41821</c:v>
                </c:pt>
                <c:pt idx="131">
                  <c:v>41852</c:v>
                </c:pt>
                <c:pt idx="132">
                  <c:v>41883</c:v>
                </c:pt>
                <c:pt idx="133">
                  <c:v>41913</c:v>
                </c:pt>
                <c:pt idx="134">
                  <c:v>41944</c:v>
                </c:pt>
                <c:pt idx="135">
                  <c:v>41974</c:v>
                </c:pt>
                <c:pt idx="136">
                  <c:v>42005</c:v>
                </c:pt>
                <c:pt idx="137">
                  <c:v>42036</c:v>
                </c:pt>
                <c:pt idx="138">
                  <c:v>42064</c:v>
                </c:pt>
                <c:pt idx="139">
                  <c:v>42095</c:v>
                </c:pt>
                <c:pt idx="140">
                  <c:v>42125</c:v>
                </c:pt>
                <c:pt idx="141">
                  <c:v>42156</c:v>
                </c:pt>
                <c:pt idx="142">
                  <c:v>42186</c:v>
                </c:pt>
                <c:pt idx="143">
                  <c:v>42217</c:v>
                </c:pt>
                <c:pt idx="144">
                  <c:v>42248</c:v>
                </c:pt>
                <c:pt idx="145">
                  <c:v>42278</c:v>
                </c:pt>
                <c:pt idx="146">
                  <c:v>42309</c:v>
                </c:pt>
                <c:pt idx="147">
                  <c:v>42339</c:v>
                </c:pt>
                <c:pt idx="148">
                  <c:v>42370</c:v>
                </c:pt>
                <c:pt idx="149">
                  <c:v>42401</c:v>
                </c:pt>
                <c:pt idx="150">
                  <c:v>42430</c:v>
                </c:pt>
                <c:pt idx="151">
                  <c:v>42461</c:v>
                </c:pt>
                <c:pt idx="152">
                  <c:v>42491</c:v>
                </c:pt>
                <c:pt idx="153">
                  <c:v>42522</c:v>
                </c:pt>
                <c:pt idx="154">
                  <c:v>42552</c:v>
                </c:pt>
                <c:pt idx="155">
                  <c:v>42583</c:v>
                </c:pt>
                <c:pt idx="156">
                  <c:v>42614</c:v>
                </c:pt>
                <c:pt idx="157">
                  <c:v>42644</c:v>
                </c:pt>
                <c:pt idx="158">
                  <c:v>42675</c:v>
                </c:pt>
                <c:pt idx="159">
                  <c:v>42705</c:v>
                </c:pt>
                <c:pt idx="160">
                  <c:v>42736</c:v>
                </c:pt>
                <c:pt idx="161">
                  <c:v>42767</c:v>
                </c:pt>
                <c:pt idx="162">
                  <c:v>42795</c:v>
                </c:pt>
                <c:pt idx="163">
                  <c:v>42826</c:v>
                </c:pt>
                <c:pt idx="164">
                  <c:v>42856</c:v>
                </c:pt>
                <c:pt idx="165">
                  <c:v>42887</c:v>
                </c:pt>
                <c:pt idx="166">
                  <c:v>42917</c:v>
                </c:pt>
                <c:pt idx="167">
                  <c:v>42948</c:v>
                </c:pt>
                <c:pt idx="168">
                  <c:v>42979</c:v>
                </c:pt>
                <c:pt idx="169">
                  <c:v>43009</c:v>
                </c:pt>
                <c:pt idx="170">
                  <c:v>43040</c:v>
                </c:pt>
                <c:pt idx="171">
                  <c:v>43070</c:v>
                </c:pt>
                <c:pt idx="172">
                  <c:v>43101</c:v>
                </c:pt>
                <c:pt idx="173">
                  <c:v>43132</c:v>
                </c:pt>
                <c:pt idx="174">
                  <c:v>43160</c:v>
                </c:pt>
                <c:pt idx="175">
                  <c:v>43191</c:v>
                </c:pt>
                <c:pt idx="176">
                  <c:v>43221</c:v>
                </c:pt>
                <c:pt idx="177">
                  <c:v>43252</c:v>
                </c:pt>
                <c:pt idx="178">
                  <c:v>43282</c:v>
                </c:pt>
                <c:pt idx="179">
                  <c:v>43313</c:v>
                </c:pt>
                <c:pt idx="180">
                  <c:v>43344</c:v>
                </c:pt>
                <c:pt idx="181">
                  <c:v>43374</c:v>
                </c:pt>
                <c:pt idx="182">
                  <c:v>43405</c:v>
                </c:pt>
                <c:pt idx="183">
                  <c:v>43435</c:v>
                </c:pt>
                <c:pt idx="184">
                  <c:v>43466</c:v>
                </c:pt>
                <c:pt idx="185">
                  <c:v>43497</c:v>
                </c:pt>
                <c:pt idx="186">
                  <c:v>43525</c:v>
                </c:pt>
                <c:pt idx="187">
                  <c:v>43556</c:v>
                </c:pt>
                <c:pt idx="188">
                  <c:v>43586</c:v>
                </c:pt>
                <c:pt idx="189">
                  <c:v>43617</c:v>
                </c:pt>
                <c:pt idx="190">
                  <c:v>43647</c:v>
                </c:pt>
                <c:pt idx="191">
                  <c:v>43678</c:v>
                </c:pt>
                <c:pt idx="192">
                  <c:v>43709</c:v>
                </c:pt>
                <c:pt idx="193">
                  <c:v>43739</c:v>
                </c:pt>
                <c:pt idx="194">
                  <c:v>43770</c:v>
                </c:pt>
                <c:pt idx="195">
                  <c:v>43800</c:v>
                </c:pt>
                <c:pt idx="196">
                  <c:v>43831</c:v>
                </c:pt>
                <c:pt idx="197">
                  <c:v>43862</c:v>
                </c:pt>
                <c:pt idx="198">
                  <c:v>43891</c:v>
                </c:pt>
                <c:pt idx="199">
                  <c:v>43922</c:v>
                </c:pt>
                <c:pt idx="200">
                  <c:v>43952</c:v>
                </c:pt>
                <c:pt idx="201">
                  <c:v>43983</c:v>
                </c:pt>
                <c:pt idx="202">
                  <c:v>44013</c:v>
                </c:pt>
              </c:numCache>
            </c:numRef>
          </c:cat>
          <c:val>
            <c:numRef>
              <c:f>[1]Prices!$AE$407:$AE$650</c:f>
              <c:numCache>
                <c:formatCode>General</c:formatCode>
                <c:ptCount val="244"/>
                <c:pt idx="0">
                  <c:v>29.592300000000002</c:v>
                </c:pt>
                <c:pt idx="1">
                  <c:v>33.249099999999999</c:v>
                </c:pt>
                <c:pt idx="2">
                  <c:v>33.677700000000002</c:v>
                </c:pt>
                <c:pt idx="3">
                  <c:v>35.283300000000004</c:v>
                </c:pt>
                <c:pt idx="4">
                  <c:v>34.920999999999999</c:v>
                </c:pt>
                <c:pt idx="5">
                  <c:v>38.631499999999996</c:v>
                </c:pt>
                <c:pt idx="6">
                  <c:v>40.682599999999994</c:v>
                </c:pt>
                <c:pt idx="7">
                  <c:v>39.883299999999998</c:v>
                </c:pt>
                <c:pt idx="8">
                  <c:v>38.4</c:v>
                </c:pt>
                <c:pt idx="9">
                  <c:v>11.531499999999998</c:v>
                </c:pt>
                <c:pt idx="10">
                  <c:v>11.266100000000002</c:v>
                </c:pt>
                <c:pt idx="11">
                  <c:v>9.191399999999998</c:v>
                </c:pt>
                <c:pt idx="12">
                  <c:v>9.1266999999999996</c:v>
                </c:pt>
                <c:pt idx="13">
                  <c:v>6.3181000000000012</c:v>
                </c:pt>
                <c:pt idx="14">
                  <c:v>5.7985000000000007</c:v>
                </c:pt>
                <c:pt idx="15">
                  <c:v>5.3247999999999998</c:v>
                </c:pt>
                <c:pt idx="16">
                  <c:v>4.5910000000000011</c:v>
                </c:pt>
                <c:pt idx="17">
                  <c:v>4.6346999999999987</c:v>
                </c:pt>
                <c:pt idx="18">
                  <c:v>6.1967999999999996</c:v>
                </c:pt>
                <c:pt idx="19">
                  <c:v>5.8867000000000012</c:v>
                </c:pt>
                <c:pt idx="20">
                  <c:v>5.9971999999999994</c:v>
                </c:pt>
                <c:pt idx="21">
                  <c:v>7.3482000000000021</c:v>
                </c:pt>
                <c:pt idx="22">
                  <c:v>8.0400000000000027</c:v>
                </c:pt>
                <c:pt idx="23">
                  <c:v>7.1804000000000023</c:v>
                </c:pt>
                <c:pt idx="24">
                  <c:v>5.9967000000000006</c:v>
                </c:pt>
                <c:pt idx="25">
                  <c:v>6.9123999999999981</c:v>
                </c:pt>
                <c:pt idx="26">
                  <c:v>5.7200000000000024</c:v>
                </c:pt>
                <c:pt idx="27">
                  <c:v>4.7310000000000016</c:v>
                </c:pt>
                <c:pt idx="28">
                  <c:v>4.7594999999999992</c:v>
                </c:pt>
                <c:pt idx="29">
                  <c:v>3.7536999999999985</c:v>
                </c:pt>
                <c:pt idx="30">
                  <c:v>3.8695999999999984</c:v>
                </c:pt>
                <c:pt idx="31">
                  <c:v>3.2689999999999984</c:v>
                </c:pt>
                <c:pt idx="32">
                  <c:v>4.0609999999999999</c:v>
                </c:pt>
                <c:pt idx="33">
                  <c:v>3.8508999999999993</c:v>
                </c:pt>
                <c:pt idx="34">
                  <c:v>5.0495000000000019</c:v>
                </c:pt>
                <c:pt idx="35">
                  <c:v>2.5274000000000001</c:v>
                </c:pt>
                <c:pt idx="36">
                  <c:v>3.0734999999999992</c:v>
                </c:pt>
                <c:pt idx="37">
                  <c:v>4.3521999999999998</c:v>
                </c:pt>
                <c:pt idx="38">
                  <c:v>5.1519999999999975</c:v>
                </c:pt>
                <c:pt idx="39">
                  <c:v>3.4319999999999951</c:v>
                </c:pt>
                <c:pt idx="40">
                  <c:v>2.5769999999999982</c:v>
                </c:pt>
                <c:pt idx="41">
                  <c:v>2.3736999999999995</c:v>
                </c:pt>
                <c:pt idx="42">
                  <c:v>3.0386000000000024</c:v>
                </c:pt>
                <c:pt idx="43">
                  <c:v>1.0450000000000017</c:v>
                </c:pt>
                <c:pt idx="44">
                  <c:v>-0.26999999999999602</c:v>
                </c:pt>
                <c:pt idx="45">
                  <c:v>-1.5304999999999964</c:v>
                </c:pt>
                <c:pt idx="46">
                  <c:v>-1.3618999999999986</c:v>
                </c:pt>
                <c:pt idx="47">
                  <c:v>-1.1400000000000006</c:v>
                </c:pt>
                <c:pt idx="48">
                  <c:v>1.6416000000000039</c:v>
                </c:pt>
                <c:pt idx="49">
                  <c:v>0.24430000000000263</c:v>
                </c:pt>
                <c:pt idx="50">
                  <c:v>1.8254999999999981</c:v>
                </c:pt>
                <c:pt idx="51">
                  <c:v>3.3109999999999999</c:v>
                </c:pt>
                <c:pt idx="52">
                  <c:v>3.4047999999999945</c:v>
                </c:pt>
                <c:pt idx="53">
                  <c:v>5.1139999999999972</c:v>
                </c:pt>
                <c:pt idx="54">
                  <c:v>-1.4144999999999968</c:v>
                </c:pt>
                <c:pt idx="55">
                  <c:v>1.429000000000002</c:v>
                </c:pt>
                <c:pt idx="56">
                  <c:v>4.0766000000000062</c:v>
                </c:pt>
                <c:pt idx="57">
                  <c:v>9.7014999999999958</c:v>
                </c:pt>
                <c:pt idx="58">
                  <c:v>11.979599999999998</c:v>
                </c:pt>
                <c:pt idx="59">
                  <c:v>12.297199999999997</c:v>
                </c:pt>
                <c:pt idx="60">
                  <c:v>15.768499999999996</c:v>
                </c:pt>
                <c:pt idx="61">
                  <c:v>14.046500000000002</c:v>
                </c:pt>
                <c:pt idx="62">
                  <c:v>11.005799999999997</c:v>
                </c:pt>
                <c:pt idx="63">
                  <c:v>7.6491000000000007</c:v>
                </c:pt>
                <c:pt idx="64">
                  <c:v>6.6004999999999967</c:v>
                </c:pt>
                <c:pt idx="65">
                  <c:v>2.8553000000000033</c:v>
                </c:pt>
                <c:pt idx="66">
                  <c:v>1.0726999999999975</c:v>
                </c:pt>
                <c:pt idx="67">
                  <c:v>0.27379999999999427</c:v>
                </c:pt>
                <c:pt idx="68">
                  <c:v>0.48499999999999943</c:v>
                </c:pt>
                <c:pt idx="69">
                  <c:v>2.6878000000000029</c:v>
                </c:pt>
                <c:pt idx="70">
                  <c:v>2.3813999999999993</c:v>
                </c:pt>
                <c:pt idx="71">
                  <c:v>1.5367000000000033</c:v>
                </c:pt>
                <c:pt idx="72">
                  <c:v>2.1614000000000004</c:v>
                </c:pt>
                <c:pt idx="73">
                  <c:v>4.3150000000000048</c:v>
                </c:pt>
                <c:pt idx="74">
                  <c:v>5.0405000000000015</c:v>
                </c:pt>
                <c:pt idx="75">
                  <c:v>2.5981999999999985</c:v>
                </c:pt>
                <c:pt idx="76">
                  <c:v>0.17269999999999897</c:v>
                </c:pt>
                <c:pt idx="77">
                  <c:v>-0.27420000000000044</c:v>
                </c:pt>
                <c:pt idx="78">
                  <c:v>-0.99340000000000117</c:v>
                </c:pt>
                <c:pt idx="79">
                  <c:v>-1.3447000000000031</c:v>
                </c:pt>
                <c:pt idx="80">
                  <c:v>-1.9594999999999985</c:v>
                </c:pt>
                <c:pt idx="81">
                  <c:v>-1.9014000000000024</c:v>
                </c:pt>
                <c:pt idx="82">
                  <c:v>-1.1876000000000033</c:v>
                </c:pt>
                <c:pt idx="83">
                  <c:v>-2.9318000000000026</c:v>
                </c:pt>
                <c:pt idx="84">
                  <c:v>-0.79429999999999978</c:v>
                </c:pt>
                <c:pt idx="85">
                  <c:v>1.3862000000000023</c:v>
                </c:pt>
                <c:pt idx="86">
                  <c:v>0.44050000000000011</c:v>
                </c:pt>
                <c:pt idx="87">
                  <c:v>-8.6000000000012733E-3</c:v>
                </c:pt>
                <c:pt idx="88">
                  <c:v>0.36399999999999721</c:v>
                </c:pt>
                <c:pt idx="89">
                  <c:v>0.11050000000000182</c:v>
                </c:pt>
                <c:pt idx="90">
                  <c:v>2.9769000000000005</c:v>
                </c:pt>
                <c:pt idx="91">
                  <c:v>6.2585000000000051</c:v>
                </c:pt>
                <c:pt idx="92">
                  <c:v>4.0267000000000053</c:v>
                </c:pt>
                <c:pt idx="93">
                  <c:v>6.458599999999997</c:v>
                </c:pt>
                <c:pt idx="94">
                  <c:v>7.9540000000000006</c:v>
                </c:pt>
                <c:pt idx="95">
                  <c:v>6.6743000000000023</c:v>
                </c:pt>
                <c:pt idx="96">
                  <c:v>9.8699999999999974</c:v>
                </c:pt>
                <c:pt idx="97">
                  <c:v>10.458500000000001</c:v>
                </c:pt>
                <c:pt idx="98">
                  <c:v>6.7719000000000023</c:v>
                </c:pt>
                <c:pt idx="99">
                  <c:v>5.0472000000000037</c:v>
                </c:pt>
                <c:pt idx="100">
                  <c:v>5.7650000000000006</c:v>
                </c:pt>
                <c:pt idx="101">
                  <c:v>6.4455000000000027</c:v>
                </c:pt>
                <c:pt idx="102">
                  <c:v>4.8903999999999996</c:v>
                </c:pt>
                <c:pt idx="103">
                  <c:v>5.4589999999999961</c:v>
                </c:pt>
                <c:pt idx="104">
                  <c:v>6.43</c:v>
                </c:pt>
                <c:pt idx="105">
                  <c:v>9.1771000000000029</c:v>
                </c:pt>
                <c:pt idx="106">
                  <c:v>11.567599999999999</c:v>
                </c:pt>
                <c:pt idx="107">
                  <c:v>12.694699999999997</c:v>
                </c:pt>
                <c:pt idx="108">
                  <c:v>14.895800000000001</c:v>
                </c:pt>
                <c:pt idx="109">
                  <c:v>15.670900000000003</c:v>
                </c:pt>
                <c:pt idx="110">
                  <c:v>14.189999999999998</c:v>
                </c:pt>
                <c:pt idx="111">
                  <c:v>17.046500000000002</c:v>
                </c:pt>
                <c:pt idx="112">
                  <c:v>16.346600000000002</c:v>
                </c:pt>
                <c:pt idx="113">
                  <c:v>15.399500000000003</c:v>
                </c:pt>
                <c:pt idx="114">
                  <c:v>15.914999999999999</c:v>
                </c:pt>
                <c:pt idx="115">
                  <c:v>16.9572</c:v>
                </c:pt>
                <c:pt idx="116">
                  <c:v>17.336799999999997</c:v>
                </c:pt>
                <c:pt idx="117">
                  <c:v>14.330500000000001</c:v>
                </c:pt>
                <c:pt idx="118">
                  <c:v>13.089100000000002</c:v>
                </c:pt>
                <c:pt idx="119">
                  <c:v>10.411000000000001</c:v>
                </c:pt>
                <c:pt idx="120">
                  <c:v>9.9095000000000013</c:v>
                </c:pt>
                <c:pt idx="121">
                  <c:v>7.7922000000000011</c:v>
                </c:pt>
                <c:pt idx="122">
                  <c:v>5.724499999999999</c:v>
                </c:pt>
                <c:pt idx="123">
                  <c:v>4.9966000000000008</c:v>
                </c:pt>
                <c:pt idx="124">
                  <c:v>3.298099999999998</c:v>
                </c:pt>
                <c:pt idx="125">
                  <c:v>5.6194999999999951</c:v>
                </c:pt>
                <c:pt idx="126">
                  <c:v>3.0328999999999979</c:v>
                </c:pt>
                <c:pt idx="127">
                  <c:v>5.2175999999999974</c:v>
                </c:pt>
                <c:pt idx="128">
                  <c:v>3.8676999999999992</c:v>
                </c:pt>
                <c:pt idx="129">
                  <c:v>6.150500000000001</c:v>
                </c:pt>
                <c:pt idx="130">
                  <c:v>5.1908999999999992</c:v>
                </c:pt>
                <c:pt idx="131">
                  <c:v>6.0071000000000012</c:v>
                </c:pt>
                <c:pt idx="132">
                  <c:v>6.1257000000000019</c:v>
                </c:pt>
                <c:pt idx="133">
                  <c:v>7.9134000000000029</c:v>
                </c:pt>
                <c:pt idx="134">
                  <c:v>7.2402999999999977</c:v>
                </c:pt>
                <c:pt idx="135">
                  <c:v>8.2232999999999947</c:v>
                </c:pt>
                <c:pt idx="136">
                  <c:v>6.8874999999999957</c:v>
                </c:pt>
                <c:pt idx="137">
                  <c:v>6.229699999999994</c:v>
                </c:pt>
                <c:pt idx="138">
                  <c:v>6.410899999999998</c:v>
                </c:pt>
                <c:pt idx="139">
                  <c:v>6.5676000000000059</c:v>
                </c:pt>
                <c:pt idx="140">
                  <c:v>5.0261999999999958</c:v>
                </c:pt>
                <c:pt idx="141">
                  <c:v>5.1300000000000026</c:v>
                </c:pt>
                <c:pt idx="142">
                  <c:v>3.7372999999999976</c:v>
                </c:pt>
                <c:pt idx="143">
                  <c:v>4.5191000000000017</c:v>
                </c:pt>
                <c:pt idx="144">
                  <c:v>3.6667000000000023</c:v>
                </c:pt>
                <c:pt idx="145">
                  <c:v>3.8327000000000027</c:v>
                </c:pt>
                <c:pt idx="146">
                  <c:v>5.0749999999999993</c:v>
                </c:pt>
                <c:pt idx="147">
                  <c:v>7.0317999999999969</c:v>
                </c:pt>
                <c:pt idx="148">
                  <c:v>4.5705999999999953</c:v>
                </c:pt>
                <c:pt idx="149">
                  <c:v>2.7004999999999981</c:v>
                </c:pt>
                <c:pt idx="150">
                  <c:v>3.0945999999999998</c:v>
                </c:pt>
                <c:pt idx="151">
                  <c:v>0.99719999999999942</c:v>
                </c:pt>
                <c:pt idx="152">
                  <c:v>-4.7100000000000364E-2</c:v>
                </c:pt>
                <c:pt idx="153">
                  <c:v>1.9249999999999972</c:v>
                </c:pt>
                <c:pt idx="154">
                  <c:v>2.474499999999999</c:v>
                </c:pt>
                <c:pt idx="155">
                  <c:v>1.9508999999999972</c:v>
                </c:pt>
                <c:pt idx="156">
                  <c:v>0.93949999999999534</c:v>
                </c:pt>
                <c:pt idx="157">
                  <c:v>6.8033000000000001</c:v>
                </c:pt>
                <c:pt idx="158">
                  <c:v>4.5371999999999986</c:v>
                </c:pt>
                <c:pt idx="159">
                  <c:v>3.4405000000000001</c:v>
                </c:pt>
                <c:pt idx="160">
                  <c:v>1.5045000000000002</c:v>
                </c:pt>
                <c:pt idx="161">
                  <c:v>-0.36899999999999977</c:v>
                </c:pt>
                <c:pt idx="162">
                  <c:v>1.4699999999997715E-2</c:v>
                </c:pt>
                <c:pt idx="163">
                  <c:v>0.18419999999999703</c:v>
                </c:pt>
                <c:pt idx="164">
                  <c:v>1.0350000000000037</c:v>
                </c:pt>
                <c:pt idx="165">
                  <c:v>1.7595000000000027</c:v>
                </c:pt>
                <c:pt idx="166">
                  <c:v>4.1144999999999996</c:v>
                </c:pt>
                <c:pt idx="167">
                  <c:v>4.9603999999999999</c:v>
                </c:pt>
                <c:pt idx="168">
                  <c:v>2.9375</c:v>
                </c:pt>
                <c:pt idx="169">
                  <c:v>3.5904000000000025</c:v>
                </c:pt>
                <c:pt idx="170">
                  <c:v>4.1475999999999971</c:v>
                </c:pt>
                <c:pt idx="171">
                  <c:v>4.7115000000000009</c:v>
                </c:pt>
                <c:pt idx="172">
                  <c:v>4.0476000000000028</c:v>
                </c:pt>
                <c:pt idx="173">
                  <c:v>3.4594999999999985</c:v>
                </c:pt>
                <c:pt idx="174">
                  <c:v>2.589500000000001</c:v>
                </c:pt>
                <c:pt idx="175">
                  <c:v>2.6428999999999974</c:v>
                </c:pt>
                <c:pt idx="176">
                  <c:v>2.8413000000000039</c:v>
                </c:pt>
                <c:pt idx="177">
                  <c:v>2.1004999999999967</c:v>
                </c:pt>
                <c:pt idx="178">
                  <c:v>2.684700000000003</c:v>
                </c:pt>
                <c:pt idx="179">
                  <c:v>3.5305</c:v>
                </c:pt>
                <c:pt idx="180">
                  <c:v>3.4288999999999987</c:v>
                </c:pt>
                <c:pt idx="181">
                  <c:v>4.5794999999999959</c:v>
                </c:pt>
                <c:pt idx="182">
                  <c:v>6.4233000000000047</c:v>
                </c:pt>
                <c:pt idx="183">
                  <c:v>7.7419999999999973</c:v>
                </c:pt>
                <c:pt idx="184">
                  <c:v>6.4675999999999974</c:v>
                </c:pt>
                <c:pt idx="185">
                  <c:v>6.3863000000000021</c:v>
                </c:pt>
                <c:pt idx="186">
                  <c:v>6.4695000000000036</c:v>
                </c:pt>
                <c:pt idx="187">
                  <c:v>5.6471000000000018</c:v>
                </c:pt>
                <c:pt idx="188">
                  <c:v>5.1622999999999983</c:v>
                </c:pt>
                <c:pt idx="189">
                  <c:v>6.5480000000000018</c:v>
                </c:pt>
                <c:pt idx="190">
                  <c:v>7.4096000000000011</c:v>
                </c:pt>
                <c:pt idx="191">
                  <c:v>6.9745000000000026</c:v>
                </c:pt>
                <c:pt idx="192">
                  <c:v>7.197499999999998</c:v>
                </c:pt>
                <c:pt idx="193">
                  <c:v>8.1822000000000017</c:v>
                </c:pt>
                <c:pt idx="194">
                  <c:v>5.4455000000000027</c:v>
                </c:pt>
                <c:pt idx="195">
                  <c:v>3.2049999999999983</c:v>
                </c:pt>
                <c:pt idx="196">
                  <c:v>2.1905000000000001</c:v>
                </c:pt>
                <c:pt idx="197">
                  <c:v>2.8997000000000028</c:v>
                </c:pt>
                <c:pt idx="198">
                  <c:v>3.1085999999999991</c:v>
                </c:pt>
                <c:pt idx="199">
                  <c:v>2.9980999999999973</c:v>
                </c:pt>
                <c:pt idx="200">
                  <c:v>4.8210000000000015</c:v>
                </c:pt>
                <c:pt idx="201">
                  <c:v>2.7322999999999951</c:v>
                </c:pt>
                <c:pt idx="202">
                  <c:v>2.5882000000000005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1-4854-8E4A-64A542D9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66346048"/>
        <c:axId val="1066345392"/>
      </c:barChart>
      <c:lineChart>
        <c:grouping val="standard"/>
        <c:varyColors val="0"/>
        <c:ser>
          <c:idx val="0"/>
          <c:order val="0"/>
          <c:tx>
            <c:v>Soybean Oil - RDB - US Gulf</c:v>
          </c:tx>
          <c:spPr>
            <a:ln w="28575" cap="rnd">
              <a:solidFill>
                <a:srgbClr val="D7BA2F"/>
              </a:solidFill>
              <a:round/>
            </a:ln>
            <a:effectLst/>
          </c:spPr>
          <c:marker>
            <c:symbol val="none"/>
          </c:marker>
          <c:cat>
            <c:numRef>
              <c:f>[1]Prices!$A$413:$A$609</c:f>
              <c:numCache>
                <c:formatCode>General</c:formatCode>
                <c:ptCount val="197"/>
                <c:pt idx="0">
                  <c:v>38047</c:v>
                </c:pt>
                <c:pt idx="1">
                  <c:v>38078</c:v>
                </c:pt>
                <c:pt idx="2">
                  <c:v>38108</c:v>
                </c:pt>
                <c:pt idx="3">
                  <c:v>38139</c:v>
                </c:pt>
                <c:pt idx="4">
                  <c:v>38169</c:v>
                </c:pt>
                <c:pt idx="5">
                  <c:v>38200</c:v>
                </c:pt>
                <c:pt idx="6">
                  <c:v>38231</c:v>
                </c:pt>
                <c:pt idx="7">
                  <c:v>38261</c:v>
                </c:pt>
                <c:pt idx="8">
                  <c:v>38292</c:v>
                </c:pt>
                <c:pt idx="9">
                  <c:v>38322</c:v>
                </c:pt>
                <c:pt idx="10">
                  <c:v>38353</c:v>
                </c:pt>
                <c:pt idx="11">
                  <c:v>38384</c:v>
                </c:pt>
                <c:pt idx="12">
                  <c:v>38412</c:v>
                </c:pt>
                <c:pt idx="13">
                  <c:v>38443</c:v>
                </c:pt>
                <c:pt idx="14">
                  <c:v>38473</c:v>
                </c:pt>
                <c:pt idx="15">
                  <c:v>38504</c:v>
                </c:pt>
                <c:pt idx="16">
                  <c:v>38534</c:v>
                </c:pt>
                <c:pt idx="17">
                  <c:v>38565</c:v>
                </c:pt>
                <c:pt idx="18">
                  <c:v>38596</c:v>
                </c:pt>
                <c:pt idx="19">
                  <c:v>38626</c:v>
                </c:pt>
                <c:pt idx="20">
                  <c:v>38657</c:v>
                </c:pt>
                <c:pt idx="21">
                  <c:v>38687</c:v>
                </c:pt>
                <c:pt idx="22">
                  <c:v>38718</c:v>
                </c:pt>
                <c:pt idx="23">
                  <c:v>38749</c:v>
                </c:pt>
                <c:pt idx="24">
                  <c:v>38777</c:v>
                </c:pt>
                <c:pt idx="25">
                  <c:v>38808</c:v>
                </c:pt>
                <c:pt idx="26">
                  <c:v>38838</c:v>
                </c:pt>
                <c:pt idx="27">
                  <c:v>38869</c:v>
                </c:pt>
                <c:pt idx="28">
                  <c:v>38899</c:v>
                </c:pt>
                <c:pt idx="29">
                  <c:v>38930</c:v>
                </c:pt>
                <c:pt idx="30">
                  <c:v>38961</c:v>
                </c:pt>
                <c:pt idx="31">
                  <c:v>38991</c:v>
                </c:pt>
                <c:pt idx="32">
                  <c:v>39022</c:v>
                </c:pt>
                <c:pt idx="33">
                  <c:v>39052</c:v>
                </c:pt>
                <c:pt idx="34">
                  <c:v>39083</c:v>
                </c:pt>
                <c:pt idx="35">
                  <c:v>39114</c:v>
                </c:pt>
                <c:pt idx="36">
                  <c:v>39142</c:v>
                </c:pt>
                <c:pt idx="37">
                  <c:v>39173</c:v>
                </c:pt>
                <c:pt idx="38">
                  <c:v>39203</c:v>
                </c:pt>
                <c:pt idx="39">
                  <c:v>39234</c:v>
                </c:pt>
                <c:pt idx="40">
                  <c:v>39264</c:v>
                </c:pt>
                <c:pt idx="41">
                  <c:v>39295</c:v>
                </c:pt>
                <c:pt idx="42">
                  <c:v>39326</c:v>
                </c:pt>
                <c:pt idx="43">
                  <c:v>39356</c:v>
                </c:pt>
                <c:pt idx="44">
                  <c:v>39387</c:v>
                </c:pt>
                <c:pt idx="45">
                  <c:v>39417</c:v>
                </c:pt>
                <c:pt idx="46">
                  <c:v>39448</c:v>
                </c:pt>
                <c:pt idx="47">
                  <c:v>39479</c:v>
                </c:pt>
                <c:pt idx="48">
                  <c:v>39508</c:v>
                </c:pt>
                <c:pt idx="49">
                  <c:v>39539</c:v>
                </c:pt>
                <c:pt idx="50">
                  <c:v>39569</c:v>
                </c:pt>
                <c:pt idx="51">
                  <c:v>39600</c:v>
                </c:pt>
                <c:pt idx="52">
                  <c:v>39630</c:v>
                </c:pt>
                <c:pt idx="53">
                  <c:v>39661</c:v>
                </c:pt>
                <c:pt idx="54">
                  <c:v>39692</c:v>
                </c:pt>
                <c:pt idx="55">
                  <c:v>39722</c:v>
                </c:pt>
                <c:pt idx="56">
                  <c:v>39753</c:v>
                </c:pt>
                <c:pt idx="57">
                  <c:v>39783</c:v>
                </c:pt>
                <c:pt idx="58">
                  <c:v>39814</c:v>
                </c:pt>
                <c:pt idx="59">
                  <c:v>39845</c:v>
                </c:pt>
                <c:pt idx="60">
                  <c:v>39873</c:v>
                </c:pt>
                <c:pt idx="61">
                  <c:v>39904</c:v>
                </c:pt>
                <c:pt idx="62">
                  <c:v>39934</c:v>
                </c:pt>
                <c:pt idx="63">
                  <c:v>39965</c:v>
                </c:pt>
                <c:pt idx="64">
                  <c:v>39995</c:v>
                </c:pt>
                <c:pt idx="65">
                  <c:v>40026</c:v>
                </c:pt>
                <c:pt idx="66">
                  <c:v>40057</c:v>
                </c:pt>
                <c:pt idx="67">
                  <c:v>40087</c:v>
                </c:pt>
                <c:pt idx="68">
                  <c:v>40118</c:v>
                </c:pt>
                <c:pt idx="69">
                  <c:v>40148</c:v>
                </c:pt>
                <c:pt idx="70">
                  <c:v>40179</c:v>
                </c:pt>
                <c:pt idx="71">
                  <c:v>40210</c:v>
                </c:pt>
                <c:pt idx="72">
                  <c:v>40238</c:v>
                </c:pt>
                <c:pt idx="73">
                  <c:v>40269</c:v>
                </c:pt>
                <c:pt idx="74">
                  <c:v>40299</c:v>
                </c:pt>
                <c:pt idx="75">
                  <c:v>40330</c:v>
                </c:pt>
                <c:pt idx="76">
                  <c:v>40360</c:v>
                </c:pt>
                <c:pt idx="77">
                  <c:v>40391</c:v>
                </c:pt>
                <c:pt idx="78">
                  <c:v>40422</c:v>
                </c:pt>
                <c:pt idx="79">
                  <c:v>40452</c:v>
                </c:pt>
                <c:pt idx="80">
                  <c:v>40483</c:v>
                </c:pt>
                <c:pt idx="81">
                  <c:v>40513</c:v>
                </c:pt>
                <c:pt idx="82">
                  <c:v>40544</c:v>
                </c:pt>
                <c:pt idx="83">
                  <c:v>40575</c:v>
                </c:pt>
                <c:pt idx="84">
                  <c:v>40603</c:v>
                </c:pt>
                <c:pt idx="85">
                  <c:v>40634</c:v>
                </c:pt>
                <c:pt idx="86">
                  <c:v>40664</c:v>
                </c:pt>
                <c:pt idx="87">
                  <c:v>40695</c:v>
                </c:pt>
                <c:pt idx="88">
                  <c:v>40725</c:v>
                </c:pt>
                <c:pt idx="89">
                  <c:v>40756</c:v>
                </c:pt>
                <c:pt idx="90">
                  <c:v>40787</c:v>
                </c:pt>
                <c:pt idx="91">
                  <c:v>40817</c:v>
                </c:pt>
                <c:pt idx="92">
                  <c:v>40848</c:v>
                </c:pt>
                <c:pt idx="93">
                  <c:v>40878</c:v>
                </c:pt>
                <c:pt idx="94">
                  <c:v>40909</c:v>
                </c:pt>
                <c:pt idx="95">
                  <c:v>40940</c:v>
                </c:pt>
                <c:pt idx="96">
                  <c:v>40969</c:v>
                </c:pt>
                <c:pt idx="97">
                  <c:v>41000</c:v>
                </c:pt>
                <c:pt idx="98">
                  <c:v>41030</c:v>
                </c:pt>
                <c:pt idx="99">
                  <c:v>41061</c:v>
                </c:pt>
                <c:pt idx="100">
                  <c:v>41091</c:v>
                </c:pt>
                <c:pt idx="101">
                  <c:v>41122</c:v>
                </c:pt>
                <c:pt idx="102">
                  <c:v>41153</c:v>
                </c:pt>
                <c:pt idx="103">
                  <c:v>41183</c:v>
                </c:pt>
                <c:pt idx="104">
                  <c:v>41214</c:v>
                </c:pt>
                <c:pt idx="105">
                  <c:v>41244</c:v>
                </c:pt>
                <c:pt idx="106">
                  <c:v>41275</c:v>
                </c:pt>
                <c:pt idx="107">
                  <c:v>41306</c:v>
                </c:pt>
                <c:pt idx="108">
                  <c:v>41334</c:v>
                </c:pt>
                <c:pt idx="109">
                  <c:v>41365</c:v>
                </c:pt>
                <c:pt idx="110">
                  <c:v>41395</c:v>
                </c:pt>
                <c:pt idx="111">
                  <c:v>41426</c:v>
                </c:pt>
                <c:pt idx="112">
                  <c:v>41456</c:v>
                </c:pt>
                <c:pt idx="113">
                  <c:v>41487</c:v>
                </c:pt>
                <c:pt idx="114">
                  <c:v>41518</c:v>
                </c:pt>
                <c:pt idx="115">
                  <c:v>41548</c:v>
                </c:pt>
                <c:pt idx="116">
                  <c:v>41579</c:v>
                </c:pt>
                <c:pt idx="117">
                  <c:v>41609</c:v>
                </c:pt>
                <c:pt idx="118">
                  <c:v>41640</c:v>
                </c:pt>
                <c:pt idx="119">
                  <c:v>41671</c:v>
                </c:pt>
                <c:pt idx="120">
                  <c:v>41699</c:v>
                </c:pt>
                <c:pt idx="121">
                  <c:v>41730</c:v>
                </c:pt>
                <c:pt idx="122">
                  <c:v>41760</c:v>
                </c:pt>
                <c:pt idx="123">
                  <c:v>41791</c:v>
                </c:pt>
                <c:pt idx="124">
                  <c:v>41821</c:v>
                </c:pt>
                <c:pt idx="125">
                  <c:v>41852</c:v>
                </c:pt>
                <c:pt idx="126">
                  <c:v>41883</c:v>
                </c:pt>
                <c:pt idx="127">
                  <c:v>41913</c:v>
                </c:pt>
                <c:pt idx="128">
                  <c:v>41944</c:v>
                </c:pt>
                <c:pt idx="129">
                  <c:v>41974</c:v>
                </c:pt>
                <c:pt idx="130">
                  <c:v>42005</c:v>
                </c:pt>
                <c:pt idx="131">
                  <c:v>42036</c:v>
                </c:pt>
                <c:pt idx="132">
                  <c:v>42064</c:v>
                </c:pt>
                <c:pt idx="133">
                  <c:v>42095</c:v>
                </c:pt>
                <c:pt idx="134">
                  <c:v>42125</c:v>
                </c:pt>
                <c:pt idx="135">
                  <c:v>42156</c:v>
                </c:pt>
                <c:pt idx="136">
                  <c:v>42186</c:v>
                </c:pt>
                <c:pt idx="137">
                  <c:v>42217</c:v>
                </c:pt>
                <c:pt idx="138">
                  <c:v>42248</c:v>
                </c:pt>
                <c:pt idx="139">
                  <c:v>42278</c:v>
                </c:pt>
                <c:pt idx="140">
                  <c:v>42309</c:v>
                </c:pt>
                <c:pt idx="141">
                  <c:v>42339</c:v>
                </c:pt>
                <c:pt idx="142">
                  <c:v>42370</c:v>
                </c:pt>
                <c:pt idx="143">
                  <c:v>42401</c:v>
                </c:pt>
                <c:pt idx="144">
                  <c:v>42430</c:v>
                </c:pt>
                <c:pt idx="145">
                  <c:v>42461</c:v>
                </c:pt>
                <c:pt idx="146">
                  <c:v>42491</c:v>
                </c:pt>
                <c:pt idx="147">
                  <c:v>42522</c:v>
                </c:pt>
                <c:pt idx="148">
                  <c:v>42552</c:v>
                </c:pt>
                <c:pt idx="149">
                  <c:v>42583</c:v>
                </c:pt>
                <c:pt idx="150">
                  <c:v>42614</c:v>
                </c:pt>
                <c:pt idx="151">
                  <c:v>42644</c:v>
                </c:pt>
                <c:pt idx="152">
                  <c:v>42675</c:v>
                </c:pt>
                <c:pt idx="153">
                  <c:v>42705</c:v>
                </c:pt>
                <c:pt idx="154">
                  <c:v>42736</c:v>
                </c:pt>
                <c:pt idx="155">
                  <c:v>42767</c:v>
                </c:pt>
                <c:pt idx="156">
                  <c:v>42795</c:v>
                </c:pt>
                <c:pt idx="157">
                  <c:v>42826</c:v>
                </c:pt>
                <c:pt idx="158">
                  <c:v>42856</c:v>
                </c:pt>
                <c:pt idx="159">
                  <c:v>42887</c:v>
                </c:pt>
                <c:pt idx="160">
                  <c:v>42917</c:v>
                </c:pt>
                <c:pt idx="161">
                  <c:v>42948</c:v>
                </c:pt>
                <c:pt idx="162">
                  <c:v>42979</c:v>
                </c:pt>
                <c:pt idx="163">
                  <c:v>43009</c:v>
                </c:pt>
                <c:pt idx="164">
                  <c:v>43040</c:v>
                </c:pt>
                <c:pt idx="165">
                  <c:v>43070</c:v>
                </c:pt>
                <c:pt idx="166">
                  <c:v>43101</c:v>
                </c:pt>
                <c:pt idx="167">
                  <c:v>43132</c:v>
                </c:pt>
                <c:pt idx="168">
                  <c:v>43160</c:v>
                </c:pt>
                <c:pt idx="169">
                  <c:v>43191</c:v>
                </c:pt>
                <c:pt idx="170">
                  <c:v>43221</c:v>
                </c:pt>
                <c:pt idx="171">
                  <c:v>43252</c:v>
                </c:pt>
                <c:pt idx="172">
                  <c:v>43282</c:v>
                </c:pt>
                <c:pt idx="173">
                  <c:v>43313</c:v>
                </c:pt>
                <c:pt idx="174">
                  <c:v>43344</c:v>
                </c:pt>
                <c:pt idx="175">
                  <c:v>43374</c:v>
                </c:pt>
                <c:pt idx="176">
                  <c:v>43405</c:v>
                </c:pt>
                <c:pt idx="177">
                  <c:v>43435</c:v>
                </c:pt>
                <c:pt idx="178">
                  <c:v>43466</c:v>
                </c:pt>
                <c:pt idx="179">
                  <c:v>43497</c:v>
                </c:pt>
                <c:pt idx="180">
                  <c:v>43525</c:v>
                </c:pt>
                <c:pt idx="181">
                  <c:v>43556</c:v>
                </c:pt>
                <c:pt idx="182">
                  <c:v>43586</c:v>
                </c:pt>
                <c:pt idx="183">
                  <c:v>43617</c:v>
                </c:pt>
                <c:pt idx="184">
                  <c:v>43647</c:v>
                </c:pt>
                <c:pt idx="185">
                  <c:v>43678</c:v>
                </c:pt>
                <c:pt idx="186">
                  <c:v>43709</c:v>
                </c:pt>
                <c:pt idx="187">
                  <c:v>43739</c:v>
                </c:pt>
                <c:pt idx="188">
                  <c:v>43770</c:v>
                </c:pt>
                <c:pt idx="189">
                  <c:v>43800</c:v>
                </c:pt>
                <c:pt idx="190">
                  <c:v>43831</c:v>
                </c:pt>
                <c:pt idx="191">
                  <c:v>43862</c:v>
                </c:pt>
                <c:pt idx="192">
                  <c:v>43891</c:v>
                </c:pt>
                <c:pt idx="193">
                  <c:v>43922</c:v>
                </c:pt>
                <c:pt idx="194">
                  <c:v>43952</c:v>
                </c:pt>
                <c:pt idx="195">
                  <c:v>43983</c:v>
                </c:pt>
                <c:pt idx="196">
                  <c:v>44013</c:v>
                </c:pt>
              </c:numCache>
            </c:numRef>
          </c:cat>
          <c:val>
            <c:numRef>
              <c:f>[1]Prices!$AF$407:$AF$609</c:f>
              <c:numCache>
                <c:formatCode>General</c:formatCode>
                <c:ptCount val="203"/>
                <c:pt idx="0">
                  <c:v>29.0623</c:v>
                </c:pt>
                <c:pt idx="1">
                  <c:v>32.719099999999997</c:v>
                </c:pt>
                <c:pt idx="2">
                  <c:v>33.1477</c:v>
                </c:pt>
                <c:pt idx="3">
                  <c:v>34.753300000000003</c:v>
                </c:pt>
                <c:pt idx="4">
                  <c:v>34.441000000000003</c:v>
                </c:pt>
                <c:pt idx="5">
                  <c:v>38.151499999999999</c:v>
                </c:pt>
                <c:pt idx="6">
                  <c:v>40.202599999999997</c:v>
                </c:pt>
                <c:pt idx="7">
                  <c:v>39.403300000000002</c:v>
                </c:pt>
                <c:pt idx="8">
                  <c:v>37.92</c:v>
                </c:pt>
                <c:pt idx="9">
                  <c:v>34.453499999999998</c:v>
                </c:pt>
                <c:pt idx="10">
                  <c:v>33.586100000000002</c:v>
                </c:pt>
                <c:pt idx="11">
                  <c:v>31.817699999999999</c:v>
                </c:pt>
                <c:pt idx="12">
                  <c:v>32.369</c:v>
                </c:pt>
                <c:pt idx="13">
                  <c:v>28.6952</c:v>
                </c:pt>
                <c:pt idx="14">
                  <c:v>27.991</c:v>
                </c:pt>
                <c:pt idx="15">
                  <c:v>27.055199999999999</c:v>
                </c:pt>
                <c:pt idx="16">
                  <c:v>25.037500000000001</c:v>
                </c:pt>
                <c:pt idx="17">
                  <c:v>24.855699999999999</c:v>
                </c:pt>
                <c:pt idx="18">
                  <c:v>28.0518</c:v>
                </c:pt>
                <c:pt idx="19">
                  <c:v>27.6052</c:v>
                </c:pt>
                <c:pt idx="20">
                  <c:v>27.7895</c:v>
                </c:pt>
                <c:pt idx="21">
                  <c:v>29.028600000000001</c:v>
                </c:pt>
                <c:pt idx="22">
                  <c:v>29.934000000000001</c:v>
                </c:pt>
                <c:pt idx="23">
                  <c:v>28.420400000000001</c:v>
                </c:pt>
                <c:pt idx="24">
                  <c:v>28.0609</c:v>
                </c:pt>
                <c:pt idx="25">
                  <c:v>29.4528</c:v>
                </c:pt>
                <c:pt idx="26">
                  <c:v>27.867000000000001</c:v>
                </c:pt>
                <c:pt idx="27">
                  <c:v>26.222000000000001</c:v>
                </c:pt>
                <c:pt idx="28">
                  <c:v>26.554500000000001</c:v>
                </c:pt>
                <c:pt idx="29">
                  <c:v>26.440999999999999</c:v>
                </c:pt>
                <c:pt idx="30">
                  <c:v>26.648199999999999</c:v>
                </c:pt>
                <c:pt idx="31">
                  <c:v>26.45</c:v>
                </c:pt>
                <c:pt idx="32">
                  <c:v>27.535</c:v>
                </c:pt>
                <c:pt idx="33">
                  <c:v>26.941800000000001</c:v>
                </c:pt>
                <c:pt idx="34">
                  <c:v>29.132000000000001</c:v>
                </c:pt>
                <c:pt idx="35">
                  <c:v>28.109100000000002</c:v>
                </c:pt>
                <c:pt idx="36">
                  <c:v>27.9055</c:v>
                </c:pt>
                <c:pt idx="37">
                  <c:v>29.463100000000001</c:v>
                </c:pt>
                <c:pt idx="38">
                  <c:v>32.743499999999997</c:v>
                </c:pt>
                <c:pt idx="39">
                  <c:v>33.414499999999997</c:v>
                </c:pt>
                <c:pt idx="40">
                  <c:v>32.988999999999997</c:v>
                </c:pt>
                <c:pt idx="41">
                  <c:v>33.1905</c:v>
                </c:pt>
                <c:pt idx="42">
                  <c:v>33.950400000000002</c:v>
                </c:pt>
                <c:pt idx="43">
                  <c:v>36.341000000000001</c:v>
                </c:pt>
                <c:pt idx="44">
                  <c:v>38.094000000000001</c:v>
                </c:pt>
                <c:pt idx="45">
                  <c:v>38.636600000000001</c:v>
                </c:pt>
                <c:pt idx="46">
                  <c:v>39.7866</c:v>
                </c:pt>
                <c:pt idx="47">
                  <c:v>39.673000000000002</c:v>
                </c:pt>
                <c:pt idx="48">
                  <c:v>42.964700000000001</c:v>
                </c:pt>
                <c:pt idx="49">
                  <c:v>44.4208</c:v>
                </c:pt>
                <c:pt idx="50">
                  <c:v>49.170499999999997</c:v>
                </c:pt>
                <c:pt idx="51">
                  <c:v>50.802500000000002</c:v>
                </c:pt>
                <c:pt idx="52">
                  <c:v>55.637099999999997</c:v>
                </c:pt>
                <c:pt idx="53">
                  <c:v>63.343499999999999</c:v>
                </c:pt>
                <c:pt idx="54">
                  <c:v>63.715499999999999</c:v>
                </c:pt>
                <c:pt idx="55">
                  <c:v>63.494</c:v>
                </c:pt>
                <c:pt idx="56">
                  <c:v>66.116100000000003</c:v>
                </c:pt>
                <c:pt idx="57">
                  <c:v>70.359499999999997</c:v>
                </c:pt>
                <c:pt idx="58">
                  <c:v>68.1768</c:v>
                </c:pt>
                <c:pt idx="59">
                  <c:v>58.66</c:v>
                </c:pt>
                <c:pt idx="60">
                  <c:v>54.574199999999998</c:v>
                </c:pt>
                <c:pt idx="61">
                  <c:v>44.553400000000003</c:v>
                </c:pt>
                <c:pt idx="62">
                  <c:v>38.466299999999997</c:v>
                </c:pt>
                <c:pt idx="63">
                  <c:v>35.6145</c:v>
                </c:pt>
                <c:pt idx="64">
                  <c:v>37.622999999999998</c:v>
                </c:pt>
                <c:pt idx="65">
                  <c:v>33.838900000000002</c:v>
                </c:pt>
                <c:pt idx="66">
                  <c:v>33.688099999999999</c:v>
                </c:pt>
                <c:pt idx="67">
                  <c:v>38.754199999999997</c:v>
                </c:pt>
                <c:pt idx="68">
                  <c:v>42.103999999999999</c:v>
                </c:pt>
                <c:pt idx="69">
                  <c:v>41.066800000000001</c:v>
                </c:pt>
                <c:pt idx="70">
                  <c:v>36.7104</c:v>
                </c:pt>
                <c:pt idx="71">
                  <c:v>39.5</c:v>
                </c:pt>
                <c:pt idx="72">
                  <c:v>37.647100000000002</c:v>
                </c:pt>
                <c:pt idx="73">
                  <c:v>40.023600000000002</c:v>
                </c:pt>
                <c:pt idx="74">
                  <c:v>42.11</c:v>
                </c:pt>
                <c:pt idx="75">
                  <c:v>42.444499999999998</c:v>
                </c:pt>
                <c:pt idx="76">
                  <c:v>40.35</c:v>
                </c:pt>
                <c:pt idx="77">
                  <c:v>40.198900000000002</c:v>
                </c:pt>
                <c:pt idx="78">
                  <c:v>41.023899999999998</c:v>
                </c:pt>
                <c:pt idx="79">
                  <c:v>41.067599999999999</c:v>
                </c:pt>
                <c:pt idx="80">
                  <c:v>39.783000000000001</c:v>
                </c:pt>
                <c:pt idx="81">
                  <c:v>39.180399999999999</c:v>
                </c:pt>
                <c:pt idx="82">
                  <c:v>40.866599999999998</c:v>
                </c:pt>
                <c:pt idx="83">
                  <c:v>43.492699999999999</c:v>
                </c:pt>
                <c:pt idx="84">
                  <c:v>46.4895</c:v>
                </c:pt>
                <c:pt idx="85">
                  <c:v>51.595700000000001</c:v>
                </c:pt>
                <c:pt idx="86">
                  <c:v>55.349499999999999</c:v>
                </c:pt>
                <c:pt idx="87">
                  <c:v>59.634999999999998</c:v>
                </c:pt>
                <c:pt idx="88">
                  <c:v>62.637999999999998</c:v>
                </c:pt>
                <c:pt idx="89">
                  <c:v>63.794699999999999</c:v>
                </c:pt>
                <c:pt idx="90">
                  <c:v>62.8369</c:v>
                </c:pt>
                <c:pt idx="91">
                  <c:v>64.798500000000004</c:v>
                </c:pt>
                <c:pt idx="92">
                  <c:v>63.829500000000003</c:v>
                </c:pt>
                <c:pt idx="93">
                  <c:v>63.963099999999997</c:v>
                </c:pt>
                <c:pt idx="94">
                  <c:v>64.362499999999997</c:v>
                </c:pt>
                <c:pt idx="95">
                  <c:v>64.013400000000004</c:v>
                </c:pt>
                <c:pt idx="96">
                  <c:v>63.8309</c:v>
                </c:pt>
                <c:pt idx="97">
                  <c:v>59.730400000000003</c:v>
                </c:pt>
                <c:pt idx="98">
                  <c:v>59.357100000000003</c:v>
                </c:pt>
                <c:pt idx="99">
                  <c:v>58.74</c:v>
                </c:pt>
                <c:pt idx="100">
                  <c:v>59.542999999999999</c:v>
                </c:pt>
                <c:pt idx="101">
                  <c:v>60.8855</c:v>
                </c:pt>
                <c:pt idx="102">
                  <c:v>61.884</c:v>
                </c:pt>
                <c:pt idx="103">
                  <c:v>64.079499999999996</c:v>
                </c:pt>
                <c:pt idx="104">
                  <c:v>60.566800000000001</c:v>
                </c:pt>
                <c:pt idx="105">
                  <c:v>58.795200000000001</c:v>
                </c:pt>
                <c:pt idx="106">
                  <c:v>62.263300000000001</c:v>
                </c:pt>
                <c:pt idx="107">
                  <c:v>62.2943</c:v>
                </c:pt>
                <c:pt idx="108">
                  <c:v>62.846299999999999</c:v>
                </c:pt>
                <c:pt idx="109">
                  <c:v>57.923900000000003</c:v>
                </c:pt>
                <c:pt idx="110">
                  <c:v>55.569499999999998</c:v>
                </c:pt>
                <c:pt idx="111">
                  <c:v>57.192</c:v>
                </c:pt>
                <c:pt idx="112">
                  <c:v>58.2714</c:v>
                </c:pt>
                <c:pt idx="113">
                  <c:v>58.586300000000001</c:v>
                </c:pt>
                <c:pt idx="114">
                  <c:v>57.997500000000002</c:v>
                </c:pt>
                <c:pt idx="115">
                  <c:v>58.284500000000001</c:v>
                </c:pt>
                <c:pt idx="116">
                  <c:v>58.6541</c:v>
                </c:pt>
                <c:pt idx="117">
                  <c:v>56.442</c:v>
                </c:pt>
                <c:pt idx="118">
                  <c:v>53.331299999999999</c:v>
                </c:pt>
                <c:pt idx="119">
                  <c:v>50.285499999999999</c:v>
                </c:pt>
                <c:pt idx="120">
                  <c:v>50.188000000000002</c:v>
                </c:pt>
                <c:pt idx="121">
                  <c:v>48.587000000000003</c:v>
                </c:pt>
                <c:pt idx="122">
                  <c:v>48.871499999999997</c:v>
                </c:pt>
                <c:pt idx="123">
                  <c:v>47.685200000000002</c:v>
                </c:pt>
                <c:pt idx="124">
                  <c:v>44.71</c:v>
                </c:pt>
                <c:pt idx="125">
                  <c:v>47.708399999999997</c:v>
                </c:pt>
                <c:pt idx="126">
                  <c:v>49.730499999999999</c:v>
                </c:pt>
                <c:pt idx="127">
                  <c:v>49.679499999999997</c:v>
                </c:pt>
                <c:pt idx="128">
                  <c:v>47.3767</c:v>
                </c:pt>
                <c:pt idx="129">
                  <c:v>47.569499999999998</c:v>
                </c:pt>
                <c:pt idx="130">
                  <c:v>45.994999999999997</c:v>
                </c:pt>
                <c:pt idx="131">
                  <c:v>44.2714</c:v>
                </c:pt>
                <c:pt idx="132">
                  <c:v>42.538600000000002</c:v>
                </c:pt>
                <c:pt idx="133">
                  <c:v>43.044800000000002</c:v>
                </c:pt>
                <c:pt idx="134">
                  <c:v>42.972099999999998</c:v>
                </c:pt>
                <c:pt idx="135">
                  <c:v>41.783299999999997</c:v>
                </c:pt>
                <c:pt idx="136">
                  <c:v>42.227499999999999</c:v>
                </c:pt>
                <c:pt idx="137">
                  <c:v>41.184199999999997</c:v>
                </c:pt>
                <c:pt idx="138">
                  <c:v>39.981400000000001</c:v>
                </c:pt>
                <c:pt idx="139">
                  <c:v>39.314300000000003</c:v>
                </c:pt>
                <c:pt idx="140">
                  <c:v>38.471899999999998</c:v>
                </c:pt>
                <c:pt idx="141">
                  <c:v>39.457700000000003</c:v>
                </c:pt>
                <c:pt idx="142">
                  <c:v>36.965899999999998</c:v>
                </c:pt>
                <c:pt idx="143">
                  <c:v>34.322400000000002</c:v>
                </c:pt>
                <c:pt idx="144">
                  <c:v>32.618600000000001</c:v>
                </c:pt>
                <c:pt idx="145">
                  <c:v>34.652700000000003</c:v>
                </c:pt>
                <c:pt idx="146">
                  <c:v>34.634</c:v>
                </c:pt>
                <c:pt idx="147">
                  <c:v>36.4</c:v>
                </c:pt>
                <c:pt idx="148">
                  <c:v>34.123199999999997</c:v>
                </c:pt>
                <c:pt idx="149">
                  <c:v>35.5075</c:v>
                </c:pt>
                <c:pt idx="150">
                  <c:v>36.7605</c:v>
                </c:pt>
                <c:pt idx="151">
                  <c:v>38.2029</c:v>
                </c:pt>
                <c:pt idx="152">
                  <c:v>36.411900000000003</c:v>
                </c:pt>
                <c:pt idx="153">
                  <c:v>36.892299999999999</c:v>
                </c:pt>
                <c:pt idx="154">
                  <c:v>35.737499999999997</c:v>
                </c:pt>
                <c:pt idx="155">
                  <c:v>38.751300000000001</c:v>
                </c:pt>
                <c:pt idx="156">
                  <c:v>39.393799999999999</c:v>
                </c:pt>
                <c:pt idx="157">
                  <c:v>40.8962</c:v>
                </c:pt>
                <c:pt idx="158">
                  <c:v>41.536200000000001</c:v>
                </c:pt>
                <c:pt idx="159">
                  <c:v>42.538600000000002</c:v>
                </c:pt>
                <c:pt idx="160">
                  <c:v>41.374000000000002</c:v>
                </c:pt>
                <c:pt idx="161">
                  <c:v>39.090499999999999</c:v>
                </c:pt>
                <c:pt idx="162">
                  <c:v>37.872999999999998</c:v>
                </c:pt>
                <c:pt idx="163">
                  <c:v>36.854199999999999</c:v>
                </c:pt>
                <c:pt idx="164">
                  <c:v>37.990900000000003</c:v>
                </c:pt>
                <c:pt idx="165">
                  <c:v>38.1</c:v>
                </c:pt>
                <c:pt idx="166">
                  <c:v>39.197499999999998</c:v>
                </c:pt>
                <c:pt idx="167">
                  <c:v>39.572600000000001</c:v>
                </c:pt>
                <c:pt idx="168">
                  <c:v>40.017499999999998</c:v>
                </c:pt>
                <c:pt idx="169">
                  <c:v>39.637700000000002</c:v>
                </c:pt>
                <c:pt idx="170">
                  <c:v>40.22</c:v>
                </c:pt>
                <c:pt idx="171">
                  <c:v>38.585999999999999</c:v>
                </c:pt>
                <c:pt idx="172">
                  <c:v>38.767099999999999</c:v>
                </c:pt>
                <c:pt idx="173">
                  <c:v>38.145299999999999</c:v>
                </c:pt>
                <c:pt idx="174">
                  <c:v>37.491900000000001</c:v>
                </c:pt>
                <c:pt idx="175">
                  <c:v>37.658099999999997</c:v>
                </c:pt>
                <c:pt idx="176">
                  <c:v>37.177700000000002</c:v>
                </c:pt>
                <c:pt idx="177">
                  <c:v>35.213799999999999</c:v>
                </c:pt>
                <c:pt idx="178">
                  <c:v>34.075200000000002</c:v>
                </c:pt>
                <c:pt idx="179">
                  <c:v>34.106999999999999</c:v>
                </c:pt>
                <c:pt idx="180">
                  <c:v>33.892099999999999</c:v>
                </c:pt>
                <c:pt idx="181">
                  <c:v>34.801699999999997</c:v>
                </c:pt>
                <c:pt idx="182">
                  <c:v>34.393300000000004</c:v>
                </c:pt>
                <c:pt idx="183">
                  <c:v>35.322499999999998</c:v>
                </c:pt>
                <c:pt idx="184">
                  <c:v>35.810499999999998</c:v>
                </c:pt>
                <c:pt idx="185">
                  <c:v>36.96</c:v>
                </c:pt>
                <c:pt idx="186">
                  <c:v>36.030500000000004</c:v>
                </c:pt>
                <c:pt idx="187">
                  <c:v>34.937600000000003</c:v>
                </c:pt>
                <c:pt idx="188">
                  <c:v>34.071399999999997</c:v>
                </c:pt>
                <c:pt idx="189">
                  <c:v>35.003</c:v>
                </c:pt>
                <c:pt idx="190">
                  <c:v>35.089100000000002</c:v>
                </c:pt>
                <c:pt idx="191">
                  <c:v>36.251800000000003</c:v>
                </c:pt>
                <c:pt idx="192">
                  <c:v>36.662999999999997</c:v>
                </c:pt>
                <c:pt idx="193">
                  <c:v>37.53</c:v>
                </c:pt>
                <c:pt idx="194">
                  <c:v>38.058</c:v>
                </c:pt>
                <c:pt idx="195">
                  <c:v>39.796700000000001</c:v>
                </c:pt>
                <c:pt idx="196">
                  <c:v>41.131</c:v>
                </c:pt>
                <c:pt idx="197">
                  <c:v>38.0379</c:v>
                </c:pt>
                <c:pt idx="198">
                  <c:v>34.267699999999998</c:v>
                </c:pt>
                <c:pt idx="199">
                  <c:v>32.890999999999998</c:v>
                </c:pt>
                <c:pt idx="200">
                  <c:v>33.333500000000001</c:v>
                </c:pt>
                <c:pt idx="201">
                  <c:v>34.891399999999997</c:v>
                </c:pt>
                <c:pt idx="202">
                  <c:v>36.792700000000004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1-4854-8E4A-64A542D9DECF}"/>
            </c:ext>
          </c:extLst>
        </c:ser>
        <c:ser>
          <c:idx val="2"/>
          <c:order val="1"/>
          <c:tx>
            <c:v>Palm Oil - RBD - US Gulf</c:v>
          </c:tx>
          <c:spPr>
            <a:ln w="28575" cap="rnd">
              <a:solidFill>
                <a:srgbClr val="C4722E"/>
              </a:solidFill>
              <a:round/>
            </a:ln>
            <a:effectLst/>
          </c:spPr>
          <c:marker>
            <c:symbol val="none"/>
          </c:marker>
          <c:cat>
            <c:numRef>
              <c:f>[1]Prices!$A$413:$A$609</c:f>
              <c:numCache>
                <c:formatCode>General</c:formatCode>
                <c:ptCount val="197"/>
                <c:pt idx="0">
                  <c:v>38047</c:v>
                </c:pt>
                <c:pt idx="1">
                  <c:v>38078</c:v>
                </c:pt>
                <c:pt idx="2">
                  <c:v>38108</c:v>
                </c:pt>
                <c:pt idx="3">
                  <c:v>38139</c:v>
                </c:pt>
                <c:pt idx="4">
                  <c:v>38169</c:v>
                </c:pt>
                <c:pt idx="5">
                  <c:v>38200</c:v>
                </c:pt>
                <c:pt idx="6">
                  <c:v>38231</c:v>
                </c:pt>
                <c:pt idx="7">
                  <c:v>38261</c:v>
                </c:pt>
                <c:pt idx="8">
                  <c:v>38292</c:v>
                </c:pt>
                <c:pt idx="9">
                  <c:v>38322</c:v>
                </c:pt>
                <c:pt idx="10">
                  <c:v>38353</c:v>
                </c:pt>
                <c:pt idx="11">
                  <c:v>38384</c:v>
                </c:pt>
                <c:pt idx="12">
                  <c:v>38412</c:v>
                </c:pt>
                <c:pt idx="13">
                  <c:v>38443</c:v>
                </c:pt>
                <c:pt idx="14">
                  <c:v>38473</c:v>
                </c:pt>
                <c:pt idx="15">
                  <c:v>38504</c:v>
                </c:pt>
                <c:pt idx="16">
                  <c:v>38534</c:v>
                </c:pt>
                <c:pt idx="17">
                  <c:v>38565</c:v>
                </c:pt>
                <c:pt idx="18">
                  <c:v>38596</c:v>
                </c:pt>
                <c:pt idx="19">
                  <c:v>38626</c:v>
                </c:pt>
                <c:pt idx="20">
                  <c:v>38657</c:v>
                </c:pt>
                <c:pt idx="21">
                  <c:v>38687</c:v>
                </c:pt>
                <c:pt idx="22">
                  <c:v>38718</c:v>
                </c:pt>
                <c:pt idx="23">
                  <c:v>38749</c:v>
                </c:pt>
                <c:pt idx="24">
                  <c:v>38777</c:v>
                </c:pt>
                <c:pt idx="25">
                  <c:v>38808</c:v>
                </c:pt>
                <c:pt idx="26">
                  <c:v>38838</c:v>
                </c:pt>
                <c:pt idx="27">
                  <c:v>38869</c:v>
                </c:pt>
                <c:pt idx="28">
                  <c:v>38899</c:v>
                </c:pt>
                <c:pt idx="29">
                  <c:v>38930</c:v>
                </c:pt>
                <c:pt idx="30">
                  <c:v>38961</c:v>
                </c:pt>
                <c:pt idx="31">
                  <c:v>38991</c:v>
                </c:pt>
                <c:pt idx="32">
                  <c:v>39022</c:v>
                </c:pt>
                <c:pt idx="33">
                  <c:v>39052</c:v>
                </c:pt>
                <c:pt idx="34">
                  <c:v>39083</c:v>
                </c:pt>
                <c:pt idx="35">
                  <c:v>39114</c:v>
                </c:pt>
                <c:pt idx="36">
                  <c:v>39142</c:v>
                </c:pt>
                <c:pt idx="37">
                  <c:v>39173</c:v>
                </c:pt>
                <c:pt idx="38">
                  <c:v>39203</c:v>
                </c:pt>
                <c:pt idx="39">
                  <c:v>39234</c:v>
                </c:pt>
                <c:pt idx="40">
                  <c:v>39264</c:v>
                </c:pt>
                <c:pt idx="41">
                  <c:v>39295</c:v>
                </c:pt>
                <c:pt idx="42">
                  <c:v>39326</c:v>
                </c:pt>
                <c:pt idx="43">
                  <c:v>39356</c:v>
                </c:pt>
                <c:pt idx="44">
                  <c:v>39387</c:v>
                </c:pt>
                <c:pt idx="45">
                  <c:v>39417</c:v>
                </c:pt>
                <c:pt idx="46">
                  <c:v>39448</c:v>
                </c:pt>
                <c:pt idx="47">
                  <c:v>39479</c:v>
                </c:pt>
                <c:pt idx="48">
                  <c:v>39508</c:v>
                </c:pt>
                <c:pt idx="49">
                  <c:v>39539</c:v>
                </c:pt>
                <c:pt idx="50">
                  <c:v>39569</c:v>
                </c:pt>
                <c:pt idx="51">
                  <c:v>39600</c:v>
                </c:pt>
                <c:pt idx="52">
                  <c:v>39630</c:v>
                </c:pt>
                <c:pt idx="53">
                  <c:v>39661</c:v>
                </c:pt>
                <c:pt idx="54">
                  <c:v>39692</c:v>
                </c:pt>
                <c:pt idx="55">
                  <c:v>39722</c:v>
                </c:pt>
                <c:pt idx="56">
                  <c:v>39753</c:v>
                </c:pt>
                <c:pt idx="57">
                  <c:v>39783</c:v>
                </c:pt>
                <c:pt idx="58">
                  <c:v>39814</c:v>
                </c:pt>
                <c:pt idx="59">
                  <c:v>39845</c:v>
                </c:pt>
                <c:pt idx="60">
                  <c:v>39873</c:v>
                </c:pt>
                <c:pt idx="61">
                  <c:v>39904</c:v>
                </c:pt>
                <c:pt idx="62">
                  <c:v>39934</c:v>
                </c:pt>
                <c:pt idx="63">
                  <c:v>39965</c:v>
                </c:pt>
                <c:pt idx="64">
                  <c:v>39995</c:v>
                </c:pt>
                <c:pt idx="65">
                  <c:v>40026</c:v>
                </c:pt>
                <c:pt idx="66">
                  <c:v>40057</c:v>
                </c:pt>
                <c:pt idx="67">
                  <c:v>40087</c:v>
                </c:pt>
                <c:pt idx="68">
                  <c:v>40118</c:v>
                </c:pt>
                <c:pt idx="69">
                  <c:v>40148</c:v>
                </c:pt>
                <c:pt idx="70">
                  <c:v>40179</c:v>
                </c:pt>
                <c:pt idx="71">
                  <c:v>40210</c:v>
                </c:pt>
                <c:pt idx="72">
                  <c:v>40238</c:v>
                </c:pt>
                <c:pt idx="73">
                  <c:v>40269</c:v>
                </c:pt>
                <c:pt idx="74">
                  <c:v>40299</c:v>
                </c:pt>
                <c:pt idx="75">
                  <c:v>40330</c:v>
                </c:pt>
                <c:pt idx="76">
                  <c:v>40360</c:v>
                </c:pt>
                <c:pt idx="77">
                  <c:v>40391</c:v>
                </c:pt>
                <c:pt idx="78">
                  <c:v>40422</c:v>
                </c:pt>
                <c:pt idx="79">
                  <c:v>40452</c:v>
                </c:pt>
                <c:pt idx="80">
                  <c:v>40483</c:v>
                </c:pt>
                <c:pt idx="81">
                  <c:v>40513</c:v>
                </c:pt>
                <c:pt idx="82">
                  <c:v>40544</c:v>
                </c:pt>
                <c:pt idx="83">
                  <c:v>40575</c:v>
                </c:pt>
                <c:pt idx="84">
                  <c:v>40603</c:v>
                </c:pt>
                <c:pt idx="85">
                  <c:v>40634</c:v>
                </c:pt>
                <c:pt idx="86">
                  <c:v>40664</c:v>
                </c:pt>
                <c:pt idx="87">
                  <c:v>40695</c:v>
                </c:pt>
                <c:pt idx="88">
                  <c:v>40725</c:v>
                </c:pt>
                <c:pt idx="89">
                  <c:v>40756</c:v>
                </c:pt>
                <c:pt idx="90">
                  <c:v>40787</c:v>
                </c:pt>
                <c:pt idx="91">
                  <c:v>40817</c:v>
                </c:pt>
                <c:pt idx="92">
                  <c:v>40848</c:v>
                </c:pt>
                <c:pt idx="93">
                  <c:v>40878</c:v>
                </c:pt>
                <c:pt idx="94">
                  <c:v>40909</c:v>
                </c:pt>
                <c:pt idx="95">
                  <c:v>40940</c:v>
                </c:pt>
                <c:pt idx="96">
                  <c:v>40969</c:v>
                </c:pt>
                <c:pt idx="97">
                  <c:v>41000</c:v>
                </c:pt>
                <c:pt idx="98">
                  <c:v>41030</c:v>
                </c:pt>
                <c:pt idx="99">
                  <c:v>41061</c:v>
                </c:pt>
                <c:pt idx="100">
                  <c:v>41091</c:v>
                </c:pt>
                <c:pt idx="101">
                  <c:v>41122</c:v>
                </c:pt>
                <c:pt idx="102">
                  <c:v>41153</c:v>
                </c:pt>
                <c:pt idx="103">
                  <c:v>41183</c:v>
                </c:pt>
                <c:pt idx="104">
                  <c:v>41214</c:v>
                </c:pt>
                <c:pt idx="105">
                  <c:v>41244</c:v>
                </c:pt>
                <c:pt idx="106">
                  <c:v>41275</c:v>
                </c:pt>
                <c:pt idx="107">
                  <c:v>41306</c:v>
                </c:pt>
                <c:pt idx="108">
                  <c:v>41334</c:v>
                </c:pt>
                <c:pt idx="109">
                  <c:v>41365</c:v>
                </c:pt>
                <c:pt idx="110">
                  <c:v>41395</c:v>
                </c:pt>
                <c:pt idx="111">
                  <c:v>41426</c:v>
                </c:pt>
                <c:pt idx="112">
                  <c:v>41456</c:v>
                </c:pt>
                <c:pt idx="113">
                  <c:v>41487</c:v>
                </c:pt>
                <c:pt idx="114">
                  <c:v>41518</c:v>
                </c:pt>
                <c:pt idx="115">
                  <c:v>41548</c:v>
                </c:pt>
                <c:pt idx="116">
                  <c:v>41579</c:v>
                </c:pt>
                <c:pt idx="117">
                  <c:v>41609</c:v>
                </c:pt>
                <c:pt idx="118">
                  <c:v>41640</c:v>
                </c:pt>
                <c:pt idx="119">
                  <c:v>41671</c:v>
                </c:pt>
                <c:pt idx="120">
                  <c:v>41699</c:v>
                </c:pt>
                <c:pt idx="121">
                  <c:v>41730</c:v>
                </c:pt>
                <c:pt idx="122">
                  <c:v>41760</c:v>
                </c:pt>
                <c:pt idx="123">
                  <c:v>41791</c:v>
                </c:pt>
                <c:pt idx="124">
                  <c:v>41821</c:v>
                </c:pt>
                <c:pt idx="125">
                  <c:v>41852</c:v>
                </c:pt>
                <c:pt idx="126">
                  <c:v>41883</c:v>
                </c:pt>
                <c:pt idx="127">
                  <c:v>41913</c:v>
                </c:pt>
                <c:pt idx="128">
                  <c:v>41944</c:v>
                </c:pt>
                <c:pt idx="129">
                  <c:v>41974</c:v>
                </c:pt>
                <c:pt idx="130">
                  <c:v>42005</c:v>
                </c:pt>
                <c:pt idx="131">
                  <c:v>42036</c:v>
                </c:pt>
                <c:pt idx="132">
                  <c:v>42064</c:v>
                </c:pt>
                <c:pt idx="133">
                  <c:v>42095</c:v>
                </c:pt>
                <c:pt idx="134">
                  <c:v>42125</c:v>
                </c:pt>
                <c:pt idx="135">
                  <c:v>42156</c:v>
                </c:pt>
                <c:pt idx="136">
                  <c:v>42186</c:v>
                </c:pt>
                <c:pt idx="137">
                  <c:v>42217</c:v>
                </c:pt>
                <c:pt idx="138">
                  <c:v>42248</c:v>
                </c:pt>
                <c:pt idx="139">
                  <c:v>42278</c:v>
                </c:pt>
                <c:pt idx="140">
                  <c:v>42309</c:v>
                </c:pt>
                <c:pt idx="141">
                  <c:v>42339</c:v>
                </c:pt>
                <c:pt idx="142">
                  <c:v>42370</c:v>
                </c:pt>
                <c:pt idx="143">
                  <c:v>42401</c:v>
                </c:pt>
                <c:pt idx="144">
                  <c:v>42430</c:v>
                </c:pt>
                <c:pt idx="145">
                  <c:v>42461</c:v>
                </c:pt>
                <c:pt idx="146">
                  <c:v>42491</c:v>
                </c:pt>
                <c:pt idx="147">
                  <c:v>42522</c:v>
                </c:pt>
                <c:pt idx="148">
                  <c:v>42552</c:v>
                </c:pt>
                <c:pt idx="149">
                  <c:v>42583</c:v>
                </c:pt>
                <c:pt idx="150">
                  <c:v>42614</c:v>
                </c:pt>
                <c:pt idx="151">
                  <c:v>42644</c:v>
                </c:pt>
                <c:pt idx="152">
                  <c:v>42675</c:v>
                </c:pt>
                <c:pt idx="153">
                  <c:v>42705</c:v>
                </c:pt>
                <c:pt idx="154">
                  <c:v>42736</c:v>
                </c:pt>
                <c:pt idx="155">
                  <c:v>42767</c:v>
                </c:pt>
                <c:pt idx="156">
                  <c:v>42795</c:v>
                </c:pt>
                <c:pt idx="157">
                  <c:v>42826</c:v>
                </c:pt>
                <c:pt idx="158">
                  <c:v>42856</c:v>
                </c:pt>
                <c:pt idx="159">
                  <c:v>42887</c:v>
                </c:pt>
                <c:pt idx="160">
                  <c:v>42917</c:v>
                </c:pt>
                <c:pt idx="161">
                  <c:v>42948</c:v>
                </c:pt>
                <c:pt idx="162">
                  <c:v>42979</c:v>
                </c:pt>
                <c:pt idx="163">
                  <c:v>43009</c:v>
                </c:pt>
                <c:pt idx="164">
                  <c:v>43040</c:v>
                </c:pt>
                <c:pt idx="165">
                  <c:v>43070</c:v>
                </c:pt>
                <c:pt idx="166">
                  <c:v>43101</c:v>
                </c:pt>
                <c:pt idx="167">
                  <c:v>43132</c:v>
                </c:pt>
                <c:pt idx="168">
                  <c:v>43160</c:v>
                </c:pt>
                <c:pt idx="169">
                  <c:v>43191</c:v>
                </c:pt>
                <c:pt idx="170">
                  <c:v>43221</c:v>
                </c:pt>
                <c:pt idx="171">
                  <c:v>43252</c:v>
                </c:pt>
                <c:pt idx="172">
                  <c:v>43282</c:v>
                </c:pt>
                <c:pt idx="173">
                  <c:v>43313</c:v>
                </c:pt>
                <c:pt idx="174">
                  <c:v>43344</c:v>
                </c:pt>
                <c:pt idx="175">
                  <c:v>43374</c:v>
                </c:pt>
                <c:pt idx="176">
                  <c:v>43405</c:v>
                </c:pt>
                <c:pt idx="177">
                  <c:v>43435</c:v>
                </c:pt>
                <c:pt idx="178">
                  <c:v>43466</c:v>
                </c:pt>
                <c:pt idx="179">
                  <c:v>43497</c:v>
                </c:pt>
                <c:pt idx="180">
                  <c:v>43525</c:v>
                </c:pt>
                <c:pt idx="181">
                  <c:v>43556</c:v>
                </c:pt>
                <c:pt idx="182">
                  <c:v>43586</c:v>
                </c:pt>
                <c:pt idx="183">
                  <c:v>43617</c:v>
                </c:pt>
                <c:pt idx="184">
                  <c:v>43647</c:v>
                </c:pt>
                <c:pt idx="185">
                  <c:v>43678</c:v>
                </c:pt>
                <c:pt idx="186">
                  <c:v>43709</c:v>
                </c:pt>
                <c:pt idx="187">
                  <c:v>43739</c:v>
                </c:pt>
                <c:pt idx="188">
                  <c:v>43770</c:v>
                </c:pt>
                <c:pt idx="189">
                  <c:v>43800</c:v>
                </c:pt>
                <c:pt idx="190">
                  <c:v>43831</c:v>
                </c:pt>
                <c:pt idx="191">
                  <c:v>43862</c:v>
                </c:pt>
                <c:pt idx="192">
                  <c:v>43891</c:v>
                </c:pt>
                <c:pt idx="193">
                  <c:v>43922</c:v>
                </c:pt>
                <c:pt idx="194">
                  <c:v>43952</c:v>
                </c:pt>
                <c:pt idx="195">
                  <c:v>43983</c:v>
                </c:pt>
                <c:pt idx="196">
                  <c:v>44013</c:v>
                </c:pt>
              </c:numCache>
            </c:numRef>
          </c:cat>
          <c:val>
            <c:numRef>
              <c:f>[1]Prices!$AD$407:$AD$609</c:f>
              <c:numCache>
                <c:formatCode>General</c:formatCode>
                <c:ptCount val="203"/>
                <c:pt idx="0">
                  <c:v>-0.53</c:v>
                </c:pt>
                <c:pt idx="1">
                  <c:v>-0.53</c:v>
                </c:pt>
                <c:pt idx="2">
                  <c:v>-0.53</c:v>
                </c:pt>
                <c:pt idx="3">
                  <c:v>-0.53</c:v>
                </c:pt>
                <c:pt idx="4">
                  <c:v>-0.48</c:v>
                </c:pt>
                <c:pt idx="5">
                  <c:v>-0.48</c:v>
                </c:pt>
                <c:pt idx="6">
                  <c:v>-0.48</c:v>
                </c:pt>
                <c:pt idx="7">
                  <c:v>-0.48</c:v>
                </c:pt>
                <c:pt idx="8">
                  <c:v>-0.48</c:v>
                </c:pt>
                <c:pt idx="9">
                  <c:v>22.922000000000001</c:v>
                </c:pt>
                <c:pt idx="10">
                  <c:v>22.32</c:v>
                </c:pt>
                <c:pt idx="11">
                  <c:v>22.626300000000001</c:v>
                </c:pt>
                <c:pt idx="12">
                  <c:v>23.2423</c:v>
                </c:pt>
                <c:pt idx="13">
                  <c:v>22.377099999999999</c:v>
                </c:pt>
                <c:pt idx="14">
                  <c:v>22.192499999999999</c:v>
                </c:pt>
                <c:pt idx="15">
                  <c:v>21.730399999999999</c:v>
                </c:pt>
                <c:pt idx="16">
                  <c:v>20.4465</c:v>
                </c:pt>
                <c:pt idx="17">
                  <c:v>20.221</c:v>
                </c:pt>
                <c:pt idx="18">
                  <c:v>21.855</c:v>
                </c:pt>
                <c:pt idx="19">
                  <c:v>21.718499999999999</c:v>
                </c:pt>
                <c:pt idx="20">
                  <c:v>21.792300000000001</c:v>
                </c:pt>
                <c:pt idx="21">
                  <c:v>21.680399999999999</c:v>
                </c:pt>
                <c:pt idx="22">
                  <c:v>21.893999999999998</c:v>
                </c:pt>
                <c:pt idx="23">
                  <c:v>21.24</c:v>
                </c:pt>
                <c:pt idx="24">
                  <c:v>22.0642</c:v>
                </c:pt>
                <c:pt idx="25">
                  <c:v>22.540400000000002</c:v>
                </c:pt>
                <c:pt idx="26">
                  <c:v>22.146999999999998</c:v>
                </c:pt>
                <c:pt idx="27">
                  <c:v>21.491</c:v>
                </c:pt>
                <c:pt idx="28">
                  <c:v>21.795000000000002</c:v>
                </c:pt>
                <c:pt idx="29">
                  <c:v>22.6873</c:v>
                </c:pt>
                <c:pt idx="30">
                  <c:v>22.778600000000001</c:v>
                </c:pt>
                <c:pt idx="31">
                  <c:v>23.181000000000001</c:v>
                </c:pt>
                <c:pt idx="32">
                  <c:v>23.474</c:v>
                </c:pt>
                <c:pt idx="33">
                  <c:v>23.090900000000001</c:v>
                </c:pt>
                <c:pt idx="34">
                  <c:v>24.0825</c:v>
                </c:pt>
                <c:pt idx="35">
                  <c:v>25.581700000000001</c:v>
                </c:pt>
                <c:pt idx="36">
                  <c:v>24.832000000000001</c:v>
                </c:pt>
                <c:pt idx="37">
                  <c:v>25.110900000000001</c:v>
                </c:pt>
                <c:pt idx="38">
                  <c:v>27.5915</c:v>
                </c:pt>
                <c:pt idx="39">
                  <c:v>29.982500000000002</c:v>
                </c:pt>
                <c:pt idx="40">
                  <c:v>30.411999999999999</c:v>
                </c:pt>
                <c:pt idx="41">
                  <c:v>30.816800000000001</c:v>
                </c:pt>
                <c:pt idx="42">
                  <c:v>30.911799999999999</c:v>
                </c:pt>
                <c:pt idx="43">
                  <c:v>35.295999999999999</c:v>
                </c:pt>
                <c:pt idx="44">
                  <c:v>38.363999999999997</c:v>
                </c:pt>
                <c:pt idx="45">
                  <c:v>40.167099999999998</c:v>
                </c:pt>
                <c:pt idx="46">
                  <c:v>41.148499999999999</c:v>
                </c:pt>
                <c:pt idx="47">
                  <c:v>40.813000000000002</c:v>
                </c:pt>
                <c:pt idx="48">
                  <c:v>41.323099999999997</c:v>
                </c:pt>
                <c:pt idx="49">
                  <c:v>44.176499999999997</c:v>
                </c:pt>
                <c:pt idx="50">
                  <c:v>47.344999999999999</c:v>
                </c:pt>
                <c:pt idx="51">
                  <c:v>47.491500000000002</c:v>
                </c:pt>
                <c:pt idx="52">
                  <c:v>52.232300000000002</c:v>
                </c:pt>
                <c:pt idx="53">
                  <c:v>58.229500000000002</c:v>
                </c:pt>
                <c:pt idx="54">
                  <c:v>65.13</c:v>
                </c:pt>
                <c:pt idx="55">
                  <c:v>62.064999999999998</c:v>
                </c:pt>
                <c:pt idx="56">
                  <c:v>62.039499999999997</c:v>
                </c:pt>
                <c:pt idx="57">
                  <c:v>60.658000000000001</c:v>
                </c:pt>
                <c:pt idx="58">
                  <c:v>56.197200000000002</c:v>
                </c:pt>
                <c:pt idx="59">
                  <c:v>46.3628</c:v>
                </c:pt>
                <c:pt idx="60">
                  <c:v>38.805700000000002</c:v>
                </c:pt>
                <c:pt idx="61">
                  <c:v>30.506900000000002</c:v>
                </c:pt>
                <c:pt idx="62">
                  <c:v>27.4605</c:v>
                </c:pt>
                <c:pt idx="63">
                  <c:v>27.965399999999999</c:v>
                </c:pt>
                <c:pt idx="64">
                  <c:v>31.022500000000001</c:v>
                </c:pt>
                <c:pt idx="65">
                  <c:v>30.983599999999999</c:v>
                </c:pt>
                <c:pt idx="66">
                  <c:v>32.615400000000001</c:v>
                </c:pt>
                <c:pt idx="67">
                  <c:v>38.480400000000003</c:v>
                </c:pt>
                <c:pt idx="68">
                  <c:v>41.619</c:v>
                </c:pt>
                <c:pt idx="69">
                  <c:v>38.378999999999998</c:v>
                </c:pt>
                <c:pt idx="70">
                  <c:v>34.329000000000001</c:v>
                </c:pt>
                <c:pt idx="71">
                  <c:v>37.963299999999997</c:v>
                </c:pt>
                <c:pt idx="72">
                  <c:v>35.485700000000001</c:v>
                </c:pt>
                <c:pt idx="73">
                  <c:v>35.708599999999997</c:v>
                </c:pt>
                <c:pt idx="74">
                  <c:v>37.069499999999998</c:v>
                </c:pt>
                <c:pt idx="75">
                  <c:v>39.846299999999999</c:v>
                </c:pt>
                <c:pt idx="76">
                  <c:v>40.177300000000002</c:v>
                </c:pt>
                <c:pt idx="77">
                  <c:v>40.473100000000002</c:v>
                </c:pt>
                <c:pt idx="78">
                  <c:v>42.017299999999999</c:v>
                </c:pt>
                <c:pt idx="79">
                  <c:v>42.412300000000002</c:v>
                </c:pt>
                <c:pt idx="80">
                  <c:v>41.7425</c:v>
                </c:pt>
                <c:pt idx="81">
                  <c:v>41.081800000000001</c:v>
                </c:pt>
                <c:pt idx="82">
                  <c:v>42.054200000000002</c:v>
                </c:pt>
                <c:pt idx="83">
                  <c:v>46.424500000000002</c:v>
                </c:pt>
                <c:pt idx="84">
                  <c:v>47.283799999999999</c:v>
                </c:pt>
                <c:pt idx="85">
                  <c:v>50.209499999999998</c:v>
                </c:pt>
                <c:pt idx="86">
                  <c:v>54.908999999999999</c:v>
                </c:pt>
                <c:pt idx="87">
                  <c:v>59.643599999999999</c:v>
                </c:pt>
                <c:pt idx="88">
                  <c:v>62.274000000000001</c:v>
                </c:pt>
                <c:pt idx="89">
                  <c:v>63.684199999999997</c:v>
                </c:pt>
                <c:pt idx="90">
                  <c:v>59.86</c:v>
                </c:pt>
                <c:pt idx="91">
                  <c:v>58.54</c:v>
                </c:pt>
                <c:pt idx="92">
                  <c:v>59.802799999999998</c:v>
                </c:pt>
                <c:pt idx="93">
                  <c:v>57.5045</c:v>
                </c:pt>
                <c:pt idx="94">
                  <c:v>56.408499999999997</c:v>
                </c:pt>
                <c:pt idx="95">
                  <c:v>57.339100000000002</c:v>
                </c:pt>
                <c:pt idx="96">
                  <c:v>53.960900000000002</c:v>
                </c:pt>
                <c:pt idx="97">
                  <c:v>49.271900000000002</c:v>
                </c:pt>
                <c:pt idx="98">
                  <c:v>52.5852</c:v>
                </c:pt>
                <c:pt idx="99">
                  <c:v>53.692799999999998</c:v>
                </c:pt>
                <c:pt idx="100">
                  <c:v>53.777999999999999</c:v>
                </c:pt>
                <c:pt idx="101">
                  <c:v>54.44</c:v>
                </c:pt>
                <c:pt idx="102">
                  <c:v>56.993600000000001</c:v>
                </c:pt>
                <c:pt idx="103">
                  <c:v>58.6205</c:v>
                </c:pt>
                <c:pt idx="104">
                  <c:v>54.136800000000001</c:v>
                </c:pt>
                <c:pt idx="105">
                  <c:v>49.618099999999998</c:v>
                </c:pt>
                <c:pt idx="106">
                  <c:v>50.695700000000002</c:v>
                </c:pt>
                <c:pt idx="107">
                  <c:v>49.599600000000002</c:v>
                </c:pt>
                <c:pt idx="108">
                  <c:v>47.950499999999998</c:v>
                </c:pt>
                <c:pt idx="109">
                  <c:v>42.253</c:v>
                </c:pt>
                <c:pt idx="110">
                  <c:v>41.3795</c:v>
                </c:pt>
                <c:pt idx="111">
                  <c:v>40.145499999999998</c:v>
                </c:pt>
                <c:pt idx="112">
                  <c:v>41.924799999999998</c:v>
                </c:pt>
                <c:pt idx="113">
                  <c:v>43.186799999999998</c:v>
                </c:pt>
                <c:pt idx="114">
                  <c:v>42.082500000000003</c:v>
                </c:pt>
                <c:pt idx="115">
                  <c:v>41.327300000000001</c:v>
                </c:pt>
                <c:pt idx="116">
                  <c:v>41.317300000000003</c:v>
                </c:pt>
                <c:pt idx="117">
                  <c:v>42.111499999999999</c:v>
                </c:pt>
                <c:pt idx="118">
                  <c:v>40.242199999999997</c:v>
                </c:pt>
                <c:pt idx="119">
                  <c:v>39.874499999999998</c:v>
                </c:pt>
                <c:pt idx="120">
                  <c:v>40.278500000000001</c:v>
                </c:pt>
                <c:pt idx="121">
                  <c:v>40.794800000000002</c:v>
                </c:pt>
                <c:pt idx="122">
                  <c:v>43.146999999999998</c:v>
                </c:pt>
                <c:pt idx="123">
                  <c:v>42.688600000000001</c:v>
                </c:pt>
                <c:pt idx="124">
                  <c:v>41.411900000000003</c:v>
                </c:pt>
                <c:pt idx="125">
                  <c:v>42.088900000000002</c:v>
                </c:pt>
                <c:pt idx="126">
                  <c:v>46.697600000000001</c:v>
                </c:pt>
                <c:pt idx="127">
                  <c:v>44.4619</c:v>
                </c:pt>
                <c:pt idx="128">
                  <c:v>43.509</c:v>
                </c:pt>
                <c:pt idx="129">
                  <c:v>41.418999999999997</c:v>
                </c:pt>
                <c:pt idx="130">
                  <c:v>40.804099999999998</c:v>
                </c:pt>
                <c:pt idx="131">
                  <c:v>38.264299999999999</c:v>
                </c:pt>
                <c:pt idx="132">
                  <c:v>36.4129</c:v>
                </c:pt>
                <c:pt idx="133">
                  <c:v>35.131399999999999</c:v>
                </c:pt>
                <c:pt idx="134">
                  <c:v>35.7318</c:v>
                </c:pt>
                <c:pt idx="135">
                  <c:v>33.56</c:v>
                </c:pt>
                <c:pt idx="136">
                  <c:v>35.340000000000003</c:v>
                </c:pt>
                <c:pt idx="137">
                  <c:v>34.954500000000003</c:v>
                </c:pt>
                <c:pt idx="138">
                  <c:v>33.570500000000003</c:v>
                </c:pt>
                <c:pt idx="139">
                  <c:v>32.746699999999997</c:v>
                </c:pt>
                <c:pt idx="140">
                  <c:v>33.445700000000002</c:v>
                </c:pt>
                <c:pt idx="141">
                  <c:v>34.3277</c:v>
                </c:pt>
                <c:pt idx="142">
                  <c:v>33.2286</c:v>
                </c:pt>
                <c:pt idx="143">
                  <c:v>29.8033</c:v>
                </c:pt>
                <c:pt idx="144">
                  <c:v>28.951899999999998</c:v>
                </c:pt>
                <c:pt idx="145">
                  <c:v>30.82</c:v>
                </c:pt>
                <c:pt idx="146">
                  <c:v>29.559000000000001</c:v>
                </c:pt>
                <c:pt idx="147">
                  <c:v>29.368200000000002</c:v>
                </c:pt>
                <c:pt idx="148">
                  <c:v>29.552600000000002</c:v>
                </c:pt>
                <c:pt idx="149">
                  <c:v>32.807000000000002</c:v>
                </c:pt>
                <c:pt idx="150">
                  <c:v>33.665900000000001</c:v>
                </c:pt>
                <c:pt idx="151">
                  <c:v>37.2057</c:v>
                </c:pt>
                <c:pt idx="152">
                  <c:v>36.459000000000003</c:v>
                </c:pt>
                <c:pt idx="153">
                  <c:v>34.967300000000002</c:v>
                </c:pt>
                <c:pt idx="154">
                  <c:v>33.262999999999998</c:v>
                </c:pt>
                <c:pt idx="155">
                  <c:v>36.800400000000003</c:v>
                </c:pt>
                <c:pt idx="156">
                  <c:v>38.454300000000003</c:v>
                </c:pt>
                <c:pt idx="157">
                  <c:v>34.0929</c:v>
                </c:pt>
                <c:pt idx="158">
                  <c:v>36.999000000000002</c:v>
                </c:pt>
                <c:pt idx="159">
                  <c:v>39.098100000000002</c:v>
                </c:pt>
                <c:pt idx="160">
                  <c:v>39.869500000000002</c:v>
                </c:pt>
                <c:pt idx="161">
                  <c:v>39.459499999999998</c:v>
                </c:pt>
                <c:pt idx="162">
                  <c:v>37.8583</c:v>
                </c:pt>
                <c:pt idx="163">
                  <c:v>36.67</c:v>
                </c:pt>
                <c:pt idx="164">
                  <c:v>36.9559</c:v>
                </c:pt>
                <c:pt idx="165">
                  <c:v>36.340499999999999</c:v>
                </c:pt>
                <c:pt idx="166">
                  <c:v>35.082999999999998</c:v>
                </c:pt>
                <c:pt idx="167">
                  <c:v>34.612200000000001</c:v>
                </c:pt>
                <c:pt idx="168">
                  <c:v>37.08</c:v>
                </c:pt>
                <c:pt idx="169">
                  <c:v>36.0473</c:v>
                </c:pt>
                <c:pt idx="170">
                  <c:v>36.072400000000002</c:v>
                </c:pt>
                <c:pt idx="171">
                  <c:v>33.874499999999998</c:v>
                </c:pt>
                <c:pt idx="172">
                  <c:v>34.719499999999996</c:v>
                </c:pt>
                <c:pt idx="173">
                  <c:v>34.6858</c:v>
                </c:pt>
                <c:pt idx="174">
                  <c:v>34.9024</c:v>
                </c:pt>
                <c:pt idx="175">
                  <c:v>35.0152</c:v>
                </c:pt>
                <c:pt idx="176">
                  <c:v>34.336399999999998</c:v>
                </c:pt>
                <c:pt idx="177">
                  <c:v>33.113300000000002</c:v>
                </c:pt>
                <c:pt idx="178">
                  <c:v>31.390499999999999</c:v>
                </c:pt>
                <c:pt idx="179">
                  <c:v>30.576499999999999</c:v>
                </c:pt>
                <c:pt idx="180">
                  <c:v>30.463200000000001</c:v>
                </c:pt>
                <c:pt idx="181">
                  <c:v>30.222200000000001</c:v>
                </c:pt>
                <c:pt idx="182">
                  <c:v>27.97</c:v>
                </c:pt>
                <c:pt idx="183">
                  <c:v>27.580500000000001</c:v>
                </c:pt>
                <c:pt idx="184">
                  <c:v>29.3429</c:v>
                </c:pt>
                <c:pt idx="185">
                  <c:v>30.573699999999999</c:v>
                </c:pt>
                <c:pt idx="186">
                  <c:v>29.561</c:v>
                </c:pt>
                <c:pt idx="187">
                  <c:v>29.290500000000002</c:v>
                </c:pt>
                <c:pt idx="188">
                  <c:v>28.909099999999999</c:v>
                </c:pt>
                <c:pt idx="189">
                  <c:v>28.454999999999998</c:v>
                </c:pt>
                <c:pt idx="190">
                  <c:v>27.679500000000001</c:v>
                </c:pt>
                <c:pt idx="191">
                  <c:v>29.2773</c:v>
                </c:pt>
                <c:pt idx="192">
                  <c:v>29.465499999999999</c:v>
                </c:pt>
                <c:pt idx="193">
                  <c:v>29.347799999999999</c:v>
                </c:pt>
                <c:pt idx="194">
                  <c:v>32.612499999999997</c:v>
                </c:pt>
                <c:pt idx="195">
                  <c:v>36.591700000000003</c:v>
                </c:pt>
                <c:pt idx="196">
                  <c:v>38.9405</c:v>
                </c:pt>
                <c:pt idx="197">
                  <c:v>35.138199999999998</c:v>
                </c:pt>
                <c:pt idx="198">
                  <c:v>31.159099999999999</c:v>
                </c:pt>
                <c:pt idx="199">
                  <c:v>29.892900000000001</c:v>
                </c:pt>
                <c:pt idx="200">
                  <c:v>28.512499999999999</c:v>
                </c:pt>
                <c:pt idx="201">
                  <c:v>32.159100000000002</c:v>
                </c:pt>
                <c:pt idx="202">
                  <c:v>34.204500000000003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1-4854-8E4A-64A542D9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501048"/>
        <c:axId val="995503344"/>
      </c:lineChart>
      <c:catAx>
        <c:axId val="1066346048"/>
        <c:scaling>
          <c:orientation val="minMax"/>
          <c:max val="44013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6345392"/>
        <c:crosses val="autoZero"/>
        <c:auto val="1"/>
        <c:lblAlgn val="ctr"/>
        <c:lblOffset val="100"/>
        <c:tickLblSkip val="24"/>
        <c:noMultiLvlLbl val="1"/>
      </c:catAx>
      <c:valAx>
        <c:axId val="1066345392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rgbClr val="505A5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(cents</a:t>
                </a:r>
                <a:r>
                  <a:rPr lang="en-US" sz="1200" baseline="0"/>
                  <a:t> per pound)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6346048"/>
        <c:crosses val="autoZero"/>
        <c:crossBetween val="between"/>
      </c:valAx>
      <c:valAx>
        <c:axId val="9955033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(cents</a:t>
                </a:r>
                <a:r>
                  <a:rPr lang="en-US" sz="1400" baseline="0"/>
                  <a:t> per pound)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5501048"/>
        <c:crosses val="max"/>
        <c:crossBetween val="between"/>
      </c:valAx>
      <c:catAx>
        <c:axId val="995501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503344"/>
        <c:crosses val="autoZero"/>
        <c:auto val="1"/>
        <c:lblAlgn val="ctr"/>
        <c:lblOffset val="100"/>
        <c:tickLblSkip val="1"/>
        <c:tickMarkSkip val="1"/>
        <c:noMultiLvlLbl val="1"/>
      </c:catAx>
      <c:spPr>
        <a:noFill/>
        <a:ln w="15875">
          <a:solidFill>
            <a:srgbClr val="8E9A44"/>
          </a:solidFill>
        </a:ln>
        <a:effectLst/>
      </c:spPr>
    </c:plotArea>
    <c:legend>
      <c:legendPos val="b"/>
      <c:layout>
        <c:manualLayout>
          <c:xMode val="edge"/>
          <c:yMode val="edge"/>
          <c:x val="0.5616565798387253"/>
          <c:y val="0.10717267159786845"/>
          <c:w val="0.3208550847574031"/>
          <c:h val="0.17363540921021237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Soybean</a:t>
            </a:r>
            <a:r>
              <a:rPr lang="en-US" sz="2800" baseline="0"/>
              <a:t>/Soybean Oil Correlation - </a:t>
            </a:r>
          </a:p>
          <a:p>
            <a:pPr>
              <a:defRPr sz="2800"/>
            </a:pPr>
            <a:r>
              <a:rPr lang="en-US" sz="2800" baseline="0"/>
              <a:t>Average Monthly Prices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60520845734297"/>
          <c:y val="0.17771546111898748"/>
          <c:w val="0.8440373709290161"/>
          <c:h val="0.696132929693030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9525">
                <a:solidFill>
                  <a:srgbClr val="8C8C8C"/>
                </a:solidFill>
              </a:ln>
              <a:effectLst/>
            </c:spPr>
          </c:marker>
          <c:dPt>
            <c:idx val="64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E07-4AED-B744-DBFF2ED8884B}"/>
              </c:ext>
            </c:extLst>
          </c:dPt>
          <c:dPt>
            <c:idx val="64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E07-4AED-B744-DBFF2ED8884B}"/>
              </c:ext>
            </c:extLst>
          </c:dPt>
          <c:dPt>
            <c:idx val="64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E07-4AED-B744-DBFF2ED8884B}"/>
              </c:ext>
            </c:extLst>
          </c:dPt>
          <c:dPt>
            <c:idx val="65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E07-4AED-B744-DBFF2ED8884B}"/>
              </c:ext>
            </c:extLst>
          </c:dPt>
          <c:dPt>
            <c:idx val="65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E07-4AED-B744-DBFF2ED8884B}"/>
              </c:ext>
            </c:extLst>
          </c:dPt>
          <c:dPt>
            <c:idx val="65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E07-4AED-B744-DBFF2ED8884B}"/>
              </c:ext>
            </c:extLst>
          </c:dPt>
          <c:dPt>
            <c:idx val="65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E07-4AED-B744-DBFF2ED8884B}"/>
              </c:ext>
            </c:extLst>
          </c:dPt>
          <c:dPt>
            <c:idx val="65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E07-4AED-B744-DBFF2ED8884B}"/>
              </c:ext>
            </c:extLst>
          </c:dPt>
          <c:dPt>
            <c:idx val="65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E07-4AED-B744-DBFF2ED8884B}"/>
              </c:ext>
            </c:extLst>
          </c:dPt>
          <c:dPt>
            <c:idx val="65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E07-4AED-B744-DBFF2ED8884B}"/>
              </c:ext>
            </c:extLst>
          </c:dPt>
          <c:dPt>
            <c:idx val="65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E07-4AED-B744-DBFF2ED8884B}"/>
              </c:ext>
            </c:extLst>
          </c:dPt>
          <c:dPt>
            <c:idx val="65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E07-4AED-B744-DBFF2ED8884B}"/>
              </c:ext>
            </c:extLst>
          </c:dPt>
          <c:dLbls>
            <c:dLbl>
              <c:idx val="0"/>
              <c:tx>
                <c:strRef>
                  <c:f>[1]Prices!$H$3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{B35C8F18-6E3F-49B6-BA26-90BE8654EA30}</c15:txfldGUID>
                      <c15:f>[1]Prices!$H$3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E07-4AED-B744-DBFF2ED8884B}"/>
                </c:ext>
              </c:extLst>
            </c:dLbl>
            <c:dLbl>
              <c:idx val="1"/>
              <c:tx>
                <c:strRef>
                  <c:f>[1]Prices!$H$4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{85D486A1-E18D-49AE-A3AF-8316D975694A}</c15:txfldGUID>
                      <c15:f>[1]Prices!$H$4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E07-4AED-B744-DBFF2ED8884B}"/>
                </c:ext>
              </c:extLst>
            </c:dLbl>
            <c:dLbl>
              <c:idx val="2"/>
              <c:tx>
                <c:strRef>
                  <c:f>[1]Prices!$H$5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{82979FF4-87D7-44D0-9EB2-604F7B749C35}</c15:txfldGUID>
                      <c15:f>[1]Prices!$H$5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4E07-4AED-B744-DBFF2ED8884B}"/>
                </c:ext>
              </c:extLst>
            </c:dLbl>
            <c:dLbl>
              <c:idx val="3"/>
              <c:tx>
                <c:strRef>
                  <c:f>[1]Prices!$H$6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{52754A0B-1617-4BDC-82A5-1BDE5186BB5E}</c15:txfldGUID>
                      <c15:f>[1]Prices!$H$6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4E07-4AED-B744-DBFF2ED8884B}"/>
                </c:ext>
              </c:extLst>
            </c:dLbl>
            <c:dLbl>
              <c:idx val="4"/>
              <c:tx>
                <c:strRef>
                  <c:f>[1]Prices!$H$7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{4922A0EE-6E13-4E29-858D-1F62321BA05B}</c15:txfldGUID>
                      <c15:f>[1]Prices!$H$7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4E07-4AED-B744-DBFF2ED8884B}"/>
                </c:ext>
              </c:extLst>
            </c:dLbl>
            <c:dLbl>
              <c:idx val="5"/>
              <c:tx>
                <c:strRef>
                  <c:f>[1]Prices!$H$8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{932309B7-1AE0-4BBC-8177-6E5BFC9248BC}</c15:txfldGUID>
                      <c15:f>[1]Prices!$H$8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4E07-4AED-B744-DBFF2ED8884B}"/>
                </c:ext>
              </c:extLst>
            </c:dLbl>
            <c:dLbl>
              <c:idx val="6"/>
              <c:tx>
                <c:strRef>
                  <c:f>[1]Prices!$H$9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{E4CD973A-6D81-4059-AA4A-AB29179F67FB}</c15:txfldGUID>
                      <c15:f>[1]Prices!$H$9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4E07-4AED-B744-DBFF2ED8884B}"/>
                </c:ext>
              </c:extLst>
            </c:dLbl>
            <c:dLbl>
              <c:idx val="7"/>
              <c:tx>
                <c:strRef>
                  <c:f>[1]Prices!$H$10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{702FB122-7C90-47A0-BA1C-E38150579123}</c15:txfldGUID>
                      <c15:f>[1]Prices!$H$10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4E07-4AED-B744-DBFF2ED8884B}"/>
                </c:ext>
              </c:extLst>
            </c:dLbl>
            <c:dLbl>
              <c:idx val="8"/>
              <c:tx>
                <c:strRef>
                  <c:f>[1]Prices!$H$11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{8C3E3FB0-3D5F-4A7C-B51D-09172706D919}</c15:txfldGUID>
                      <c15:f>[1]Prices!$H$11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4E07-4AED-B744-DBFF2ED8884B}"/>
                </c:ext>
              </c:extLst>
            </c:dLbl>
            <c:dLbl>
              <c:idx val="9"/>
              <c:tx>
                <c:strRef>
                  <c:f>[1]Prices!$H$12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{D3DF4D7A-28D9-4EB0-A34D-6506F62C0D7B}</c15:txfldGUID>
                      <c15:f>[1]Prices!$H$12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4E07-4AED-B744-DBFF2ED8884B}"/>
                </c:ext>
              </c:extLst>
            </c:dLbl>
            <c:dLbl>
              <c:idx val="10"/>
              <c:tx>
                <c:strRef>
                  <c:f>[1]Prices!$H$13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{C03DE117-C3AE-4B10-B93B-EA69044BECEA}</c15:txfldGUID>
                      <c15:f>[1]Prices!$H$13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4E07-4AED-B744-DBFF2ED8884B}"/>
                </c:ext>
              </c:extLst>
            </c:dLbl>
            <c:dLbl>
              <c:idx val="11"/>
              <c:tx>
                <c:strRef>
                  <c:f>[1]Prices!$H$14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{2AB14FB3-26C1-4068-9456-9DA077274BF2}</c15:txfldGUID>
                      <c15:f>[1]Prices!$H$14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4E07-4AED-B744-DBFF2ED8884B}"/>
                </c:ext>
              </c:extLst>
            </c:dLbl>
            <c:dLbl>
              <c:idx val="12"/>
              <c:tx>
                <c:strRef>
                  <c:f>[1]Prices!$H$15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{938C71D8-E41D-4D9A-96B6-119C9BEB0889}</c15:txfldGUID>
                      <c15:f>[1]Prices!$H$15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4E07-4AED-B744-DBFF2ED8884B}"/>
                </c:ext>
              </c:extLst>
            </c:dLbl>
            <c:dLbl>
              <c:idx val="13"/>
              <c:tx>
                <c:strRef>
                  <c:f>[1]Prices!$H$16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{3C668AB2-5518-42A0-9BD7-CA4A730B6761}</c15:txfldGUID>
                      <c15:f>[1]Prices!$H$16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4E07-4AED-B744-DBFF2ED8884B}"/>
                </c:ext>
              </c:extLst>
            </c:dLbl>
            <c:dLbl>
              <c:idx val="14"/>
              <c:tx>
                <c:strRef>
                  <c:f>[1]Prices!$H$17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{200EB489-5BAC-4C43-9114-7CC8C51F2877}</c15:txfldGUID>
                      <c15:f>[1]Prices!$H$17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4E07-4AED-B744-DBFF2ED8884B}"/>
                </c:ext>
              </c:extLst>
            </c:dLbl>
            <c:dLbl>
              <c:idx val="15"/>
              <c:tx>
                <c:strRef>
                  <c:f>[1]Prices!$H$18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{A82A0A16-C8EA-4F20-AE9B-06EC1BD77A0E}</c15:txfldGUID>
                      <c15:f>[1]Prices!$H$18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4E07-4AED-B744-DBFF2ED8884B}"/>
                </c:ext>
              </c:extLst>
            </c:dLbl>
            <c:dLbl>
              <c:idx val="16"/>
              <c:tx>
                <c:strRef>
                  <c:f>[1]Prices!$H$19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{03358647-6039-4741-9F5B-7116369A3D7D}</c15:txfldGUID>
                      <c15:f>[1]Prices!$H$19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4E07-4AED-B744-DBFF2ED8884B}"/>
                </c:ext>
              </c:extLst>
            </c:dLbl>
            <c:dLbl>
              <c:idx val="17"/>
              <c:tx>
                <c:strRef>
                  <c:f>[1]Prices!$H$20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{8AA2FF97-1C97-49B8-898A-11C33DAFAEC8}</c15:txfldGUID>
                      <c15:f>[1]Prices!$H$20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4E07-4AED-B744-DBFF2ED8884B}"/>
                </c:ext>
              </c:extLst>
            </c:dLbl>
            <c:dLbl>
              <c:idx val="18"/>
              <c:tx>
                <c:strRef>
                  <c:f>[1]Prices!$H$21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{3FC70960-AADE-43E0-B11B-F86374AACE16}</c15:txfldGUID>
                      <c15:f>[1]Prices!$H$21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4E07-4AED-B744-DBFF2ED8884B}"/>
                </c:ext>
              </c:extLst>
            </c:dLbl>
            <c:dLbl>
              <c:idx val="19"/>
              <c:tx>
                <c:strRef>
                  <c:f>[1]Prices!$H$22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{6A0EDE27-5A71-4A68-9AF2-74025184A56B}</c15:txfldGUID>
                      <c15:f>[1]Prices!$H$22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4E07-4AED-B744-DBFF2ED8884B}"/>
                </c:ext>
              </c:extLst>
            </c:dLbl>
            <c:dLbl>
              <c:idx val="20"/>
              <c:tx>
                <c:strRef>
                  <c:f>[1]Prices!$H$23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{43A778F1-10F9-4C57-90E1-6151034553BE}</c15:txfldGUID>
                      <c15:f>[1]Prices!$H$23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4E07-4AED-B744-DBFF2ED8884B}"/>
                </c:ext>
              </c:extLst>
            </c:dLbl>
            <c:dLbl>
              <c:idx val="21"/>
              <c:tx>
                <c:strRef>
                  <c:f>[1]Prices!$H$24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{55BA5A21-A116-44E7-9BEB-3AA429BB7938}</c15:txfldGUID>
                      <c15:f>[1]Prices!$H$24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4E07-4AED-B744-DBFF2ED8884B}"/>
                </c:ext>
              </c:extLst>
            </c:dLbl>
            <c:dLbl>
              <c:idx val="22"/>
              <c:tx>
                <c:strRef>
                  <c:f>[1]Prices!$H$25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{57B77A7D-6862-44FB-B685-801EEF462699}</c15:txfldGUID>
                      <c15:f>[1]Prices!$H$25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4E07-4AED-B744-DBFF2ED8884B}"/>
                </c:ext>
              </c:extLst>
            </c:dLbl>
            <c:dLbl>
              <c:idx val="23"/>
              <c:tx>
                <c:strRef>
                  <c:f>[1]Prices!$H$26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{21233C7D-6A21-4669-83E5-5D068FA7139B}</c15:txfldGUID>
                      <c15:f>[1]Prices!$H$26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4E07-4AED-B744-DBFF2ED8884B}"/>
                </c:ext>
              </c:extLst>
            </c:dLbl>
            <c:dLbl>
              <c:idx val="24"/>
              <c:tx>
                <c:strRef>
                  <c:f>[1]Prices!$H$27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{B7F54813-DA3A-4CCB-8FAD-C7F8BB26E507}</c15:txfldGUID>
                      <c15:f>[1]Prices!$H$27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4E07-4AED-B744-DBFF2ED8884B}"/>
                </c:ext>
              </c:extLst>
            </c:dLbl>
            <c:dLbl>
              <c:idx val="25"/>
              <c:tx>
                <c:strRef>
                  <c:f>[1]Prices!$H$28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{8348C68B-37A5-49EF-BDD2-C7C98D781B4C}</c15:txfldGUID>
                      <c15:f>[1]Prices!$H$28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4E07-4AED-B744-DBFF2ED8884B}"/>
                </c:ext>
              </c:extLst>
            </c:dLbl>
            <c:dLbl>
              <c:idx val="26"/>
              <c:tx>
                <c:strRef>
                  <c:f>[1]Prices!$H$29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{2A6C40F0-77C9-4D15-8EA9-79482519F24F}</c15:txfldGUID>
                      <c15:f>[1]Prices!$H$29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4E07-4AED-B744-DBFF2ED8884B}"/>
                </c:ext>
              </c:extLst>
            </c:dLbl>
            <c:dLbl>
              <c:idx val="27"/>
              <c:tx>
                <c:strRef>
                  <c:f>[1]Prices!$H$30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{1DA6F242-3AEC-43CE-9C98-832CD2EE03E7}</c15:txfldGUID>
                      <c15:f>[1]Prices!$H$30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4E07-4AED-B744-DBFF2ED8884B}"/>
                </c:ext>
              </c:extLst>
            </c:dLbl>
            <c:dLbl>
              <c:idx val="28"/>
              <c:tx>
                <c:strRef>
                  <c:f>[1]Prices!$H$31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{FFB67782-AD38-4198-9056-342D0D318250}</c15:txfldGUID>
                      <c15:f>[1]Prices!$H$31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4E07-4AED-B744-DBFF2ED8884B}"/>
                </c:ext>
              </c:extLst>
            </c:dLbl>
            <c:dLbl>
              <c:idx val="29"/>
              <c:tx>
                <c:strRef>
                  <c:f>[1]Prices!$H$32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{8B191360-EC24-4076-8550-1CDE9050A9EC}</c15:txfldGUID>
                      <c15:f>[1]Prices!$H$32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4E07-4AED-B744-DBFF2ED8884B}"/>
                </c:ext>
              </c:extLst>
            </c:dLbl>
            <c:dLbl>
              <c:idx val="30"/>
              <c:tx>
                <c:strRef>
                  <c:f>[1]Prices!$H$33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{06152FA6-A7FA-44D7-9E3C-FCE865636B67}</c15:txfldGUID>
                      <c15:f>[1]Prices!$H$33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4E07-4AED-B744-DBFF2ED8884B}"/>
                </c:ext>
              </c:extLst>
            </c:dLbl>
            <c:dLbl>
              <c:idx val="31"/>
              <c:tx>
                <c:strRef>
                  <c:f>[1]Prices!$H$34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{1FCD0A88-F9D3-40A7-A5CE-D1DF1ED0E0D4}</c15:txfldGUID>
                      <c15:f>[1]Prices!$H$34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4E07-4AED-B744-DBFF2ED8884B}"/>
                </c:ext>
              </c:extLst>
            </c:dLbl>
            <c:dLbl>
              <c:idx val="32"/>
              <c:tx>
                <c:strRef>
                  <c:f>[1]Prices!$H$35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{28B97E74-F6D6-47C1-9704-E9B88BADC83D}</c15:txfldGUID>
                      <c15:f>[1]Prices!$H$35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4E07-4AED-B744-DBFF2ED8884B}"/>
                </c:ext>
              </c:extLst>
            </c:dLbl>
            <c:dLbl>
              <c:idx val="33"/>
              <c:tx>
                <c:strRef>
                  <c:f>[1]Prices!$H$36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{77F8200F-249C-406B-8305-72077350EE6F}</c15:txfldGUID>
                      <c15:f>[1]Prices!$H$36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4E07-4AED-B744-DBFF2ED8884B}"/>
                </c:ext>
              </c:extLst>
            </c:dLbl>
            <c:dLbl>
              <c:idx val="34"/>
              <c:tx>
                <c:strRef>
                  <c:f>[1]Prices!$H$37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{F621E89C-78CF-45C3-BDF2-8A58721D33A8}</c15:txfldGUID>
                      <c15:f>[1]Prices!$H$37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4E07-4AED-B744-DBFF2ED8884B}"/>
                </c:ext>
              </c:extLst>
            </c:dLbl>
            <c:dLbl>
              <c:idx val="35"/>
              <c:tx>
                <c:strRef>
                  <c:f>[1]Prices!$H$38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{06CC9E9B-124E-427A-BECD-9E86F04AD5DA}</c15:txfldGUID>
                      <c15:f>[1]Prices!$H$38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4E07-4AED-B744-DBFF2ED8884B}"/>
                </c:ext>
              </c:extLst>
            </c:dLbl>
            <c:dLbl>
              <c:idx val="36"/>
              <c:tx>
                <c:strRef>
                  <c:f>[1]Prices!$H$39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{2AC474B4-2764-4F2C-B97D-D134C8F1803E}</c15:txfldGUID>
                      <c15:f>[1]Prices!$H$39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4E07-4AED-B744-DBFF2ED8884B}"/>
                </c:ext>
              </c:extLst>
            </c:dLbl>
            <c:dLbl>
              <c:idx val="37"/>
              <c:tx>
                <c:strRef>
                  <c:f>[1]Prices!$H$40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{E31BCB8D-8A48-401F-9B4C-9164B1B223F7}</c15:txfldGUID>
                      <c15:f>[1]Prices!$H$40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4E07-4AED-B744-DBFF2ED8884B}"/>
                </c:ext>
              </c:extLst>
            </c:dLbl>
            <c:dLbl>
              <c:idx val="38"/>
              <c:tx>
                <c:strRef>
                  <c:f>[1]Prices!$H$41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{EB75716F-093D-41B5-A979-2AB2345D695D}</c15:txfldGUID>
                      <c15:f>[1]Prices!$H$41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4E07-4AED-B744-DBFF2ED8884B}"/>
                </c:ext>
              </c:extLst>
            </c:dLbl>
            <c:dLbl>
              <c:idx val="39"/>
              <c:tx>
                <c:strRef>
                  <c:f>[1]Prices!$H$42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{220315A4-729D-4007-A4C7-B815A4C2CC64}</c15:txfldGUID>
                      <c15:f>[1]Prices!$H$42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4E07-4AED-B744-DBFF2ED8884B}"/>
                </c:ext>
              </c:extLst>
            </c:dLbl>
            <c:dLbl>
              <c:idx val="40"/>
              <c:tx>
                <c:strRef>
                  <c:f>[1]Prices!$H$43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{EE83326A-A7FC-424B-8139-270A06DB2773}</c15:txfldGUID>
                      <c15:f>[1]Prices!$H$43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4E07-4AED-B744-DBFF2ED8884B}"/>
                </c:ext>
              </c:extLst>
            </c:dLbl>
            <c:dLbl>
              <c:idx val="41"/>
              <c:tx>
                <c:strRef>
                  <c:f>[1]Prices!$H$44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{51964D7F-9F48-4B40-8853-DCE00AD9AFA0}</c15:txfldGUID>
                      <c15:f>[1]Prices!$H$44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4E07-4AED-B744-DBFF2ED8884B}"/>
                </c:ext>
              </c:extLst>
            </c:dLbl>
            <c:dLbl>
              <c:idx val="42"/>
              <c:tx>
                <c:strRef>
                  <c:f>[1]Prices!$H$45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{7FD43A7E-8669-447E-8E8B-2A1A03B2D1EE}</c15:txfldGUID>
                      <c15:f>[1]Prices!$H$45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4E07-4AED-B744-DBFF2ED8884B}"/>
                </c:ext>
              </c:extLst>
            </c:dLbl>
            <c:dLbl>
              <c:idx val="43"/>
              <c:tx>
                <c:strRef>
                  <c:f>[1]Prices!$H$46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{CF6D156D-9872-4CB9-A0DA-53B42891E5A2}</c15:txfldGUID>
                      <c15:f>[1]Prices!$H$46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4E07-4AED-B744-DBFF2ED8884B}"/>
                </c:ext>
              </c:extLst>
            </c:dLbl>
            <c:dLbl>
              <c:idx val="44"/>
              <c:tx>
                <c:strRef>
                  <c:f>[1]Prices!$H$47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{FE5E6E72-9025-4C04-97CD-898D808419EB}</c15:txfldGUID>
                      <c15:f>[1]Prices!$H$47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4E07-4AED-B744-DBFF2ED8884B}"/>
                </c:ext>
              </c:extLst>
            </c:dLbl>
            <c:dLbl>
              <c:idx val="45"/>
              <c:tx>
                <c:strRef>
                  <c:f>[1]Prices!$H$48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{D6DFF44D-F5B0-45E0-B933-3CAA993E6FE4}</c15:txfldGUID>
                      <c15:f>[1]Prices!$H$48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4E07-4AED-B744-DBFF2ED8884B}"/>
                </c:ext>
              </c:extLst>
            </c:dLbl>
            <c:dLbl>
              <c:idx val="46"/>
              <c:tx>
                <c:strRef>
                  <c:f>[1]Prices!$H$49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{ECCBE38D-4367-4B0C-AEAA-9B755C13CD20}</c15:txfldGUID>
                      <c15:f>[1]Prices!$H$49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4E07-4AED-B744-DBFF2ED8884B}"/>
                </c:ext>
              </c:extLst>
            </c:dLbl>
            <c:dLbl>
              <c:idx val="47"/>
              <c:tx>
                <c:strRef>
                  <c:f>[1]Prices!$H$50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{FE6A4A0F-807D-4FBF-AEFF-42142F1B0331}</c15:txfldGUID>
                      <c15:f>[1]Prices!$H$50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4E07-4AED-B744-DBFF2ED8884B}"/>
                </c:ext>
              </c:extLst>
            </c:dLbl>
            <c:dLbl>
              <c:idx val="48"/>
              <c:tx>
                <c:strRef>
                  <c:f>[1]Prices!$H$51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{5B68F4FA-BC3D-4AE5-AE75-0B22E7942E4D}</c15:txfldGUID>
                      <c15:f>[1]Prices!$H$51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4E07-4AED-B744-DBFF2ED8884B}"/>
                </c:ext>
              </c:extLst>
            </c:dLbl>
            <c:dLbl>
              <c:idx val="49"/>
              <c:tx>
                <c:strRef>
                  <c:f>[1]Prices!$H$52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{ECDA4F84-F595-410D-B974-98F7E3D218AF}</c15:txfldGUID>
                      <c15:f>[1]Prices!$H$52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4E07-4AED-B744-DBFF2ED8884B}"/>
                </c:ext>
              </c:extLst>
            </c:dLbl>
            <c:dLbl>
              <c:idx val="50"/>
              <c:tx>
                <c:strRef>
                  <c:f>[1]Prices!$H$53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{3B0D9B73-662C-447A-A6E8-7DD3E3BBA739}</c15:txfldGUID>
                      <c15:f>[1]Prices!$H$53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4E07-4AED-B744-DBFF2ED8884B}"/>
                </c:ext>
              </c:extLst>
            </c:dLbl>
            <c:dLbl>
              <c:idx val="51"/>
              <c:tx>
                <c:strRef>
                  <c:f>[1]Prices!$H$54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{4F8F98A6-6838-4C06-9826-032CBA87BDC8}</c15:txfldGUID>
                      <c15:f>[1]Prices!$H$54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4E07-4AED-B744-DBFF2ED8884B}"/>
                </c:ext>
              </c:extLst>
            </c:dLbl>
            <c:dLbl>
              <c:idx val="52"/>
              <c:tx>
                <c:strRef>
                  <c:f>[1]Prices!$H$55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{4D29C452-921F-4968-81F6-434070A70343}</c15:txfldGUID>
                      <c15:f>[1]Prices!$H$55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4E07-4AED-B744-DBFF2ED8884B}"/>
                </c:ext>
              </c:extLst>
            </c:dLbl>
            <c:dLbl>
              <c:idx val="53"/>
              <c:tx>
                <c:strRef>
                  <c:f>[1]Prices!$H$56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{12349E04-9CB7-4B48-8046-6BD2EF8A934C}</c15:txfldGUID>
                      <c15:f>[1]Prices!$H$56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4E07-4AED-B744-DBFF2ED8884B}"/>
                </c:ext>
              </c:extLst>
            </c:dLbl>
            <c:dLbl>
              <c:idx val="54"/>
              <c:tx>
                <c:strRef>
                  <c:f>[1]Prices!$H$57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{A4F31B34-3A15-446F-9189-128753EAF343}</c15:txfldGUID>
                      <c15:f>[1]Prices!$H$57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4E07-4AED-B744-DBFF2ED8884B}"/>
                </c:ext>
              </c:extLst>
            </c:dLbl>
            <c:dLbl>
              <c:idx val="55"/>
              <c:tx>
                <c:strRef>
                  <c:f>[1]Prices!$H$58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{2ED0D10E-13E7-4B12-BE50-B3AA4E423F40}</c15:txfldGUID>
                      <c15:f>[1]Prices!$H$58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4E07-4AED-B744-DBFF2ED8884B}"/>
                </c:ext>
              </c:extLst>
            </c:dLbl>
            <c:dLbl>
              <c:idx val="56"/>
              <c:tx>
                <c:strRef>
                  <c:f>[1]Prices!$H$59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{E3F3BA75-9988-4785-ADDF-EFD4A5403321}</c15:txfldGUID>
                      <c15:f>[1]Prices!$H$59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4E07-4AED-B744-DBFF2ED8884B}"/>
                </c:ext>
              </c:extLst>
            </c:dLbl>
            <c:dLbl>
              <c:idx val="57"/>
              <c:tx>
                <c:strRef>
                  <c:f>[1]Prices!$H$60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{865A0368-7DE7-44CD-893F-54CC056E360C}</c15:txfldGUID>
                      <c15:f>[1]Prices!$H$60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4E07-4AED-B744-DBFF2ED8884B}"/>
                </c:ext>
              </c:extLst>
            </c:dLbl>
            <c:dLbl>
              <c:idx val="58"/>
              <c:tx>
                <c:strRef>
                  <c:f>[1]Prices!$H$61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{2949F6F4-C4E3-4624-8F41-FF2D7026E886}</c15:txfldGUID>
                      <c15:f>[1]Prices!$H$61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4E07-4AED-B744-DBFF2ED8884B}"/>
                </c:ext>
              </c:extLst>
            </c:dLbl>
            <c:dLbl>
              <c:idx val="59"/>
              <c:tx>
                <c:strRef>
                  <c:f>[1]Prices!$H$62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{3D3191B5-7BBC-48FD-B81E-854A1DA32E1E}</c15:txfldGUID>
                      <c15:f>[1]Prices!$H$62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4E07-4AED-B744-DBFF2ED8884B}"/>
                </c:ext>
              </c:extLst>
            </c:dLbl>
            <c:dLbl>
              <c:idx val="60"/>
              <c:tx>
                <c:strRef>
                  <c:f>[1]Prices!$H$63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{EE2D23AA-FAE4-48D6-92ED-2D13BA7CD855}</c15:txfldGUID>
                      <c15:f>[1]Prices!$H$63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4E07-4AED-B744-DBFF2ED8884B}"/>
                </c:ext>
              </c:extLst>
            </c:dLbl>
            <c:dLbl>
              <c:idx val="61"/>
              <c:tx>
                <c:strRef>
                  <c:f>[1]Prices!$H$64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{74E3A631-ECF0-411D-B01A-3DF24BD2DB13}</c15:txfldGUID>
                      <c15:f>[1]Prices!$H$64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4E07-4AED-B744-DBFF2ED8884B}"/>
                </c:ext>
              </c:extLst>
            </c:dLbl>
            <c:dLbl>
              <c:idx val="62"/>
              <c:tx>
                <c:strRef>
                  <c:f>[1]Prices!$H$65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{AE67D430-4A6F-490B-A0EB-03F8FC1561CD}</c15:txfldGUID>
                      <c15:f>[1]Prices!$H$65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4E07-4AED-B744-DBFF2ED8884B}"/>
                </c:ext>
              </c:extLst>
            </c:dLbl>
            <c:dLbl>
              <c:idx val="63"/>
              <c:tx>
                <c:strRef>
                  <c:f>[1]Prices!$H$66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{B23DB561-3147-492C-867B-CE5BC0E7EC04}</c15:txfldGUID>
                      <c15:f>[1]Prices!$H$66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4E07-4AED-B744-DBFF2ED8884B}"/>
                </c:ext>
              </c:extLst>
            </c:dLbl>
            <c:dLbl>
              <c:idx val="64"/>
              <c:tx>
                <c:strRef>
                  <c:f>[1]Prices!$H$67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{39EF829A-884C-4B53-9598-FBDEAF8142F8}</c15:txfldGUID>
                      <c15:f>[1]Prices!$H$67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4E07-4AED-B744-DBFF2ED8884B}"/>
                </c:ext>
              </c:extLst>
            </c:dLbl>
            <c:dLbl>
              <c:idx val="65"/>
              <c:tx>
                <c:strRef>
                  <c:f>[1]Prices!$H$68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{485AEA3F-3609-4453-9A31-7DF5823F606F}</c15:txfldGUID>
                      <c15:f>[1]Prices!$H$68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4E07-4AED-B744-DBFF2ED8884B}"/>
                </c:ext>
              </c:extLst>
            </c:dLbl>
            <c:dLbl>
              <c:idx val="66"/>
              <c:tx>
                <c:strRef>
                  <c:f>[1]Prices!$H$69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{FD57EB8F-B7D9-44EA-A306-969D43EAC4E0}</c15:txfldGUID>
                      <c15:f>[1]Prices!$H$69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4E07-4AED-B744-DBFF2ED8884B}"/>
                </c:ext>
              </c:extLst>
            </c:dLbl>
            <c:dLbl>
              <c:idx val="67"/>
              <c:tx>
                <c:strRef>
                  <c:f>[1]Prices!$H$70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{B1F43DD2-03BA-4990-92FC-8BFF4707082E}</c15:txfldGUID>
                      <c15:f>[1]Prices!$H$70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4E07-4AED-B744-DBFF2ED8884B}"/>
                </c:ext>
              </c:extLst>
            </c:dLbl>
            <c:dLbl>
              <c:idx val="68"/>
              <c:tx>
                <c:strRef>
                  <c:f>[1]Prices!$H$71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{1DFD4AC6-3232-4A02-8169-14EEAAD319EE}</c15:txfldGUID>
                      <c15:f>[1]Prices!$H$71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4E07-4AED-B744-DBFF2ED8884B}"/>
                </c:ext>
              </c:extLst>
            </c:dLbl>
            <c:dLbl>
              <c:idx val="69"/>
              <c:tx>
                <c:strRef>
                  <c:f>[1]Prices!$H$72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{D0134310-DD0B-4DA8-9A6E-FE1A75A1453C}</c15:txfldGUID>
                      <c15:f>[1]Prices!$H$72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4E07-4AED-B744-DBFF2ED8884B}"/>
                </c:ext>
              </c:extLst>
            </c:dLbl>
            <c:dLbl>
              <c:idx val="70"/>
              <c:tx>
                <c:strRef>
                  <c:f>[1]Prices!$H$73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{1DDE58FA-F1A3-4391-981D-D7DEACF16BBB}</c15:txfldGUID>
                      <c15:f>[1]Prices!$H$73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4E07-4AED-B744-DBFF2ED8884B}"/>
                </c:ext>
              </c:extLst>
            </c:dLbl>
            <c:dLbl>
              <c:idx val="71"/>
              <c:tx>
                <c:strRef>
                  <c:f>[1]Prices!$H$74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{930F712E-1DEB-480B-B66F-648812CAC0B1}</c15:txfldGUID>
                      <c15:f>[1]Prices!$H$74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4E07-4AED-B744-DBFF2ED8884B}"/>
                </c:ext>
              </c:extLst>
            </c:dLbl>
            <c:dLbl>
              <c:idx val="72"/>
              <c:tx>
                <c:strRef>
                  <c:f>[1]Prices!$H$75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{0102631D-BA18-4076-B4E1-CE4CCD391CCF}</c15:txfldGUID>
                      <c15:f>[1]Prices!$H$75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4E07-4AED-B744-DBFF2ED8884B}"/>
                </c:ext>
              </c:extLst>
            </c:dLbl>
            <c:dLbl>
              <c:idx val="73"/>
              <c:tx>
                <c:strRef>
                  <c:f>[1]Prices!$H$76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{EC1FCB22-53A5-4E08-92A1-027528ADFECC}</c15:txfldGUID>
                      <c15:f>[1]Prices!$H$76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4E07-4AED-B744-DBFF2ED8884B}"/>
                </c:ext>
              </c:extLst>
            </c:dLbl>
            <c:dLbl>
              <c:idx val="74"/>
              <c:tx>
                <c:strRef>
                  <c:f>[1]Prices!$H$77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{F63A7D04-A7B3-451D-BD2C-F36421749372}</c15:txfldGUID>
                      <c15:f>[1]Prices!$H$77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4E07-4AED-B744-DBFF2ED8884B}"/>
                </c:ext>
              </c:extLst>
            </c:dLbl>
            <c:dLbl>
              <c:idx val="75"/>
              <c:tx>
                <c:strRef>
                  <c:f>[1]Prices!$H$78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{1F1B1440-8D7B-45BD-959B-8D597AC66B34}</c15:txfldGUID>
                      <c15:f>[1]Prices!$H$78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4E07-4AED-B744-DBFF2ED8884B}"/>
                </c:ext>
              </c:extLst>
            </c:dLbl>
            <c:dLbl>
              <c:idx val="76"/>
              <c:tx>
                <c:strRef>
                  <c:f>[1]Prices!$H$79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{020E56E6-707F-48B4-92EE-E9FCDD7BC6A3}</c15:txfldGUID>
                      <c15:f>[1]Prices!$H$79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4E07-4AED-B744-DBFF2ED8884B}"/>
                </c:ext>
              </c:extLst>
            </c:dLbl>
            <c:dLbl>
              <c:idx val="77"/>
              <c:tx>
                <c:strRef>
                  <c:f>[1]Prices!$H$80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{29E8FFA2-2AC5-4759-83D4-C8C9AEBE9123}</c15:txfldGUID>
                      <c15:f>[1]Prices!$H$80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4E07-4AED-B744-DBFF2ED8884B}"/>
                </c:ext>
              </c:extLst>
            </c:dLbl>
            <c:dLbl>
              <c:idx val="78"/>
              <c:tx>
                <c:strRef>
                  <c:f>[1]Prices!$H$81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{64B28D02-BD22-4F6F-B47C-58E2C3EF6BC9}</c15:txfldGUID>
                      <c15:f>[1]Prices!$H$81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4E07-4AED-B744-DBFF2ED8884B}"/>
                </c:ext>
              </c:extLst>
            </c:dLbl>
            <c:dLbl>
              <c:idx val="79"/>
              <c:tx>
                <c:strRef>
                  <c:f>[1]Prices!$H$82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{042B5142-73F0-423D-8210-9BA11D9D2683}</c15:txfldGUID>
                      <c15:f>[1]Prices!$H$82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4E07-4AED-B744-DBFF2ED8884B}"/>
                </c:ext>
              </c:extLst>
            </c:dLbl>
            <c:dLbl>
              <c:idx val="80"/>
              <c:tx>
                <c:strRef>
                  <c:f>[1]Prices!$H$83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{D8EC7C4E-3F70-4A1D-9ED1-12A3CC5F53B5}</c15:txfldGUID>
                      <c15:f>[1]Prices!$H$83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4E07-4AED-B744-DBFF2ED8884B}"/>
                </c:ext>
              </c:extLst>
            </c:dLbl>
            <c:dLbl>
              <c:idx val="81"/>
              <c:tx>
                <c:strRef>
                  <c:f>[1]Prices!$H$84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{DB195F2A-A5BC-4D7A-BF27-D37A4DDDB9DF}</c15:txfldGUID>
                      <c15:f>[1]Prices!$H$84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4E07-4AED-B744-DBFF2ED8884B}"/>
                </c:ext>
              </c:extLst>
            </c:dLbl>
            <c:dLbl>
              <c:idx val="82"/>
              <c:tx>
                <c:strRef>
                  <c:f>[1]Prices!$H$85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{1AE163FA-FBCE-402B-8EDD-B0754A44BAAB}</c15:txfldGUID>
                      <c15:f>[1]Prices!$H$85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4E07-4AED-B744-DBFF2ED8884B}"/>
                </c:ext>
              </c:extLst>
            </c:dLbl>
            <c:dLbl>
              <c:idx val="83"/>
              <c:tx>
                <c:strRef>
                  <c:f>[1]Prices!$H$86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{F9B53608-9B4B-46BF-814B-0EE6025DE57D}</c15:txfldGUID>
                      <c15:f>[1]Prices!$H$86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4E07-4AED-B744-DBFF2ED8884B}"/>
                </c:ext>
              </c:extLst>
            </c:dLbl>
            <c:dLbl>
              <c:idx val="84"/>
              <c:tx>
                <c:strRef>
                  <c:f>[1]Prices!$H$87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{B9A982D8-3E26-4F44-AB53-8DE83D31607E}</c15:txfldGUID>
                      <c15:f>[1]Prices!$H$87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4E07-4AED-B744-DBFF2ED8884B}"/>
                </c:ext>
              </c:extLst>
            </c:dLbl>
            <c:dLbl>
              <c:idx val="85"/>
              <c:tx>
                <c:strRef>
                  <c:f>[1]Prices!$H$88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{5D755224-D508-4C20-9698-5526B2750376}</c15:txfldGUID>
                      <c15:f>[1]Prices!$H$88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4E07-4AED-B744-DBFF2ED8884B}"/>
                </c:ext>
              </c:extLst>
            </c:dLbl>
            <c:dLbl>
              <c:idx val="86"/>
              <c:tx>
                <c:strRef>
                  <c:f>[1]Prices!$H$89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{F4731329-4F3C-4E7E-BE86-BDF900FF2AC2}</c15:txfldGUID>
                      <c15:f>[1]Prices!$H$89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4E07-4AED-B744-DBFF2ED8884B}"/>
                </c:ext>
              </c:extLst>
            </c:dLbl>
            <c:dLbl>
              <c:idx val="87"/>
              <c:tx>
                <c:strRef>
                  <c:f>[1]Prices!$H$90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{1D444919-9F14-4946-B828-BBEAE01DEC6F}</c15:txfldGUID>
                      <c15:f>[1]Prices!$H$90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4E07-4AED-B744-DBFF2ED8884B}"/>
                </c:ext>
              </c:extLst>
            </c:dLbl>
            <c:dLbl>
              <c:idx val="88"/>
              <c:tx>
                <c:strRef>
                  <c:f>[1]Prices!$H$91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{9AE346F3-0A40-4CEB-A95E-D0D9071F95AC}</c15:txfldGUID>
                      <c15:f>[1]Prices!$H$91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4E07-4AED-B744-DBFF2ED8884B}"/>
                </c:ext>
              </c:extLst>
            </c:dLbl>
            <c:dLbl>
              <c:idx val="89"/>
              <c:tx>
                <c:strRef>
                  <c:f>[1]Prices!$H$92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{A7654EC5-3278-4B3C-B76F-1BFBD0F83FBA}</c15:txfldGUID>
                      <c15:f>[1]Prices!$H$92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4E07-4AED-B744-DBFF2ED8884B}"/>
                </c:ext>
              </c:extLst>
            </c:dLbl>
            <c:dLbl>
              <c:idx val="90"/>
              <c:tx>
                <c:strRef>
                  <c:f>[1]Prices!$H$93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{8F183C9F-D944-48CC-9D01-53AA59CA2D86}</c15:txfldGUID>
                      <c15:f>[1]Prices!$H$93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4E07-4AED-B744-DBFF2ED8884B}"/>
                </c:ext>
              </c:extLst>
            </c:dLbl>
            <c:dLbl>
              <c:idx val="91"/>
              <c:tx>
                <c:strRef>
                  <c:f>[1]Prices!$H$94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{BF1B57FE-57FB-4015-9410-1651EC6EDFF5}</c15:txfldGUID>
                      <c15:f>[1]Prices!$H$94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4E07-4AED-B744-DBFF2ED8884B}"/>
                </c:ext>
              </c:extLst>
            </c:dLbl>
            <c:dLbl>
              <c:idx val="92"/>
              <c:tx>
                <c:strRef>
                  <c:f>[1]Prices!$H$95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{C86B5F2E-FD69-4B74-8958-981BD6B278F3}</c15:txfldGUID>
                      <c15:f>[1]Prices!$H$95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4E07-4AED-B744-DBFF2ED8884B}"/>
                </c:ext>
              </c:extLst>
            </c:dLbl>
            <c:dLbl>
              <c:idx val="93"/>
              <c:tx>
                <c:strRef>
                  <c:f>[1]Prices!$H$96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{BC5D8F1C-CD79-479E-9370-AC5A3EF3D693}</c15:txfldGUID>
                      <c15:f>[1]Prices!$H$96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4E07-4AED-B744-DBFF2ED8884B}"/>
                </c:ext>
              </c:extLst>
            </c:dLbl>
            <c:dLbl>
              <c:idx val="94"/>
              <c:tx>
                <c:strRef>
                  <c:f>[1]Prices!$H$97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{80AA9025-A77B-4B70-B742-D2E72E8EDCDA}</c15:txfldGUID>
                      <c15:f>[1]Prices!$H$97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4E07-4AED-B744-DBFF2ED8884B}"/>
                </c:ext>
              </c:extLst>
            </c:dLbl>
            <c:dLbl>
              <c:idx val="95"/>
              <c:tx>
                <c:strRef>
                  <c:f>[1]Prices!$H$98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{A96D9312-7255-43BF-912B-76801AE029C7}</c15:txfldGUID>
                      <c15:f>[1]Prices!$H$98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4E07-4AED-B744-DBFF2ED8884B}"/>
                </c:ext>
              </c:extLst>
            </c:dLbl>
            <c:dLbl>
              <c:idx val="96"/>
              <c:tx>
                <c:strRef>
                  <c:f>[1]Prices!$H$99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{F72F0B4D-830D-41B7-AFBD-D92F62A69CA8}</c15:txfldGUID>
                      <c15:f>[1]Prices!$H$99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4E07-4AED-B744-DBFF2ED8884B}"/>
                </c:ext>
              </c:extLst>
            </c:dLbl>
            <c:dLbl>
              <c:idx val="97"/>
              <c:tx>
                <c:strRef>
                  <c:f>[1]Prices!$H$100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{94C84701-6F64-4689-BCBE-1146EB52E2BA}</c15:txfldGUID>
                      <c15:f>[1]Prices!$H$100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4E07-4AED-B744-DBFF2ED8884B}"/>
                </c:ext>
              </c:extLst>
            </c:dLbl>
            <c:dLbl>
              <c:idx val="98"/>
              <c:tx>
                <c:strRef>
                  <c:f>[1]Prices!$H$101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{D2C9220B-BD5D-4CA0-A475-9DE2D5FC2A76}</c15:txfldGUID>
                      <c15:f>[1]Prices!$H$101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4E07-4AED-B744-DBFF2ED8884B}"/>
                </c:ext>
              </c:extLst>
            </c:dLbl>
            <c:dLbl>
              <c:idx val="99"/>
              <c:tx>
                <c:strRef>
                  <c:f>[1]Prices!$H$102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{C8CE70DD-4F2D-456C-AB6F-8FB4F254DB69}</c15:txfldGUID>
                      <c15:f>[1]Prices!$H$102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4E07-4AED-B744-DBFF2ED8884B}"/>
                </c:ext>
              </c:extLst>
            </c:dLbl>
            <c:dLbl>
              <c:idx val="100"/>
              <c:tx>
                <c:strRef>
                  <c:f>[1]Prices!$H$103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{3DA4448E-8212-4D34-B22D-749912B6004D}</c15:txfldGUID>
                      <c15:f>[1]Prices!$H$103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4E07-4AED-B744-DBFF2ED8884B}"/>
                </c:ext>
              </c:extLst>
            </c:dLbl>
            <c:dLbl>
              <c:idx val="101"/>
              <c:tx>
                <c:strRef>
                  <c:f>[1]Prices!$H$104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{18DAA6FD-DEE0-4000-962C-0B0F9DE14CAB}</c15:txfldGUID>
                      <c15:f>[1]Prices!$H$104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4E07-4AED-B744-DBFF2ED8884B}"/>
                </c:ext>
              </c:extLst>
            </c:dLbl>
            <c:dLbl>
              <c:idx val="102"/>
              <c:tx>
                <c:strRef>
                  <c:f>[1]Prices!$H$105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{CFF26D2D-3929-47C0-986B-0EE79792DEC1}</c15:txfldGUID>
                      <c15:f>[1]Prices!$H$105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4E07-4AED-B744-DBFF2ED8884B}"/>
                </c:ext>
              </c:extLst>
            </c:dLbl>
            <c:dLbl>
              <c:idx val="103"/>
              <c:tx>
                <c:strRef>
                  <c:f>[1]Prices!$H$106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{B6CAA8C5-C95E-4FC7-B8EF-E73D0643574B}</c15:txfldGUID>
                      <c15:f>[1]Prices!$H$106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4E07-4AED-B744-DBFF2ED8884B}"/>
                </c:ext>
              </c:extLst>
            </c:dLbl>
            <c:dLbl>
              <c:idx val="104"/>
              <c:tx>
                <c:strRef>
                  <c:f>[1]Prices!$H$107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{7328A007-F0A4-4E84-90C7-56F6422CC49A}</c15:txfldGUID>
                      <c15:f>[1]Prices!$H$107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4E07-4AED-B744-DBFF2ED8884B}"/>
                </c:ext>
              </c:extLst>
            </c:dLbl>
            <c:dLbl>
              <c:idx val="105"/>
              <c:tx>
                <c:strRef>
                  <c:f>[1]Prices!$H$108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{18C8E92D-F167-467E-9249-DDE0B8E0C10E}</c15:txfldGUID>
                      <c15:f>[1]Prices!$H$108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4E07-4AED-B744-DBFF2ED8884B}"/>
                </c:ext>
              </c:extLst>
            </c:dLbl>
            <c:dLbl>
              <c:idx val="106"/>
              <c:tx>
                <c:strRef>
                  <c:f>[1]Prices!$H$109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{2E015CE5-DFDC-44C3-AB84-22A2FF66A949}</c15:txfldGUID>
                      <c15:f>[1]Prices!$H$109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4E07-4AED-B744-DBFF2ED8884B}"/>
                </c:ext>
              </c:extLst>
            </c:dLbl>
            <c:dLbl>
              <c:idx val="107"/>
              <c:tx>
                <c:strRef>
                  <c:f>[1]Prices!$H$110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{B2F9A6CC-EEDE-4CA9-AB44-A05C3226B793}</c15:txfldGUID>
                      <c15:f>[1]Prices!$H$110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4E07-4AED-B744-DBFF2ED8884B}"/>
                </c:ext>
              </c:extLst>
            </c:dLbl>
            <c:dLbl>
              <c:idx val="108"/>
              <c:tx>
                <c:strRef>
                  <c:f>[1]Prices!$H$111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{E1AC146C-B3D5-4750-9A71-7BB2B443ABB5}</c15:txfldGUID>
                      <c15:f>[1]Prices!$H$111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4E07-4AED-B744-DBFF2ED8884B}"/>
                </c:ext>
              </c:extLst>
            </c:dLbl>
            <c:dLbl>
              <c:idx val="109"/>
              <c:tx>
                <c:strRef>
                  <c:f>[1]Prices!$H$112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{DECCA718-DA54-4C3C-8B34-AC7CFEF08E86}</c15:txfldGUID>
                      <c15:f>[1]Prices!$H$112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4E07-4AED-B744-DBFF2ED8884B}"/>
                </c:ext>
              </c:extLst>
            </c:dLbl>
            <c:dLbl>
              <c:idx val="110"/>
              <c:tx>
                <c:strRef>
                  <c:f>[1]Prices!$H$113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{9A1D4EDE-326B-41C4-9BA7-3247D7EA4343}</c15:txfldGUID>
                      <c15:f>[1]Prices!$H$113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4E07-4AED-B744-DBFF2ED8884B}"/>
                </c:ext>
              </c:extLst>
            </c:dLbl>
            <c:dLbl>
              <c:idx val="111"/>
              <c:tx>
                <c:strRef>
                  <c:f>[1]Prices!$H$114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{D7E2E661-8F05-483C-886D-46FC5ED5BE5C}</c15:txfldGUID>
                      <c15:f>[1]Prices!$H$114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4E07-4AED-B744-DBFF2ED8884B}"/>
                </c:ext>
              </c:extLst>
            </c:dLbl>
            <c:dLbl>
              <c:idx val="112"/>
              <c:tx>
                <c:strRef>
                  <c:f>[1]Prices!$H$115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{702CC44F-773D-455A-9E09-C8B5EBD45543}</c15:txfldGUID>
                      <c15:f>[1]Prices!$H$115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4E07-4AED-B744-DBFF2ED8884B}"/>
                </c:ext>
              </c:extLst>
            </c:dLbl>
            <c:dLbl>
              <c:idx val="113"/>
              <c:tx>
                <c:strRef>
                  <c:f>[1]Prices!$H$116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{D9EB2823-2EB9-4D99-A5A0-E75ECD52866C}</c15:txfldGUID>
                      <c15:f>[1]Prices!$H$116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4E07-4AED-B744-DBFF2ED8884B}"/>
                </c:ext>
              </c:extLst>
            </c:dLbl>
            <c:dLbl>
              <c:idx val="114"/>
              <c:tx>
                <c:strRef>
                  <c:f>[1]Prices!$H$117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{CEEABDB8-52D1-41A2-B2B9-1C21D4AE59D9}</c15:txfldGUID>
                      <c15:f>[1]Prices!$H$117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4E07-4AED-B744-DBFF2ED8884B}"/>
                </c:ext>
              </c:extLst>
            </c:dLbl>
            <c:dLbl>
              <c:idx val="115"/>
              <c:tx>
                <c:strRef>
                  <c:f>[1]Prices!$H$118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{D2682F62-D0E6-4151-B985-7CC407A76D5B}</c15:txfldGUID>
                      <c15:f>[1]Prices!$H$118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4E07-4AED-B744-DBFF2ED8884B}"/>
                </c:ext>
              </c:extLst>
            </c:dLbl>
            <c:dLbl>
              <c:idx val="116"/>
              <c:tx>
                <c:strRef>
                  <c:f>[1]Prices!$H$119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{78409F44-6D10-42D8-8224-94E27F3EC2CD}</c15:txfldGUID>
                      <c15:f>[1]Prices!$H$119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4E07-4AED-B744-DBFF2ED8884B}"/>
                </c:ext>
              </c:extLst>
            </c:dLbl>
            <c:dLbl>
              <c:idx val="117"/>
              <c:tx>
                <c:strRef>
                  <c:f>[1]Prices!$H$120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{FD9D6FAF-6070-4A43-B0F9-327713D08707}</c15:txfldGUID>
                      <c15:f>[1]Prices!$H$120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4E07-4AED-B744-DBFF2ED8884B}"/>
                </c:ext>
              </c:extLst>
            </c:dLbl>
            <c:dLbl>
              <c:idx val="118"/>
              <c:tx>
                <c:strRef>
                  <c:f>[1]Prices!$H$121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{D46805AF-5759-4179-A159-D641DF62A4C6}</c15:txfldGUID>
                      <c15:f>[1]Prices!$H$121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4E07-4AED-B744-DBFF2ED8884B}"/>
                </c:ext>
              </c:extLst>
            </c:dLbl>
            <c:dLbl>
              <c:idx val="119"/>
              <c:tx>
                <c:strRef>
                  <c:f>[1]Prices!$H$122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{6FC18D20-4CBC-4709-8991-DA09DFFE9E94}</c15:txfldGUID>
                      <c15:f>[1]Prices!$H$122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4E07-4AED-B744-DBFF2ED8884B}"/>
                </c:ext>
              </c:extLst>
            </c:dLbl>
            <c:dLbl>
              <c:idx val="120"/>
              <c:tx>
                <c:strRef>
                  <c:f>[1]Prices!$H$123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{7D854CCD-53A5-4546-91EC-8D9745774F1D}</c15:txfldGUID>
                      <c15:f>[1]Prices!$H$123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4E07-4AED-B744-DBFF2ED8884B}"/>
                </c:ext>
              </c:extLst>
            </c:dLbl>
            <c:dLbl>
              <c:idx val="121"/>
              <c:tx>
                <c:strRef>
                  <c:f>[1]Prices!$H$124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{047BC222-94C3-4A8D-91BC-2F31E7421E3A}</c15:txfldGUID>
                      <c15:f>[1]Prices!$H$124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4E07-4AED-B744-DBFF2ED8884B}"/>
                </c:ext>
              </c:extLst>
            </c:dLbl>
            <c:dLbl>
              <c:idx val="122"/>
              <c:tx>
                <c:strRef>
                  <c:f>[1]Prices!$H$125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{104A5446-B704-4EE6-A52C-4902CEF1AAF8}</c15:txfldGUID>
                      <c15:f>[1]Prices!$H$125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4E07-4AED-B744-DBFF2ED8884B}"/>
                </c:ext>
              </c:extLst>
            </c:dLbl>
            <c:dLbl>
              <c:idx val="123"/>
              <c:tx>
                <c:strRef>
                  <c:f>[1]Prices!$H$126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{ABC7B3FA-F410-477F-AF92-BD3B122AD313}</c15:txfldGUID>
                      <c15:f>[1]Prices!$H$126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4E07-4AED-B744-DBFF2ED8884B}"/>
                </c:ext>
              </c:extLst>
            </c:dLbl>
            <c:dLbl>
              <c:idx val="124"/>
              <c:tx>
                <c:strRef>
                  <c:f>[1]Prices!$H$127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{0D9EF834-9585-4235-BBC7-8D830F31C768}</c15:txfldGUID>
                      <c15:f>[1]Prices!$H$127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4E07-4AED-B744-DBFF2ED8884B}"/>
                </c:ext>
              </c:extLst>
            </c:dLbl>
            <c:dLbl>
              <c:idx val="125"/>
              <c:tx>
                <c:strRef>
                  <c:f>[1]Prices!$H$128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{77CC272B-3ADC-4532-9266-30D5BA6427DC}</c15:txfldGUID>
                      <c15:f>[1]Prices!$H$128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4E07-4AED-B744-DBFF2ED8884B}"/>
                </c:ext>
              </c:extLst>
            </c:dLbl>
            <c:dLbl>
              <c:idx val="126"/>
              <c:tx>
                <c:strRef>
                  <c:f>[1]Prices!$H$129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{52DDDED7-51B3-4BE4-BB71-B40127348DED}</c15:txfldGUID>
                      <c15:f>[1]Prices!$H$129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4E07-4AED-B744-DBFF2ED8884B}"/>
                </c:ext>
              </c:extLst>
            </c:dLbl>
            <c:dLbl>
              <c:idx val="127"/>
              <c:tx>
                <c:strRef>
                  <c:f>[1]Prices!$H$130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{F5A53E15-B3D8-4D60-A95A-34EE856FB79F}</c15:txfldGUID>
                      <c15:f>[1]Prices!$H$130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4E07-4AED-B744-DBFF2ED8884B}"/>
                </c:ext>
              </c:extLst>
            </c:dLbl>
            <c:dLbl>
              <c:idx val="128"/>
              <c:tx>
                <c:strRef>
                  <c:f>[1]Prices!$H$131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{B0C2A3C1-D914-4772-BA82-9567DD61A337}</c15:txfldGUID>
                      <c15:f>[1]Prices!$H$131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4E07-4AED-B744-DBFF2ED8884B}"/>
                </c:ext>
              </c:extLst>
            </c:dLbl>
            <c:dLbl>
              <c:idx val="129"/>
              <c:tx>
                <c:strRef>
                  <c:f>[1]Prices!$H$132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{32B33285-344B-4D77-8F62-EF01F2934E84}</c15:txfldGUID>
                      <c15:f>[1]Prices!$H$132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4E07-4AED-B744-DBFF2ED8884B}"/>
                </c:ext>
              </c:extLst>
            </c:dLbl>
            <c:dLbl>
              <c:idx val="130"/>
              <c:tx>
                <c:strRef>
                  <c:f>[1]Prices!$H$133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{B293AE36-F675-486A-A6F3-F5C584F22D44}</c15:txfldGUID>
                      <c15:f>[1]Prices!$H$133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4E07-4AED-B744-DBFF2ED8884B}"/>
                </c:ext>
              </c:extLst>
            </c:dLbl>
            <c:dLbl>
              <c:idx val="131"/>
              <c:tx>
                <c:strRef>
                  <c:f>[1]Prices!$H$134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{DFFE8DB8-6D3E-49EE-9B58-46ACCD9C9D2A}</c15:txfldGUID>
                      <c15:f>[1]Prices!$H$134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4E07-4AED-B744-DBFF2ED8884B}"/>
                </c:ext>
              </c:extLst>
            </c:dLbl>
            <c:dLbl>
              <c:idx val="132"/>
              <c:tx>
                <c:strRef>
                  <c:f>[1]Prices!$H$135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{080399D7-33F0-4672-9293-6CC3B42E557B}</c15:txfldGUID>
                      <c15:f>[1]Prices!$H$135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0-4E07-4AED-B744-DBFF2ED8884B}"/>
                </c:ext>
              </c:extLst>
            </c:dLbl>
            <c:dLbl>
              <c:idx val="133"/>
              <c:tx>
                <c:strRef>
                  <c:f>[1]Prices!$H$136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{31BDA7E5-BA98-42C3-93AE-52FDBDC27A3F}</c15:txfldGUID>
                      <c15:f>[1]Prices!$H$136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4E07-4AED-B744-DBFF2ED8884B}"/>
                </c:ext>
              </c:extLst>
            </c:dLbl>
            <c:dLbl>
              <c:idx val="134"/>
              <c:tx>
                <c:strRef>
                  <c:f>[1]Prices!$H$137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{9CE25934-B0C4-4773-86B0-137D4733724F}</c15:txfldGUID>
                      <c15:f>[1]Prices!$H$137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4E07-4AED-B744-DBFF2ED8884B}"/>
                </c:ext>
              </c:extLst>
            </c:dLbl>
            <c:dLbl>
              <c:idx val="135"/>
              <c:tx>
                <c:strRef>
                  <c:f>[1]Prices!$H$138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{5E67DC56-B993-40D2-9B91-AC34373EC077}</c15:txfldGUID>
                      <c15:f>[1]Prices!$H$138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4E07-4AED-B744-DBFF2ED8884B}"/>
                </c:ext>
              </c:extLst>
            </c:dLbl>
            <c:dLbl>
              <c:idx val="136"/>
              <c:tx>
                <c:strRef>
                  <c:f>[1]Prices!$H$139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{488DE0B3-89D0-47E0-86E3-95BBE6E2C393}</c15:txfldGUID>
                      <c15:f>[1]Prices!$H$139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4E07-4AED-B744-DBFF2ED8884B}"/>
                </c:ext>
              </c:extLst>
            </c:dLbl>
            <c:dLbl>
              <c:idx val="137"/>
              <c:tx>
                <c:strRef>
                  <c:f>[1]Prices!$H$140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{213713DD-DD6F-4332-89EE-1215BC0E31B7}</c15:txfldGUID>
                      <c15:f>[1]Prices!$H$140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4E07-4AED-B744-DBFF2ED8884B}"/>
                </c:ext>
              </c:extLst>
            </c:dLbl>
            <c:dLbl>
              <c:idx val="138"/>
              <c:tx>
                <c:strRef>
                  <c:f>[1]Prices!$H$141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{CC004D5C-1508-48DB-B7C5-629954CE3F8C}</c15:txfldGUID>
                      <c15:f>[1]Prices!$H$141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4E07-4AED-B744-DBFF2ED8884B}"/>
                </c:ext>
              </c:extLst>
            </c:dLbl>
            <c:dLbl>
              <c:idx val="139"/>
              <c:tx>
                <c:strRef>
                  <c:f>[1]Prices!$H$142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{0A136EA8-5360-4F11-9AB0-9E55C8DEBCA5}</c15:txfldGUID>
                      <c15:f>[1]Prices!$H$142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4E07-4AED-B744-DBFF2ED8884B}"/>
                </c:ext>
              </c:extLst>
            </c:dLbl>
            <c:dLbl>
              <c:idx val="140"/>
              <c:tx>
                <c:strRef>
                  <c:f>[1]Prices!$H$143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{114071BB-5DF0-467F-A012-BB7EA6CA37EB}</c15:txfldGUID>
                      <c15:f>[1]Prices!$H$143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4E07-4AED-B744-DBFF2ED8884B}"/>
                </c:ext>
              </c:extLst>
            </c:dLbl>
            <c:dLbl>
              <c:idx val="141"/>
              <c:tx>
                <c:strRef>
                  <c:f>[1]Prices!$H$144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{77353A32-1CFF-4DDE-99DC-7F5CAFE47D0F}</c15:txfldGUID>
                      <c15:f>[1]Prices!$H$144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4E07-4AED-B744-DBFF2ED8884B}"/>
                </c:ext>
              </c:extLst>
            </c:dLbl>
            <c:dLbl>
              <c:idx val="142"/>
              <c:tx>
                <c:strRef>
                  <c:f>[1]Prices!$H$145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{AE811324-A18F-43BE-9A09-954AA7845D5C}</c15:txfldGUID>
                      <c15:f>[1]Prices!$H$145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4E07-4AED-B744-DBFF2ED8884B}"/>
                </c:ext>
              </c:extLst>
            </c:dLbl>
            <c:dLbl>
              <c:idx val="143"/>
              <c:tx>
                <c:strRef>
                  <c:f>[1]Prices!$H$146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{E6310E10-8D96-485A-811F-A4E32B3469D8}</c15:txfldGUID>
                      <c15:f>[1]Prices!$H$146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4E07-4AED-B744-DBFF2ED8884B}"/>
                </c:ext>
              </c:extLst>
            </c:dLbl>
            <c:dLbl>
              <c:idx val="144"/>
              <c:tx>
                <c:strRef>
                  <c:f>[1]Prices!$H$147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{D400DA3A-9348-4964-925F-E2BECCECC7D4}</c15:txfldGUID>
                      <c15:f>[1]Prices!$H$147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4E07-4AED-B744-DBFF2ED8884B}"/>
                </c:ext>
              </c:extLst>
            </c:dLbl>
            <c:dLbl>
              <c:idx val="145"/>
              <c:tx>
                <c:strRef>
                  <c:f>[1]Prices!$H$148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{8DDB1AEC-0E77-42C1-90E0-CF0F526E84BB}</c15:txfldGUID>
                      <c15:f>[1]Prices!$H$148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4E07-4AED-B744-DBFF2ED8884B}"/>
                </c:ext>
              </c:extLst>
            </c:dLbl>
            <c:dLbl>
              <c:idx val="146"/>
              <c:tx>
                <c:strRef>
                  <c:f>[1]Prices!$H$149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{8345B1B2-0A27-41D9-A780-80E39005C48E}</c15:txfldGUID>
                      <c15:f>[1]Prices!$H$149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4E07-4AED-B744-DBFF2ED8884B}"/>
                </c:ext>
              </c:extLst>
            </c:dLbl>
            <c:dLbl>
              <c:idx val="147"/>
              <c:tx>
                <c:strRef>
                  <c:f>[1]Prices!$H$150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{59972361-30C9-49AE-AD7B-B7E04E49AC7A}</c15:txfldGUID>
                      <c15:f>[1]Prices!$H$150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4E07-4AED-B744-DBFF2ED8884B}"/>
                </c:ext>
              </c:extLst>
            </c:dLbl>
            <c:dLbl>
              <c:idx val="148"/>
              <c:tx>
                <c:strRef>
                  <c:f>[1]Prices!$H$151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{F2F85D46-6371-47DC-A3CB-AB117586A4FD}</c15:txfldGUID>
                      <c15:f>[1]Prices!$H$151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4E07-4AED-B744-DBFF2ED8884B}"/>
                </c:ext>
              </c:extLst>
            </c:dLbl>
            <c:dLbl>
              <c:idx val="149"/>
              <c:tx>
                <c:strRef>
                  <c:f>[1]Prices!$H$152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{B3D44752-E0D6-475A-A448-52F43D2EF7F4}</c15:txfldGUID>
                      <c15:f>[1]Prices!$H$152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4E07-4AED-B744-DBFF2ED8884B}"/>
                </c:ext>
              </c:extLst>
            </c:dLbl>
            <c:dLbl>
              <c:idx val="150"/>
              <c:tx>
                <c:strRef>
                  <c:f>[1]Prices!$H$153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{5D687DA0-B451-40E9-8940-A61C49616A3F}</c15:txfldGUID>
                      <c15:f>[1]Prices!$H$153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4E07-4AED-B744-DBFF2ED8884B}"/>
                </c:ext>
              </c:extLst>
            </c:dLbl>
            <c:dLbl>
              <c:idx val="151"/>
              <c:tx>
                <c:strRef>
                  <c:f>[1]Prices!$H$154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{0124D230-5FA2-4DC4-8D34-F88727504157}</c15:txfldGUID>
                      <c15:f>[1]Prices!$H$154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4E07-4AED-B744-DBFF2ED8884B}"/>
                </c:ext>
              </c:extLst>
            </c:dLbl>
            <c:dLbl>
              <c:idx val="152"/>
              <c:tx>
                <c:strRef>
                  <c:f>[1]Prices!$H$155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{DB4D76A2-F67D-4D44-9FEE-5BEFA851A069}</c15:txfldGUID>
                      <c15:f>[1]Prices!$H$155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4E07-4AED-B744-DBFF2ED8884B}"/>
                </c:ext>
              </c:extLst>
            </c:dLbl>
            <c:dLbl>
              <c:idx val="153"/>
              <c:tx>
                <c:strRef>
                  <c:f>[1]Prices!$H$156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{A80F852F-E2BF-4C30-ABB7-22C158D86E78}</c15:txfldGUID>
                      <c15:f>[1]Prices!$H$156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4E07-4AED-B744-DBFF2ED8884B}"/>
                </c:ext>
              </c:extLst>
            </c:dLbl>
            <c:dLbl>
              <c:idx val="154"/>
              <c:tx>
                <c:strRef>
                  <c:f>[1]Prices!$H$157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{158A86D1-18C4-4107-9B8B-22D326F9651D}</c15:txfldGUID>
                      <c15:f>[1]Prices!$H$157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4E07-4AED-B744-DBFF2ED8884B}"/>
                </c:ext>
              </c:extLst>
            </c:dLbl>
            <c:dLbl>
              <c:idx val="155"/>
              <c:tx>
                <c:strRef>
                  <c:f>[1]Prices!$H$158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{7311D93D-FDE1-44ED-8A47-2BC8D582A24B}</c15:txfldGUID>
                      <c15:f>[1]Prices!$H$158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4E07-4AED-B744-DBFF2ED8884B}"/>
                </c:ext>
              </c:extLst>
            </c:dLbl>
            <c:dLbl>
              <c:idx val="156"/>
              <c:tx>
                <c:strRef>
                  <c:f>[1]Prices!$H$159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{162CCE6D-41E5-4A54-889B-B3B23DA6FCF4}</c15:txfldGUID>
                      <c15:f>[1]Prices!$H$159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4E07-4AED-B744-DBFF2ED8884B}"/>
                </c:ext>
              </c:extLst>
            </c:dLbl>
            <c:dLbl>
              <c:idx val="157"/>
              <c:tx>
                <c:strRef>
                  <c:f>[1]Prices!$H$160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{4970954B-5230-4CCB-B2A6-799FEC887741}</c15:txfldGUID>
                      <c15:f>[1]Prices!$H$160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4E07-4AED-B744-DBFF2ED8884B}"/>
                </c:ext>
              </c:extLst>
            </c:dLbl>
            <c:dLbl>
              <c:idx val="158"/>
              <c:tx>
                <c:strRef>
                  <c:f>[1]Prices!$H$161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{0461B464-0ED9-4E77-AE21-3B8EAEF3CAA5}</c15:txfldGUID>
                      <c15:f>[1]Prices!$H$161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4E07-4AED-B744-DBFF2ED8884B}"/>
                </c:ext>
              </c:extLst>
            </c:dLbl>
            <c:dLbl>
              <c:idx val="159"/>
              <c:tx>
                <c:strRef>
                  <c:f>[1]Prices!$H$162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{0F895F37-3A55-4E31-8B5F-66B0F63702AB}</c15:txfldGUID>
                      <c15:f>[1]Prices!$H$162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4E07-4AED-B744-DBFF2ED8884B}"/>
                </c:ext>
              </c:extLst>
            </c:dLbl>
            <c:dLbl>
              <c:idx val="160"/>
              <c:tx>
                <c:strRef>
                  <c:f>[1]Prices!$H$163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{8AD8E78E-35F8-4B80-9BC6-8A0FC6C5D3BE}</c15:txfldGUID>
                      <c15:f>[1]Prices!$H$163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4E07-4AED-B744-DBFF2ED8884B}"/>
                </c:ext>
              </c:extLst>
            </c:dLbl>
            <c:dLbl>
              <c:idx val="161"/>
              <c:tx>
                <c:strRef>
                  <c:f>[1]Prices!$H$164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{219E3F0E-1C32-4F93-B8A2-CD173FD72B0B}</c15:txfldGUID>
                      <c15:f>[1]Prices!$H$164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D-4E07-4AED-B744-DBFF2ED8884B}"/>
                </c:ext>
              </c:extLst>
            </c:dLbl>
            <c:dLbl>
              <c:idx val="162"/>
              <c:tx>
                <c:strRef>
                  <c:f>[1]Prices!$H$165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{E41B99BD-740F-439A-94ED-CB7D3A228DF8}</c15:txfldGUID>
                      <c15:f>[1]Prices!$H$165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4E07-4AED-B744-DBFF2ED8884B}"/>
                </c:ext>
              </c:extLst>
            </c:dLbl>
            <c:dLbl>
              <c:idx val="163"/>
              <c:tx>
                <c:strRef>
                  <c:f>[1]Prices!$H$166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{9BCBC3D7-5EF4-4A34-8858-68BC0E796D96}</c15:txfldGUID>
                      <c15:f>[1]Prices!$H$166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4E07-4AED-B744-DBFF2ED8884B}"/>
                </c:ext>
              </c:extLst>
            </c:dLbl>
            <c:dLbl>
              <c:idx val="164"/>
              <c:tx>
                <c:strRef>
                  <c:f>[1]Prices!$H$167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{1BD726E2-24E4-4078-ADD6-5E2BD0211A92}</c15:txfldGUID>
                      <c15:f>[1]Prices!$H$167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4E07-4AED-B744-DBFF2ED8884B}"/>
                </c:ext>
              </c:extLst>
            </c:dLbl>
            <c:dLbl>
              <c:idx val="165"/>
              <c:tx>
                <c:strRef>
                  <c:f>[1]Prices!$H$168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{59ADB1D4-ECB7-4A33-BD09-AA38F9CE0470}</c15:txfldGUID>
                      <c15:f>[1]Prices!$H$168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4E07-4AED-B744-DBFF2ED8884B}"/>
                </c:ext>
              </c:extLst>
            </c:dLbl>
            <c:dLbl>
              <c:idx val="166"/>
              <c:tx>
                <c:strRef>
                  <c:f>[1]Prices!$H$169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{D5A80273-A2AF-4E3D-9CC8-2DE4333EEB6C}</c15:txfldGUID>
                      <c15:f>[1]Prices!$H$169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4E07-4AED-B744-DBFF2ED8884B}"/>
                </c:ext>
              </c:extLst>
            </c:dLbl>
            <c:dLbl>
              <c:idx val="167"/>
              <c:tx>
                <c:strRef>
                  <c:f>[1]Prices!$H$170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{8186021A-744B-4592-AABD-2436C2C1D635}</c15:txfldGUID>
                      <c15:f>[1]Prices!$H$170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4E07-4AED-B744-DBFF2ED8884B}"/>
                </c:ext>
              </c:extLst>
            </c:dLbl>
            <c:dLbl>
              <c:idx val="168"/>
              <c:tx>
                <c:strRef>
                  <c:f>[1]Prices!$H$171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{EF5134F6-7E59-4A44-8442-707D5CFF5271}</c15:txfldGUID>
                      <c15:f>[1]Prices!$H$171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4E07-4AED-B744-DBFF2ED8884B}"/>
                </c:ext>
              </c:extLst>
            </c:dLbl>
            <c:dLbl>
              <c:idx val="169"/>
              <c:tx>
                <c:strRef>
                  <c:f>[1]Prices!$H$172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{18E08596-E54A-491B-8DEB-C5953F36AE89}</c15:txfldGUID>
                      <c15:f>[1]Prices!$H$172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4E07-4AED-B744-DBFF2ED8884B}"/>
                </c:ext>
              </c:extLst>
            </c:dLbl>
            <c:dLbl>
              <c:idx val="170"/>
              <c:tx>
                <c:strRef>
                  <c:f>[1]Prices!$H$173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{6E6F2CE1-50BD-42C2-A514-6700D7AAB639}</c15:txfldGUID>
                      <c15:f>[1]Prices!$H$173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4E07-4AED-B744-DBFF2ED8884B}"/>
                </c:ext>
              </c:extLst>
            </c:dLbl>
            <c:dLbl>
              <c:idx val="171"/>
              <c:tx>
                <c:strRef>
                  <c:f>[1]Prices!$H$174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{69D98C1D-0EE2-440D-8BC7-8E193DE24D09}</c15:txfldGUID>
                      <c15:f>[1]Prices!$H$174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4E07-4AED-B744-DBFF2ED8884B}"/>
                </c:ext>
              </c:extLst>
            </c:dLbl>
            <c:dLbl>
              <c:idx val="172"/>
              <c:tx>
                <c:strRef>
                  <c:f>[1]Prices!$H$175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{5D2038A9-5236-4314-8E99-27B7F2898374}</c15:txfldGUID>
                      <c15:f>[1]Prices!$H$175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4E07-4AED-B744-DBFF2ED8884B}"/>
                </c:ext>
              </c:extLst>
            </c:dLbl>
            <c:dLbl>
              <c:idx val="173"/>
              <c:tx>
                <c:strRef>
                  <c:f>[1]Prices!$H$176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{98B1B5C6-545C-4085-ADC8-EFE03CF335CA}</c15:txfldGUID>
                      <c15:f>[1]Prices!$H$176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4E07-4AED-B744-DBFF2ED8884B}"/>
                </c:ext>
              </c:extLst>
            </c:dLbl>
            <c:dLbl>
              <c:idx val="174"/>
              <c:tx>
                <c:strRef>
                  <c:f>[1]Prices!$H$177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{A8772097-B7AB-4C1F-ACF6-736923DE3737}</c15:txfldGUID>
                      <c15:f>[1]Prices!$H$177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4E07-4AED-B744-DBFF2ED8884B}"/>
                </c:ext>
              </c:extLst>
            </c:dLbl>
            <c:dLbl>
              <c:idx val="175"/>
              <c:tx>
                <c:strRef>
                  <c:f>[1]Prices!$H$178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{F701FFCC-39FB-4FFC-B624-8DE37815FF9B}</c15:txfldGUID>
                      <c15:f>[1]Prices!$H$178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4E07-4AED-B744-DBFF2ED8884B}"/>
                </c:ext>
              </c:extLst>
            </c:dLbl>
            <c:dLbl>
              <c:idx val="176"/>
              <c:tx>
                <c:strRef>
                  <c:f>[1]Prices!$H$179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{7C8E6F1C-62EB-4CAC-AC46-FAB2B4A9CC26}</c15:txfldGUID>
                      <c15:f>[1]Prices!$H$179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4E07-4AED-B744-DBFF2ED8884B}"/>
                </c:ext>
              </c:extLst>
            </c:dLbl>
            <c:dLbl>
              <c:idx val="177"/>
              <c:tx>
                <c:strRef>
                  <c:f>[1]Prices!$H$180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{23497693-776B-41EF-B630-ED458FA9B469}</c15:txfldGUID>
                      <c15:f>[1]Prices!$H$180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4E07-4AED-B744-DBFF2ED8884B}"/>
                </c:ext>
              </c:extLst>
            </c:dLbl>
            <c:dLbl>
              <c:idx val="178"/>
              <c:tx>
                <c:strRef>
                  <c:f>[1]Prices!$H$181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{1405E617-FAF3-4762-83B2-40405BED4FD4}</c15:txfldGUID>
                      <c15:f>[1]Prices!$H$181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4E07-4AED-B744-DBFF2ED8884B}"/>
                </c:ext>
              </c:extLst>
            </c:dLbl>
            <c:dLbl>
              <c:idx val="179"/>
              <c:tx>
                <c:strRef>
                  <c:f>[1]Prices!$H$182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{E267979A-9721-49EC-9576-49F3A204F65F}</c15:txfldGUID>
                      <c15:f>[1]Prices!$H$182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4E07-4AED-B744-DBFF2ED8884B}"/>
                </c:ext>
              </c:extLst>
            </c:dLbl>
            <c:dLbl>
              <c:idx val="180"/>
              <c:tx>
                <c:strRef>
                  <c:f>[1]Prices!$H$183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{1527C8EC-AF29-41E0-BDD4-327F1F108344}</c15:txfldGUID>
                      <c15:f>[1]Prices!$H$183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4E07-4AED-B744-DBFF2ED8884B}"/>
                </c:ext>
              </c:extLst>
            </c:dLbl>
            <c:dLbl>
              <c:idx val="181"/>
              <c:tx>
                <c:strRef>
                  <c:f>[1]Prices!$H$184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{9F126296-680B-4761-B6CB-7ECE05EC8673}</c15:txfldGUID>
                      <c15:f>[1]Prices!$H$184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4E07-4AED-B744-DBFF2ED8884B}"/>
                </c:ext>
              </c:extLst>
            </c:dLbl>
            <c:dLbl>
              <c:idx val="182"/>
              <c:tx>
                <c:strRef>
                  <c:f>[1]Prices!$H$185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{724FC305-BFB1-43E6-93B3-A3A82553FAEA}</c15:txfldGUID>
                      <c15:f>[1]Prices!$H$185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4E07-4AED-B744-DBFF2ED8884B}"/>
                </c:ext>
              </c:extLst>
            </c:dLbl>
            <c:dLbl>
              <c:idx val="183"/>
              <c:tx>
                <c:strRef>
                  <c:f>[1]Prices!$H$186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{9F3AC56F-A760-4CAB-8EFD-C319C97FD070}</c15:txfldGUID>
                      <c15:f>[1]Prices!$H$186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4E07-4AED-B744-DBFF2ED8884B}"/>
                </c:ext>
              </c:extLst>
            </c:dLbl>
            <c:dLbl>
              <c:idx val="184"/>
              <c:tx>
                <c:strRef>
                  <c:f>[1]Prices!$H$187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{5929D45B-ECC0-41DB-A2DC-90F5098D1F75}</c15:txfldGUID>
                      <c15:f>[1]Prices!$H$187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4E07-4AED-B744-DBFF2ED8884B}"/>
                </c:ext>
              </c:extLst>
            </c:dLbl>
            <c:dLbl>
              <c:idx val="185"/>
              <c:tx>
                <c:strRef>
                  <c:f>[1]Prices!$H$188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{483D080F-7100-4578-87DA-4509CC36D6A4}</c15:txfldGUID>
                      <c15:f>[1]Prices!$H$188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4E07-4AED-B744-DBFF2ED8884B}"/>
                </c:ext>
              </c:extLst>
            </c:dLbl>
            <c:dLbl>
              <c:idx val="186"/>
              <c:tx>
                <c:strRef>
                  <c:f>[1]Prices!$H$189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{CC02D988-EC08-4900-BF2B-47C36B066FF9}</c15:txfldGUID>
                      <c15:f>[1]Prices!$H$189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4E07-4AED-B744-DBFF2ED8884B}"/>
                </c:ext>
              </c:extLst>
            </c:dLbl>
            <c:dLbl>
              <c:idx val="187"/>
              <c:tx>
                <c:strRef>
                  <c:f>[1]Prices!$H$190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{ECFCD28A-5A5A-42D6-9489-08C694C7AC77}</c15:txfldGUID>
                      <c15:f>[1]Prices!$H$190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4E07-4AED-B744-DBFF2ED8884B}"/>
                </c:ext>
              </c:extLst>
            </c:dLbl>
            <c:dLbl>
              <c:idx val="188"/>
              <c:tx>
                <c:strRef>
                  <c:f>[1]Prices!$H$191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{2BE4F4D9-F029-4561-ACE0-6152E5C223CB}</c15:txfldGUID>
                      <c15:f>[1]Prices!$H$191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4E07-4AED-B744-DBFF2ED8884B}"/>
                </c:ext>
              </c:extLst>
            </c:dLbl>
            <c:dLbl>
              <c:idx val="189"/>
              <c:tx>
                <c:strRef>
                  <c:f>[1]Prices!$H$192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{89875438-3BDD-450B-B875-FCB4010535B9}</c15:txfldGUID>
                      <c15:f>[1]Prices!$H$192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4E07-4AED-B744-DBFF2ED8884B}"/>
                </c:ext>
              </c:extLst>
            </c:dLbl>
            <c:dLbl>
              <c:idx val="190"/>
              <c:tx>
                <c:strRef>
                  <c:f>[1]Prices!$H$193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{C0D473D4-D581-4A85-A22C-018A28798104}</c15:txfldGUID>
                      <c15:f>[1]Prices!$H$193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A-4E07-4AED-B744-DBFF2ED8884B}"/>
                </c:ext>
              </c:extLst>
            </c:dLbl>
            <c:dLbl>
              <c:idx val="191"/>
              <c:tx>
                <c:strRef>
                  <c:f>[1]Prices!$H$194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{E078012B-87B1-4CC7-8D2C-0AF5ECA839CD}</c15:txfldGUID>
                      <c15:f>[1]Prices!$H$194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B-4E07-4AED-B744-DBFF2ED8884B}"/>
                </c:ext>
              </c:extLst>
            </c:dLbl>
            <c:dLbl>
              <c:idx val="192"/>
              <c:tx>
                <c:strRef>
                  <c:f>[1]Prices!$H$195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{417738D6-92C1-46DD-8CC1-99347E352E17}</c15:txfldGUID>
                      <c15:f>[1]Prices!$H$195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C-4E07-4AED-B744-DBFF2ED8884B}"/>
                </c:ext>
              </c:extLst>
            </c:dLbl>
            <c:dLbl>
              <c:idx val="193"/>
              <c:tx>
                <c:strRef>
                  <c:f>[1]Prices!$H$196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{8D1D5D52-F244-4278-99FA-6D1E09BDAC0F}</c15:txfldGUID>
                      <c15:f>[1]Prices!$H$196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D-4E07-4AED-B744-DBFF2ED8884B}"/>
                </c:ext>
              </c:extLst>
            </c:dLbl>
            <c:dLbl>
              <c:idx val="194"/>
              <c:tx>
                <c:strRef>
                  <c:f>[1]Prices!$H$197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{783E3270-FF8D-455C-A3E0-E812821C9AF0}</c15:txfldGUID>
                      <c15:f>[1]Prices!$H$197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E-4E07-4AED-B744-DBFF2ED8884B}"/>
                </c:ext>
              </c:extLst>
            </c:dLbl>
            <c:dLbl>
              <c:idx val="195"/>
              <c:tx>
                <c:strRef>
                  <c:f>[1]Prices!$H$198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{5BE0C9B0-6069-4E2E-A92E-07C696C21AF9}</c15:txfldGUID>
                      <c15:f>[1]Prices!$H$198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F-4E07-4AED-B744-DBFF2ED8884B}"/>
                </c:ext>
              </c:extLst>
            </c:dLbl>
            <c:dLbl>
              <c:idx val="196"/>
              <c:tx>
                <c:strRef>
                  <c:f>[1]Prices!$H$199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{3B06C43F-C674-4D3D-8A43-90EE1C7689D1}</c15:txfldGUID>
                      <c15:f>[1]Prices!$H$199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0-4E07-4AED-B744-DBFF2ED8884B}"/>
                </c:ext>
              </c:extLst>
            </c:dLbl>
            <c:dLbl>
              <c:idx val="197"/>
              <c:tx>
                <c:strRef>
                  <c:f>[1]Prices!$H$200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{9934E1EC-A156-4989-A231-402DE8B9A892}</c15:txfldGUID>
                      <c15:f>[1]Prices!$H$200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1-4E07-4AED-B744-DBFF2ED8884B}"/>
                </c:ext>
              </c:extLst>
            </c:dLbl>
            <c:dLbl>
              <c:idx val="198"/>
              <c:tx>
                <c:strRef>
                  <c:f>[1]Prices!$H$201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{5B18720C-3B47-4A19-A811-243D797807BE}</c15:txfldGUID>
                      <c15:f>[1]Prices!$H$201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2-4E07-4AED-B744-DBFF2ED8884B}"/>
                </c:ext>
              </c:extLst>
            </c:dLbl>
            <c:dLbl>
              <c:idx val="199"/>
              <c:tx>
                <c:strRef>
                  <c:f>[1]Prices!$H$202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{96899804-10FA-420C-820E-429BC7BE10BA}</c15:txfldGUID>
                      <c15:f>[1]Prices!$H$202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3-4E07-4AED-B744-DBFF2ED8884B}"/>
                </c:ext>
              </c:extLst>
            </c:dLbl>
            <c:dLbl>
              <c:idx val="200"/>
              <c:tx>
                <c:strRef>
                  <c:f>[1]Prices!$H$203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{6DE825D9-2E70-408B-B81B-BE0D4E50A626}</c15:txfldGUID>
                      <c15:f>[1]Prices!$H$203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4-4E07-4AED-B744-DBFF2ED8884B}"/>
                </c:ext>
              </c:extLst>
            </c:dLbl>
            <c:dLbl>
              <c:idx val="201"/>
              <c:tx>
                <c:strRef>
                  <c:f>[1]Prices!$H$204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{C6308805-8A10-4253-B485-DCB7CBD44D8C}</c15:txfldGUID>
                      <c15:f>[1]Prices!$H$204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5-4E07-4AED-B744-DBFF2ED8884B}"/>
                </c:ext>
              </c:extLst>
            </c:dLbl>
            <c:dLbl>
              <c:idx val="202"/>
              <c:tx>
                <c:strRef>
                  <c:f>[1]Prices!$H$205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{C94E99EA-D5B9-4EC5-A857-2AFDDE28503A}</c15:txfldGUID>
                      <c15:f>[1]Prices!$H$205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6-4E07-4AED-B744-DBFF2ED8884B}"/>
                </c:ext>
              </c:extLst>
            </c:dLbl>
            <c:dLbl>
              <c:idx val="203"/>
              <c:tx>
                <c:strRef>
                  <c:f>[1]Prices!$H$206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{9AB55D25-ECFA-4FAC-8CAE-9C3B7184F0AB}</c15:txfldGUID>
                      <c15:f>[1]Prices!$H$206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7-4E07-4AED-B744-DBFF2ED8884B}"/>
                </c:ext>
              </c:extLst>
            </c:dLbl>
            <c:dLbl>
              <c:idx val="204"/>
              <c:tx>
                <c:strRef>
                  <c:f>[1]Prices!$H$207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{96817C00-CCBC-4CBC-9C38-7D2E5A80220E}</c15:txfldGUID>
                      <c15:f>[1]Prices!$H$207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8-4E07-4AED-B744-DBFF2ED8884B}"/>
                </c:ext>
              </c:extLst>
            </c:dLbl>
            <c:dLbl>
              <c:idx val="205"/>
              <c:tx>
                <c:strRef>
                  <c:f>[1]Prices!$H$208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{F14F722B-24B5-478B-BE6B-68A82924C0A1}</c15:txfldGUID>
                      <c15:f>[1]Prices!$H$208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9-4E07-4AED-B744-DBFF2ED8884B}"/>
                </c:ext>
              </c:extLst>
            </c:dLbl>
            <c:dLbl>
              <c:idx val="206"/>
              <c:tx>
                <c:strRef>
                  <c:f>[1]Prices!$H$209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{02F7DB70-7020-4547-A790-47CD4D8E92E5}</c15:txfldGUID>
                      <c15:f>[1]Prices!$H$209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A-4E07-4AED-B744-DBFF2ED8884B}"/>
                </c:ext>
              </c:extLst>
            </c:dLbl>
            <c:dLbl>
              <c:idx val="207"/>
              <c:tx>
                <c:strRef>
                  <c:f>[1]Prices!$H$210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{5144ECF7-F835-46F6-9067-5431BE9F68B5}</c15:txfldGUID>
                      <c15:f>[1]Prices!$H$210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B-4E07-4AED-B744-DBFF2ED8884B}"/>
                </c:ext>
              </c:extLst>
            </c:dLbl>
            <c:dLbl>
              <c:idx val="208"/>
              <c:tx>
                <c:strRef>
                  <c:f>[1]Prices!$H$211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{D5CE09A6-929D-442A-8D8D-A088461AA546}</c15:txfldGUID>
                      <c15:f>[1]Prices!$H$211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C-4E07-4AED-B744-DBFF2ED8884B}"/>
                </c:ext>
              </c:extLst>
            </c:dLbl>
            <c:dLbl>
              <c:idx val="209"/>
              <c:tx>
                <c:strRef>
                  <c:f>[1]Prices!$H$212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{1B0B456C-4A7A-4CBC-A993-1DA6DD0FACFA}</c15:txfldGUID>
                      <c15:f>[1]Prices!$H$212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D-4E07-4AED-B744-DBFF2ED8884B}"/>
                </c:ext>
              </c:extLst>
            </c:dLbl>
            <c:dLbl>
              <c:idx val="210"/>
              <c:tx>
                <c:strRef>
                  <c:f>[1]Prices!$H$213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{126B8B92-C8BF-4802-9CEA-8C93E935E7DB}</c15:txfldGUID>
                      <c15:f>[1]Prices!$H$213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E-4E07-4AED-B744-DBFF2ED8884B}"/>
                </c:ext>
              </c:extLst>
            </c:dLbl>
            <c:dLbl>
              <c:idx val="211"/>
              <c:tx>
                <c:strRef>
                  <c:f>[1]Prices!$H$214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{1EF607B5-80BD-4764-BC59-62093506459E}</c15:txfldGUID>
                      <c15:f>[1]Prices!$H$214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F-4E07-4AED-B744-DBFF2ED8884B}"/>
                </c:ext>
              </c:extLst>
            </c:dLbl>
            <c:dLbl>
              <c:idx val="212"/>
              <c:tx>
                <c:strRef>
                  <c:f>[1]Prices!$H$215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{930BF1AC-5A4B-4933-BC52-345A32ADED3E}</c15:txfldGUID>
                      <c15:f>[1]Prices!$H$215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0-4E07-4AED-B744-DBFF2ED8884B}"/>
                </c:ext>
              </c:extLst>
            </c:dLbl>
            <c:dLbl>
              <c:idx val="213"/>
              <c:tx>
                <c:strRef>
                  <c:f>[1]Prices!$H$216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{82D11BED-04BE-4EC1-85B0-E0EB4DDBC38D}</c15:txfldGUID>
                      <c15:f>[1]Prices!$H$216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1-4E07-4AED-B744-DBFF2ED8884B}"/>
                </c:ext>
              </c:extLst>
            </c:dLbl>
            <c:dLbl>
              <c:idx val="214"/>
              <c:tx>
                <c:strRef>
                  <c:f>[1]Prices!$H$217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{9248EA18-18B2-4489-BC3F-639057F816AB}</c15:txfldGUID>
                      <c15:f>[1]Prices!$H$217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2-4E07-4AED-B744-DBFF2ED8884B}"/>
                </c:ext>
              </c:extLst>
            </c:dLbl>
            <c:dLbl>
              <c:idx val="215"/>
              <c:tx>
                <c:strRef>
                  <c:f>[1]Prices!$H$218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{931FDE2D-D2EB-4F6C-9403-5171F35077DD}</c15:txfldGUID>
                      <c15:f>[1]Prices!$H$218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3-4E07-4AED-B744-DBFF2ED8884B}"/>
                </c:ext>
              </c:extLst>
            </c:dLbl>
            <c:dLbl>
              <c:idx val="216"/>
              <c:tx>
                <c:strRef>
                  <c:f>[1]Prices!$H$219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{ABB850B0-A0B2-44BC-B2A0-16BCFDDEA96D}</c15:txfldGUID>
                      <c15:f>[1]Prices!$H$219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4-4E07-4AED-B744-DBFF2ED8884B}"/>
                </c:ext>
              </c:extLst>
            </c:dLbl>
            <c:dLbl>
              <c:idx val="217"/>
              <c:tx>
                <c:strRef>
                  <c:f>[1]Prices!$H$220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{2FD845B1-B2C9-4912-866C-8B26F1E9FD2F}</c15:txfldGUID>
                      <c15:f>[1]Prices!$H$220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5-4E07-4AED-B744-DBFF2ED8884B}"/>
                </c:ext>
              </c:extLst>
            </c:dLbl>
            <c:dLbl>
              <c:idx val="218"/>
              <c:tx>
                <c:strRef>
                  <c:f>[1]Prices!$H$221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{4C46B133-944D-4536-B560-93FABCC55C4A}</c15:txfldGUID>
                      <c15:f>[1]Prices!$H$221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6-4E07-4AED-B744-DBFF2ED8884B}"/>
                </c:ext>
              </c:extLst>
            </c:dLbl>
            <c:dLbl>
              <c:idx val="219"/>
              <c:tx>
                <c:strRef>
                  <c:f>[1]Prices!$H$222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{71687E39-AAE4-450C-A801-9DA657775C6A}</c15:txfldGUID>
                      <c15:f>[1]Prices!$H$222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7-4E07-4AED-B744-DBFF2ED8884B}"/>
                </c:ext>
              </c:extLst>
            </c:dLbl>
            <c:dLbl>
              <c:idx val="220"/>
              <c:tx>
                <c:strRef>
                  <c:f>[1]Prices!$H$223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{708E0FA9-1E56-40B6-A1D9-412E9B184C2F}</c15:txfldGUID>
                      <c15:f>[1]Prices!$H$223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8-4E07-4AED-B744-DBFF2ED8884B}"/>
                </c:ext>
              </c:extLst>
            </c:dLbl>
            <c:dLbl>
              <c:idx val="221"/>
              <c:tx>
                <c:strRef>
                  <c:f>[1]Prices!$H$224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{724F4F3E-9860-4872-9490-39F42BA7E296}</c15:txfldGUID>
                      <c15:f>[1]Prices!$H$224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9-4E07-4AED-B744-DBFF2ED8884B}"/>
                </c:ext>
              </c:extLst>
            </c:dLbl>
            <c:dLbl>
              <c:idx val="222"/>
              <c:tx>
                <c:strRef>
                  <c:f>[1]Prices!$H$225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{C6DF5E88-0612-479E-B784-AEF2F0CDEE14}</c15:txfldGUID>
                      <c15:f>[1]Prices!$H$225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A-4E07-4AED-B744-DBFF2ED8884B}"/>
                </c:ext>
              </c:extLst>
            </c:dLbl>
            <c:dLbl>
              <c:idx val="223"/>
              <c:tx>
                <c:strRef>
                  <c:f>[1]Prices!$H$226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{62D9954A-0B80-4D99-9B4B-0DE2F9BF0CFA}</c15:txfldGUID>
                      <c15:f>[1]Prices!$H$226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B-4E07-4AED-B744-DBFF2ED8884B}"/>
                </c:ext>
              </c:extLst>
            </c:dLbl>
            <c:dLbl>
              <c:idx val="224"/>
              <c:tx>
                <c:strRef>
                  <c:f>[1]Prices!$H$227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{55409899-9A75-44DC-9701-4ADE5C5CEEE9}</c15:txfldGUID>
                      <c15:f>[1]Prices!$H$227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C-4E07-4AED-B744-DBFF2ED8884B}"/>
                </c:ext>
              </c:extLst>
            </c:dLbl>
            <c:dLbl>
              <c:idx val="225"/>
              <c:tx>
                <c:strRef>
                  <c:f>[1]Prices!$H$228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{4D75065A-EAE2-4A49-B921-692CEA14734A}</c15:txfldGUID>
                      <c15:f>[1]Prices!$H$228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D-4E07-4AED-B744-DBFF2ED8884B}"/>
                </c:ext>
              </c:extLst>
            </c:dLbl>
            <c:dLbl>
              <c:idx val="226"/>
              <c:tx>
                <c:strRef>
                  <c:f>[1]Prices!$H$229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{6E416E5E-270E-4A4C-A4DB-36DA7FAEA7B7}</c15:txfldGUID>
                      <c15:f>[1]Prices!$H$229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E-4E07-4AED-B744-DBFF2ED8884B}"/>
                </c:ext>
              </c:extLst>
            </c:dLbl>
            <c:dLbl>
              <c:idx val="227"/>
              <c:tx>
                <c:strRef>
                  <c:f>[1]Prices!$H$230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{78712EF5-8A50-4343-9764-5AEA5735AE77}</c15:txfldGUID>
                      <c15:f>[1]Prices!$H$230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F-4E07-4AED-B744-DBFF2ED8884B}"/>
                </c:ext>
              </c:extLst>
            </c:dLbl>
            <c:dLbl>
              <c:idx val="228"/>
              <c:tx>
                <c:strRef>
                  <c:f>[1]Prices!$H$231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{42997603-DA41-4B9A-968D-32FEEB7FBA6A}</c15:txfldGUID>
                      <c15:f>[1]Prices!$H$231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0-4E07-4AED-B744-DBFF2ED8884B}"/>
                </c:ext>
              </c:extLst>
            </c:dLbl>
            <c:dLbl>
              <c:idx val="229"/>
              <c:tx>
                <c:strRef>
                  <c:f>[1]Prices!$H$232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{B81540D0-7E50-415C-BEEF-683E8E50FECC}</c15:txfldGUID>
                      <c15:f>[1]Prices!$H$232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1-4E07-4AED-B744-DBFF2ED8884B}"/>
                </c:ext>
              </c:extLst>
            </c:dLbl>
            <c:dLbl>
              <c:idx val="230"/>
              <c:tx>
                <c:strRef>
                  <c:f>[1]Prices!$H$233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{5299E082-EBE1-4F36-951E-6CD9E204FC54}</c15:txfldGUID>
                      <c15:f>[1]Prices!$H$233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2-4E07-4AED-B744-DBFF2ED8884B}"/>
                </c:ext>
              </c:extLst>
            </c:dLbl>
            <c:dLbl>
              <c:idx val="231"/>
              <c:tx>
                <c:strRef>
                  <c:f>[1]Prices!$H$234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{3472C20D-2746-428D-8113-AFB68C740C9D}</c15:txfldGUID>
                      <c15:f>[1]Prices!$H$234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3-4E07-4AED-B744-DBFF2ED8884B}"/>
                </c:ext>
              </c:extLst>
            </c:dLbl>
            <c:dLbl>
              <c:idx val="232"/>
              <c:tx>
                <c:strRef>
                  <c:f>[1]Prices!$H$235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{1B4419D2-73BF-4229-9AEC-07AD1B39E9AE}</c15:txfldGUID>
                      <c15:f>[1]Prices!$H$235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4-4E07-4AED-B744-DBFF2ED8884B}"/>
                </c:ext>
              </c:extLst>
            </c:dLbl>
            <c:dLbl>
              <c:idx val="233"/>
              <c:tx>
                <c:strRef>
                  <c:f>[1]Prices!$H$236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{DE4724FB-A055-4019-A56C-EA1EC456DE2B}</c15:txfldGUID>
                      <c15:f>[1]Prices!$H$236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5-4E07-4AED-B744-DBFF2ED8884B}"/>
                </c:ext>
              </c:extLst>
            </c:dLbl>
            <c:dLbl>
              <c:idx val="234"/>
              <c:tx>
                <c:strRef>
                  <c:f>[1]Prices!$H$237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{A84E87BE-FAB0-4277-8A6D-AAD53CF28CD6}</c15:txfldGUID>
                      <c15:f>[1]Prices!$H$237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6-4E07-4AED-B744-DBFF2ED8884B}"/>
                </c:ext>
              </c:extLst>
            </c:dLbl>
            <c:dLbl>
              <c:idx val="235"/>
              <c:tx>
                <c:strRef>
                  <c:f>[1]Prices!$H$238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{2596E590-55CD-416C-9494-5D1177D5791D}</c15:txfldGUID>
                      <c15:f>[1]Prices!$H$238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7-4E07-4AED-B744-DBFF2ED8884B}"/>
                </c:ext>
              </c:extLst>
            </c:dLbl>
            <c:dLbl>
              <c:idx val="236"/>
              <c:tx>
                <c:strRef>
                  <c:f>[1]Prices!$H$239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{622BB297-EBC1-4C2F-9317-E83DD8BFD000}</c15:txfldGUID>
                      <c15:f>[1]Prices!$H$239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8-4E07-4AED-B744-DBFF2ED8884B}"/>
                </c:ext>
              </c:extLst>
            </c:dLbl>
            <c:dLbl>
              <c:idx val="237"/>
              <c:tx>
                <c:strRef>
                  <c:f>[1]Prices!$H$240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{20AD5FB4-710D-4113-9E2F-BFEAB08BCF9B}</c15:txfldGUID>
                      <c15:f>[1]Prices!$H$240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9-4E07-4AED-B744-DBFF2ED8884B}"/>
                </c:ext>
              </c:extLst>
            </c:dLbl>
            <c:dLbl>
              <c:idx val="238"/>
              <c:tx>
                <c:strRef>
                  <c:f>[1]Prices!$H$241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{D316375F-A8C9-4680-9DB6-412F4311948D}</c15:txfldGUID>
                      <c15:f>[1]Prices!$H$241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A-4E07-4AED-B744-DBFF2ED8884B}"/>
                </c:ext>
              </c:extLst>
            </c:dLbl>
            <c:dLbl>
              <c:idx val="239"/>
              <c:tx>
                <c:strRef>
                  <c:f>[1]Prices!$H$242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{D3A903D0-A350-4DFC-9DAA-C0F40F3C71EA}</c15:txfldGUID>
                      <c15:f>[1]Prices!$H$242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B-4E07-4AED-B744-DBFF2ED8884B}"/>
                </c:ext>
              </c:extLst>
            </c:dLbl>
            <c:dLbl>
              <c:idx val="240"/>
              <c:tx>
                <c:strRef>
                  <c:f>[1]Prices!$H$243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{6390B9FA-187D-4AFA-A6BB-CFF193090C13}</c15:txfldGUID>
                      <c15:f>[1]Prices!$H$243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C-4E07-4AED-B744-DBFF2ED8884B}"/>
                </c:ext>
              </c:extLst>
            </c:dLbl>
            <c:dLbl>
              <c:idx val="241"/>
              <c:tx>
                <c:strRef>
                  <c:f>[1]Prices!$H$244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{1426F979-11DA-49D8-8058-92FFC227DF4D}</c15:txfldGUID>
                      <c15:f>[1]Prices!$H$244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D-4E07-4AED-B744-DBFF2ED8884B}"/>
                </c:ext>
              </c:extLst>
            </c:dLbl>
            <c:dLbl>
              <c:idx val="242"/>
              <c:tx>
                <c:strRef>
                  <c:f>[1]Prices!$H$245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{119035D8-ADBF-47DA-BE77-AA4BF0599B60}</c15:txfldGUID>
                      <c15:f>[1]Prices!$H$245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E-4E07-4AED-B744-DBFF2ED8884B}"/>
                </c:ext>
              </c:extLst>
            </c:dLbl>
            <c:dLbl>
              <c:idx val="243"/>
              <c:tx>
                <c:strRef>
                  <c:f>[1]Prices!$H$246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{2EB688AA-E297-4B64-A4D4-40BC5307AB4D}</c15:txfldGUID>
                      <c15:f>[1]Prices!$H$246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F-4E07-4AED-B744-DBFF2ED8884B}"/>
                </c:ext>
              </c:extLst>
            </c:dLbl>
            <c:dLbl>
              <c:idx val="244"/>
              <c:tx>
                <c:strRef>
                  <c:f>[1]Prices!$H$247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{16B19F99-0919-4F8D-8B18-E4F2A9A0A468}</c15:txfldGUID>
                      <c15:f>[1]Prices!$H$247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0-4E07-4AED-B744-DBFF2ED8884B}"/>
                </c:ext>
              </c:extLst>
            </c:dLbl>
            <c:dLbl>
              <c:idx val="245"/>
              <c:tx>
                <c:strRef>
                  <c:f>[1]Prices!$H$248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{22DDB427-42D4-42AC-ABE3-937D9CF8D54B}</c15:txfldGUID>
                      <c15:f>[1]Prices!$H$248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1-4E07-4AED-B744-DBFF2ED8884B}"/>
                </c:ext>
              </c:extLst>
            </c:dLbl>
            <c:dLbl>
              <c:idx val="246"/>
              <c:tx>
                <c:strRef>
                  <c:f>[1]Prices!$H$249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{3443E573-D774-4353-98D3-48EA8074498A}</c15:txfldGUID>
                      <c15:f>[1]Prices!$H$249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2-4E07-4AED-B744-DBFF2ED8884B}"/>
                </c:ext>
              </c:extLst>
            </c:dLbl>
            <c:dLbl>
              <c:idx val="247"/>
              <c:tx>
                <c:strRef>
                  <c:f>[1]Prices!$H$250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{F20E4F13-C746-474A-A202-06F9DF9CBCE7}</c15:txfldGUID>
                      <c15:f>[1]Prices!$H$250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3-4E07-4AED-B744-DBFF2ED8884B}"/>
                </c:ext>
              </c:extLst>
            </c:dLbl>
            <c:dLbl>
              <c:idx val="248"/>
              <c:tx>
                <c:strRef>
                  <c:f>[1]Prices!$H$251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{E3394E07-EC91-4532-B0E5-4F4D16BD4129}</c15:txfldGUID>
                      <c15:f>[1]Prices!$H$251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4-4E07-4AED-B744-DBFF2ED8884B}"/>
                </c:ext>
              </c:extLst>
            </c:dLbl>
            <c:dLbl>
              <c:idx val="249"/>
              <c:tx>
                <c:strRef>
                  <c:f>[1]Prices!$H$252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{77AB3121-F695-4426-A66F-676C979CC0C3}</c15:txfldGUID>
                      <c15:f>[1]Prices!$H$252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5-4E07-4AED-B744-DBFF2ED8884B}"/>
                </c:ext>
              </c:extLst>
            </c:dLbl>
            <c:dLbl>
              <c:idx val="250"/>
              <c:tx>
                <c:strRef>
                  <c:f>[1]Prices!$H$253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{97DFE43B-530B-4490-B98D-B3B3A5B57426}</c15:txfldGUID>
                      <c15:f>[1]Prices!$H$253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6-4E07-4AED-B744-DBFF2ED8884B}"/>
                </c:ext>
              </c:extLst>
            </c:dLbl>
            <c:dLbl>
              <c:idx val="251"/>
              <c:tx>
                <c:strRef>
                  <c:f>[1]Prices!$H$254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{20468A24-6B1E-40AA-8DEB-E7C272F6CAF3}</c15:txfldGUID>
                      <c15:f>[1]Prices!$H$254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7-4E07-4AED-B744-DBFF2ED8884B}"/>
                </c:ext>
              </c:extLst>
            </c:dLbl>
            <c:dLbl>
              <c:idx val="252"/>
              <c:tx>
                <c:strRef>
                  <c:f>[1]Prices!$H$255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{61C2D66A-31EE-41F1-B408-294087EC1026}</c15:txfldGUID>
                      <c15:f>[1]Prices!$H$255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8-4E07-4AED-B744-DBFF2ED8884B}"/>
                </c:ext>
              </c:extLst>
            </c:dLbl>
            <c:dLbl>
              <c:idx val="253"/>
              <c:tx>
                <c:strRef>
                  <c:f>[1]Prices!$H$256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{6180DD6B-1B46-41D4-B0DB-E6A63CA37805}</c15:txfldGUID>
                      <c15:f>[1]Prices!$H$256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9-4E07-4AED-B744-DBFF2ED8884B}"/>
                </c:ext>
              </c:extLst>
            </c:dLbl>
            <c:dLbl>
              <c:idx val="254"/>
              <c:tx>
                <c:strRef>
                  <c:f>[1]Prices!$H$257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{D5AFC71F-BC34-49C8-807A-22AB0DE9532E}</c15:txfldGUID>
                      <c15:f>[1]Prices!$H$257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A-4E07-4AED-B744-DBFF2ED8884B}"/>
                </c:ext>
              </c:extLst>
            </c:dLbl>
            <c:dLbl>
              <c:idx val="255"/>
              <c:tx>
                <c:strRef>
                  <c:f>[1]Prices!$H$258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{85D5D296-31EB-47AA-9BFC-F160C6517B39}</c15:txfldGUID>
                      <c15:f>[1]Prices!$H$258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B-4E07-4AED-B744-DBFF2ED8884B}"/>
                </c:ext>
              </c:extLst>
            </c:dLbl>
            <c:dLbl>
              <c:idx val="256"/>
              <c:tx>
                <c:strRef>
                  <c:f>[1]Prices!$H$259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{9053BCCD-922A-4986-8065-1B56CF96F95D}</c15:txfldGUID>
                      <c15:f>[1]Prices!$H$259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C-4E07-4AED-B744-DBFF2ED8884B}"/>
                </c:ext>
              </c:extLst>
            </c:dLbl>
            <c:dLbl>
              <c:idx val="257"/>
              <c:tx>
                <c:strRef>
                  <c:f>[1]Prices!$H$260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{CA9FCE80-A34B-41F8-92DF-A82A9467873D}</c15:txfldGUID>
                      <c15:f>[1]Prices!$H$260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D-4E07-4AED-B744-DBFF2ED8884B}"/>
                </c:ext>
              </c:extLst>
            </c:dLbl>
            <c:dLbl>
              <c:idx val="258"/>
              <c:tx>
                <c:strRef>
                  <c:f>[1]Prices!$H$261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{D2CA8E31-A6A9-4CE9-967C-988529F6BDD4}</c15:txfldGUID>
                      <c15:f>[1]Prices!$H$261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E-4E07-4AED-B744-DBFF2ED8884B}"/>
                </c:ext>
              </c:extLst>
            </c:dLbl>
            <c:dLbl>
              <c:idx val="259"/>
              <c:tx>
                <c:strRef>
                  <c:f>[1]Prices!$H$262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{9324E232-3EE6-469C-9D54-46D6CB398A91}</c15:txfldGUID>
                      <c15:f>[1]Prices!$H$262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F-4E07-4AED-B744-DBFF2ED8884B}"/>
                </c:ext>
              </c:extLst>
            </c:dLbl>
            <c:dLbl>
              <c:idx val="260"/>
              <c:tx>
                <c:strRef>
                  <c:f>[1]Prices!$H$263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{C8A1022A-C6D2-4EA6-8F09-BBC3271C833F}</c15:txfldGUID>
                      <c15:f>[1]Prices!$H$263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0-4E07-4AED-B744-DBFF2ED8884B}"/>
                </c:ext>
              </c:extLst>
            </c:dLbl>
            <c:dLbl>
              <c:idx val="261"/>
              <c:tx>
                <c:strRef>
                  <c:f>[1]Prices!$H$264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{98C33F66-50D5-4F26-ABF1-8827DDBBD7CC}</c15:txfldGUID>
                      <c15:f>[1]Prices!$H$264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1-4E07-4AED-B744-DBFF2ED8884B}"/>
                </c:ext>
              </c:extLst>
            </c:dLbl>
            <c:dLbl>
              <c:idx val="262"/>
              <c:tx>
                <c:strRef>
                  <c:f>[1]Prices!$H$265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{D21E31DD-6456-42C2-8BC9-D1DCDA8AB8A4}</c15:txfldGUID>
                      <c15:f>[1]Prices!$H$265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2-4E07-4AED-B744-DBFF2ED8884B}"/>
                </c:ext>
              </c:extLst>
            </c:dLbl>
            <c:dLbl>
              <c:idx val="263"/>
              <c:tx>
                <c:strRef>
                  <c:f>[1]Prices!$H$266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{AB999A93-A8D0-43CA-91CD-FFDD19D786EF}</c15:txfldGUID>
                      <c15:f>[1]Prices!$H$266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3-4E07-4AED-B744-DBFF2ED8884B}"/>
                </c:ext>
              </c:extLst>
            </c:dLbl>
            <c:dLbl>
              <c:idx val="264"/>
              <c:tx>
                <c:strRef>
                  <c:f>[1]Prices!$H$267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{5368E470-6A5C-4DD4-AD9A-FEA7061621B0}</c15:txfldGUID>
                      <c15:f>[1]Prices!$H$267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4-4E07-4AED-B744-DBFF2ED8884B}"/>
                </c:ext>
              </c:extLst>
            </c:dLbl>
            <c:dLbl>
              <c:idx val="265"/>
              <c:tx>
                <c:strRef>
                  <c:f>[1]Prices!$H$268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{8F6650C9-17DD-4455-B624-6AF682B53100}</c15:txfldGUID>
                      <c15:f>[1]Prices!$H$268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5-4E07-4AED-B744-DBFF2ED8884B}"/>
                </c:ext>
              </c:extLst>
            </c:dLbl>
            <c:dLbl>
              <c:idx val="266"/>
              <c:tx>
                <c:strRef>
                  <c:f>[1]Prices!$H$269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{28DDD9F5-D0CD-4452-9848-021209A4C1BF}</c15:txfldGUID>
                      <c15:f>[1]Prices!$H$269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6-4E07-4AED-B744-DBFF2ED8884B}"/>
                </c:ext>
              </c:extLst>
            </c:dLbl>
            <c:dLbl>
              <c:idx val="267"/>
              <c:tx>
                <c:strRef>
                  <c:f>[1]Prices!$H$270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{8A4316EF-61CE-4F42-BDFA-FF9FADD75BD3}</c15:txfldGUID>
                      <c15:f>[1]Prices!$H$270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7-4E07-4AED-B744-DBFF2ED8884B}"/>
                </c:ext>
              </c:extLst>
            </c:dLbl>
            <c:dLbl>
              <c:idx val="268"/>
              <c:tx>
                <c:strRef>
                  <c:f>[1]Prices!$H$271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{215063FF-04F7-4255-9B23-DE0EA2FAEB64}</c15:txfldGUID>
                      <c15:f>[1]Prices!$H$271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8-4E07-4AED-B744-DBFF2ED8884B}"/>
                </c:ext>
              </c:extLst>
            </c:dLbl>
            <c:dLbl>
              <c:idx val="269"/>
              <c:tx>
                <c:strRef>
                  <c:f>[1]Prices!$H$272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{EE4DC2D9-68CE-4FC7-9C96-BC1B69B69AE6}</c15:txfldGUID>
                      <c15:f>[1]Prices!$H$272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9-4E07-4AED-B744-DBFF2ED8884B}"/>
                </c:ext>
              </c:extLst>
            </c:dLbl>
            <c:dLbl>
              <c:idx val="270"/>
              <c:tx>
                <c:strRef>
                  <c:f>[1]Prices!$H$273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{FE800951-EFC7-48A8-B51B-2009665A0161}</c15:txfldGUID>
                      <c15:f>[1]Prices!$H$273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A-4E07-4AED-B744-DBFF2ED8884B}"/>
                </c:ext>
              </c:extLst>
            </c:dLbl>
            <c:dLbl>
              <c:idx val="271"/>
              <c:tx>
                <c:strRef>
                  <c:f>[1]Prices!$H$274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{5EE4915B-0377-4A24-94BD-F82E36C37897}</c15:txfldGUID>
                      <c15:f>[1]Prices!$H$274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B-4E07-4AED-B744-DBFF2ED8884B}"/>
                </c:ext>
              </c:extLst>
            </c:dLbl>
            <c:dLbl>
              <c:idx val="272"/>
              <c:tx>
                <c:strRef>
                  <c:f>[1]Prices!$H$275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{14019828-EAB8-4266-9E2C-30AABC962876}</c15:txfldGUID>
                      <c15:f>[1]Prices!$H$275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C-4E07-4AED-B744-DBFF2ED8884B}"/>
                </c:ext>
              </c:extLst>
            </c:dLbl>
            <c:dLbl>
              <c:idx val="273"/>
              <c:tx>
                <c:strRef>
                  <c:f>[1]Prices!$H$276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{EB134502-BEC2-4818-B8C3-A3A68F5278AE}</c15:txfldGUID>
                      <c15:f>[1]Prices!$H$276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D-4E07-4AED-B744-DBFF2ED8884B}"/>
                </c:ext>
              </c:extLst>
            </c:dLbl>
            <c:dLbl>
              <c:idx val="274"/>
              <c:tx>
                <c:strRef>
                  <c:f>[1]Prices!$H$277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{36F7475C-2271-4C2F-875B-CD60AD7ED347}</c15:txfldGUID>
                      <c15:f>[1]Prices!$H$277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E-4E07-4AED-B744-DBFF2ED8884B}"/>
                </c:ext>
              </c:extLst>
            </c:dLbl>
            <c:dLbl>
              <c:idx val="275"/>
              <c:tx>
                <c:strRef>
                  <c:f>[1]Prices!$H$278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{0273F071-82A1-4A4E-8E0B-4FC99AFC61E3}</c15:txfldGUID>
                      <c15:f>[1]Prices!$H$278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F-4E07-4AED-B744-DBFF2ED8884B}"/>
                </c:ext>
              </c:extLst>
            </c:dLbl>
            <c:dLbl>
              <c:idx val="276"/>
              <c:tx>
                <c:strRef>
                  <c:f>[1]Prices!$H$279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{772819FA-1185-4F56-9FA5-B3B39E6AE71C}</c15:txfldGUID>
                      <c15:f>[1]Prices!$H$279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0-4E07-4AED-B744-DBFF2ED8884B}"/>
                </c:ext>
              </c:extLst>
            </c:dLbl>
            <c:dLbl>
              <c:idx val="277"/>
              <c:tx>
                <c:strRef>
                  <c:f>[1]Prices!$H$280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{FB0A5897-FC58-4734-8683-6A7062E7E62F}</c15:txfldGUID>
                      <c15:f>[1]Prices!$H$280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1-4E07-4AED-B744-DBFF2ED8884B}"/>
                </c:ext>
              </c:extLst>
            </c:dLbl>
            <c:dLbl>
              <c:idx val="278"/>
              <c:tx>
                <c:strRef>
                  <c:f>[1]Prices!$H$281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{75D9C3BF-D0F1-48C5-8999-E5E2EAF4515D}</c15:txfldGUID>
                      <c15:f>[1]Prices!$H$281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2-4E07-4AED-B744-DBFF2ED8884B}"/>
                </c:ext>
              </c:extLst>
            </c:dLbl>
            <c:dLbl>
              <c:idx val="279"/>
              <c:tx>
                <c:strRef>
                  <c:f>[1]Prices!$H$282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{3602E765-FE46-407C-AA4C-8B56E639C7BB}</c15:txfldGUID>
                      <c15:f>[1]Prices!$H$282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3-4E07-4AED-B744-DBFF2ED8884B}"/>
                </c:ext>
              </c:extLst>
            </c:dLbl>
            <c:dLbl>
              <c:idx val="280"/>
              <c:tx>
                <c:strRef>
                  <c:f>[1]Prices!$H$283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{3604968E-1697-4456-A092-6CB5A756703B}</c15:txfldGUID>
                      <c15:f>[1]Prices!$H$283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4-4E07-4AED-B744-DBFF2ED8884B}"/>
                </c:ext>
              </c:extLst>
            </c:dLbl>
            <c:dLbl>
              <c:idx val="281"/>
              <c:tx>
                <c:strRef>
                  <c:f>[1]Prices!$H$284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{34361F2A-93EC-408B-BD35-0CFDDA71A715}</c15:txfldGUID>
                      <c15:f>[1]Prices!$H$284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5-4E07-4AED-B744-DBFF2ED8884B}"/>
                </c:ext>
              </c:extLst>
            </c:dLbl>
            <c:dLbl>
              <c:idx val="282"/>
              <c:tx>
                <c:strRef>
                  <c:f>[1]Prices!$H$285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{B214FB08-AD04-49C0-BDB1-C3F918CDD343}</c15:txfldGUID>
                      <c15:f>[1]Prices!$H$285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6-4E07-4AED-B744-DBFF2ED8884B}"/>
                </c:ext>
              </c:extLst>
            </c:dLbl>
            <c:dLbl>
              <c:idx val="283"/>
              <c:tx>
                <c:strRef>
                  <c:f>[1]Prices!$H$286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{8706E82A-5DA4-419C-A197-44EC48F9C66E}</c15:txfldGUID>
                      <c15:f>[1]Prices!$H$286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7-4E07-4AED-B744-DBFF2ED8884B}"/>
                </c:ext>
              </c:extLst>
            </c:dLbl>
            <c:dLbl>
              <c:idx val="284"/>
              <c:tx>
                <c:strRef>
                  <c:f>[1]Prices!$H$287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{81CB016C-CF03-4BBE-91A5-231A657C6227}</c15:txfldGUID>
                      <c15:f>[1]Prices!$H$287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8-4E07-4AED-B744-DBFF2ED8884B}"/>
                </c:ext>
              </c:extLst>
            </c:dLbl>
            <c:dLbl>
              <c:idx val="285"/>
              <c:tx>
                <c:strRef>
                  <c:f>[1]Prices!$H$288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{C2E38A5A-AD99-4171-B5AE-4307A703FCD4}</c15:txfldGUID>
                      <c15:f>[1]Prices!$H$288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9-4E07-4AED-B744-DBFF2ED8884B}"/>
                </c:ext>
              </c:extLst>
            </c:dLbl>
            <c:dLbl>
              <c:idx val="286"/>
              <c:tx>
                <c:strRef>
                  <c:f>[1]Prices!$H$289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{C367A786-3438-4A2E-A0DA-881E27A0B60D}</c15:txfldGUID>
                      <c15:f>[1]Prices!$H$289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A-4E07-4AED-B744-DBFF2ED8884B}"/>
                </c:ext>
              </c:extLst>
            </c:dLbl>
            <c:dLbl>
              <c:idx val="287"/>
              <c:tx>
                <c:strRef>
                  <c:f>[1]Prices!$H$290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{5F70AA78-2396-45C9-98F7-253EA96F5D1D}</c15:txfldGUID>
                      <c15:f>[1]Prices!$H$290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B-4E07-4AED-B744-DBFF2ED8884B}"/>
                </c:ext>
              </c:extLst>
            </c:dLbl>
            <c:dLbl>
              <c:idx val="288"/>
              <c:tx>
                <c:strRef>
                  <c:f>[1]Prices!$H$291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{DBA63F57-45A7-4803-A8D8-9A4E42D00BBB}</c15:txfldGUID>
                      <c15:f>[1]Prices!$H$291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C-4E07-4AED-B744-DBFF2ED8884B}"/>
                </c:ext>
              </c:extLst>
            </c:dLbl>
            <c:dLbl>
              <c:idx val="289"/>
              <c:tx>
                <c:strRef>
                  <c:f>[1]Prices!$H$292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{517A58B5-086E-422F-8939-472AD940038C}</c15:txfldGUID>
                      <c15:f>[1]Prices!$H$292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D-4E07-4AED-B744-DBFF2ED8884B}"/>
                </c:ext>
              </c:extLst>
            </c:dLbl>
            <c:dLbl>
              <c:idx val="290"/>
              <c:tx>
                <c:strRef>
                  <c:f>[1]Prices!$H$293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{E188D50D-CCFD-4CCE-B857-74E28502F126}</c15:txfldGUID>
                      <c15:f>[1]Prices!$H$293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E-4E07-4AED-B744-DBFF2ED8884B}"/>
                </c:ext>
              </c:extLst>
            </c:dLbl>
            <c:dLbl>
              <c:idx val="291"/>
              <c:tx>
                <c:strRef>
                  <c:f>[1]Prices!$H$294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{FAC1F0D9-7E21-4542-AF22-99D4C391844B}</c15:txfldGUID>
                      <c15:f>[1]Prices!$H$294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F-4E07-4AED-B744-DBFF2ED8884B}"/>
                </c:ext>
              </c:extLst>
            </c:dLbl>
            <c:dLbl>
              <c:idx val="292"/>
              <c:tx>
                <c:strRef>
                  <c:f>[1]Prices!$H$295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{588369A7-DB86-4105-8272-83C2A4BAAE91}</c15:txfldGUID>
                      <c15:f>[1]Prices!$H$295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0-4E07-4AED-B744-DBFF2ED8884B}"/>
                </c:ext>
              </c:extLst>
            </c:dLbl>
            <c:dLbl>
              <c:idx val="293"/>
              <c:tx>
                <c:strRef>
                  <c:f>[1]Prices!$H$296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{5707247B-9D90-4749-BE56-AE33C57BD749}</c15:txfldGUID>
                      <c15:f>[1]Prices!$H$296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1-4E07-4AED-B744-DBFF2ED8884B}"/>
                </c:ext>
              </c:extLst>
            </c:dLbl>
            <c:dLbl>
              <c:idx val="294"/>
              <c:tx>
                <c:strRef>
                  <c:f>[1]Prices!$H$297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{CA111828-23E7-47C1-9510-D625CA258AD3}</c15:txfldGUID>
                      <c15:f>[1]Prices!$H$297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2-4E07-4AED-B744-DBFF2ED8884B}"/>
                </c:ext>
              </c:extLst>
            </c:dLbl>
            <c:dLbl>
              <c:idx val="295"/>
              <c:tx>
                <c:strRef>
                  <c:f>[1]Prices!$H$298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{137C3E50-3930-4954-A4D2-1F5F531A22ED}</c15:txfldGUID>
                      <c15:f>[1]Prices!$H$298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3-4E07-4AED-B744-DBFF2ED8884B}"/>
                </c:ext>
              </c:extLst>
            </c:dLbl>
            <c:dLbl>
              <c:idx val="296"/>
              <c:tx>
                <c:strRef>
                  <c:f>[1]Prices!$H$299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{B315D540-4E74-4248-885E-E4269F8DECBF}</c15:txfldGUID>
                      <c15:f>[1]Prices!$H$299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4-4E07-4AED-B744-DBFF2ED8884B}"/>
                </c:ext>
              </c:extLst>
            </c:dLbl>
            <c:dLbl>
              <c:idx val="297"/>
              <c:tx>
                <c:strRef>
                  <c:f>[1]Prices!$H$300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{904D07B1-392A-4058-98A3-08380CCF0B84}</c15:txfldGUID>
                      <c15:f>[1]Prices!$H$300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5-4E07-4AED-B744-DBFF2ED8884B}"/>
                </c:ext>
              </c:extLst>
            </c:dLbl>
            <c:dLbl>
              <c:idx val="298"/>
              <c:tx>
                <c:strRef>
                  <c:f>[1]Prices!$H$301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{28041F2C-BE25-494A-9C64-8C7D8228550F}</c15:txfldGUID>
                      <c15:f>[1]Prices!$H$301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6-4E07-4AED-B744-DBFF2ED8884B}"/>
                </c:ext>
              </c:extLst>
            </c:dLbl>
            <c:dLbl>
              <c:idx val="299"/>
              <c:tx>
                <c:strRef>
                  <c:f>[1]Prices!$H$302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{995F9559-579A-43C6-8815-0E0400EEAD00}</c15:txfldGUID>
                      <c15:f>[1]Prices!$H$302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7-4E07-4AED-B744-DBFF2ED8884B}"/>
                </c:ext>
              </c:extLst>
            </c:dLbl>
            <c:dLbl>
              <c:idx val="300"/>
              <c:tx>
                <c:strRef>
                  <c:f>[1]Prices!$H$303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{B3878B39-5A80-4B82-B478-DDECDD3F9801}</c15:txfldGUID>
                      <c15:f>[1]Prices!$H$303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8-4E07-4AED-B744-DBFF2ED8884B}"/>
                </c:ext>
              </c:extLst>
            </c:dLbl>
            <c:dLbl>
              <c:idx val="301"/>
              <c:tx>
                <c:strRef>
                  <c:f>[1]Prices!$H$304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{2A37465F-F474-43E3-91A0-01EC12E13353}</c15:txfldGUID>
                      <c15:f>[1]Prices!$H$304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9-4E07-4AED-B744-DBFF2ED8884B}"/>
                </c:ext>
              </c:extLst>
            </c:dLbl>
            <c:dLbl>
              <c:idx val="302"/>
              <c:tx>
                <c:strRef>
                  <c:f>[1]Prices!$H$305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{692E9D6F-6D1C-4DFA-9002-A138FC419C61}</c15:txfldGUID>
                      <c15:f>[1]Prices!$H$305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A-4E07-4AED-B744-DBFF2ED8884B}"/>
                </c:ext>
              </c:extLst>
            </c:dLbl>
            <c:dLbl>
              <c:idx val="303"/>
              <c:tx>
                <c:strRef>
                  <c:f>[1]Prices!$H$306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{7BBFDE00-4695-4647-A514-36AAE49C1667}</c15:txfldGUID>
                      <c15:f>[1]Prices!$H$306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B-4E07-4AED-B744-DBFF2ED8884B}"/>
                </c:ext>
              </c:extLst>
            </c:dLbl>
            <c:dLbl>
              <c:idx val="304"/>
              <c:tx>
                <c:strRef>
                  <c:f>[1]Prices!$H$307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{A6B1F75B-FC1A-4ED9-A63A-D4482C37D073}</c15:txfldGUID>
                      <c15:f>[1]Prices!$H$307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C-4E07-4AED-B744-DBFF2ED8884B}"/>
                </c:ext>
              </c:extLst>
            </c:dLbl>
            <c:dLbl>
              <c:idx val="305"/>
              <c:tx>
                <c:strRef>
                  <c:f>[1]Prices!$H$308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{B4869488-5A44-4423-97E7-D7151D4ED18C}</c15:txfldGUID>
                      <c15:f>[1]Prices!$H$308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D-4E07-4AED-B744-DBFF2ED8884B}"/>
                </c:ext>
              </c:extLst>
            </c:dLbl>
            <c:dLbl>
              <c:idx val="306"/>
              <c:tx>
                <c:strRef>
                  <c:f>[1]Prices!$H$309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{8EF89A17-E06E-442A-B454-1B31F897966E}</c15:txfldGUID>
                      <c15:f>[1]Prices!$H$309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E-4E07-4AED-B744-DBFF2ED8884B}"/>
                </c:ext>
              </c:extLst>
            </c:dLbl>
            <c:dLbl>
              <c:idx val="307"/>
              <c:tx>
                <c:strRef>
                  <c:f>[1]Prices!$H$310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{5B64DF98-F8CC-4051-8E77-7B01C8908B62}</c15:txfldGUID>
                      <c15:f>[1]Prices!$H$310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F-4E07-4AED-B744-DBFF2ED8884B}"/>
                </c:ext>
              </c:extLst>
            </c:dLbl>
            <c:dLbl>
              <c:idx val="308"/>
              <c:tx>
                <c:strRef>
                  <c:f>[1]Prices!$H$311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{4B01F674-1CB9-4721-81BC-FBB0455BA552}</c15:txfldGUID>
                      <c15:f>[1]Prices!$H$311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0-4E07-4AED-B744-DBFF2ED8884B}"/>
                </c:ext>
              </c:extLst>
            </c:dLbl>
            <c:dLbl>
              <c:idx val="309"/>
              <c:tx>
                <c:strRef>
                  <c:f>[1]Prices!$H$312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{5934E116-3940-4B5B-97AD-4D256BB3B970}</c15:txfldGUID>
                      <c15:f>[1]Prices!$H$312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1-4E07-4AED-B744-DBFF2ED8884B}"/>
                </c:ext>
              </c:extLst>
            </c:dLbl>
            <c:dLbl>
              <c:idx val="310"/>
              <c:tx>
                <c:strRef>
                  <c:f>[1]Prices!$H$313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{6CC06BBF-4165-41F7-ABBB-DD966E0095AC}</c15:txfldGUID>
                      <c15:f>[1]Prices!$H$313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2-4E07-4AED-B744-DBFF2ED8884B}"/>
                </c:ext>
              </c:extLst>
            </c:dLbl>
            <c:dLbl>
              <c:idx val="311"/>
              <c:tx>
                <c:strRef>
                  <c:f>[1]Prices!$H$314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{800A4772-6864-419A-AF83-5C866F0257FD}</c15:txfldGUID>
                      <c15:f>[1]Prices!$H$314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3-4E07-4AED-B744-DBFF2ED8884B}"/>
                </c:ext>
              </c:extLst>
            </c:dLbl>
            <c:dLbl>
              <c:idx val="312"/>
              <c:tx>
                <c:strRef>
                  <c:f>[1]Prices!$H$315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{9112D9C3-099E-4F89-AD07-B3E8539038EE}</c15:txfldGUID>
                      <c15:f>[1]Prices!$H$315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4-4E07-4AED-B744-DBFF2ED8884B}"/>
                </c:ext>
              </c:extLst>
            </c:dLbl>
            <c:dLbl>
              <c:idx val="313"/>
              <c:tx>
                <c:strRef>
                  <c:f>[1]Prices!$H$316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{66101073-5507-4499-8184-1B78DF0AEFEA}</c15:txfldGUID>
                      <c15:f>[1]Prices!$H$316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5-4E07-4AED-B744-DBFF2ED8884B}"/>
                </c:ext>
              </c:extLst>
            </c:dLbl>
            <c:dLbl>
              <c:idx val="314"/>
              <c:tx>
                <c:strRef>
                  <c:f>[1]Prices!$H$317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{F63BE818-B43F-4129-8C0E-C50A811907BA}</c15:txfldGUID>
                      <c15:f>[1]Prices!$H$317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6-4E07-4AED-B744-DBFF2ED8884B}"/>
                </c:ext>
              </c:extLst>
            </c:dLbl>
            <c:dLbl>
              <c:idx val="315"/>
              <c:tx>
                <c:strRef>
                  <c:f>[1]Prices!$H$318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{265FFB96-51FA-4FC8-BF60-95C45F88CA6C}</c15:txfldGUID>
                      <c15:f>[1]Prices!$H$318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7-4E07-4AED-B744-DBFF2ED8884B}"/>
                </c:ext>
              </c:extLst>
            </c:dLbl>
            <c:dLbl>
              <c:idx val="316"/>
              <c:tx>
                <c:strRef>
                  <c:f>[1]Prices!$H$319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{8E088995-3780-40ED-825F-9BBD94C20F37}</c15:txfldGUID>
                      <c15:f>[1]Prices!$H$319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8-4E07-4AED-B744-DBFF2ED8884B}"/>
                </c:ext>
              </c:extLst>
            </c:dLbl>
            <c:dLbl>
              <c:idx val="317"/>
              <c:tx>
                <c:strRef>
                  <c:f>[1]Prices!$H$320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{21E40769-3CBF-4F8B-BF79-88CC439BDB06}</c15:txfldGUID>
                      <c15:f>[1]Prices!$H$320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9-4E07-4AED-B744-DBFF2ED8884B}"/>
                </c:ext>
              </c:extLst>
            </c:dLbl>
            <c:dLbl>
              <c:idx val="318"/>
              <c:tx>
                <c:strRef>
                  <c:f>[1]Prices!$H$321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{D8E192EF-3520-420A-8F91-F31EA51E74BA}</c15:txfldGUID>
                      <c15:f>[1]Prices!$H$321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A-4E07-4AED-B744-DBFF2ED8884B}"/>
                </c:ext>
              </c:extLst>
            </c:dLbl>
            <c:dLbl>
              <c:idx val="319"/>
              <c:tx>
                <c:strRef>
                  <c:f>[1]Prices!$H$322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{C50005D6-E490-4324-B2BC-262CBDF9E746}</c15:txfldGUID>
                      <c15:f>[1]Prices!$H$322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B-4E07-4AED-B744-DBFF2ED8884B}"/>
                </c:ext>
              </c:extLst>
            </c:dLbl>
            <c:dLbl>
              <c:idx val="320"/>
              <c:tx>
                <c:strRef>
                  <c:f>[1]Prices!$H$323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{C45E1DB5-D956-44A5-959F-81116F9218E0}</c15:txfldGUID>
                      <c15:f>[1]Prices!$H$323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C-4E07-4AED-B744-DBFF2ED8884B}"/>
                </c:ext>
              </c:extLst>
            </c:dLbl>
            <c:dLbl>
              <c:idx val="321"/>
              <c:tx>
                <c:strRef>
                  <c:f>[1]Prices!$H$324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{74286B7B-A2A2-4648-875F-8140E89F35C2}</c15:txfldGUID>
                      <c15:f>[1]Prices!$H$324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D-4E07-4AED-B744-DBFF2ED8884B}"/>
                </c:ext>
              </c:extLst>
            </c:dLbl>
            <c:dLbl>
              <c:idx val="322"/>
              <c:tx>
                <c:strRef>
                  <c:f>[1]Prices!$H$325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{EB5BA9DE-37A2-4BE3-9705-7036A22A2C3D}</c15:txfldGUID>
                      <c15:f>[1]Prices!$H$325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E-4E07-4AED-B744-DBFF2ED8884B}"/>
                </c:ext>
              </c:extLst>
            </c:dLbl>
            <c:dLbl>
              <c:idx val="323"/>
              <c:tx>
                <c:strRef>
                  <c:f>[1]Prices!$H$326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{37C23D3F-D906-421B-8688-AF51591919A4}</c15:txfldGUID>
                      <c15:f>[1]Prices!$H$326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F-4E07-4AED-B744-DBFF2ED8884B}"/>
                </c:ext>
              </c:extLst>
            </c:dLbl>
            <c:dLbl>
              <c:idx val="324"/>
              <c:tx>
                <c:strRef>
                  <c:f>[1]Prices!$H$327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{5B0D39B6-6A29-41D9-9244-84979A98D673}</c15:txfldGUID>
                      <c15:f>[1]Prices!$H$327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0-4E07-4AED-B744-DBFF2ED8884B}"/>
                </c:ext>
              </c:extLst>
            </c:dLbl>
            <c:dLbl>
              <c:idx val="325"/>
              <c:tx>
                <c:strRef>
                  <c:f>[1]Prices!$H$328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{3735F8E5-7586-48E1-8C4A-527F4CAF7A52}</c15:txfldGUID>
                      <c15:f>[1]Prices!$H$328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1-4E07-4AED-B744-DBFF2ED8884B}"/>
                </c:ext>
              </c:extLst>
            </c:dLbl>
            <c:dLbl>
              <c:idx val="326"/>
              <c:tx>
                <c:strRef>
                  <c:f>[1]Prices!$H$329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{1A63543B-6262-442A-8F27-F702BCB73A7A}</c15:txfldGUID>
                      <c15:f>[1]Prices!$H$329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2-4E07-4AED-B744-DBFF2ED8884B}"/>
                </c:ext>
              </c:extLst>
            </c:dLbl>
            <c:dLbl>
              <c:idx val="327"/>
              <c:tx>
                <c:strRef>
                  <c:f>[1]Prices!$H$330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{FBF7B871-9EE6-4F84-95CD-F3A57F4CBAB6}</c15:txfldGUID>
                      <c15:f>[1]Prices!$H$330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3-4E07-4AED-B744-DBFF2ED8884B}"/>
                </c:ext>
              </c:extLst>
            </c:dLbl>
            <c:dLbl>
              <c:idx val="328"/>
              <c:tx>
                <c:strRef>
                  <c:f>[1]Prices!$H$331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{7A5B42EE-621E-47A2-AF41-DD5109F37EF9}</c15:txfldGUID>
                      <c15:f>[1]Prices!$H$331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4-4E07-4AED-B744-DBFF2ED8884B}"/>
                </c:ext>
              </c:extLst>
            </c:dLbl>
            <c:dLbl>
              <c:idx val="329"/>
              <c:tx>
                <c:strRef>
                  <c:f>[1]Prices!$H$332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{A158F4CA-D789-4C5D-8234-F938F84F1157}</c15:txfldGUID>
                      <c15:f>[1]Prices!$H$332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5-4E07-4AED-B744-DBFF2ED8884B}"/>
                </c:ext>
              </c:extLst>
            </c:dLbl>
            <c:dLbl>
              <c:idx val="330"/>
              <c:tx>
                <c:strRef>
                  <c:f>[1]Prices!$H$333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{08696AAD-DF3C-415B-A854-F1C489613162}</c15:txfldGUID>
                      <c15:f>[1]Prices!$H$333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6-4E07-4AED-B744-DBFF2ED8884B}"/>
                </c:ext>
              </c:extLst>
            </c:dLbl>
            <c:dLbl>
              <c:idx val="331"/>
              <c:tx>
                <c:strRef>
                  <c:f>[1]Prices!$H$334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{7ABFE726-810E-4A06-B0EC-DC49C15A358A}</c15:txfldGUID>
                      <c15:f>[1]Prices!$H$334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7-4E07-4AED-B744-DBFF2ED8884B}"/>
                </c:ext>
              </c:extLst>
            </c:dLbl>
            <c:dLbl>
              <c:idx val="332"/>
              <c:tx>
                <c:strRef>
                  <c:f>[1]Prices!$H$335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{BED7D639-2ABC-45BC-842A-712656CEF54A}</c15:txfldGUID>
                      <c15:f>[1]Prices!$H$335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8-4E07-4AED-B744-DBFF2ED8884B}"/>
                </c:ext>
              </c:extLst>
            </c:dLbl>
            <c:dLbl>
              <c:idx val="333"/>
              <c:tx>
                <c:strRef>
                  <c:f>[1]Prices!$H$336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{A9FB0689-3DDB-4385-B480-A2EB38CB1EFC}</c15:txfldGUID>
                      <c15:f>[1]Prices!$H$336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9-4E07-4AED-B744-DBFF2ED8884B}"/>
                </c:ext>
              </c:extLst>
            </c:dLbl>
            <c:dLbl>
              <c:idx val="334"/>
              <c:tx>
                <c:strRef>
                  <c:f>[1]Prices!$H$337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{D810CE5A-25D9-4326-9C83-43BCED432DEB}</c15:txfldGUID>
                      <c15:f>[1]Prices!$H$337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A-4E07-4AED-B744-DBFF2ED8884B}"/>
                </c:ext>
              </c:extLst>
            </c:dLbl>
            <c:dLbl>
              <c:idx val="335"/>
              <c:tx>
                <c:strRef>
                  <c:f>[1]Prices!$H$338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{F386B6F4-11FB-4E44-BCC8-0773B1930744}</c15:txfldGUID>
                      <c15:f>[1]Prices!$H$338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B-4E07-4AED-B744-DBFF2ED8884B}"/>
                </c:ext>
              </c:extLst>
            </c:dLbl>
            <c:dLbl>
              <c:idx val="336"/>
              <c:tx>
                <c:strRef>
                  <c:f>[1]Prices!$H$339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{E84A5997-0A6E-4D99-9E7A-F34254BF13AC}</c15:txfldGUID>
                      <c15:f>[1]Prices!$H$339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C-4E07-4AED-B744-DBFF2ED8884B}"/>
                </c:ext>
              </c:extLst>
            </c:dLbl>
            <c:dLbl>
              <c:idx val="337"/>
              <c:tx>
                <c:strRef>
                  <c:f>[1]Prices!$H$340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{256CE899-B70E-416C-981E-030CF3D48297}</c15:txfldGUID>
                      <c15:f>[1]Prices!$H$340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D-4E07-4AED-B744-DBFF2ED8884B}"/>
                </c:ext>
              </c:extLst>
            </c:dLbl>
            <c:dLbl>
              <c:idx val="338"/>
              <c:tx>
                <c:strRef>
                  <c:f>[1]Prices!$H$341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{FC1BB1AD-6030-43A9-8ED5-24DEF71993FE}</c15:txfldGUID>
                      <c15:f>[1]Prices!$H$341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E-4E07-4AED-B744-DBFF2ED8884B}"/>
                </c:ext>
              </c:extLst>
            </c:dLbl>
            <c:dLbl>
              <c:idx val="339"/>
              <c:tx>
                <c:strRef>
                  <c:f>[1]Prices!$H$342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{B45E5D45-A27F-412D-B8F6-C3A76819A376}</c15:txfldGUID>
                      <c15:f>[1]Prices!$H$342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F-4E07-4AED-B744-DBFF2ED8884B}"/>
                </c:ext>
              </c:extLst>
            </c:dLbl>
            <c:dLbl>
              <c:idx val="340"/>
              <c:tx>
                <c:strRef>
                  <c:f>[1]Prices!$H$343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{312F505A-28BB-4608-9CB3-80E3106B24C5}</c15:txfldGUID>
                      <c15:f>[1]Prices!$H$343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0-4E07-4AED-B744-DBFF2ED8884B}"/>
                </c:ext>
              </c:extLst>
            </c:dLbl>
            <c:dLbl>
              <c:idx val="341"/>
              <c:tx>
                <c:strRef>
                  <c:f>[1]Prices!$H$344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{B9295D6B-CC30-4DE1-B192-48CF719451C9}</c15:txfldGUID>
                      <c15:f>[1]Prices!$H$344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1-4E07-4AED-B744-DBFF2ED8884B}"/>
                </c:ext>
              </c:extLst>
            </c:dLbl>
            <c:dLbl>
              <c:idx val="342"/>
              <c:tx>
                <c:strRef>
                  <c:f>[1]Prices!$H$345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{0A115B8F-16BA-474A-A9C4-024301A0DDA2}</c15:txfldGUID>
                      <c15:f>[1]Prices!$H$345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2-4E07-4AED-B744-DBFF2ED8884B}"/>
                </c:ext>
              </c:extLst>
            </c:dLbl>
            <c:dLbl>
              <c:idx val="343"/>
              <c:tx>
                <c:strRef>
                  <c:f>[1]Prices!$H$346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{63F7460F-9399-4CCF-B8B7-4316C70EA84C}</c15:txfldGUID>
                      <c15:f>[1]Prices!$H$346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3-4E07-4AED-B744-DBFF2ED8884B}"/>
                </c:ext>
              </c:extLst>
            </c:dLbl>
            <c:dLbl>
              <c:idx val="344"/>
              <c:tx>
                <c:strRef>
                  <c:f>[1]Prices!$H$347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{44D518E9-B554-4E5A-B5C0-91C5C97F2749}</c15:txfldGUID>
                      <c15:f>[1]Prices!$H$347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4-4E07-4AED-B744-DBFF2ED8884B}"/>
                </c:ext>
              </c:extLst>
            </c:dLbl>
            <c:dLbl>
              <c:idx val="345"/>
              <c:tx>
                <c:strRef>
                  <c:f>[1]Prices!$H$348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{38686E65-0BF0-4CB2-A04A-30FB78C9CBCC}</c15:txfldGUID>
                      <c15:f>[1]Prices!$H$348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5-4E07-4AED-B744-DBFF2ED8884B}"/>
                </c:ext>
              </c:extLst>
            </c:dLbl>
            <c:dLbl>
              <c:idx val="346"/>
              <c:tx>
                <c:strRef>
                  <c:f>[1]Prices!$H$349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{D38E0B77-D53B-417D-BA06-322116862027}</c15:txfldGUID>
                      <c15:f>[1]Prices!$H$349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6-4E07-4AED-B744-DBFF2ED8884B}"/>
                </c:ext>
              </c:extLst>
            </c:dLbl>
            <c:dLbl>
              <c:idx val="347"/>
              <c:tx>
                <c:strRef>
                  <c:f>[1]Prices!$H$350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{38872BC9-5461-4F0A-9F8E-DE25061132E2}</c15:txfldGUID>
                      <c15:f>[1]Prices!$H$350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7-4E07-4AED-B744-DBFF2ED8884B}"/>
                </c:ext>
              </c:extLst>
            </c:dLbl>
            <c:dLbl>
              <c:idx val="348"/>
              <c:tx>
                <c:strRef>
                  <c:f>[1]Prices!$H$351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{B5DCFAA1-3AE6-44C5-B240-C1BF9A88B5E2}</c15:txfldGUID>
                      <c15:f>[1]Prices!$H$351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8-4E07-4AED-B744-DBFF2ED8884B}"/>
                </c:ext>
              </c:extLst>
            </c:dLbl>
            <c:dLbl>
              <c:idx val="349"/>
              <c:tx>
                <c:strRef>
                  <c:f>[1]Prices!$H$352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{BACB844B-4FD1-4FAF-8FEE-361AF3E2B2E7}</c15:txfldGUID>
                      <c15:f>[1]Prices!$H$352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9-4E07-4AED-B744-DBFF2ED8884B}"/>
                </c:ext>
              </c:extLst>
            </c:dLbl>
            <c:dLbl>
              <c:idx val="350"/>
              <c:tx>
                <c:strRef>
                  <c:f>[1]Prices!$H$353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{BC0F1E17-2502-4097-B796-1842BECC3D52}</c15:txfldGUID>
                      <c15:f>[1]Prices!$H$353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A-4E07-4AED-B744-DBFF2ED8884B}"/>
                </c:ext>
              </c:extLst>
            </c:dLbl>
            <c:dLbl>
              <c:idx val="351"/>
              <c:tx>
                <c:strRef>
                  <c:f>[1]Prices!$H$354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{1D465FCE-0DE5-4B63-9F49-2D41B60063FE}</c15:txfldGUID>
                      <c15:f>[1]Prices!$H$354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B-4E07-4AED-B744-DBFF2ED8884B}"/>
                </c:ext>
              </c:extLst>
            </c:dLbl>
            <c:dLbl>
              <c:idx val="352"/>
              <c:tx>
                <c:strRef>
                  <c:f>[1]Prices!$H$355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{5FF1E7BD-744D-4751-8152-410D6A69CF33}</c15:txfldGUID>
                      <c15:f>[1]Prices!$H$355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C-4E07-4AED-B744-DBFF2ED8884B}"/>
                </c:ext>
              </c:extLst>
            </c:dLbl>
            <c:dLbl>
              <c:idx val="353"/>
              <c:tx>
                <c:strRef>
                  <c:f>[1]Prices!$H$356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{1ECCF185-B45A-4073-B369-0E489790C0E3}</c15:txfldGUID>
                      <c15:f>[1]Prices!$H$356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D-4E07-4AED-B744-DBFF2ED8884B}"/>
                </c:ext>
              </c:extLst>
            </c:dLbl>
            <c:dLbl>
              <c:idx val="354"/>
              <c:tx>
                <c:strRef>
                  <c:f>[1]Prices!$H$357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{363FEC3A-C0D6-4AA1-9D8E-21A02EE6D6A0}</c15:txfldGUID>
                      <c15:f>[1]Prices!$H$357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E-4E07-4AED-B744-DBFF2ED8884B}"/>
                </c:ext>
              </c:extLst>
            </c:dLbl>
            <c:dLbl>
              <c:idx val="355"/>
              <c:tx>
                <c:strRef>
                  <c:f>[1]Prices!$H$358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{50AF8705-00A4-45D8-BBC5-625064F84AB7}</c15:txfldGUID>
                      <c15:f>[1]Prices!$H$358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F-4E07-4AED-B744-DBFF2ED8884B}"/>
                </c:ext>
              </c:extLst>
            </c:dLbl>
            <c:dLbl>
              <c:idx val="356"/>
              <c:tx>
                <c:strRef>
                  <c:f>[1]Prices!$H$359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{800406FE-011B-4452-B334-BC8FF21FBA52}</c15:txfldGUID>
                      <c15:f>[1]Prices!$H$359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0-4E07-4AED-B744-DBFF2ED8884B}"/>
                </c:ext>
              </c:extLst>
            </c:dLbl>
            <c:dLbl>
              <c:idx val="357"/>
              <c:tx>
                <c:strRef>
                  <c:f>[1]Prices!$H$360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{184F0CBC-2E47-4D3D-A8EB-77F5B4DF7DDB}</c15:txfldGUID>
                      <c15:f>[1]Prices!$H$360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1-4E07-4AED-B744-DBFF2ED8884B}"/>
                </c:ext>
              </c:extLst>
            </c:dLbl>
            <c:dLbl>
              <c:idx val="358"/>
              <c:tx>
                <c:strRef>
                  <c:f>[1]Prices!$H$361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{3126B42A-C84D-4F9F-BF34-69A4329A06E4}</c15:txfldGUID>
                      <c15:f>[1]Prices!$H$361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2-4E07-4AED-B744-DBFF2ED8884B}"/>
                </c:ext>
              </c:extLst>
            </c:dLbl>
            <c:dLbl>
              <c:idx val="359"/>
              <c:tx>
                <c:strRef>
                  <c:f>[1]Prices!$H$362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{1820EE28-4C8F-415F-922B-BBF23FC54A6A}</c15:txfldGUID>
                      <c15:f>[1]Prices!$H$362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3-4E07-4AED-B744-DBFF2ED8884B}"/>
                </c:ext>
              </c:extLst>
            </c:dLbl>
            <c:dLbl>
              <c:idx val="360"/>
              <c:tx>
                <c:strRef>
                  <c:f>[1]Prices!$H$363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{FCF6E662-9499-43AE-83B3-E82B5A6BACF3}</c15:txfldGUID>
                      <c15:f>[1]Prices!$H$363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4-4E07-4AED-B744-DBFF2ED8884B}"/>
                </c:ext>
              </c:extLst>
            </c:dLbl>
            <c:dLbl>
              <c:idx val="361"/>
              <c:tx>
                <c:strRef>
                  <c:f>[1]Prices!$H$364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{BE2C07C6-992D-4726-89B0-43A487BB8ED7}</c15:txfldGUID>
                      <c15:f>[1]Prices!$H$364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5-4E07-4AED-B744-DBFF2ED8884B}"/>
                </c:ext>
              </c:extLst>
            </c:dLbl>
            <c:dLbl>
              <c:idx val="362"/>
              <c:tx>
                <c:strRef>
                  <c:f>[1]Prices!$H$365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{31A23089-8916-4090-A963-72AD2415795F}</c15:txfldGUID>
                      <c15:f>[1]Prices!$H$365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6-4E07-4AED-B744-DBFF2ED8884B}"/>
                </c:ext>
              </c:extLst>
            </c:dLbl>
            <c:dLbl>
              <c:idx val="363"/>
              <c:tx>
                <c:strRef>
                  <c:f>[1]Prices!$H$366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{91E7D231-EB12-4112-B0D1-25228AC39CDA}</c15:txfldGUID>
                      <c15:f>[1]Prices!$H$366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7-4E07-4AED-B744-DBFF2ED8884B}"/>
                </c:ext>
              </c:extLst>
            </c:dLbl>
            <c:dLbl>
              <c:idx val="364"/>
              <c:tx>
                <c:strRef>
                  <c:f>[1]Prices!$H$367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{C74BA552-5BCA-4BF9-B80C-4862FB3A3653}</c15:txfldGUID>
                      <c15:f>[1]Prices!$H$367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8-4E07-4AED-B744-DBFF2ED8884B}"/>
                </c:ext>
              </c:extLst>
            </c:dLbl>
            <c:dLbl>
              <c:idx val="365"/>
              <c:tx>
                <c:strRef>
                  <c:f>[1]Prices!$H$368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{AB30DC18-65BE-4356-B262-B43A295E66E8}</c15:txfldGUID>
                      <c15:f>[1]Prices!$H$368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9-4E07-4AED-B744-DBFF2ED8884B}"/>
                </c:ext>
              </c:extLst>
            </c:dLbl>
            <c:dLbl>
              <c:idx val="366"/>
              <c:tx>
                <c:strRef>
                  <c:f>[1]Prices!$H$369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{739EB65A-18ED-4776-B7DC-6DD2F8BEBA43}</c15:txfldGUID>
                      <c15:f>[1]Prices!$H$369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A-4E07-4AED-B744-DBFF2ED8884B}"/>
                </c:ext>
              </c:extLst>
            </c:dLbl>
            <c:dLbl>
              <c:idx val="367"/>
              <c:tx>
                <c:strRef>
                  <c:f>[1]Prices!$H$370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{6A5A7963-50B8-4976-AC9C-9B895C9A9569}</c15:txfldGUID>
                      <c15:f>[1]Prices!$H$370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B-4E07-4AED-B744-DBFF2ED8884B}"/>
                </c:ext>
              </c:extLst>
            </c:dLbl>
            <c:dLbl>
              <c:idx val="368"/>
              <c:tx>
                <c:strRef>
                  <c:f>[1]Prices!$H$371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{9CB6A42B-D6C1-42B0-908B-D62CC9997FB9}</c15:txfldGUID>
                      <c15:f>[1]Prices!$H$371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C-4E07-4AED-B744-DBFF2ED8884B}"/>
                </c:ext>
              </c:extLst>
            </c:dLbl>
            <c:dLbl>
              <c:idx val="369"/>
              <c:tx>
                <c:strRef>
                  <c:f>[1]Prices!$H$372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{649E449F-9EB5-4356-9E29-3045462ABA5B}</c15:txfldGUID>
                      <c15:f>[1]Prices!$H$372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D-4E07-4AED-B744-DBFF2ED8884B}"/>
                </c:ext>
              </c:extLst>
            </c:dLbl>
            <c:dLbl>
              <c:idx val="370"/>
              <c:tx>
                <c:strRef>
                  <c:f>[1]Prices!$H$373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{4FBCB170-0F1B-49B1-BF87-15DD7B5DD374}</c15:txfldGUID>
                      <c15:f>[1]Prices!$H$373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E-4E07-4AED-B744-DBFF2ED8884B}"/>
                </c:ext>
              </c:extLst>
            </c:dLbl>
            <c:dLbl>
              <c:idx val="371"/>
              <c:tx>
                <c:strRef>
                  <c:f>[1]Prices!$H$374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{AC2D265B-615A-475B-A162-5199182BD2D7}</c15:txfldGUID>
                      <c15:f>[1]Prices!$H$374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F-4E07-4AED-B744-DBFF2ED8884B}"/>
                </c:ext>
              </c:extLst>
            </c:dLbl>
            <c:dLbl>
              <c:idx val="372"/>
              <c:tx>
                <c:strRef>
                  <c:f>[1]Prices!$H$375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{CB7B1D36-0CD4-4EB2-AF10-5A3715389584}</c15:txfldGUID>
                      <c15:f>[1]Prices!$H$375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0-4E07-4AED-B744-DBFF2ED8884B}"/>
                </c:ext>
              </c:extLst>
            </c:dLbl>
            <c:dLbl>
              <c:idx val="373"/>
              <c:tx>
                <c:strRef>
                  <c:f>[1]Prices!$H$376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{70F07A0C-9C1C-4F80-A946-D2AE1920BEC5}</c15:txfldGUID>
                      <c15:f>[1]Prices!$H$376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1-4E07-4AED-B744-DBFF2ED8884B}"/>
                </c:ext>
              </c:extLst>
            </c:dLbl>
            <c:dLbl>
              <c:idx val="374"/>
              <c:tx>
                <c:strRef>
                  <c:f>[1]Prices!$H$377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{04702FF3-CF0A-463B-80D2-F483B1A84567}</c15:txfldGUID>
                      <c15:f>[1]Prices!$H$377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2-4E07-4AED-B744-DBFF2ED8884B}"/>
                </c:ext>
              </c:extLst>
            </c:dLbl>
            <c:dLbl>
              <c:idx val="375"/>
              <c:tx>
                <c:strRef>
                  <c:f>[1]Prices!$H$378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{7340C5B8-0E3A-4C87-9F77-5205BDA6161E}</c15:txfldGUID>
                      <c15:f>[1]Prices!$H$378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3-4E07-4AED-B744-DBFF2ED8884B}"/>
                </c:ext>
              </c:extLst>
            </c:dLbl>
            <c:dLbl>
              <c:idx val="376"/>
              <c:tx>
                <c:strRef>
                  <c:f>[1]Prices!$H$379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{28B232B9-D6CE-4D2B-828A-D85E58FC2A92}</c15:txfldGUID>
                      <c15:f>[1]Prices!$H$379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4-4E07-4AED-B744-DBFF2ED8884B}"/>
                </c:ext>
              </c:extLst>
            </c:dLbl>
            <c:dLbl>
              <c:idx val="377"/>
              <c:tx>
                <c:strRef>
                  <c:f>[1]Prices!$H$380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{A95646B6-C76B-47A7-AC56-123FE5C6F5BB}</c15:txfldGUID>
                      <c15:f>[1]Prices!$H$380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5-4E07-4AED-B744-DBFF2ED8884B}"/>
                </c:ext>
              </c:extLst>
            </c:dLbl>
            <c:dLbl>
              <c:idx val="378"/>
              <c:tx>
                <c:strRef>
                  <c:f>[1]Prices!$H$381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{45301454-9E1F-41E6-B422-48E816EA026D}</c15:txfldGUID>
                      <c15:f>[1]Prices!$H$381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6-4E07-4AED-B744-DBFF2ED8884B}"/>
                </c:ext>
              </c:extLst>
            </c:dLbl>
            <c:dLbl>
              <c:idx val="379"/>
              <c:tx>
                <c:strRef>
                  <c:f>[1]Prices!$H$382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{1DC62CFA-80D7-4BDF-B0E2-828D1D5A4035}</c15:txfldGUID>
                      <c15:f>[1]Prices!$H$382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7-4E07-4AED-B744-DBFF2ED8884B}"/>
                </c:ext>
              </c:extLst>
            </c:dLbl>
            <c:dLbl>
              <c:idx val="380"/>
              <c:tx>
                <c:strRef>
                  <c:f>[1]Prices!$H$383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{17359800-B4BC-457E-BD97-510F4E8D8704}</c15:txfldGUID>
                      <c15:f>[1]Prices!$H$383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8-4E07-4AED-B744-DBFF2ED8884B}"/>
                </c:ext>
              </c:extLst>
            </c:dLbl>
            <c:dLbl>
              <c:idx val="381"/>
              <c:tx>
                <c:strRef>
                  <c:f>[1]Prices!$H$384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{64217949-16BD-499C-B8E5-96554293A896}</c15:txfldGUID>
                      <c15:f>[1]Prices!$H$384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9-4E07-4AED-B744-DBFF2ED8884B}"/>
                </c:ext>
              </c:extLst>
            </c:dLbl>
            <c:dLbl>
              <c:idx val="382"/>
              <c:tx>
                <c:strRef>
                  <c:f>[1]Prices!$H$385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{2E44F5F4-68A2-4BCC-BC44-DC7C600A8059}</c15:txfldGUID>
                      <c15:f>[1]Prices!$H$385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A-4E07-4AED-B744-DBFF2ED8884B}"/>
                </c:ext>
              </c:extLst>
            </c:dLbl>
            <c:dLbl>
              <c:idx val="383"/>
              <c:tx>
                <c:strRef>
                  <c:f>[1]Prices!$H$386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{B22F0680-8C9B-46AB-BA9A-D8A91DE07594}</c15:txfldGUID>
                      <c15:f>[1]Prices!$H$386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B-4E07-4AED-B744-DBFF2ED8884B}"/>
                </c:ext>
              </c:extLst>
            </c:dLbl>
            <c:dLbl>
              <c:idx val="384"/>
              <c:tx>
                <c:strRef>
                  <c:f>[1]Prices!$H$387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{9D4BB57C-63CA-4CF4-ADB5-153E1BA4ED05}</c15:txfldGUID>
                      <c15:f>[1]Prices!$H$387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C-4E07-4AED-B744-DBFF2ED8884B}"/>
                </c:ext>
              </c:extLst>
            </c:dLbl>
            <c:dLbl>
              <c:idx val="385"/>
              <c:tx>
                <c:strRef>
                  <c:f>[1]Prices!$H$388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{29428D94-7CEA-4064-8700-B7FA0150C118}</c15:txfldGUID>
                      <c15:f>[1]Prices!$H$388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D-4E07-4AED-B744-DBFF2ED8884B}"/>
                </c:ext>
              </c:extLst>
            </c:dLbl>
            <c:dLbl>
              <c:idx val="386"/>
              <c:tx>
                <c:strRef>
                  <c:f>[1]Prices!$H$389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{1C411F79-C9A9-40A8-800C-80B0197754AA}</c15:txfldGUID>
                      <c15:f>[1]Prices!$H$389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E-4E07-4AED-B744-DBFF2ED8884B}"/>
                </c:ext>
              </c:extLst>
            </c:dLbl>
            <c:dLbl>
              <c:idx val="387"/>
              <c:tx>
                <c:strRef>
                  <c:f>[1]Prices!$H$390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{DEE148FD-FFB7-439C-8AE5-E4E4BDF654EA}</c15:txfldGUID>
                      <c15:f>[1]Prices!$H$390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F-4E07-4AED-B744-DBFF2ED8884B}"/>
                </c:ext>
              </c:extLst>
            </c:dLbl>
            <c:dLbl>
              <c:idx val="388"/>
              <c:tx>
                <c:strRef>
                  <c:f>[1]Prices!$H$391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{4740589A-E0AE-46D6-BEDF-E22B6DB0B788}</c15:txfldGUID>
                      <c15:f>[1]Prices!$H$391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0-4E07-4AED-B744-DBFF2ED8884B}"/>
                </c:ext>
              </c:extLst>
            </c:dLbl>
            <c:dLbl>
              <c:idx val="389"/>
              <c:tx>
                <c:strRef>
                  <c:f>[1]Prices!$H$392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{CC5AB6E0-4C94-473E-9710-78BC564E4EC7}</c15:txfldGUID>
                      <c15:f>[1]Prices!$H$392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1-4E07-4AED-B744-DBFF2ED8884B}"/>
                </c:ext>
              </c:extLst>
            </c:dLbl>
            <c:dLbl>
              <c:idx val="390"/>
              <c:tx>
                <c:strRef>
                  <c:f>[1]Prices!$H$393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{07DA57B5-7C1D-4F1E-9444-7CEA24C9BC98}</c15:txfldGUID>
                      <c15:f>[1]Prices!$H$393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2-4E07-4AED-B744-DBFF2ED8884B}"/>
                </c:ext>
              </c:extLst>
            </c:dLbl>
            <c:dLbl>
              <c:idx val="391"/>
              <c:tx>
                <c:strRef>
                  <c:f>[1]Prices!$H$394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{390D3C8B-A87B-44F2-9B59-561BA1DB9699}</c15:txfldGUID>
                      <c15:f>[1]Prices!$H$394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3-4E07-4AED-B744-DBFF2ED8884B}"/>
                </c:ext>
              </c:extLst>
            </c:dLbl>
            <c:dLbl>
              <c:idx val="392"/>
              <c:tx>
                <c:strRef>
                  <c:f>[1]Prices!$H$395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{7C686B96-4877-4519-BF45-8813CC0F3BBB}</c15:txfldGUID>
                      <c15:f>[1]Prices!$H$395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4-4E07-4AED-B744-DBFF2ED8884B}"/>
                </c:ext>
              </c:extLst>
            </c:dLbl>
            <c:dLbl>
              <c:idx val="393"/>
              <c:tx>
                <c:strRef>
                  <c:f>[1]Prices!$H$396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{56F772F2-840E-46F1-854C-4C514C265019}</c15:txfldGUID>
                      <c15:f>[1]Prices!$H$396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5-4E07-4AED-B744-DBFF2ED8884B}"/>
                </c:ext>
              </c:extLst>
            </c:dLbl>
            <c:dLbl>
              <c:idx val="394"/>
              <c:tx>
                <c:strRef>
                  <c:f>[1]Prices!$H$397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{1E3EB32E-67C8-4EBF-ADB3-F11CE1E540C5}</c15:txfldGUID>
                      <c15:f>[1]Prices!$H$397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6-4E07-4AED-B744-DBFF2ED8884B}"/>
                </c:ext>
              </c:extLst>
            </c:dLbl>
            <c:dLbl>
              <c:idx val="395"/>
              <c:tx>
                <c:strRef>
                  <c:f>[1]Prices!$H$398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{61A76FEE-35CE-481E-8083-AFB2742B1DBC}</c15:txfldGUID>
                      <c15:f>[1]Prices!$H$398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7-4E07-4AED-B744-DBFF2ED8884B}"/>
                </c:ext>
              </c:extLst>
            </c:dLbl>
            <c:dLbl>
              <c:idx val="396"/>
              <c:tx>
                <c:strRef>
                  <c:f>[1]Prices!$H$399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{EE261F0E-A81C-4537-9ECB-AD8A27A3CC40}</c15:txfldGUID>
                      <c15:f>[1]Prices!$H$399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8-4E07-4AED-B744-DBFF2ED8884B}"/>
                </c:ext>
              </c:extLst>
            </c:dLbl>
            <c:dLbl>
              <c:idx val="397"/>
              <c:tx>
                <c:strRef>
                  <c:f>[1]Prices!$H$400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{70F11CEF-1427-4FFB-9A0A-6E48A5C21174}</c15:txfldGUID>
                      <c15:f>[1]Prices!$H$400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9-4E07-4AED-B744-DBFF2ED8884B}"/>
                </c:ext>
              </c:extLst>
            </c:dLbl>
            <c:dLbl>
              <c:idx val="398"/>
              <c:tx>
                <c:strRef>
                  <c:f>[1]Prices!$H$401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{27854300-DADF-47E1-8976-0C5D943AFA2C}</c15:txfldGUID>
                      <c15:f>[1]Prices!$H$401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A-4E07-4AED-B744-DBFF2ED8884B}"/>
                </c:ext>
              </c:extLst>
            </c:dLbl>
            <c:dLbl>
              <c:idx val="399"/>
              <c:tx>
                <c:strRef>
                  <c:f>[1]Prices!$H$402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{1E896CC7-FFD8-4211-BFAD-6804BDC42B9D}</c15:txfldGUID>
                      <c15:f>[1]Prices!$H$402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B-4E07-4AED-B744-DBFF2ED8884B}"/>
                </c:ext>
              </c:extLst>
            </c:dLbl>
            <c:dLbl>
              <c:idx val="400"/>
              <c:tx>
                <c:strRef>
                  <c:f>[1]Prices!$H$403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{249A336F-ABDB-4537-B57A-B9CA26B9FDED}</c15:txfldGUID>
                      <c15:f>[1]Prices!$H$403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C-4E07-4AED-B744-DBFF2ED8884B}"/>
                </c:ext>
              </c:extLst>
            </c:dLbl>
            <c:dLbl>
              <c:idx val="401"/>
              <c:tx>
                <c:strRef>
                  <c:f>[1]Prices!$H$404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{FFEE2255-3F38-458A-807D-FCBE74177B9A}</c15:txfldGUID>
                      <c15:f>[1]Prices!$H$404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D-4E07-4AED-B744-DBFF2ED8884B}"/>
                </c:ext>
              </c:extLst>
            </c:dLbl>
            <c:dLbl>
              <c:idx val="402"/>
              <c:tx>
                <c:strRef>
                  <c:f>[1]Prices!$H$405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{94DE278C-60A5-4BE8-994A-0184A705DB97}</c15:txfldGUID>
                      <c15:f>[1]Prices!$H$405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E-4E07-4AED-B744-DBFF2ED8884B}"/>
                </c:ext>
              </c:extLst>
            </c:dLbl>
            <c:dLbl>
              <c:idx val="403"/>
              <c:tx>
                <c:strRef>
                  <c:f>[1]Prices!$H$406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{900E3BDA-80D4-4E6E-B918-4C3428FF1041}</c15:txfldGUID>
                      <c15:f>[1]Prices!$H$406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F-4E07-4AED-B744-DBFF2ED8884B}"/>
                </c:ext>
              </c:extLst>
            </c:dLbl>
            <c:dLbl>
              <c:idx val="404"/>
              <c:tx>
                <c:strRef>
                  <c:f>[1]Prices!$H$407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{796C3B7F-3508-476B-ADC7-1E655CAA84F5}</c15:txfldGUID>
                      <c15:f>[1]Prices!$H$407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0-4E07-4AED-B744-DBFF2ED8884B}"/>
                </c:ext>
              </c:extLst>
            </c:dLbl>
            <c:dLbl>
              <c:idx val="405"/>
              <c:tx>
                <c:strRef>
                  <c:f>[1]Prices!$H$408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{5BFA28F5-C739-4F7D-88CB-D9EE8D20A5FB}</c15:txfldGUID>
                      <c15:f>[1]Prices!$H$408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1-4E07-4AED-B744-DBFF2ED8884B}"/>
                </c:ext>
              </c:extLst>
            </c:dLbl>
            <c:dLbl>
              <c:idx val="406"/>
              <c:tx>
                <c:strRef>
                  <c:f>[1]Prices!$H$409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{8BA04521-B9D8-49D3-9283-1E9E7FDEC759}</c15:txfldGUID>
                      <c15:f>[1]Prices!$H$409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2-4E07-4AED-B744-DBFF2ED8884B}"/>
                </c:ext>
              </c:extLst>
            </c:dLbl>
            <c:dLbl>
              <c:idx val="407"/>
              <c:tx>
                <c:strRef>
                  <c:f>[1]Prices!$H$410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{64218AD8-2EBB-4C1A-887F-401E8F11304D}</c15:txfldGUID>
                      <c15:f>[1]Prices!$H$410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3-4E07-4AED-B744-DBFF2ED8884B}"/>
                </c:ext>
              </c:extLst>
            </c:dLbl>
            <c:dLbl>
              <c:idx val="408"/>
              <c:tx>
                <c:strRef>
                  <c:f>[1]Prices!$H$411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{B96A4EDC-0CE4-4091-990A-DF5568729B5D}</c15:txfldGUID>
                      <c15:f>[1]Prices!$H$411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4-4E07-4AED-B744-DBFF2ED8884B}"/>
                </c:ext>
              </c:extLst>
            </c:dLbl>
            <c:dLbl>
              <c:idx val="409"/>
              <c:tx>
                <c:strRef>
                  <c:f>[1]Prices!$H$412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{43989149-CDC6-4EA3-A979-FC09ADE33F32}</c15:txfldGUID>
                      <c15:f>[1]Prices!$H$412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5-4E07-4AED-B744-DBFF2ED8884B}"/>
                </c:ext>
              </c:extLst>
            </c:dLbl>
            <c:dLbl>
              <c:idx val="410"/>
              <c:tx>
                <c:strRef>
                  <c:f>[1]Prices!$H$413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{44A4DC35-B406-4767-B0D4-6C6F9555CB2B}</c15:txfldGUID>
                      <c15:f>[1]Prices!$H$413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6-4E07-4AED-B744-DBFF2ED8884B}"/>
                </c:ext>
              </c:extLst>
            </c:dLbl>
            <c:dLbl>
              <c:idx val="411"/>
              <c:tx>
                <c:strRef>
                  <c:f>[1]Prices!$H$414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{C089A428-877D-4C63-8299-815E3E7CB27D}</c15:txfldGUID>
                      <c15:f>[1]Prices!$H$414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7-4E07-4AED-B744-DBFF2ED8884B}"/>
                </c:ext>
              </c:extLst>
            </c:dLbl>
            <c:dLbl>
              <c:idx val="412"/>
              <c:tx>
                <c:strRef>
                  <c:f>[1]Prices!$H$415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{2964625F-3F38-4EA5-89CF-1C52E8EE9ED4}</c15:txfldGUID>
                      <c15:f>[1]Prices!$H$415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8-4E07-4AED-B744-DBFF2ED8884B}"/>
                </c:ext>
              </c:extLst>
            </c:dLbl>
            <c:dLbl>
              <c:idx val="413"/>
              <c:tx>
                <c:strRef>
                  <c:f>[1]Prices!$H$416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{5FE43D59-1071-4114-8F92-290A978415A0}</c15:txfldGUID>
                      <c15:f>[1]Prices!$H$416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9-4E07-4AED-B744-DBFF2ED8884B}"/>
                </c:ext>
              </c:extLst>
            </c:dLbl>
            <c:dLbl>
              <c:idx val="414"/>
              <c:tx>
                <c:strRef>
                  <c:f>[1]Prices!$H$417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{42FD3D60-A2B2-4616-94DF-78006790A64B}</c15:txfldGUID>
                      <c15:f>[1]Prices!$H$417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A-4E07-4AED-B744-DBFF2ED8884B}"/>
                </c:ext>
              </c:extLst>
            </c:dLbl>
            <c:dLbl>
              <c:idx val="415"/>
              <c:tx>
                <c:strRef>
                  <c:f>[1]Prices!$H$418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{8EB78D49-A958-46F4-9313-F81C4A93B18F}</c15:txfldGUID>
                      <c15:f>[1]Prices!$H$418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B-4E07-4AED-B744-DBFF2ED8884B}"/>
                </c:ext>
              </c:extLst>
            </c:dLbl>
            <c:dLbl>
              <c:idx val="416"/>
              <c:tx>
                <c:strRef>
                  <c:f>[1]Prices!$H$419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{09E733A4-EA37-47FB-ABE6-5B539CE4D227}</c15:txfldGUID>
                      <c15:f>[1]Prices!$H$419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C-4E07-4AED-B744-DBFF2ED8884B}"/>
                </c:ext>
              </c:extLst>
            </c:dLbl>
            <c:dLbl>
              <c:idx val="417"/>
              <c:tx>
                <c:strRef>
                  <c:f>[1]Prices!$H$420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{C54ECC06-7CF3-404C-A7D5-EF5D95E6BDBD}</c15:txfldGUID>
                      <c15:f>[1]Prices!$H$420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D-4E07-4AED-B744-DBFF2ED8884B}"/>
                </c:ext>
              </c:extLst>
            </c:dLbl>
            <c:dLbl>
              <c:idx val="418"/>
              <c:tx>
                <c:strRef>
                  <c:f>[1]Prices!$H$421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{C7470BB8-619F-4317-BDEF-B538C6C390C3}</c15:txfldGUID>
                      <c15:f>[1]Prices!$H$421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E-4E07-4AED-B744-DBFF2ED8884B}"/>
                </c:ext>
              </c:extLst>
            </c:dLbl>
            <c:dLbl>
              <c:idx val="419"/>
              <c:tx>
                <c:strRef>
                  <c:f>[1]Prices!$H$422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{6F70F29B-8161-4E1C-B284-5C31876586A1}</c15:txfldGUID>
                      <c15:f>[1]Prices!$H$422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F-4E07-4AED-B744-DBFF2ED8884B}"/>
                </c:ext>
              </c:extLst>
            </c:dLbl>
            <c:dLbl>
              <c:idx val="420"/>
              <c:tx>
                <c:strRef>
                  <c:f>[1]Prices!$H$423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{5DAE85E3-BDE3-4C61-BB9D-68A13C5D14BD}</c15:txfldGUID>
                      <c15:f>[1]Prices!$H$423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0-4E07-4AED-B744-DBFF2ED8884B}"/>
                </c:ext>
              </c:extLst>
            </c:dLbl>
            <c:dLbl>
              <c:idx val="421"/>
              <c:tx>
                <c:strRef>
                  <c:f>[1]Prices!$H$424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{D049DA5D-464B-4522-8BC2-F03DDBD7DE78}</c15:txfldGUID>
                      <c15:f>[1]Prices!$H$424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1-4E07-4AED-B744-DBFF2ED8884B}"/>
                </c:ext>
              </c:extLst>
            </c:dLbl>
            <c:dLbl>
              <c:idx val="422"/>
              <c:tx>
                <c:strRef>
                  <c:f>[1]Prices!$H$425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{B32C14A7-8E8B-4240-9A03-B61352BF028C}</c15:txfldGUID>
                      <c15:f>[1]Prices!$H$425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2-4E07-4AED-B744-DBFF2ED8884B}"/>
                </c:ext>
              </c:extLst>
            </c:dLbl>
            <c:dLbl>
              <c:idx val="423"/>
              <c:tx>
                <c:strRef>
                  <c:f>[1]Prices!$H$426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{8301D992-98B0-4CEA-A81D-EF6860141C93}</c15:txfldGUID>
                      <c15:f>[1]Prices!$H$426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3-4E07-4AED-B744-DBFF2ED8884B}"/>
                </c:ext>
              </c:extLst>
            </c:dLbl>
            <c:dLbl>
              <c:idx val="424"/>
              <c:tx>
                <c:strRef>
                  <c:f>[1]Prices!$H$427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{8F3BCEF1-A8D8-4DA2-9876-7D13F5723919}</c15:txfldGUID>
                      <c15:f>[1]Prices!$H$427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4-4E07-4AED-B744-DBFF2ED8884B}"/>
                </c:ext>
              </c:extLst>
            </c:dLbl>
            <c:dLbl>
              <c:idx val="425"/>
              <c:tx>
                <c:strRef>
                  <c:f>[1]Prices!$H$428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{0B4C5415-41F8-448A-B230-72DE6D3C1F97}</c15:txfldGUID>
                      <c15:f>[1]Prices!$H$428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5-4E07-4AED-B744-DBFF2ED8884B}"/>
                </c:ext>
              </c:extLst>
            </c:dLbl>
            <c:dLbl>
              <c:idx val="426"/>
              <c:tx>
                <c:strRef>
                  <c:f>[1]Prices!$H$429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{8DC20998-6343-41B4-9D52-B4B3E5B3F85D}</c15:txfldGUID>
                      <c15:f>[1]Prices!$H$429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6-4E07-4AED-B744-DBFF2ED8884B}"/>
                </c:ext>
              </c:extLst>
            </c:dLbl>
            <c:dLbl>
              <c:idx val="427"/>
              <c:tx>
                <c:strRef>
                  <c:f>[1]Prices!$H$430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{F2A45A47-112A-4E74-879C-F38E694C2C44}</c15:txfldGUID>
                      <c15:f>[1]Prices!$H$430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7-4E07-4AED-B744-DBFF2ED8884B}"/>
                </c:ext>
              </c:extLst>
            </c:dLbl>
            <c:dLbl>
              <c:idx val="428"/>
              <c:tx>
                <c:strRef>
                  <c:f>[1]Prices!$H$431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{4293D55B-CF43-455A-B044-587DE189F659}</c15:txfldGUID>
                      <c15:f>[1]Prices!$H$431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8-4E07-4AED-B744-DBFF2ED8884B}"/>
                </c:ext>
              </c:extLst>
            </c:dLbl>
            <c:dLbl>
              <c:idx val="429"/>
              <c:tx>
                <c:strRef>
                  <c:f>[1]Prices!$H$432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{6445822E-B6B1-449E-BD9F-040336C3E6A8}</c15:txfldGUID>
                      <c15:f>[1]Prices!$H$432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9-4E07-4AED-B744-DBFF2ED8884B}"/>
                </c:ext>
              </c:extLst>
            </c:dLbl>
            <c:dLbl>
              <c:idx val="430"/>
              <c:tx>
                <c:strRef>
                  <c:f>[1]Prices!$H$433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{4033DC79-6C25-434D-86A3-465E5D785254}</c15:txfldGUID>
                      <c15:f>[1]Prices!$H$433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A-4E07-4AED-B744-DBFF2ED8884B}"/>
                </c:ext>
              </c:extLst>
            </c:dLbl>
            <c:dLbl>
              <c:idx val="431"/>
              <c:tx>
                <c:strRef>
                  <c:f>[1]Prices!$H$434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{94038ACB-C1E7-48A8-B8BE-BA075F672E15}</c15:txfldGUID>
                      <c15:f>[1]Prices!$H$434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B-4E07-4AED-B744-DBFF2ED8884B}"/>
                </c:ext>
              </c:extLst>
            </c:dLbl>
            <c:dLbl>
              <c:idx val="432"/>
              <c:tx>
                <c:strRef>
                  <c:f>[1]Prices!$H$435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{52A8F1BC-2B19-41F7-BCB5-7646BE1D43DD}</c15:txfldGUID>
                      <c15:f>[1]Prices!$H$435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C-4E07-4AED-B744-DBFF2ED8884B}"/>
                </c:ext>
              </c:extLst>
            </c:dLbl>
            <c:dLbl>
              <c:idx val="433"/>
              <c:tx>
                <c:strRef>
                  <c:f>[1]Prices!$H$436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{68DFE804-415C-47FA-9DCC-35348A53AAC8}</c15:txfldGUID>
                      <c15:f>[1]Prices!$H$436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D-4E07-4AED-B744-DBFF2ED8884B}"/>
                </c:ext>
              </c:extLst>
            </c:dLbl>
            <c:dLbl>
              <c:idx val="434"/>
              <c:tx>
                <c:strRef>
                  <c:f>[1]Prices!$H$437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{DC04DC26-EEF2-46CD-8B0E-60FBA5207531}</c15:txfldGUID>
                      <c15:f>[1]Prices!$H$437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E-4E07-4AED-B744-DBFF2ED8884B}"/>
                </c:ext>
              </c:extLst>
            </c:dLbl>
            <c:dLbl>
              <c:idx val="435"/>
              <c:tx>
                <c:strRef>
                  <c:f>[1]Prices!$H$438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{404A2927-1C15-4D13-ACEB-DD39A3058994}</c15:txfldGUID>
                      <c15:f>[1]Prices!$H$438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F-4E07-4AED-B744-DBFF2ED8884B}"/>
                </c:ext>
              </c:extLst>
            </c:dLbl>
            <c:dLbl>
              <c:idx val="436"/>
              <c:tx>
                <c:strRef>
                  <c:f>[1]Prices!$H$439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{105E03AA-C5F9-4E53-94BA-9A1CE35EA932}</c15:txfldGUID>
                      <c15:f>[1]Prices!$H$439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0-4E07-4AED-B744-DBFF2ED8884B}"/>
                </c:ext>
              </c:extLst>
            </c:dLbl>
            <c:dLbl>
              <c:idx val="437"/>
              <c:tx>
                <c:strRef>
                  <c:f>[1]Prices!$H$440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{C05C83BD-F515-402E-8A69-018B8C6A1EC2}</c15:txfldGUID>
                      <c15:f>[1]Prices!$H$440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1-4E07-4AED-B744-DBFF2ED8884B}"/>
                </c:ext>
              </c:extLst>
            </c:dLbl>
            <c:dLbl>
              <c:idx val="438"/>
              <c:tx>
                <c:strRef>
                  <c:f>[1]Prices!$H$441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{F0E040A8-BDC5-4C13-8A69-5E1EE6D409E1}</c15:txfldGUID>
                      <c15:f>[1]Prices!$H$441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2-4E07-4AED-B744-DBFF2ED8884B}"/>
                </c:ext>
              </c:extLst>
            </c:dLbl>
            <c:dLbl>
              <c:idx val="439"/>
              <c:tx>
                <c:strRef>
                  <c:f>[1]Prices!$H$442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{59099EBC-D7D0-4C07-84FB-0F48C262F91F}</c15:txfldGUID>
                      <c15:f>[1]Prices!$H$442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3-4E07-4AED-B744-DBFF2ED8884B}"/>
                </c:ext>
              </c:extLst>
            </c:dLbl>
            <c:dLbl>
              <c:idx val="440"/>
              <c:tx>
                <c:strRef>
                  <c:f>[1]Prices!$H$443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{920F4B36-7FD4-49DA-A9E5-78BD42D03207}</c15:txfldGUID>
                      <c15:f>[1]Prices!$H$443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4-4E07-4AED-B744-DBFF2ED8884B}"/>
                </c:ext>
              </c:extLst>
            </c:dLbl>
            <c:dLbl>
              <c:idx val="441"/>
              <c:tx>
                <c:strRef>
                  <c:f>[1]Prices!$H$444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{E34349DB-AC65-4B06-A86D-F56EDDFCC612}</c15:txfldGUID>
                      <c15:f>[1]Prices!$H$444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5-4E07-4AED-B744-DBFF2ED8884B}"/>
                </c:ext>
              </c:extLst>
            </c:dLbl>
            <c:dLbl>
              <c:idx val="442"/>
              <c:tx>
                <c:strRef>
                  <c:f>[1]Prices!$H$445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{650B9E79-412D-47F8-9828-665FCBAC50D8}</c15:txfldGUID>
                      <c15:f>[1]Prices!$H$445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6-4E07-4AED-B744-DBFF2ED8884B}"/>
                </c:ext>
              </c:extLst>
            </c:dLbl>
            <c:dLbl>
              <c:idx val="443"/>
              <c:tx>
                <c:strRef>
                  <c:f>[1]Prices!$H$446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{FD098D73-3673-43E3-BD2F-837FB789F31F}</c15:txfldGUID>
                      <c15:f>[1]Prices!$H$446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7-4E07-4AED-B744-DBFF2ED8884B}"/>
                </c:ext>
              </c:extLst>
            </c:dLbl>
            <c:dLbl>
              <c:idx val="444"/>
              <c:tx>
                <c:strRef>
                  <c:f>[1]Prices!$H$447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{F4B54F7F-A8EE-44FB-95C3-920D313A5B96}</c15:txfldGUID>
                      <c15:f>[1]Prices!$H$447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8-4E07-4AED-B744-DBFF2ED8884B}"/>
                </c:ext>
              </c:extLst>
            </c:dLbl>
            <c:dLbl>
              <c:idx val="445"/>
              <c:tx>
                <c:strRef>
                  <c:f>[1]Prices!$H$448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{2A8CBCF5-5AF5-4DBC-BC61-0EAC57FC215B}</c15:txfldGUID>
                      <c15:f>[1]Prices!$H$448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9-4E07-4AED-B744-DBFF2ED8884B}"/>
                </c:ext>
              </c:extLst>
            </c:dLbl>
            <c:dLbl>
              <c:idx val="446"/>
              <c:tx>
                <c:strRef>
                  <c:f>[1]Prices!$H$449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{B70CE67E-4CAE-4FB8-9B24-E071644B68BC}</c15:txfldGUID>
                      <c15:f>[1]Prices!$H$449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A-4E07-4AED-B744-DBFF2ED8884B}"/>
                </c:ext>
              </c:extLst>
            </c:dLbl>
            <c:dLbl>
              <c:idx val="447"/>
              <c:tx>
                <c:strRef>
                  <c:f>[1]Prices!$H$450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{B9BEFC4A-93E0-454A-B7AF-2EAD38129C00}</c15:txfldGUID>
                      <c15:f>[1]Prices!$H$450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B-4E07-4AED-B744-DBFF2ED8884B}"/>
                </c:ext>
              </c:extLst>
            </c:dLbl>
            <c:dLbl>
              <c:idx val="448"/>
              <c:tx>
                <c:strRef>
                  <c:f>[1]Prices!$H$451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{40D7585B-2410-4665-AB7C-32A0B05F514A}</c15:txfldGUID>
                      <c15:f>[1]Prices!$H$451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C-4E07-4AED-B744-DBFF2ED8884B}"/>
                </c:ext>
              </c:extLst>
            </c:dLbl>
            <c:dLbl>
              <c:idx val="449"/>
              <c:tx>
                <c:strRef>
                  <c:f>[1]Prices!$H$452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{3D42AC08-8D29-4720-9327-9A7EDAF1045D}</c15:txfldGUID>
                      <c15:f>[1]Prices!$H$452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D-4E07-4AED-B744-DBFF2ED8884B}"/>
                </c:ext>
              </c:extLst>
            </c:dLbl>
            <c:dLbl>
              <c:idx val="450"/>
              <c:tx>
                <c:strRef>
                  <c:f>[1]Prices!$H$453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{5B428E0E-9FEB-40B5-965C-59330A7B0EE4}</c15:txfldGUID>
                      <c15:f>[1]Prices!$H$453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E-4E07-4AED-B744-DBFF2ED8884B}"/>
                </c:ext>
              </c:extLst>
            </c:dLbl>
            <c:dLbl>
              <c:idx val="451"/>
              <c:tx>
                <c:strRef>
                  <c:f>[1]Prices!$H$454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{638B2FBB-1855-4A27-8D0E-689044DBC0C0}</c15:txfldGUID>
                      <c15:f>[1]Prices!$H$454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F-4E07-4AED-B744-DBFF2ED8884B}"/>
                </c:ext>
              </c:extLst>
            </c:dLbl>
            <c:dLbl>
              <c:idx val="452"/>
              <c:tx>
                <c:strRef>
                  <c:f>[1]Prices!$H$455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{4582E9AE-91C6-49AD-8A08-D59B9C9575CF}</c15:txfldGUID>
                      <c15:f>[1]Prices!$H$455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0-4E07-4AED-B744-DBFF2ED8884B}"/>
                </c:ext>
              </c:extLst>
            </c:dLbl>
            <c:dLbl>
              <c:idx val="453"/>
              <c:tx>
                <c:strRef>
                  <c:f>[1]Prices!$H$456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{6BFC6C2D-BFED-462D-8D1A-1A293E01E19E}</c15:txfldGUID>
                      <c15:f>[1]Prices!$H$456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1-4E07-4AED-B744-DBFF2ED8884B}"/>
                </c:ext>
              </c:extLst>
            </c:dLbl>
            <c:dLbl>
              <c:idx val="454"/>
              <c:tx>
                <c:strRef>
                  <c:f>[1]Prices!$H$457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{2B9CD655-4DE0-4E95-B573-B5C49582E5C8}</c15:txfldGUID>
                      <c15:f>[1]Prices!$H$457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2-4E07-4AED-B744-DBFF2ED8884B}"/>
                </c:ext>
              </c:extLst>
            </c:dLbl>
            <c:dLbl>
              <c:idx val="455"/>
              <c:tx>
                <c:strRef>
                  <c:f>[1]Prices!$H$458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{FB1D7930-3C29-4440-9B3E-91B0B84E34CE}</c15:txfldGUID>
                      <c15:f>[1]Prices!$H$458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3-4E07-4AED-B744-DBFF2ED8884B}"/>
                </c:ext>
              </c:extLst>
            </c:dLbl>
            <c:dLbl>
              <c:idx val="456"/>
              <c:tx>
                <c:strRef>
                  <c:f>[1]Prices!$H$459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{E232A244-2D50-4F34-8017-A36FF88AD3E3}</c15:txfldGUID>
                      <c15:f>[1]Prices!$H$459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4-4E07-4AED-B744-DBFF2ED8884B}"/>
                </c:ext>
              </c:extLst>
            </c:dLbl>
            <c:dLbl>
              <c:idx val="457"/>
              <c:tx>
                <c:strRef>
                  <c:f>[1]Prices!$H$460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{82BB7DAA-26F0-48C0-A0A4-D05F62EC79CE}</c15:txfldGUID>
                      <c15:f>[1]Prices!$H$460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5-4E07-4AED-B744-DBFF2ED8884B}"/>
                </c:ext>
              </c:extLst>
            </c:dLbl>
            <c:dLbl>
              <c:idx val="458"/>
              <c:tx>
                <c:strRef>
                  <c:f>[1]Prices!$H$461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{E50E75BA-6074-4AA5-A66B-C2ACD54E73D8}</c15:txfldGUID>
                      <c15:f>[1]Prices!$H$461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6-4E07-4AED-B744-DBFF2ED8884B}"/>
                </c:ext>
              </c:extLst>
            </c:dLbl>
            <c:dLbl>
              <c:idx val="459"/>
              <c:tx>
                <c:strRef>
                  <c:f>[1]Prices!$H$462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{550DA25E-0602-4550-AC64-79FB234064E0}</c15:txfldGUID>
                      <c15:f>[1]Prices!$H$462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7-4E07-4AED-B744-DBFF2ED8884B}"/>
                </c:ext>
              </c:extLst>
            </c:dLbl>
            <c:dLbl>
              <c:idx val="460"/>
              <c:tx>
                <c:strRef>
                  <c:f>[1]Prices!$H$463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{32CDC497-84BB-4E08-91C9-74C9DBD4F214}</c15:txfldGUID>
                      <c15:f>[1]Prices!$H$463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8-4E07-4AED-B744-DBFF2ED8884B}"/>
                </c:ext>
              </c:extLst>
            </c:dLbl>
            <c:dLbl>
              <c:idx val="461"/>
              <c:tx>
                <c:strRef>
                  <c:f>[1]Prices!$H$464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{E6A58A1F-199B-436A-851B-E844FDB4017D}</c15:txfldGUID>
                      <c15:f>[1]Prices!$H$464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9-4E07-4AED-B744-DBFF2ED8884B}"/>
                </c:ext>
              </c:extLst>
            </c:dLbl>
            <c:dLbl>
              <c:idx val="462"/>
              <c:tx>
                <c:strRef>
                  <c:f>[1]Prices!$H$465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{B425F04D-7F04-4C00-8FF4-C7E656F10205}</c15:txfldGUID>
                      <c15:f>[1]Prices!$H$465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A-4E07-4AED-B744-DBFF2ED8884B}"/>
                </c:ext>
              </c:extLst>
            </c:dLbl>
            <c:dLbl>
              <c:idx val="463"/>
              <c:tx>
                <c:strRef>
                  <c:f>[1]Prices!$H$466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{DF271BD3-CC2E-4F11-98C4-8C54AB0D2725}</c15:txfldGUID>
                      <c15:f>[1]Prices!$H$466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B-4E07-4AED-B744-DBFF2ED8884B}"/>
                </c:ext>
              </c:extLst>
            </c:dLbl>
            <c:dLbl>
              <c:idx val="464"/>
              <c:tx>
                <c:strRef>
                  <c:f>[1]Prices!$H$467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{CF8F99F7-D78B-45BA-AD75-C700658422C7}</c15:txfldGUID>
                      <c15:f>[1]Prices!$H$467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C-4E07-4AED-B744-DBFF2ED8884B}"/>
                </c:ext>
              </c:extLst>
            </c:dLbl>
            <c:dLbl>
              <c:idx val="465"/>
              <c:tx>
                <c:strRef>
                  <c:f>[1]Prices!$H$468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{FB9F3FDA-283D-485B-AA42-6D08D2E4F476}</c15:txfldGUID>
                      <c15:f>[1]Prices!$H$468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D-4E07-4AED-B744-DBFF2ED8884B}"/>
                </c:ext>
              </c:extLst>
            </c:dLbl>
            <c:dLbl>
              <c:idx val="466"/>
              <c:tx>
                <c:strRef>
                  <c:f>[1]Prices!$H$469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{F9CD8D91-584F-4CFE-8E35-E6B5048EC52C}</c15:txfldGUID>
                      <c15:f>[1]Prices!$H$469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E-4E07-4AED-B744-DBFF2ED8884B}"/>
                </c:ext>
              </c:extLst>
            </c:dLbl>
            <c:dLbl>
              <c:idx val="467"/>
              <c:tx>
                <c:strRef>
                  <c:f>[1]Prices!$H$470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{9A3E2177-60F1-4EEA-BD39-6E4FD870CE62}</c15:txfldGUID>
                      <c15:f>[1]Prices!$H$470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F-4E07-4AED-B744-DBFF2ED8884B}"/>
                </c:ext>
              </c:extLst>
            </c:dLbl>
            <c:dLbl>
              <c:idx val="468"/>
              <c:tx>
                <c:strRef>
                  <c:f>[1]Prices!$H$471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{62F7716B-FB8D-4307-B998-A073F917EDCB}</c15:txfldGUID>
                      <c15:f>[1]Prices!$H$471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0-4E07-4AED-B744-DBFF2ED8884B}"/>
                </c:ext>
              </c:extLst>
            </c:dLbl>
            <c:dLbl>
              <c:idx val="469"/>
              <c:tx>
                <c:strRef>
                  <c:f>[1]Prices!$H$472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{385656AE-B2E2-4D23-BC24-80176610784A}</c15:txfldGUID>
                      <c15:f>[1]Prices!$H$472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1-4E07-4AED-B744-DBFF2ED8884B}"/>
                </c:ext>
              </c:extLst>
            </c:dLbl>
            <c:dLbl>
              <c:idx val="470"/>
              <c:tx>
                <c:strRef>
                  <c:f>[1]Prices!$H$473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{D9C1F02C-7715-4CEE-9985-6BA328F9876B}</c15:txfldGUID>
                      <c15:f>[1]Prices!$H$473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2-4E07-4AED-B744-DBFF2ED8884B}"/>
                </c:ext>
              </c:extLst>
            </c:dLbl>
            <c:dLbl>
              <c:idx val="471"/>
              <c:tx>
                <c:strRef>
                  <c:f>[1]Prices!$H$474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{F08A7BBC-A93C-460F-81D6-DE213E04B94D}</c15:txfldGUID>
                      <c15:f>[1]Prices!$H$474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3-4E07-4AED-B744-DBFF2ED8884B}"/>
                </c:ext>
              </c:extLst>
            </c:dLbl>
            <c:dLbl>
              <c:idx val="472"/>
              <c:tx>
                <c:strRef>
                  <c:f>[1]Prices!$H$475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{2A11F6A0-8800-4D5F-BB0A-A0DBB79EBD1C}</c15:txfldGUID>
                      <c15:f>[1]Prices!$H$475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4-4E07-4AED-B744-DBFF2ED8884B}"/>
                </c:ext>
              </c:extLst>
            </c:dLbl>
            <c:dLbl>
              <c:idx val="473"/>
              <c:tx>
                <c:strRef>
                  <c:f>[1]Prices!$H$476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{010CA26B-472F-4A72-9612-904AFDF0488B}</c15:txfldGUID>
                      <c15:f>[1]Prices!$H$476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5-4E07-4AED-B744-DBFF2ED8884B}"/>
                </c:ext>
              </c:extLst>
            </c:dLbl>
            <c:dLbl>
              <c:idx val="474"/>
              <c:tx>
                <c:strRef>
                  <c:f>[1]Prices!$H$477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{945FAD7E-F880-45CF-BF48-64EE39BDA481}</c15:txfldGUID>
                      <c15:f>[1]Prices!$H$477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6-4E07-4AED-B744-DBFF2ED8884B}"/>
                </c:ext>
              </c:extLst>
            </c:dLbl>
            <c:dLbl>
              <c:idx val="475"/>
              <c:tx>
                <c:strRef>
                  <c:f>[1]Prices!$H$478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{98DE0D1B-FAEC-4C50-9AD9-BEC08704CCD7}</c15:txfldGUID>
                      <c15:f>[1]Prices!$H$478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7-4E07-4AED-B744-DBFF2ED8884B}"/>
                </c:ext>
              </c:extLst>
            </c:dLbl>
            <c:dLbl>
              <c:idx val="476"/>
              <c:tx>
                <c:strRef>
                  <c:f>[1]Prices!$H$479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{2DDB6615-46FA-4AAA-B534-5766C40EEEFE}</c15:txfldGUID>
                      <c15:f>[1]Prices!$H$479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8-4E07-4AED-B744-DBFF2ED8884B}"/>
                </c:ext>
              </c:extLst>
            </c:dLbl>
            <c:dLbl>
              <c:idx val="477"/>
              <c:tx>
                <c:strRef>
                  <c:f>[1]Prices!$H$480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{94D45D32-257A-4811-8E4F-6145BCB4B985}</c15:txfldGUID>
                      <c15:f>[1]Prices!$H$480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9-4E07-4AED-B744-DBFF2ED8884B}"/>
                </c:ext>
              </c:extLst>
            </c:dLbl>
            <c:dLbl>
              <c:idx val="478"/>
              <c:tx>
                <c:strRef>
                  <c:f>[1]Prices!$H$481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{59A30A90-80AC-4673-9B94-7C97BF8B6F25}</c15:txfldGUID>
                      <c15:f>[1]Prices!$H$481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A-4E07-4AED-B744-DBFF2ED8884B}"/>
                </c:ext>
              </c:extLst>
            </c:dLbl>
            <c:dLbl>
              <c:idx val="479"/>
              <c:tx>
                <c:strRef>
                  <c:f>[1]Prices!$H$482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{EA321E31-11AF-4226-959D-B56284BA4F46}</c15:txfldGUID>
                      <c15:f>[1]Prices!$H$482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B-4E07-4AED-B744-DBFF2ED8884B}"/>
                </c:ext>
              </c:extLst>
            </c:dLbl>
            <c:dLbl>
              <c:idx val="480"/>
              <c:tx>
                <c:strRef>
                  <c:f>[1]Prices!$H$483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{BE941894-0BC8-42A3-B2FF-5771C499DB33}</c15:txfldGUID>
                      <c15:f>[1]Prices!$H$483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C-4E07-4AED-B744-DBFF2ED8884B}"/>
                </c:ext>
              </c:extLst>
            </c:dLbl>
            <c:dLbl>
              <c:idx val="481"/>
              <c:tx>
                <c:strRef>
                  <c:f>[1]Prices!$H$484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{96A6CC76-ACE7-4B49-AF57-C59F9A8BE32D}</c15:txfldGUID>
                      <c15:f>[1]Prices!$H$484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D-4E07-4AED-B744-DBFF2ED8884B}"/>
                </c:ext>
              </c:extLst>
            </c:dLbl>
            <c:dLbl>
              <c:idx val="482"/>
              <c:tx>
                <c:strRef>
                  <c:f>[1]Prices!$H$485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{45BF694E-5999-4286-AD91-09A7C8C642A8}</c15:txfldGUID>
                      <c15:f>[1]Prices!$H$485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E-4E07-4AED-B744-DBFF2ED8884B}"/>
                </c:ext>
              </c:extLst>
            </c:dLbl>
            <c:dLbl>
              <c:idx val="483"/>
              <c:tx>
                <c:strRef>
                  <c:f>[1]Prices!$H$486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{D7765104-D405-4309-92A0-8D1C28C6FF22}</c15:txfldGUID>
                      <c15:f>[1]Prices!$H$486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F-4E07-4AED-B744-DBFF2ED8884B}"/>
                </c:ext>
              </c:extLst>
            </c:dLbl>
            <c:dLbl>
              <c:idx val="484"/>
              <c:tx>
                <c:strRef>
                  <c:f>[1]Prices!$H$487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{55B46AF8-544D-4355-B75F-203B1BD86371}</c15:txfldGUID>
                      <c15:f>[1]Prices!$H$487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0-4E07-4AED-B744-DBFF2ED8884B}"/>
                </c:ext>
              </c:extLst>
            </c:dLbl>
            <c:dLbl>
              <c:idx val="485"/>
              <c:tx>
                <c:strRef>
                  <c:f>[1]Prices!$H$488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{85531BD2-CEAF-459D-A0A6-4DA7B473E686}</c15:txfldGUID>
                      <c15:f>[1]Prices!$H$488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1-4E07-4AED-B744-DBFF2ED8884B}"/>
                </c:ext>
              </c:extLst>
            </c:dLbl>
            <c:dLbl>
              <c:idx val="486"/>
              <c:tx>
                <c:strRef>
                  <c:f>[1]Prices!$H$489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{C2008915-252F-4A94-9814-BC0918EED9AF}</c15:txfldGUID>
                      <c15:f>[1]Prices!$H$489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2-4E07-4AED-B744-DBFF2ED8884B}"/>
                </c:ext>
              </c:extLst>
            </c:dLbl>
            <c:dLbl>
              <c:idx val="487"/>
              <c:tx>
                <c:strRef>
                  <c:f>[1]Prices!$H$490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{15B9026F-9105-4F2A-B4FC-DF760A9334B8}</c15:txfldGUID>
                      <c15:f>[1]Prices!$H$490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3-4E07-4AED-B744-DBFF2ED8884B}"/>
                </c:ext>
              </c:extLst>
            </c:dLbl>
            <c:dLbl>
              <c:idx val="488"/>
              <c:tx>
                <c:strRef>
                  <c:f>[1]Prices!$H$491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{0CEB90CC-F760-4015-9C85-EDD33E4D1242}</c15:txfldGUID>
                      <c15:f>[1]Prices!$H$491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4-4E07-4AED-B744-DBFF2ED8884B}"/>
                </c:ext>
              </c:extLst>
            </c:dLbl>
            <c:dLbl>
              <c:idx val="489"/>
              <c:tx>
                <c:strRef>
                  <c:f>[1]Prices!$H$492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{F0500F33-02B4-4ABB-9543-208ABF044F9D}</c15:txfldGUID>
                      <c15:f>[1]Prices!$H$492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5-4E07-4AED-B744-DBFF2ED8884B}"/>
                </c:ext>
              </c:extLst>
            </c:dLbl>
            <c:dLbl>
              <c:idx val="490"/>
              <c:tx>
                <c:strRef>
                  <c:f>[1]Prices!$H$493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{EA0DE6E5-F1F9-44C2-9194-E59D9FB46E72}</c15:txfldGUID>
                      <c15:f>[1]Prices!$H$493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6-4E07-4AED-B744-DBFF2ED8884B}"/>
                </c:ext>
              </c:extLst>
            </c:dLbl>
            <c:dLbl>
              <c:idx val="491"/>
              <c:tx>
                <c:strRef>
                  <c:f>[1]Prices!$H$494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{5595D3B0-4651-4483-BB3A-9E4F8DA8D3D7}</c15:txfldGUID>
                      <c15:f>[1]Prices!$H$494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7-4E07-4AED-B744-DBFF2ED8884B}"/>
                </c:ext>
              </c:extLst>
            </c:dLbl>
            <c:dLbl>
              <c:idx val="492"/>
              <c:tx>
                <c:strRef>
                  <c:f>[1]Prices!$H$495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{45A82513-9717-4998-92D2-31B685DFDDBE}</c15:txfldGUID>
                      <c15:f>[1]Prices!$H$495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8-4E07-4AED-B744-DBFF2ED8884B}"/>
                </c:ext>
              </c:extLst>
            </c:dLbl>
            <c:dLbl>
              <c:idx val="493"/>
              <c:tx>
                <c:strRef>
                  <c:f>[1]Prices!$H$496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{31CCBDA7-6C53-43E7-AD87-5F43A9D01D0F}</c15:txfldGUID>
                      <c15:f>[1]Prices!$H$496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9-4E07-4AED-B744-DBFF2ED8884B}"/>
                </c:ext>
              </c:extLst>
            </c:dLbl>
            <c:dLbl>
              <c:idx val="494"/>
              <c:tx>
                <c:strRef>
                  <c:f>[1]Prices!$H$497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{919065F5-1BD4-449E-9806-B0E310F2B099}</c15:txfldGUID>
                      <c15:f>[1]Prices!$H$497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A-4E07-4AED-B744-DBFF2ED8884B}"/>
                </c:ext>
              </c:extLst>
            </c:dLbl>
            <c:dLbl>
              <c:idx val="495"/>
              <c:tx>
                <c:strRef>
                  <c:f>[1]Prices!$H$498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{C0F1DD2A-9043-4A08-BFB8-25C67283367C}</c15:txfldGUID>
                      <c15:f>[1]Prices!$H$498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B-4E07-4AED-B744-DBFF2ED8884B}"/>
                </c:ext>
              </c:extLst>
            </c:dLbl>
            <c:dLbl>
              <c:idx val="496"/>
              <c:tx>
                <c:strRef>
                  <c:f>[1]Prices!$H$499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{DAC140C9-047D-4820-AB9A-395A6B41EB87}</c15:txfldGUID>
                      <c15:f>[1]Prices!$H$499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C-4E07-4AED-B744-DBFF2ED8884B}"/>
                </c:ext>
              </c:extLst>
            </c:dLbl>
            <c:dLbl>
              <c:idx val="497"/>
              <c:tx>
                <c:strRef>
                  <c:f>[1]Prices!$H$500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{AE26113D-4367-4F5A-9B6D-17C52B3AAACA}</c15:txfldGUID>
                      <c15:f>[1]Prices!$H$500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D-4E07-4AED-B744-DBFF2ED8884B}"/>
                </c:ext>
              </c:extLst>
            </c:dLbl>
            <c:dLbl>
              <c:idx val="498"/>
              <c:tx>
                <c:strRef>
                  <c:f>[1]Prices!$H$501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{AD0BEBC2-46B9-4E0E-A471-A1DE650E33E9}</c15:txfldGUID>
                      <c15:f>[1]Prices!$H$501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E-4E07-4AED-B744-DBFF2ED8884B}"/>
                </c:ext>
              </c:extLst>
            </c:dLbl>
            <c:dLbl>
              <c:idx val="499"/>
              <c:tx>
                <c:strRef>
                  <c:f>[1]Prices!$H$502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{84F7FC33-EA8B-4966-AC2B-9B62B8804468}</c15:txfldGUID>
                      <c15:f>[1]Prices!$H$502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F-4E07-4AED-B744-DBFF2ED8884B}"/>
                </c:ext>
              </c:extLst>
            </c:dLbl>
            <c:dLbl>
              <c:idx val="500"/>
              <c:tx>
                <c:strRef>
                  <c:f>[1]Prices!$H$503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{0A0E784A-7D0E-4953-B8D2-C9A8426B1CDE}</c15:txfldGUID>
                      <c15:f>[1]Prices!$H$503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0-4E07-4AED-B744-DBFF2ED8884B}"/>
                </c:ext>
              </c:extLst>
            </c:dLbl>
            <c:dLbl>
              <c:idx val="501"/>
              <c:tx>
                <c:strRef>
                  <c:f>[1]Prices!$H$504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{C4AD38D3-BEE1-4484-B4E2-EB4C2FBD0DD8}</c15:txfldGUID>
                      <c15:f>[1]Prices!$H$504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1-4E07-4AED-B744-DBFF2ED8884B}"/>
                </c:ext>
              </c:extLst>
            </c:dLbl>
            <c:dLbl>
              <c:idx val="502"/>
              <c:tx>
                <c:strRef>
                  <c:f>[1]Prices!$H$505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{321191B5-6888-41C0-98FE-D1D9DE4A1D94}</c15:txfldGUID>
                      <c15:f>[1]Prices!$H$505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2-4E07-4AED-B744-DBFF2ED8884B}"/>
                </c:ext>
              </c:extLst>
            </c:dLbl>
            <c:dLbl>
              <c:idx val="503"/>
              <c:tx>
                <c:strRef>
                  <c:f>[1]Prices!$H$506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{E2FF8A4E-A4F0-4182-B617-AE37A8F6756B}</c15:txfldGUID>
                      <c15:f>[1]Prices!$H$506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3-4E07-4AED-B744-DBFF2ED8884B}"/>
                </c:ext>
              </c:extLst>
            </c:dLbl>
            <c:dLbl>
              <c:idx val="504"/>
              <c:tx>
                <c:strRef>
                  <c:f>[1]Prices!$H$507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{B94E2790-5808-4EB9-82A8-E63011896174}</c15:txfldGUID>
                      <c15:f>[1]Prices!$H$507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4-4E07-4AED-B744-DBFF2ED8884B}"/>
                </c:ext>
              </c:extLst>
            </c:dLbl>
            <c:dLbl>
              <c:idx val="505"/>
              <c:tx>
                <c:strRef>
                  <c:f>[1]Prices!$H$508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{9B7769B1-9630-4EDE-86E2-D0A5EDA831D4}</c15:txfldGUID>
                      <c15:f>[1]Prices!$H$508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5-4E07-4AED-B744-DBFF2ED8884B}"/>
                </c:ext>
              </c:extLst>
            </c:dLbl>
            <c:dLbl>
              <c:idx val="506"/>
              <c:tx>
                <c:strRef>
                  <c:f>[1]Prices!$H$509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{679E7B94-3FFC-4B39-B46E-96FF4E9EF2ED}</c15:txfldGUID>
                      <c15:f>[1]Prices!$H$509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6-4E07-4AED-B744-DBFF2ED8884B}"/>
                </c:ext>
              </c:extLst>
            </c:dLbl>
            <c:dLbl>
              <c:idx val="507"/>
              <c:tx>
                <c:strRef>
                  <c:f>[1]Prices!$H$510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{FFC07CA9-A719-4B0D-8535-2C312117CB0A}</c15:txfldGUID>
                      <c15:f>[1]Prices!$H$510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7-4E07-4AED-B744-DBFF2ED8884B}"/>
                </c:ext>
              </c:extLst>
            </c:dLbl>
            <c:dLbl>
              <c:idx val="508"/>
              <c:tx>
                <c:strRef>
                  <c:f>[1]Prices!$H$511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{B6B11DE4-C8B2-4533-A346-EDDEC591323F}</c15:txfldGUID>
                      <c15:f>[1]Prices!$H$511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8-4E07-4AED-B744-DBFF2ED8884B}"/>
                </c:ext>
              </c:extLst>
            </c:dLbl>
            <c:dLbl>
              <c:idx val="509"/>
              <c:tx>
                <c:strRef>
                  <c:f>[1]Prices!$H$512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{75171A34-2D7F-4DB0-817C-C003396728F6}</c15:txfldGUID>
                      <c15:f>[1]Prices!$H$512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9-4E07-4AED-B744-DBFF2ED8884B}"/>
                </c:ext>
              </c:extLst>
            </c:dLbl>
            <c:dLbl>
              <c:idx val="510"/>
              <c:tx>
                <c:strRef>
                  <c:f>[1]Prices!$H$513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{56B822A1-C86F-4C56-9372-4E1BEBBD94BF}</c15:txfldGUID>
                      <c15:f>[1]Prices!$H$513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A-4E07-4AED-B744-DBFF2ED8884B}"/>
                </c:ext>
              </c:extLst>
            </c:dLbl>
            <c:dLbl>
              <c:idx val="511"/>
              <c:tx>
                <c:strRef>
                  <c:f>[1]Prices!$H$514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{DDD37AFF-7131-41B0-BC1D-38A85A0E29F7}</c15:txfldGUID>
                      <c15:f>[1]Prices!$H$514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B-4E07-4AED-B744-DBFF2ED8884B}"/>
                </c:ext>
              </c:extLst>
            </c:dLbl>
            <c:dLbl>
              <c:idx val="512"/>
              <c:tx>
                <c:strRef>
                  <c:f>[1]Prices!$H$515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{B67DF887-E393-49CC-90DB-88D00B112C45}</c15:txfldGUID>
                      <c15:f>[1]Prices!$H$515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C-4E07-4AED-B744-DBFF2ED8884B}"/>
                </c:ext>
              </c:extLst>
            </c:dLbl>
            <c:dLbl>
              <c:idx val="513"/>
              <c:tx>
                <c:strRef>
                  <c:f>[1]Prices!$H$516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{19BAD801-D95C-4FA7-8524-4158F13FB4A1}</c15:txfldGUID>
                      <c15:f>[1]Prices!$H$516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D-4E07-4AED-B744-DBFF2ED8884B}"/>
                </c:ext>
              </c:extLst>
            </c:dLbl>
            <c:dLbl>
              <c:idx val="514"/>
              <c:tx>
                <c:strRef>
                  <c:f>[1]Prices!$H$517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{8A5C4DAF-C9E0-4E53-A1FE-6113D56C2B6D}</c15:txfldGUID>
                      <c15:f>[1]Prices!$H$517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E-4E07-4AED-B744-DBFF2ED8884B}"/>
                </c:ext>
              </c:extLst>
            </c:dLbl>
            <c:dLbl>
              <c:idx val="515"/>
              <c:tx>
                <c:strRef>
                  <c:f>[1]Prices!$H$518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{3C9BAFA7-B520-4947-B1A5-93252439867E}</c15:txfldGUID>
                      <c15:f>[1]Prices!$H$518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F-4E07-4AED-B744-DBFF2ED8884B}"/>
                </c:ext>
              </c:extLst>
            </c:dLbl>
            <c:dLbl>
              <c:idx val="516"/>
              <c:tx>
                <c:strRef>
                  <c:f>[1]Prices!$H$519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{A89CD2A4-F3EA-4B37-851B-6974011DD8D4}</c15:txfldGUID>
                      <c15:f>[1]Prices!$H$519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0-4E07-4AED-B744-DBFF2ED8884B}"/>
                </c:ext>
              </c:extLst>
            </c:dLbl>
            <c:dLbl>
              <c:idx val="517"/>
              <c:tx>
                <c:strRef>
                  <c:f>[1]Prices!$H$520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{863434D1-191B-41BF-A55A-3422469E398B}</c15:txfldGUID>
                      <c15:f>[1]Prices!$H$520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1-4E07-4AED-B744-DBFF2ED8884B}"/>
                </c:ext>
              </c:extLst>
            </c:dLbl>
            <c:dLbl>
              <c:idx val="518"/>
              <c:tx>
                <c:strRef>
                  <c:f>[1]Prices!$H$521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{9D66D2E3-7AAD-42DA-A582-C095059FCD29}</c15:txfldGUID>
                      <c15:f>[1]Prices!$H$521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2-4E07-4AED-B744-DBFF2ED8884B}"/>
                </c:ext>
              </c:extLst>
            </c:dLbl>
            <c:dLbl>
              <c:idx val="519"/>
              <c:tx>
                <c:strRef>
                  <c:f>[1]Prices!$H$522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{5F9D8090-561C-43DA-84A2-0856E5414970}</c15:txfldGUID>
                      <c15:f>[1]Prices!$H$522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3-4E07-4AED-B744-DBFF2ED8884B}"/>
                </c:ext>
              </c:extLst>
            </c:dLbl>
            <c:dLbl>
              <c:idx val="520"/>
              <c:tx>
                <c:strRef>
                  <c:f>[1]Prices!$H$523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{034EDA0C-730A-4D43-A532-DDF6834142AF}</c15:txfldGUID>
                      <c15:f>[1]Prices!$H$523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4-4E07-4AED-B744-DBFF2ED8884B}"/>
                </c:ext>
              </c:extLst>
            </c:dLbl>
            <c:dLbl>
              <c:idx val="521"/>
              <c:tx>
                <c:strRef>
                  <c:f>[1]Prices!$H$524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{0B699CED-7341-43FC-B1EB-A964247699DA}</c15:txfldGUID>
                      <c15:f>[1]Prices!$H$524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5-4E07-4AED-B744-DBFF2ED8884B}"/>
                </c:ext>
              </c:extLst>
            </c:dLbl>
            <c:dLbl>
              <c:idx val="522"/>
              <c:tx>
                <c:strRef>
                  <c:f>[1]Prices!$H$525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{43F47F7E-2B87-401D-86C9-D709472A0A7F}</c15:txfldGUID>
                      <c15:f>[1]Prices!$H$525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6-4E07-4AED-B744-DBFF2ED8884B}"/>
                </c:ext>
              </c:extLst>
            </c:dLbl>
            <c:dLbl>
              <c:idx val="523"/>
              <c:tx>
                <c:strRef>
                  <c:f>[1]Prices!$H$526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{0DE8A562-3926-4420-82D0-0B2813BF89E3}</c15:txfldGUID>
                      <c15:f>[1]Prices!$H$526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7-4E07-4AED-B744-DBFF2ED8884B}"/>
                </c:ext>
              </c:extLst>
            </c:dLbl>
            <c:dLbl>
              <c:idx val="524"/>
              <c:tx>
                <c:strRef>
                  <c:f>[1]Prices!$H$527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{3CEBC56E-9940-412A-98B6-147CA9F2F130}</c15:txfldGUID>
                      <c15:f>[1]Prices!$H$527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8-4E07-4AED-B744-DBFF2ED8884B}"/>
                </c:ext>
              </c:extLst>
            </c:dLbl>
            <c:dLbl>
              <c:idx val="525"/>
              <c:tx>
                <c:strRef>
                  <c:f>[1]Prices!$H$528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{C236B1F9-FA90-4ACC-95AD-5129FA1F0414}</c15:txfldGUID>
                      <c15:f>[1]Prices!$H$528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9-4E07-4AED-B744-DBFF2ED8884B}"/>
                </c:ext>
              </c:extLst>
            </c:dLbl>
            <c:dLbl>
              <c:idx val="526"/>
              <c:tx>
                <c:strRef>
                  <c:f>[1]Prices!$H$529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{370EFD67-CB06-45D9-B7DC-5AD423C52BA8}</c15:txfldGUID>
                      <c15:f>[1]Prices!$H$529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A-4E07-4AED-B744-DBFF2ED8884B}"/>
                </c:ext>
              </c:extLst>
            </c:dLbl>
            <c:dLbl>
              <c:idx val="527"/>
              <c:tx>
                <c:strRef>
                  <c:f>[1]Prices!$H$530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{A50B723D-2E82-4F97-820D-EFE9F86EF0B7}</c15:txfldGUID>
                      <c15:f>[1]Prices!$H$530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B-4E07-4AED-B744-DBFF2ED8884B}"/>
                </c:ext>
              </c:extLst>
            </c:dLbl>
            <c:dLbl>
              <c:idx val="528"/>
              <c:tx>
                <c:strRef>
                  <c:f>[1]Prices!$H$531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{310926E5-E41C-4245-9A57-1E660C12E2E9}</c15:txfldGUID>
                      <c15:f>[1]Prices!$H$531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C-4E07-4AED-B744-DBFF2ED8884B}"/>
                </c:ext>
              </c:extLst>
            </c:dLbl>
            <c:dLbl>
              <c:idx val="529"/>
              <c:tx>
                <c:strRef>
                  <c:f>[1]Prices!$H$532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{7316C488-E9F2-436C-88E4-1A5A8D1D8C36}</c15:txfldGUID>
                      <c15:f>[1]Prices!$H$532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D-4E07-4AED-B744-DBFF2ED8884B}"/>
                </c:ext>
              </c:extLst>
            </c:dLbl>
            <c:dLbl>
              <c:idx val="530"/>
              <c:tx>
                <c:strRef>
                  <c:f>[1]Prices!$H$533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{7949BE2F-1FD4-4B05-BD0F-9A28A588BBA0}</c15:txfldGUID>
                      <c15:f>[1]Prices!$H$533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E-4E07-4AED-B744-DBFF2ED8884B}"/>
                </c:ext>
              </c:extLst>
            </c:dLbl>
            <c:dLbl>
              <c:idx val="531"/>
              <c:tx>
                <c:strRef>
                  <c:f>[1]Prices!$H$534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{F3C0369C-F5C1-45D4-8ACD-CB060CC73B1A}</c15:txfldGUID>
                      <c15:f>[1]Prices!$H$534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F-4E07-4AED-B744-DBFF2ED8884B}"/>
                </c:ext>
              </c:extLst>
            </c:dLbl>
            <c:dLbl>
              <c:idx val="532"/>
              <c:tx>
                <c:strRef>
                  <c:f>[1]Prices!$H$535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{5306F820-FB40-43DF-BDE9-B4E50962FAE7}</c15:txfldGUID>
                      <c15:f>[1]Prices!$H$535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0-4E07-4AED-B744-DBFF2ED8884B}"/>
                </c:ext>
              </c:extLst>
            </c:dLbl>
            <c:dLbl>
              <c:idx val="533"/>
              <c:tx>
                <c:strRef>
                  <c:f>[1]Prices!$H$536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{88A490BA-7399-4AA2-8076-B929626934E6}</c15:txfldGUID>
                      <c15:f>[1]Prices!$H$536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1-4E07-4AED-B744-DBFF2ED8884B}"/>
                </c:ext>
              </c:extLst>
            </c:dLbl>
            <c:dLbl>
              <c:idx val="534"/>
              <c:tx>
                <c:strRef>
                  <c:f>[1]Prices!$H$537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{9AF2FFAB-5EF8-48C3-A010-1B621CDE4975}</c15:txfldGUID>
                      <c15:f>[1]Prices!$H$537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2-4E07-4AED-B744-DBFF2ED8884B}"/>
                </c:ext>
              </c:extLst>
            </c:dLbl>
            <c:dLbl>
              <c:idx val="535"/>
              <c:tx>
                <c:strRef>
                  <c:f>[1]Prices!$H$538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{9FC5077F-177A-4C04-9BD5-47C0BE194F95}</c15:txfldGUID>
                      <c15:f>[1]Prices!$H$538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3-4E07-4AED-B744-DBFF2ED8884B}"/>
                </c:ext>
              </c:extLst>
            </c:dLbl>
            <c:dLbl>
              <c:idx val="536"/>
              <c:tx>
                <c:strRef>
                  <c:f>[1]Prices!$H$539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{A8218EF6-3906-4E46-8471-4100597AEAB9}</c15:txfldGUID>
                      <c15:f>[1]Prices!$H$539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4-4E07-4AED-B744-DBFF2ED8884B}"/>
                </c:ext>
              </c:extLst>
            </c:dLbl>
            <c:dLbl>
              <c:idx val="537"/>
              <c:tx>
                <c:strRef>
                  <c:f>[1]Prices!$H$540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{FC1FB348-BDC9-4E5A-8913-54DFFC16A086}</c15:txfldGUID>
                      <c15:f>[1]Prices!$H$540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5-4E07-4AED-B744-DBFF2ED8884B}"/>
                </c:ext>
              </c:extLst>
            </c:dLbl>
            <c:dLbl>
              <c:idx val="538"/>
              <c:tx>
                <c:strRef>
                  <c:f>[1]Prices!$H$541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{ABECC1D8-E782-4B25-95BF-CCB31AF451AB}</c15:txfldGUID>
                      <c15:f>[1]Prices!$H$541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6-4E07-4AED-B744-DBFF2ED8884B}"/>
                </c:ext>
              </c:extLst>
            </c:dLbl>
            <c:dLbl>
              <c:idx val="539"/>
              <c:tx>
                <c:strRef>
                  <c:f>[1]Prices!$H$542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{B260C798-32CC-4896-A8FC-56E4333774D4}</c15:txfldGUID>
                      <c15:f>[1]Prices!$H$542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7-4E07-4AED-B744-DBFF2ED8884B}"/>
                </c:ext>
              </c:extLst>
            </c:dLbl>
            <c:dLbl>
              <c:idx val="540"/>
              <c:tx>
                <c:strRef>
                  <c:f>[1]Prices!$H$543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{BD6ED82C-41DF-4FF5-A65E-682A8AD9CD9A}</c15:txfldGUID>
                      <c15:f>[1]Prices!$H$543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8-4E07-4AED-B744-DBFF2ED8884B}"/>
                </c:ext>
              </c:extLst>
            </c:dLbl>
            <c:dLbl>
              <c:idx val="541"/>
              <c:tx>
                <c:strRef>
                  <c:f>[1]Prices!$H$544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{248F146D-34E5-4BCB-A3D2-6823C8557B44}</c15:txfldGUID>
                      <c15:f>[1]Prices!$H$544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9-4E07-4AED-B744-DBFF2ED8884B}"/>
                </c:ext>
              </c:extLst>
            </c:dLbl>
            <c:dLbl>
              <c:idx val="542"/>
              <c:tx>
                <c:strRef>
                  <c:f>[1]Prices!$H$545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{5CB78E96-EC30-4088-B29E-C14651FDCD2B}</c15:txfldGUID>
                      <c15:f>[1]Prices!$H$545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A-4E07-4AED-B744-DBFF2ED8884B}"/>
                </c:ext>
              </c:extLst>
            </c:dLbl>
            <c:dLbl>
              <c:idx val="543"/>
              <c:tx>
                <c:strRef>
                  <c:f>[1]Prices!$H$546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{89C33B2B-8874-462A-B8B6-55625E4A7061}</c15:txfldGUID>
                      <c15:f>[1]Prices!$H$546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B-4E07-4AED-B744-DBFF2ED8884B}"/>
                </c:ext>
              </c:extLst>
            </c:dLbl>
            <c:dLbl>
              <c:idx val="544"/>
              <c:tx>
                <c:strRef>
                  <c:f>[1]Prices!$H$547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{A63CF34E-F898-46C8-9C4F-97CC67E8366B}</c15:txfldGUID>
                      <c15:f>[1]Prices!$H$547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C-4E07-4AED-B744-DBFF2ED8884B}"/>
                </c:ext>
              </c:extLst>
            </c:dLbl>
            <c:dLbl>
              <c:idx val="545"/>
              <c:tx>
                <c:strRef>
                  <c:f>[1]Prices!$H$548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{AC41F293-DD0B-4764-923D-B9FBDFF2F505}</c15:txfldGUID>
                      <c15:f>[1]Prices!$H$548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D-4E07-4AED-B744-DBFF2ED8884B}"/>
                </c:ext>
              </c:extLst>
            </c:dLbl>
            <c:dLbl>
              <c:idx val="546"/>
              <c:tx>
                <c:strRef>
                  <c:f>[1]Prices!$H$549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{0B942C0F-23A1-4C8B-A79D-2CD25B29C92A}</c15:txfldGUID>
                      <c15:f>[1]Prices!$H$549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E-4E07-4AED-B744-DBFF2ED8884B}"/>
                </c:ext>
              </c:extLst>
            </c:dLbl>
            <c:dLbl>
              <c:idx val="547"/>
              <c:tx>
                <c:strRef>
                  <c:f>[1]Prices!$H$550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{A3A40EBE-1884-40AB-9C02-095FAFA9536B}</c15:txfldGUID>
                      <c15:f>[1]Prices!$H$550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F-4E07-4AED-B744-DBFF2ED8884B}"/>
                </c:ext>
              </c:extLst>
            </c:dLbl>
            <c:dLbl>
              <c:idx val="548"/>
              <c:tx>
                <c:strRef>
                  <c:f>[1]Prices!$H$551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{8E779972-F87A-4FFD-A3E3-EFE8367A1CFE}</c15:txfldGUID>
                      <c15:f>[1]Prices!$H$551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0-4E07-4AED-B744-DBFF2ED8884B}"/>
                </c:ext>
              </c:extLst>
            </c:dLbl>
            <c:dLbl>
              <c:idx val="549"/>
              <c:tx>
                <c:strRef>
                  <c:f>[1]Prices!$H$552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{3298F7ED-D3A9-4D29-A0F1-F7DD7933CB55}</c15:txfldGUID>
                      <c15:f>[1]Prices!$H$552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1-4E07-4AED-B744-DBFF2ED8884B}"/>
                </c:ext>
              </c:extLst>
            </c:dLbl>
            <c:dLbl>
              <c:idx val="550"/>
              <c:tx>
                <c:strRef>
                  <c:f>[1]Prices!$H$553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{118AA98E-4699-4CFA-8F54-AF332EAD2929}</c15:txfldGUID>
                      <c15:f>[1]Prices!$H$553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2-4E07-4AED-B744-DBFF2ED8884B}"/>
                </c:ext>
              </c:extLst>
            </c:dLbl>
            <c:dLbl>
              <c:idx val="551"/>
              <c:tx>
                <c:strRef>
                  <c:f>[1]Prices!$H$554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{08986D6E-861C-4B13-AA27-3B2746DD4036}</c15:txfldGUID>
                      <c15:f>[1]Prices!$H$554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3-4E07-4AED-B744-DBFF2ED8884B}"/>
                </c:ext>
              </c:extLst>
            </c:dLbl>
            <c:dLbl>
              <c:idx val="552"/>
              <c:tx>
                <c:strRef>
                  <c:f>[1]Prices!$H$555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{9E4B3C94-8AB9-4874-9C49-8D22B32CD1FF}</c15:txfldGUID>
                      <c15:f>[1]Prices!$H$555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4-4E07-4AED-B744-DBFF2ED8884B}"/>
                </c:ext>
              </c:extLst>
            </c:dLbl>
            <c:dLbl>
              <c:idx val="553"/>
              <c:tx>
                <c:strRef>
                  <c:f>[1]Prices!$H$556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{4D626F1F-8F14-455C-B9AE-1CA98365C103}</c15:txfldGUID>
                      <c15:f>[1]Prices!$H$556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5-4E07-4AED-B744-DBFF2ED8884B}"/>
                </c:ext>
              </c:extLst>
            </c:dLbl>
            <c:dLbl>
              <c:idx val="554"/>
              <c:tx>
                <c:strRef>
                  <c:f>[1]Prices!$H$557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{275D3F92-BEE9-4BC4-BA19-F0C7AE62AE41}</c15:txfldGUID>
                      <c15:f>[1]Prices!$H$557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6-4E07-4AED-B744-DBFF2ED8884B}"/>
                </c:ext>
              </c:extLst>
            </c:dLbl>
            <c:dLbl>
              <c:idx val="555"/>
              <c:tx>
                <c:strRef>
                  <c:f>[1]Prices!$H$558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{0DF69194-948A-4B51-989A-CC4CE9615EC5}</c15:txfldGUID>
                      <c15:f>[1]Prices!$H$558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7-4E07-4AED-B744-DBFF2ED8884B}"/>
                </c:ext>
              </c:extLst>
            </c:dLbl>
            <c:dLbl>
              <c:idx val="556"/>
              <c:tx>
                <c:strRef>
                  <c:f>[1]Prices!$H$559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{D2F17F83-CA33-4914-8D58-CE5C6521983D}</c15:txfldGUID>
                      <c15:f>[1]Prices!$H$559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8-4E07-4AED-B744-DBFF2ED8884B}"/>
                </c:ext>
              </c:extLst>
            </c:dLbl>
            <c:dLbl>
              <c:idx val="557"/>
              <c:tx>
                <c:strRef>
                  <c:f>[1]Prices!$H$560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{7DDA502A-2A72-4FEE-8651-3CC9DA3CCFBE}</c15:txfldGUID>
                      <c15:f>[1]Prices!$H$560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9-4E07-4AED-B744-DBFF2ED8884B}"/>
                </c:ext>
              </c:extLst>
            </c:dLbl>
            <c:dLbl>
              <c:idx val="558"/>
              <c:tx>
                <c:strRef>
                  <c:f>[1]Prices!$H$561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{6746FB7B-D40A-444B-8406-EA727D363145}</c15:txfldGUID>
                      <c15:f>[1]Prices!$H$561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A-4E07-4AED-B744-DBFF2ED8884B}"/>
                </c:ext>
              </c:extLst>
            </c:dLbl>
            <c:dLbl>
              <c:idx val="559"/>
              <c:tx>
                <c:strRef>
                  <c:f>[1]Prices!$H$562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{9DA63908-7DBD-4650-BE50-43591295CA3A}</c15:txfldGUID>
                      <c15:f>[1]Prices!$H$562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B-4E07-4AED-B744-DBFF2ED8884B}"/>
                </c:ext>
              </c:extLst>
            </c:dLbl>
            <c:dLbl>
              <c:idx val="560"/>
              <c:tx>
                <c:strRef>
                  <c:f>[1]Prices!$H$563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{47A4BB5B-D4F5-438C-A5EB-2F13FB66162C}</c15:txfldGUID>
                      <c15:f>[1]Prices!$H$563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C-4E07-4AED-B744-DBFF2ED8884B}"/>
                </c:ext>
              </c:extLst>
            </c:dLbl>
            <c:dLbl>
              <c:idx val="561"/>
              <c:tx>
                <c:strRef>
                  <c:f>[1]Prices!$H$564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{348AEFA3-1FCC-43B1-9576-344430DFC6CC}</c15:txfldGUID>
                      <c15:f>[1]Prices!$H$564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D-4E07-4AED-B744-DBFF2ED8884B}"/>
                </c:ext>
              </c:extLst>
            </c:dLbl>
            <c:dLbl>
              <c:idx val="562"/>
              <c:tx>
                <c:strRef>
                  <c:f>[1]Prices!$H$565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{8EAF457F-8619-4D47-9E55-8E6DA101C821}</c15:txfldGUID>
                      <c15:f>[1]Prices!$H$565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E-4E07-4AED-B744-DBFF2ED8884B}"/>
                </c:ext>
              </c:extLst>
            </c:dLbl>
            <c:dLbl>
              <c:idx val="563"/>
              <c:tx>
                <c:strRef>
                  <c:f>[1]Prices!$H$566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{C845D9E4-9DA0-4B71-B14F-C345B980F3D9}</c15:txfldGUID>
                      <c15:f>[1]Prices!$H$566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F-4E07-4AED-B744-DBFF2ED8884B}"/>
                </c:ext>
              </c:extLst>
            </c:dLbl>
            <c:dLbl>
              <c:idx val="564"/>
              <c:tx>
                <c:strRef>
                  <c:f>[1]Prices!$H$567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{7BA168B5-B1C1-4470-A55C-7551027D730C}</c15:txfldGUID>
                      <c15:f>[1]Prices!$H$567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0-4E07-4AED-B744-DBFF2ED8884B}"/>
                </c:ext>
              </c:extLst>
            </c:dLbl>
            <c:dLbl>
              <c:idx val="565"/>
              <c:tx>
                <c:strRef>
                  <c:f>[1]Prices!$H$568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{4738530B-9403-405F-94FD-FEB1A494668E}</c15:txfldGUID>
                      <c15:f>[1]Prices!$H$568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1-4E07-4AED-B744-DBFF2ED8884B}"/>
                </c:ext>
              </c:extLst>
            </c:dLbl>
            <c:dLbl>
              <c:idx val="566"/>
              <c:tx>
                <c:strRef>
                  <c:f>[1]Prices!$H$569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{6B59EB52-025C-4066-83E4-3BB6C7ADF156}</c15:txfldGUID>
                      <c15:f>[1]Prices!$H$569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2-4E07-4AED-B744-DBFF2ED8884B}"/>
                </c:ext>
              </c:extLst>
            </c:dLbl>
            <c:dLbl>
              <c:idx val="567"/>
              <c:tx>
                <c:strRef>
                  <c:f>[1]Prices!$H$570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{E04F1323-4B33-4876-997E-EF66E99CDAF2}</c15:txfldGUID>
                      <c15:f>[1]Prices!$H$570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3-4E07-4AED-B744-DBFF2ED8884B}"/>
                </c:ext>
              </c:extLst>
            </c:dLbl>
            <c:dLbl>
              <c:idx val="568"/>
              <c:tx>
                <c:strRef>
                  <c:f>[1]Prices!$H$571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{5B5EABA4-B177-415E-B28F-9E9D2EEC76FB}</c15:txfldGUID>
                      <c15:f>[1]Prices!$H$571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4-4E07-4AED-B744-DBFF2ED8884B}"/>
                </c:ext>
              </c:extLst>
            </c:dLbl>
            <c:dLbl>
              <c:idx val="569"/>
              <c:tx>
                <c:strRef>
                  <c:f>[1]Prices!$H$572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{BBAC2F9A-C295-44CA-B8EA-32761330EB53}</c15:txfldGUID>
                      <c15:f>[1]Prices!$H$572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5-4E07-4AED-B744-DBFF2ED8884B}"/>
                </c:ext>
              </c:extLst>
            </c:dLbl>
            <c:dLbl>
              <c:idx val="570"/>
              <c:tx>
                <c:strRef>
                  <c:f>[1]Prices!$H$573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{5DCE3C1F-0441-4CFF-9104-0A43806C7DFA}</c15:txfldGUID>
                      <c15:f>[1]Prices!$H$573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6-4E07-4AED-B744-DBFF2ED8884B}"/>
                </c:ext>
              </c:extLst>
            </c:dLbl>
            <c:dLbl>
              <c:idx val="571"/>
              <c:tx>
                <c:strRef>
                  <c:f>[1]Prices!$H$574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{23A205D8-06D4-439D-809D-2177359E97B7}</c15:txfldGUID>
                      <c15:f>[1]Prices!$H$574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7-4E07-4AED-B744-DBFF2ED8884B}"/>
                </c:ext>
              </c:extLst>
            </c:dLbl>
            <c:dLbl>
              <c:idx val="572"/>
              <c:tx>
                <c:strRef>
                  <c:f>[1]Prices!$H$575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{D3C6C131-3BE4-406A-8B6F-2249460390D9}</c15:txfldGUID>
                      <c15:f>[1]Prices!$H$575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8-4E07-4AED-B744-DBFF2ED8884B}"/>
                </c:ext>
              </c:extLst>
            </c:dLbl>
            <c:dLbl>
              <c:idx val="573"/>
              <c:tx>
                <c:strRef>
                  <c:f>[1]Prices!$H$576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{6ED6C457-3FE5-49EC-BA2E-CFF54C4C24BF}</c15:txfldGUID>
                      <c15:f>[1]Prices!$H$576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9-4E07-4AED-B744-DBFF2ED8884B}"/>
                </c:ext>
              </c:extLst>
            </c:dLbl>
            <c:dLbl>
              <c:idx val="574"/>
              <c:tx>
                <c:strRef>
                  <c:f>[1]Prices!$H$577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{897635B8-195B-41D7-BFA7-932422312DA6}</c15:txfldGUID>
                      <c15:f>[1]Prices!$H$577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A-4E07-4AED-B744-DBFF2ED8884B}"/>
                </c:ext>
              </c:extLst>
            </c:dLbl>
            <c:dLbl>
              <c:idx val="575"/>
              <c:tx>
                <c:strRef>
                  <c:f>[1]Prices!$H$578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{1D016C47-A667-4AB0-AE62-4BAB6860DA1E}</c15:txfldGUID>
                      <c15:f>[1]Prices!$H$578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B-4E07-4AED-B744-DBFF2ED8884B}"/>
                </c:ext>
              </c:extLst>
            </c:dLbl>
            <c:dLbl>
              <c:idx val="576"/>
              <c:tx>
                <c:strRef>
                  <c:f>[1]Prices!$H$579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{1809179C-9195-4CDC-80E0-C9E4D555C8D1}</c15:txfldGUID>
                      <c15:f>[1]Prices!$H$579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C-4E07-4AED-B744-DBFF2ED8884B}"/>
                </c:ext>
              </c:extLst>
            </c:dLbl>
            <c:dLbl>
              <c:idx val="577"/>
              <c:tx>
                <c:strRef>
                  <c:f>[1]Prices!$H$580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{04B3D3EF-95C4-4E19-A6DA-4AAAE60ED62A}</c15:txfldGUID>
                      <c15:f>[1]Prices!$H$580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D-4E07-4AED-B744-DBFF2ED8884B}"/>
                </c:ext>
              </c:extLst>
            </c:dLbl>
            <c:dLbl>
              <c:idx val="578"/>
              <c:tx>
                <c:strRef>
                  <c:f>[1]Prices!$H$581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{A2739DC0-0F2B-443E-A14D-0B216C6E98D8}</c15:txfldGUID>
                      <c15:f>[1]Prices!$H$581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E-4E07-4AED-B744-DBFF2ED8884B}"/>
                </c:ext>
              </c:extLst>
            </c:dLbl>
            <c:dLbl>
              <c:idx val="579"/>
              <c:tx>
                <c:strRef>
                  <c:f>[1]Prices!$H$582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{666A4263-CBB0-426B-A515-782FF30FFD46}</c15:txfldGUID>
                      <c15:f>[1]Prices!$H$582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F-4E07-4AED-B744-DBFF2ED8884B}"/>
                </c:ext>
              </c:extLst>
            </c:dLbl>
            <c:dLbl>
              <c:idx val="580"/>
              <c:tx>
                <c:strRef>
                  <c:f>[1]Prices!$H$583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{E508C7AF-D620-4BCC-8F73-0736B00BC1E7}</c15:txfldGUID>
                      <c15:f>[1]Prices!$H$583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0-4E07-4AED-B744-DBFF2ED8884B}"/>
                </c:ext>
              </c:extLst>
            </c:dLbl>
            <c:dLbl>
              <c:idx val="581"/>
              <c:tx>
                <c:strRef>
                  <c:f>[1]Prices!$H$584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{4B6496E8-A607-4897-8573-C499B105B406}</c15:txfldGUID>
                      <c15:f>[1]Prices!$H$584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1-4E07-4AED-B744-DBFF2ED8884B}"/>
                </c:ext>
              </c:extLst>
            </c:dLbl>
            <c:dLbl>
              <c:idx val="582"/>
              <c:tx>
                <c:strRef>
                  <c:f>[1]Prices!$H$585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{704A9264-589A-46E5-B373-59777A0E9370}</c15:txfldGUID>
                      <c15:f>[1]Prices!$H$585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2-4E07-4AED-B744-DBFF2ED8884B}"/>
                </c:ext>
              </c:extLst>
            </c:dLbl>
            <c:dLbl>
              <c:idx val="583"/>
              <c:tx>
                <c:strRef>
                  <c:f>[1]Prices!$H$586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{9E7624D7-D594-464F-B333-6C60F02D8E67}</c15:txfldGUID>
                      <c15:f>[1]Prices!$H$586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3-4E07-4AED-B744-DBFF2ED8884B}"/>
                </c:ext>
              </c:extLst>
            </c:dLbl>
            <c:dLbl>
              <c:idx val="584"/>
              <c:tx>
                <c:strRef>
                  <c:f>[1]Prices!$H$587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{699E3907-122A-4BC8-8177-423A3F212D43}</c15:txfldGUID>
                      <c15:f>[1]Prices!$H$587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4-4E07-4AED-B744-DBFF2ED8884B}"/>
                </c:ext>
              </c:extLst>
            </c:dLbl>
            <c:dLbl>
              <c:idx val="585"/>
              <c:tx>
                <c:strRef>
                  <c:f>[1]Prices!$H$588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{F214D438-0685-4B4D-86AF-ED16ACA7D383}</c15:txfldGUID>
                      <c15:f>[1]Prices!$H$588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5-4E07-4AED-B744-DBFF2ED8884B}"/>
                </c:ext>
              </c:extLst>
            </c:dLbl>
            <c:dLbl>
              <c:idx val="586"/>
              <c:tx>
                <c:strRef>
                  <c:f>[1]Prices!$H$589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{58C93D1A-85E4-4D4D-8B71-01D374835366}</c15:txfldGUID>
                      <c15:f>[1]Prices!$H$589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6-4E07-4AED-B744-DBFF2ED8884B}"/>
                </c:ext>
              </c:extLst>
            </c:dLbl>
            <c:dLbl>
              <c:idx val="587"/>
              <c:tx>
                <c:strRef>
                  <c:f>[1]Prices!$H$590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{EA9C4468-4812-42E5-BAE2-F1956C208551}</c15:txfldGUID>
                      <c15:f>[1]Prices!$H$590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7-4E07-4AED-B744-DBFF2ED8884B}"/>
                </c:ext>
              </c:extLst>
            </c:dLbl>
            <c:dLbl>
              <c:idx val="588"/>
              <c:tx>
                <c:strRef>
                  <c:f>[1]Prices!$H$591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{D2BF17D8-2D6B-4E2C-8B89-DF18320F97EB}</c15:txfldGUID>
                      <c15:f>[1]Prices!$H$591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8-4E07-4AED-B744-DBFF2ED8884B}"/>
                </c:ext>
              </c:extLst>
            </c:dLbl>
            <c:dLbl>
              <c:idx val="589"/>
              <c:tx>
                <c:strRef>
                  <c:f>[1]Prices!$H$592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{E468192A-C05C-42B9-A00D-58CB6136929F}</c15:txfldGUID>
                      <c15:f>[1]Prices!$H$592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9-4E07-4AED-B744-DBFF2ED8884B}"/>
                </c:ext>
              </c:extLst>
            </c:dLbl>
            <c:dLbl>
              <c:idx val="590"/>
              <c:tx>
                <c:strRef>
                  <c:f>[1]Prices!$H$593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{F7CB7F5C-3B08-47E4-B6AE-800E70ADB04B}</c15:txfldGUID>
                      <c15:f>[1]Prices!$H$593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A-4E07-4AED-B744-DBFF2ED8884B}"/>
                </c:ext>
              </c:extLst>
            </c:dLbl>
            <c:dLbl>
              <c:idx val="591"/>
              <c:tx>
                <c:strRef>
                  <c:f>[1]Prices!$H$594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{015723AA-3FBD-4F09-8283-24F9AE46DFCE}</c15:txfldGUID>
                      <c15:f>[1]Prices!$H$594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B-4E07-4AED-B744-DBFF2ED8884B}"/>
                </c:ext>
              </c:extLst>
            </c:dLbl>
            <c:dLbl>
              <c:idx val="592"/>
              <c:tx>
                <c:strRef>
                  <c:f>[1]Prices!$H$595</c:f>
                  <c:strCache>
                    <c:ptCount val="1"/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{835C04E4-C032-42E5-98EE-6772D101E990}</c15:txfldGUID>
                      <c15:f>[1]Prices!$H$595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C-4E07-4AED-B744-DBFF2ED8884B}"/>
                </c:ext>
              </c:extLst>
            </c:dLbl>
            <c:dLbl>
              <c:idx val="593"/>
              <c:tx>
                <c:strRef>
                  <c:f>[1]Prices!$H$596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{02C266AA-2466-4C54-8712-B6EDEBCE1C68}</c15:txfldGUID>
                      <c15:f>[1]Prices!$H$596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D-4E07-4AED-B744-DBFF2ED8884B}"/>
                </c:ext>
              </c:extLst>
            </c:dLbl>
            <c:dLbl>
              <c:idx val="594"/>
              <c:tx>
                <c:strRef>
                  <c:f>[1]Prices!$H$597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{A1902457-6DD2-40C2-8B1C-98FE83010DC4}</c15:txfldGUID>
                      <c15:f>[1]Prices!$H$597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E-4E07-4AED-B744-DBFF2ED8884B}"/>
                </c:ext>
              </c:extLst>
            </c:dLbl>
            <c:dLbl>
              <c:idx val="595"/>
              <c:tx>
                <c:strRef>
                  <c:f>[1]Prices!$H$598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{4CFD67CE-49BD-45A2-A9DE-5DAEE206E484}</c15:txfldGUID>
                      <c15:f>[1]Prices!$H$598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F-4E07-4AED-B744-DBFF2ED8884B}"/>
                </c:ext>
              </c:extLst>
            </c:dLbl>
            <c:dLbl>
              <c:idx val="596"/>
              <c:tx>
                <c:strRef>
                  <c:f>[1]Prices!$H$599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{F1AA9FE7-4333-42CE-B8BF-B234294E91D1}</c15:txfldGUID>
                      <c15:f>[1]Prices!$H$599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0-4E07-4AED-B744-DBFF2ED8884B}"/>
                </c:ext>
              </c:extLst>
            </c:dLbl>
            <c:dLbl>
              <c:idx val="597"/>
              <c:tx>
                <c:strRef>
                  <c:f>[1]Prices!$H$600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{309AA866-E1B4-4C5F-9495-857F51FF6B82}</c15:txfldGUID>
                      <c15:f>[1]Prices!$H$600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1-4E07-4AED-B744-DBFF2ED8884B}"/>
                </c:ext>
              </c:extLst>
            </c:dLbl>
            <c:dLbl>
              <c:idx val="598"/>
              <c:tx>
                <c:strRef>
                  <c:f>[1]Prices!$H$601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{44C8ED76-1F53-4CD9-8FAC-BAC6786F6B9A}</c15:txfldGUID>
                      <c15:f>[1]Prices!$H$601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2-4E07-4AED-B744-DBFF2ED8884B}"/>
                </c:ext>
              </c:extLst>
            </c:dLbl>
            <c:dLbl>
              <c:idx val="599"/>
              <c:tx>
                <c:strRef>
                  <c:f>[1]Prices!$H$602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{44197E29-389D-4AF2-AED4-928B2268D3C0}</c15:txfldGUID>
                      <c15:f>[1]Prices!$H$602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3-4E07-4AED-B744-DBFF2ED8884B}"/>
                </c:ext>
              </c:extLst>
            </c:dLbl>
            <c:dLbl>
              <c:idx val="600"/>
              <c:tx>
                <c:strRef>
                  <c:f>[1]Prices!$H$603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{050E4512-DD00-4766-8759-603F8CB9A427}</c15:txfldGUID>
                      <c15:f>[1]Prices!$H$603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4-4E07-4AED-B744-DBFF2ED8884B}"/>
                </c:ext>
              </c:extLst>
            </c:dLbl>
            <c:dLbl>
              <c:idx val="601"/>
              <c:tx>
                <c:strRef>
                  <c:f>[1]Prices!$H$604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{0721581A-4AA0-4092-8023-B4596244D880}</c15:txfldGUID>
                      <c15:f>[1]Prices!$H$604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5-4E07-4AED-B744-DBFF2ED8884B}"/>
                </c:ext>
              </c:extLst>
            </c:dLbl>
            <c:dLbl>
              <c:idx val="602"/>
              <c:tx>
                <c:strRef>
                  <c:f>[1]Prices!$H$605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{7A1A4E78-D8FC-499A-B1A6-99F88023F66E}</c15:txfldGUID>
                      <c15:f>[1]Prices!$H$605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6-4E07-4AED-B744-DBFF2ED8884B}"/>
                </c:ext>
              </c:extLst>
            </c:dLbl>
            <c:dLbl>
              <c:idx val="603"/>
              <c:tx>
                <c:strRef>
                  <c:f>[1]Prices!$H$606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{97A871A6-44BF-49CB-8349-1047E1FEB89E}</c15:txfldGUID>
                      <c15:f>[1]Prices!$H$606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7-4E07-4AED-B744-DBFF2ED8884B}"/>
                </c:ext>
              </c:extLst>
            </c:dLbl>
            <c:dLbl>
              <c:idx val="604"/>
              <c:tx>
                <c:strRef>
                  <c:f>[1]Prices!$H$607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{1E198681-05B4-409C-A51D-EBC0CCCC68D5}</c15:txfldGUID>
                      <c15:f>[1]Prices!$H$607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8-4E07-4AED-B744-DBFF2ED8884B}"/>
                </c:ext>
              </c:extLst>
            </c:dLbl>
            <c:dLbl>
              <c:idx val="605"/>
              <c:tx>
                <c:strRef>
                  <c:f>[1]Prices!$H$608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{9F09B04B-42BF-411A-9968-184F3FD10E0D}</c15:txfldGUID>
                      <c15:f>[1]Prices!$H$608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9-4E07-4AED-B744-DBFF2ED8884B}"/>
                </c:ext>
              </c:extLst>
            </c:dLbl>
            <c:dLbl>
              <c:idx val="606"/>
              <c:tx>
                <c:strRef>
                  <c:f>[1]Prices!$H$609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{1B678736-5DF5-4767-ABD6-DCAAB111D5A8}</c15:txfldGUID>
                      <c15:f>[1]Prices!$H$609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A-4E07-4AED-B744-DBFF2ED8884B}"/>
                </c:ext>
              </c:extLst>
            </c:dLbl>
            <c:dLbl>
              <c:idx val="607"/>
              <c:tx>
                <c:strRef>
                  <c:f>[1]Prices!$H$610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{74BFE1A8-48D5-4C50-90CE-2426AADC3630}</c15:txfldGUID>
                      <c15:f>[1]Prices!$H$610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B-4E07-4AED-B744-DBFF2ED8884B}"/>
                </c:ext>
              </c:extLst>
            </c:dLbl>
            <c:dLbl>
              <c:idx val="608"/>
              <c:tx>
                <c:strRef>
                  <c:f>[1]Prices!$H$611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Calibri" panose="020F0502020204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{77558074-C5BA-4B05-ABC1-7786605C08FA}</c15:txfldGUID>
                      <c15:f>[1]Prices!$H$611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C-4E07-4AED-B744-DBFF2ED8884B}"/>
                </c:ext>
              </c:extLst>
            </c:dLbl>
            <c:dLbl>
              <c:idx val="609"/>
              <c:tx>
                <c:strRef>
                  <c:f>[1]Prices!$H$612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{46EFD9BE-8251-4680-9CED-214D432EBADC}</c15:txfldGUID>
                      <c15:f>[1]Prices!$H$612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D-4E07-4AED-B744-DBFF2ED8884B}"/>
                </c:ext>
              </c:extLst>
            </c:dLbl>
            <c:dLbl>
              <c:idx val="610"/>
              <c:tx>
                <c:strRef>
                  <c:f>[1]Prices!$H$613</c:f>
                  <c:strCache>
                    <c:ptCount val="1"/>
                    <c:pt idx="0">
                      <c:v>44136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{2F8470B9-7C57-4406-BBAD-5FC7E35D5DF9}</c15:txfldGUID>
                      <c15:f>[1]Prices!$H$613</c15:f>
                      <c15:dlblFieldTableCache>
                        <c:ptCount val="1"/>
                        <c:pt idx="0">
                          <c:v>44136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E-4E07-4AED-B744-DBFF2ED8884B}"/>
                </c:ext>
              </c:extLst>
            </c:dLbl>
            <c:dLbl>
              <c:idx val="611"/>
              <c:tx>
                <c:strRef>
                  <c:f>[1]Prices!$H$614</c:f>
                  <c:strCache>
                    <c:ptCount val="1"/>
                    <c:pt idx="0">
                      <c:v>44166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{8CFD7BB0-7866-4AE6-8A39-CCF9CAC86F71}</c15:txfldGUID>
                      <c15:f>[1]Prices!$H$614</c15:f>
                      <c15:dlblFieldTableCache>
                        <c:ptCount val="1"/>
                        <c:pt idx="0">
                          <c:v>44166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F-4E07-4AED-B744-DBFF2ED8884B}"/>
                </c:ext>
              </c:extLst>
            </c:dLbl>
            <c:dLbl>
              <c:idx val="612"/>
              <c:tx>
                <c:strRef>
                  <c:f>[1]Prices!$H$615</c:f>
                  <c:strCache>
                    <c:ptCount val="1"/>
                    <c:pt idx="0">
                      <c:v>44197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{59E9AF8E-298E-4DA8-A8EF-2B206F34D0D1}</c15:txfldGUID>
                      <c15:f>[1]Prices!$H$615</c15:f>
                      <c15:dlblFieldTableCache>
                        <c:ptCount val="1"/>
                        <c:pt idx="0">
                          <c:v>44197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0-4E07-4AED-B744-DBFF2ED8884B}"/>
                </c:ext>
              </c:extLst>
            </c:dLbl>
            <c:dLbl>
              <c:idx val="613"/>
              <c:tx>
                <c:strRef>
                  <c:f>[1]Prices!$H$616</c:f>
                  <c:strCache>
                    <c:ptCount val="1"/>
                    <c:pt idx="0">
                      <c:v>44228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{9489A5B4-69ED-4C2A-AD33-5FF9F175698A}</c15:txfldGUID>
                      <c15:f>[1]Prices!$H$616</c15:f>
                      <c15:dlblFieldTableCache>
                        <c:ptCount val="1"/>
                        <c:pt idx="0">
                          <c:v>44228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1-4E07-4AED-B744-DBFF2ED8884B}"/>
                </c:ext>
              </c:extLst>
            </c:dLbl>
            <c:dLbl>
              <c:idx val="614"/>
              <c:tx>
                <c:strRef>
                  <c:f>[1]Prices!$H$617</c:f>
                  <c:strCache>
                    <c:ptCount val="1"/>
                    <c:pt idx="0">
                      <c:v>44256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{EB383A31-8806-4064-AE79-C9372F081A5A}</c15:txfldGUID>
                      <c15:f>[1]Prices!$H$617</c15:f>
                      <c15:dlblFieldTableCache>
                        <c:ptCount val="1"/>
                        <c:pt idx="0">
                          <c:v>44256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2-4E07-4AED-B744-DBFF2ED8884B}"/>
                </c:ext>
              </c:extLst>
            </c:dLbl>
            <c:dLbl>
              <c:idx val="615"/>
              <c:tx>
                <c:strRef>
                  <c:f>[1]Prices!$H$618</c:f>
                  <c:strCache>
                    <c:ptCount val="1"/>
                    <c:pt idx="0">
                      <c:v>44287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{9A9D9482-8DC6-426B-8049-2FE342574DE4}</c15:txfldGUID>
                      <c15:f>[1]Prices!$H$618</c15:f>
                      <c15:dlblFieldTableCache>
                        <c:ptCount val="1"/>
                        <c:pt idx="0">
                          <c:v>44287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3-4E07-4AED-B744-DBFF2ED8884B}"/>
                </c:ext>
              </c:extLst>
            </c:dLbl>
            <c:dLbl>
              <c:idx val="616"/>
              <c:tx>
                <c:strRef>
                  <c:f>[1]Prices!$H$619</c:f>
                  <c:strCache>
                    <c:ptCount val="1"/>
                    <c:pt idx="0">
                      <c:v>44317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{2018257E-E1FE-45B1-867F-E1A695396237}</c15:txfldGUID>
                      <c15:f>[1]Prices!$H$619</c15:f>
                      <c15:dlblFieldTableCache>
                        <c:ptCount val="1"/>
                        <c:pt idx="0">
                          <c:v>44317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4-4E07-4AED-B744-DBFF2ED8884B}"/>
                </c:ext>
              </c:extLst>
            </c:dLbl>
            <c:dLbl>
              <c:idx val="617"/>
              <c:tx>
                <c:strRef>
                  <c:f>[1]Prices!$H$620</c:f>
                  <c:strCache>
                    <c:ptCount val="1"/>
                    <c:pt idx="0">
                      <c:v>44348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{71379204-6305-48D6-B2C0-7693DF4EA58A}</c15:txfldGUID>
                      <c15:f>[1]Prices!$H$620</c15:f>
                      <c15:dlblFieldTableCache>
                        <c:ptCount val="1"/>
                        <c:pt idx="0">
                          <c:v>44348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5-4E07-4AED-B744-DBFF2ED8884B}"/>
                </c:ext>
              </c:extLst>
            </c:dLbl>
            <c:dLbl>
              <c:idx val="618"/>
              <c:tx>
                <c:strRef>
                  <c:f>[1]Prices!$H$621</c:f>
                  <c:strCache>
                    <c:ptCount val="1"/>
                    <c:pt idx="0">
                      <c:v>44378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{5D6D3047-C707-4484-ACBA-1C2CE4867B35}</c15:txfldGUID>
                      <c15:f>[1]Prices!$H$621</c15:f>
                      <c15:dlblFieldTableCache>
                        <c:ptCount val="1"/>
                        <c:pt idx="0">
                          <c:v>44378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6-4E07-4AED-B744-DBFF2ED8884B}"/>
                </c:ext>
              </c:extLst>
            </c:dLbl>
            <c:dLbl>
              <c:idx val="619"/>
              <c:tx>
                <c:strRef>
                  <c:f>[1]Prices!$H$622</c:f>
                  <c:strCache>
                    <c:ptCount val="1"/>
                    <c:pt idx="0">
                      <c:v>44409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{A3C05E83-521B-4C13-84D8-90D2E438C708}</c15:txfldGUID>
                      <c15:f>[1]Prices!$H$622</c15:f>
                      <c15:dlblFieldTableCache>
                        <c:ptCount val="1"/>
                        <c:pt idx="0">
                          <c:v>44409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7-4E07-4AED-B744-DBFF2ED8884B}"/>
                </c:ext>
              </c:extLst>
            </c:dLbl>
            <c:dLbl>
              <c:idx val="620"/>
              <c:tx>
                <c:strRef>
                  <c:f>[1]Prices!$H$623</c:f>
                  <c:strCache>
                    <c:ptCount val="1"/>
                    <c:pt idx="0">
                      <c:v>44440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{6D1FD0AC-7FD9-4685-9C6F-E8E3DB9F7AF9}</c15:txfldGUID>
                      <c15:f>[1]Prices!$H$623</c15:f>
                      <c15:dlblFieldTableCache>
                        <c:ptCount val="1"/>
                        <c:pt idx="0">
                          <c:v>44440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8-4E07-4AED-B744-DBFF2ED8884B}"/>
                </c:ext>
              </c:extLst>
            </c:dLbl>
            <c:dLbl>
              <c:idx val="621"/>
              <c:tx>
                <c:strRef>
                  <c:f>[1]Prices!$H$624</c:f>
                  <c:strCache>
                    <c:ptCount val="1"/>
                    <c:pt idx="0">
                      <c:v>44470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{566A0D2F-2C0E-4F5B-8187-113EBAC4C436}</c15:txfldGUID>
                      <c15:f>[1]Prices!$H$624</c15:f>
                      <c15:dlblFieldTableCache>
                        <c:ptCount val="1"/>
                        <c:pt idx="0">
                          <c:v>44470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9-4E07-4AED-B744-DBFF2ED8884B}"/>
                </c:ext>
              </c:extLst>
            </c:dLbl>
            <c:dLbl>
              <c:idx val="622"/>
              <c:tx>
                <c:strRef>
                  <c:f>[1]Prices!$H$625</c:f>
                  <c:strCache>
                    <c:ptCount val="1"/>
                    <c:pt idx="0">
                      <c:v>44501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{74AE077A-FE42-42D9-97A7-3B00AB0BF41B}</c15:txfldGUID>
                      <c15:f>[1]Prices!$H$625</c15:f>
                      <c15:dlblFieldTableCache>
                        <c:ptCount val="1"/>
                        <c:pt idx="0">
                          <c:v>44501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A-4E07-4AED-B744-DBFF2ED8884B}"/>
                </c:ext>
              </c:extLst>
            </c:dLbl>
            <c:dLbl>
              <c:idx val="623"/>
              <c:tx>
                <c:strRef>
                  <c:f>[1]Prices!$H$626</c:f>
                  <c:strCache>
                    <c:ptCount val="1"/>
                    <c:pt idx="0">
                      <c:v>44531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{81D3B967-85D9-4915-95F6-5939D1FC518E}</c15:txfldGUID>
                      <c15:f>[1]Prices!$H$626</c15:f>
                      <c15:dlblFieldTableCache>
                        <c:ptCount val="1"/>
                        <c:pt idx="0">
                          <c:v>44531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B-4E07-4AED-B744-DBFF2ED8884B}"/>
                </c:ext>
              </c:extLst>
            </c:dLbl>
            <c:dLbl>
              <c:idx val="624"/>
              <c:tx>
                <c:strRef>
                  <c:f>[1]Prices!$H$627</c:f>
                  <c:strCache>
                    <c:ptCount val="1"/>
                    <c:pt idx="0">
                      <c:v>44562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{F70FB02B-F345-49D6-B6E2-8E138F75F892}</c15:txfldGUID>
                      <c15:f>[1]Prices!$H$627</c15:f>
                      <c15:dlblFieldTableCache>
                        <c:ptCount val="1"/>
                        <c:pt idx="0">
                          <c:v>44562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C-4E07-4AED-B744-DBFF2ED8884B}"/>
                </c:ext>
              </c:extLst>
            </c:dLbl>
            <c:dLbl>
              <c:idx val="625"/>
              <c:tx>
                <c:strRef>
                  <c:f>[1]Prices!$H$628</c:f>
                  <c:strCache>
                    <c:ptCount val="1"/>
                    <c:pt idx="0">
                      <c:v>44593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{C1D4FE1A-A6C8-458B-8EFD-43C8685828C8}</c15:txfldGUID>
                      <c15:f>[1]Prices!$H$628</c15:f>
                      <c15:dlblFieldTableCache>
                        <c:ptCount val="1"/>
                        <c:pt idx="0">
                          <c:v>44593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D-4E07-4AED-B744-DBFF2ED8884B}"/>
                </c:ext>
              </c:extLst>
            </c:dLbl>
            <c:dLbl>
              <c:idx val="626"/>
              <c:tx>
                <c:strRef>
                  <c:f>[1]Prices!$H$629</c:f>
                  <c:strCache>
                    <c:ptCount val="1"/>
                    <c:pt idx="0">
                      <c:v>44621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{960D6669-7FCA-4D76-AE57-2F063A770F3C}</c15:txfldGUID>
                      <c15:f>[1]Prices!$H$629</c15:f>
                      <c15:dlblFieldTableCache>
                        <c:ptCount val="1"/>
                        <c:pt idx="0">
                          <c:v>44621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E-4E07-4AED-B744-DBFF2ED8884B}"/>
                </c:ext>
              </c:extLst>
            </c:dLbl>
            <c:dLbl>
              <c:idx val="627"/>
              <c:tx>
                <c:strRef>
                  <c:f>[1]Prices!$H$630</c:f>
                  <c:strCache>
                    <c:ptCount val="1"/>
                    <c:pt idx="0">
                      <c:v>44652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{B9B888DC-782F-4D80-A3A6-BB4D8F31137B}</c15:txfldGUID>
                      <c15:f>[1]Prices!$H$630</c15:f>
                      <c15:dlblFieldTableCache>
                        <c:ptCount val="1"/>
                        <c:pt idx="0">
                          <c:v>44652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F-4E07-4AED-B744-DBFF2ED8884B}"/>
                </c:ext>
              </c:extLst>
            </c:dLbl>
            <c:dLbl>
              <c:idx val="628"/>
              <c:tx>
                <c:strRef>
                  <c:f>[1]Prices!$H$631</c:f>
                  <c:strCache>
                    <c:ptCount val="1"/>
                    <c:pt idx="0">
                      <c:v>44682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{4772332E-9851-47D3-AA06-319DB6ED3FBF}</c15:txfldGUID>
                      <c15:f>[1]Prices!$H$631</c15:f>
                      <c15:dlblFieldTableCache>
                        <c:ptCount val="1"/>
                        <c:pt idx="0">
                          <c:v>44682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0-4E07-4AED-B744-DBFF2ED8884B}"/>
                </c:ext>
              </c:extLst>
            </c:dLbl>
            <c:dLbl>
              <c:idx val="629"/>
              <c:tx>
                <c:strRef>
                  <c:f>[1]Prices!$H$632</c:f>
                  <c:strCache>
                    <c:ptCount val="1"/>
                    <c:pt idx="0">
                      <c:v>44713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{11F3B9F3-5C74-43F5-9E00-675914E63DE3}</c15:txfldGUID>
                      <c15:f>[1]Prices!$H$632</c15:f>
                      <c15:dlblFieldTableCache>
                        <c:ptCount val="1"/>
                        <c:pt idx="0">
                          <c:v>44713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1-4E07-4AED-B744-DBFF2ED8884B}"/>
                </c:ext>
              </c:extLst>
            </c:dLbl>
            <c:dLbl>
              <c:idx val="630"/>
              <c:tx>
                <c:strRef>
                  <c:f>[1]Prices!$H$633</c:f>
                  <c:strCache>
                    <c:ptCount val="1"/>
                    <c:pt idx="0">
                      <c:v>44743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{B246D812-5819-44A5-9F2E-793F59BAC44B}</c15:txfldGUID>
                      <c15:f>[1]Prices!$H$633</c15:f>
                      <c15:dlblFieldTableCache>
                        <c:ptCount val="1"/>
                        <c:pt idx="0">
                          <c:v>44743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2-4E07-4AED-B744-DBFF2ED8884B}"/>
                </c:ext>
              </c:extLst>
            </c:dLbl>
            <c:dLbl>
              <c:idx val="631"/>
              <c:tx>
                <c:strRef>
                  <c:f>[1]Prices!$H$634</c:f>
                  <c:strCache>
                    <c:ptCount val="1"/>
                    <c:pt idx="0">
                      <c:v>44774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{ED830F8E-AACA-4EB3-A76D-F7393527F8FB}</c15:txfldGUID>
                      <c15:f>[1]Prices!$H$634</c15:f>
                      <c15:dlblFieldTableCache>
                        <c:ptCount val="1"/>
                        <c:pt idx="0">
                          <c:v>44774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3-4E07-4AED-B744-DBFF2ED8884B}"/>
                </c:ext>
              </c:extLst>
            </c:dLbl>
            <c:dLbl>
              <c:idx val="632"/>
              <c:tx>
                <c:strRef>
                  <c:f>[1]Prices!$H$635</c:f>
                  <c:strCache>
                    <c:ptCount val="1"/>
                    <c:pt idx="0">
                      <c:v>44805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{7714F856-0BE7-4804-B55A-915D1583FA3B}</c15:txfldGUID>
                      <c15:f>[1]Prices!$H$635</c15:f>
                      <c15:dlblFieldTableCache>
                        <c:ptCount val="1"/>
                        <c:pt idx="0">
                          <c:v>44805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4-4E07-4AED-B744-DBFF2ED8884B}"/>
                </c:ext>
              </c:extLst>
            </c:dLbl>
            <c:dLbl>
              <c:idx val="633"/>
              <c:tx>
                <c:strRef>
                  <c:f>[1]Prices!$H$636</c:f>
                  <c:strCache>
                    <c:ptCount val="1"/>
                    <c:pt idx="0">
                      <c:v>44835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{BE5BAF14-87C9-49B3-A0B9-2D551BB4B963}</c15:txfldGUID>
                      <c15:f>[1]Prices!$H$636</c15:f>
                      <c15:dlblFieldTableCache>
                        <c:ptCount val="1"/>
                        <c:pt idx="0">
                          <c:v>44835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5-4E07-4AED-B744-DBFF2ED8884B}"/>
                </c:ext>
              </c:extLst>
            </c:dLbl>
            <c:dLbl>
              <c:idx val="634"/>
              <c:tx>
                <c:strRef>
                  <c:f>[1]Prices!$H$637</c:f>
                  <c:strCache>
                    <c:ptCount val="1"/>
                    <c:pt idx="0">
                      <c:v>44866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{153EC8AD-434C-4158-B96F-F0D1F3323DCC}</c15:txfldGUID>
                      <c15:f>[1]Prices!$H$637</c15:f>
                      <c15:dlblFieldTableCache>
                        <c:ptCount val="1"/>
                        <c:pt idx="0">
                          <c:v>44866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6-4E07-4AED-B744-DBFF2ED8884B}"/>
                </c:ext>
              </c:extLst>
            </c:dLbl>
            <c:dLbl>
              <c:idx val="635"/>
              <c:tx>
                <c:strRef>
                  <c:f>[1]Prices!$H$638</c:f>
                  <c:strCache>
                    <c:ptCount val="1"/>
                    <c:pt idx="0">
                      <c:v>44896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{AC38EC00-B8E1-439E-A86D-CD70E043A42A}</c15:txfldGUID>
                      <c15:f>[1]Prices!$H$638</c15:f>
                      <c15:dlblFieldTableCache>
                        <c:ptCount val="1"/>
                        <c:pt idx="0">
                          <c:v>44896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7-4E07-4AED-B744-DBFF2ED8884B}"/>
                </c:ext>
              </c:extLst>
            </c:dLbl>
            <c:dLbl>
              <c:idx val="636"/>
              <c:tx>
                <c:strRef>
                  <c:f>[1]Prices!$H$639</c:f>
                  <c:strCache>
                    <c:ptCount val="1"/>
                    <c:pt idx="0">
                      <c:v>44927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{392B46FB-B0A9-4DA4-8F74-980F775ED03A}</c15:txfldGUID>
                      <c15:f>[1]Prices!$H$639</c15:f>
                      <c15:dlblFieldTableCache>
                        <c:ptCount val="1"/>
                        <c:pt idx="0">
                          <c:v>44927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8-4E07-4AED-B744-DBFF2ED8884B}"/>
                </c:ext>
              </c:extLst>
            </c:dLbl>
            <c:dLbl>
              <c:idx val="637"/>
              <c:tx>
                <c:strRef>
                  <c:f>[1]Prices!$H$640</c:f>
                  <c:strCache>
                    <c:ptCount val="1"/>
                    <c:pt idx="0">
                      <c:v>44958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{6A036B60-A9C7-466A-A687-E0B561AE29A5}</c15:txfldGUID>
                      <c15:f>[1]Prices!$H$640</c15:f>
                      <c15:dlblFieldTableCache>
                        <c:ptCount val="1"/>
                        <c:pt idx="0">
                          <c:v>44958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9-4E07-4AED-B744-DBFF2ED8884B}"/>
                </c:ext>
              </c:extLst>
            </c:dLbl>
            <c:dLbl>
              <c:idx val="638"/>
              <c:tx>
                <c:strRef>
                  <c:f>[1]Prices!$H$641</c:f>
                  <c:strCache>
                    <c:ptCount val="1"/>
                    <c:pt idx="0">
                      <c:v>44986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{B116C297-5609-4F92-B0D8-D9C112703C3A}</c15:txfldGUID>
                      <c15:f>[1]Prices!$H$641</c15:f>
                      <c15:dlblFieldTableCache>
                        <c:ptCount val="1"/>
                        <c:pt idx="0">
                          <c:v>44986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A-4E07-4AED-B744-DBFF2ED8884B}"/>
                </c:ext>
              </c:extLst>
            </c:dLbl>
            <c:dLbl>
              <c:idx val="639"/>
              <c:tx>
                <c:strRef>
                  <c:f>[1]Prices!$H$642</c:f>
                  <c:strCache>
                    <c:ptCount val="1"/>
                    <c:pt idx="0">
                      <c:v>45017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{96695DA9-319A-420C-A67B-55B79BD698BD}</c15:txfldGUID>
                      <c15:f>[1]Prices!$H$642</c15:f>
                      <c15:dlblFieldTableCache>
                        <c:ptCount val="1"/>
                        <c:pt idx="0">
                          <c:v>45017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B-4E07-4AED-B744-DBFF2ED8884B}"/>
                </c:ext>
              </c:extLst>
            </c:dLbl>
            <c:dLbl>
              <c:idx val="640"/>
              <c:tx>
                <c:strRef>
                  <c:f>[1]Prices!$H$643</c:f>
                  <c:strCache>
                    <c:ptCount val="1"/>
                    <c:pt idx="0">
                      <c:v>45047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{67A4E913-B040-4C45-81AB-C0D11F20555D}</c15:txfldGUID>
                      <c15:f>[1]Prices!$H$643</c15:f>
                      <c15:dlblFieldTableCache>
                        <c:ptCount val="1"/>
                        <c:pt idx="0">
                          <c:v>45047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C-4E07-4AED-B744-DBFF2ED8884B}"/>
                </c:ext>
              </c:extLst>
            </c:dLbl>
            <c:dLbl>
              <c:idx val="641"/>
              <c:tx>
                <c:strRef>
                  <c:f>[1]Prices!$H$644</c:f>
                  <c:strCache>
                    <c:ptCount val="1"/>
                    <c:pt idx="0">
                      <c:v>45078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{08FBD38A-4739-4EE7-80E5-2B71396B9320}</c15:txfldGUID>
                      <c15:f>[1]Prices!$H$644</c15:f>
                      <c15:dlblFieldTableCache>
                        <c:ptCount val="1"/>
                        <c:pt idx="0">
                          <c:v>45078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D-4E07-4AED-B744-DBFF2ED8884B}"/>
                </c:ext>
              </c:extLst>
            </c:dLbl>
            <c:dLbl>
              <c:idx val="642"/>
              <c:tx>
                <c:strRef>
                  <c:f>[1]Prices!$H$645</c:f>
                  <c:strCache>
                    <c:ptCount val="1"/>
                    <c:pt idx="0">
                      <c:v>45108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{3A531D8C-617A-4815-B5C1-82200B1837DA}</c15:txfldGUID>
                      <c15:f>[1]Prices!$H$645</c15:f>
                      <c15:dlblFieldTableCache>
                        <c:ptCount val="1"/>
                        <c:pt idx="0">
                          <c:v>45108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E-4E07-4AED-B744-DBFF2ED8884B}"/>
                </c:ext>
              </c:extLst>
            </c:dLbl>
            <c:dLbl>
              <c:idx val="643"/>
              <c:tx>
                <c:strRef>
                  <c:f>[1]Prices!$H$646</c:f>
                  <c:strCache>
                    <c:ptCount val="1"/>
                    <c:pt idx="0">
                      <c:v>45139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{3694EDEA-68E3-4F0E-B09B-EFDB0BD28CDF}</c15:txfldGUID>
                      <c15:f>[1]Prices!$H$646</c15:f>
                      <c15:dlblFieldTableCache>
                        <c:ptCount val="1"/>
                        <c:pt idx="0">
                          <c:v>45139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F-4E07-4AED-B744-DBFF2ED8884B}"/>
                </c:ext>
              </c:extLst>
            </c:dLbl>
            <c:dLbl>
              <c:idx val="644"/>
              <c:tx>
                <c:strRef>
                  <c:f>[1]Prices!$H$647</c:f>
                  <c:strCache>
                    <c:ptCount val="1"/>
                    <c:pt idx="0">
                      <c:v>45170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8C8C8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{56FFA126-76E5-4A73-B9AE-CE5F14B5CD13}</c15:txfldGUID>
                      <c15:f>[1]Prices!$H$647</c15:f>
                      <c15:dlblFieldTableCache>
                        <c:ptCount val="1"/>
                        <c:pt idx="0">
                          <c:v>45170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0-4E07-4AED-B744-DBFF2ED8884B}"/>
                </c:ext>
              </c:extLst>
            </c:dLbl>
            <c:dLbl>
              <c:idx val="645"/>
              <c:tx>
                <c:strRef>
                  <c:f>[1]Prices!$H$648</c:f>
                  <c:strCache>
                    <c:ptCount val="1"/>
                    <c:pt idx="0">
                      <c:v>45200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7030A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{00101E2A-08FD-4CC2-9147-1193D3988522}</c15:txfldGUID>
                      <c15:f>[1]Prices!$H$648</c15:f>
                      <c15:dlblFieldTableCache>
                        <c:ptCount val="1"/>
                        <c:pt idx="0">
                          <c:v>45200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1-4E07-4AED-B744-DBFF2ED8884B}"/>
                </c:ext>
              </c:extLst>
            </c:dLbl>
            <c:dLbl>
              <c:idx val="646"/>
              <c:tx>
                <c:strRef>
                  <c:f>[1]Prices!$H$649</c:f>
                  <c:strCache>
                    <c:ptCount val="1"/>
                    <c:pt idx="0">
                      <c:v>45231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7030A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{98A0D0D0-5DA0-43D1-BF54-FD02CC69F7AD}</c15:txfldGUID>
                      <c15:f>[1]Prices!$H$649</c15:f>
                      <c15:dlblFieldTableCache>
                        <c:ptCount val="1"/>
                        <c:pt idx="0">
                          <c:v>45231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2-4E07-4AED-B744-DBFF2ED8884B}"/>
                </c:ext>
              </c:extLst>
            </c:dLbl>
            <c:dLbl>
              <c:idx val="647"/>
              <c:tx>
                <c:strRef>
                  <c:f>[1]Prices!$H$650</c:f>
                  <c:strCache>
                    <c:ptCount val="1"/>
                    <c:pt idx="0">
                      <c:v>45261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{C55AB335-F81F-427A-B318-CDC1045B2078}</c15:txfldGUID>
                      <c15:f>[1]Prices!$H$650</c15:f>
                      <c15:dlblFieldTableCache>
                        <c:ptCount val="1"/>
                        <c:pt idx="0">
                          <c:v>45261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4E07-4AED-B744-DBFF2ED8884B}"/>
                </c:ext>
              </c:extLst>
            </c:dLbl>
            <c:dLbl>
              <c:idx val="648"/>
              <c:tx>
                <c:strRef>
                  <c:f>[1]Prices!$H$651</c:f>
                  <c:strCache>
                    <c:ptCount val="1"/>
                    <c:pt idx="0">
                      <c:v>45292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{EC056639-E541-4C58-9F54-5301CC0EFADE}</c15:txfldGUID>
                      <c15:f>[1]Prices!$H$651</c15:f>
                      <c15:dlblFieldTableCache>
                        <c:ptCount val="1"/>
                        <c:pt idx="0">
                          <c:v>45292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4E07-4AED-B744-DBFF2ED8884B}"/>
                </c:ext>
              </c:extLst>
            </c:dLbl>
            <c:dLbl>
              <c:idx val="649"/>
              <c:tx>
                <c:strRef>
                  <c:f>[1]Prices!$H$652</c:f>
                  <c:strCache>
                    <c:ptCount val="1"/>
                    <c:pt idx="0">
                      <c:v>45323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{5C31CFC8-CBBB-4437-9785-0170D9849D8D}</c15:txfldGUID>
                      <c15:f>[1]Prices!$H$652</c15:f>
                      <c15:dlblFieldTableCache>
                        <c:ptCount val="1"/>
                        <c:pt idx="0">
                          <c:v>45323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4E07-4AED-B744-DBFF2ED8884B}"/>
                </c:ext>
              </c:extLst>
            </c:dLbl>
            <c:dLbl>
              <c:idx val="650"/>
              <c:tx>
                <c:strRef>
                  <c:f>[1]Prices!$H$653</c:f>
                  <c:strCache>
                    <c:ptCount val="1"/>
                    <c:pt idx="0">
                      <c:v>45352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{2F5FB127-9E05-4D40-9358-A9B32512FE29}</c15:txfldGUID>
                      <c15:f>[1]Prices!$H$653</c15:f>
                      <c15:dlblFieldTableCache>
                        <c:ptCount val="1"/>
                        <c:pt idx="0">
                          <c:v>45352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E07-4AED-B744-DBFF2ED8884B}"/>
                </c:ext>
              </c:extLst>
            </c:dLbl>
            <c:dLbl>
              <c:idx val="651"/>
              <c:tx>
                <c:strRef>
                  <c:f>[1]Prices!$H$654</c:f>
                  <c:strCache>
                    <c:ptCount val="1"/>
                    <c:pt idx="0">
                      <c:v>45383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{2F11480A-F3E6-44A4-82BD-70514E981538}</c15:txfldGUID>
                      <c15:f>[1]Prices!$H$654</c15:f>
                      <c15:dlblFieldTableCache>
                        <c:ptCount val="1"/>
                        <c:pt idx="0">
                          <c:v>45383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E07-4AED-B744-DBFF2ED8884B}"/>
                </c:ext>
              </c:extLst>
            </c:dLbl>
            <c:dLbl>
              <c:idx val="652"/>
              <c:tx>
                <c:strRef>
                  <c:f>[1]Prices!$H$655</c:f>
                  <c:strCache>
                    <c:ptCount val="1"/>
                    <c:pt idx="0">
                      <c:v>45413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{491E25A2-16BE-472A-AFF5-D2532A5ADA62}</c15:txfldGUID>
                      <c15:f>[1]Prices!$H$655</c15:f>
                      <c15:dlblFieldTableCache>
                        <c:ptCount val="1"/>
                        <c:pt idx="0">
                          <c:v>45413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E07-4AED-B744-DBFF2ED8884B}"/>
                </c:ext>
              </c:extLst>
            </c:dLbl>
            <c:dLbl>
              <c:idx val="653"/>
              <c:tx>
                <c:strRef>
                  <c:f>[1]Prices!$H$656</c:f>
                  <c:strCache>
                    <c:ptCount val="1"/>
                    <c:pt idx="0">
                      <c:v>45444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{87827605-4871-452E-9D90-2AC95A062C6E}</c15:txfldGUID>
                      <c15:f>[1]Prices!$H$656</c15:f>
                      <c15:dlblFieldTableCache>
                        <c:ptCount val="1"/>
                        <c:pt idx="0">
                          <c:v>45444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E07-4AED-B744-DBFF2ED8884B}"/>
                </c:ext>
              </c:extLst>
            </c:dLbl>
            <c:dLbl>
              <c:idx val="654"/>
              <c:tx>
                <c:strRef>
                  <c:f>[1]Prices!$H$657</c:f>
                  <c:strCache>
                    <c:ptCount val="1"/>
                    <c:pt idx="0">
                      <c:v>45474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{EA5AD8EE-BC30-438C-9E3A-C0864CD6104B}</c15:txfldGUID>
                      <c15:f>[1]Prices!$H$657</c15:f>
                      <c15:dlblFieldTableCache>
                        <c:ptCount val="1"/>
                        <c:pt idx="0">
                          <c:v>45474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4E07-4AED-B744-DBFF2ED8884B}"/>
                </c:ext>
              </c:extLst>
            </c:dLbl>
            <c:dLbl>
              <c:idx val="655"/>
              <c:tx>
                <c:strRef>
                  <c:f>[1]Prices!$H$658</c:f>
                  <c:strCache>
                    <c:ptCount val="1"/>
                    <c:pt idx="0">
                      <c:v>45505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{3B57AE35-59E5-475B-B6AA-CA566113E9D8}</c15:txfldGUID>
                      <c15:f>[1]Prices!$H$658</c15:f>
                      <c15:dlblFieldTableCache>
                        <c:ptCount val="1"/>
                        <c:pt idx="0">
                          <c:v>45505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4E07-4AED-B744-DBFF2ED8884B}"/>
                </c:ext>
              </c:extLst>
            </c:dLbl>
            <c:dLbl>
              <c:idx val="656"/>
              <c:tx>
                <c:strRef>
                  <c:f>[1]Prices!$H$659</c:f>
                  <c:strCache>
                    <c:ptCount val="1"/>
                    <c:pt idx="0">
                      <c:v>45536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{E1FA488F-1143-4C58-80A7-B0E88EA52A03}</c15:txfldGUID>
                      <c15:f>[1]Prices!$H$659</c15:f>
                      <c15:dlblFieldTableCache>
                        <c:ptCount val="1"/>
                        <c:pt idx="0">
                          <c:v>45536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4E07-4AED-B744-DBFF2ED8884B}"/>
                </c:ext>
              </c:extLst>
            </c:dLbl>
            <c:dLbl>
              <c:idx val="657"/>
              <c:tx>
                <c:strRef>
                  <c:f>[1]Prices!$H$660</c:f>
                  <c:strCache>
                    <c:ptCount val="1"/>
                    <c:pt idx="0">
                      <c:v>45566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{11AADB4A-C9DC-4F47-8B65-FFC2CBC629ED}</c15:txfldGUID>
                      <c15:f>[1]Prices!$H$660</c15:f>
                      <c15:dlblFieldTableCache>
                        <c:ptCount val="1"/>
                        <c:pt idx="0">
                          <c:v>45566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4E07-4AED-B744-DBFF2ED8884B}"/>
                </c:ext>
              </c:extLst>
            </c:dLbl>
            <c:dLbl>
              <c:idx val="658"/>
              <c:layout>
                <c:manualLayout>
                  <c:x val="0"/>
                  <c:y val="-6.6153056518634096E-2"/>
                </c:manualLayout>
              </c:layout>
              <c:tx>
                <c:strRef>
                  <c:f>[1]Prices!$H$661</c:f>
                  <c:strCache>
                    <c:ptCount val="1"/>
                    <c:pt idx="0">
                      <c:v>45597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{53D7436E-5944-4A03-B762-E6786EF62C2C}</c15:txfldGUID>
                      <c15:f>[1]Prices!$H$661</c15:f>
                      <c15:dlblFieldTableCache>
                        <c:ptCount val="1"/>
                        <c:pt idx="0">
                          <c:v>45597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E07-4AED-B744-DBFF2ED888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5875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3"/>
            <c:dispRSqr val="1"/>
            <c:dispEq val="0"/>
            <c:trendlineLbl>
              <c:layout>
                <c:manualLayout>
                  <c:x val="-0.61535387652801821"/>
                  <c:y val="-6.6018741257648478E-2"/>
                </c:manualLayout>
              </c:layout>
              <c:numFmt formatCode="General" sourceLinked="0"/>
              <c:spPr>
                <a:solidFill>
                  <a:schemeClr val="bg1"/>
                </a:solidFill>
                <a:ln w="22225"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strRef>
              <c:f>[1]Prices!$B$3:$B$661</c:f>
              <c:strCache>
                <c:ptCount val="659"/>
                <c:pt idx="0">
                  <c:v>2.539125</c:v>
                </c:pt>
                <c:pt idx="1">
                  <c:v>2.555</c:v>
                </c:pt>
                <c:pt idx="2">
                  <c:v>Mid</c:v>
                </c:pt>
                <c:pt idx="3">
                  <c:v>2.631306818</c:v>
                </c:pt>
                <c:pt idx="4">
                  <c:v>2.690625</c:v>
                </c:pt>
                <c:pt idx="5">
                  <c:v>2.791306818</c:v>
                </c:pt>
                <c:pt idx="6">
                  <c:v>2.908465909</c:v>
                </c:pt>
                <c:pt idx="7">
                  <c:v>2.81422619</c:v>
                </c:pt>
                <c:pt idx="8">
                  <c:v>2.845714286</c:v>
                </c:pt>
                <c:pt idx="9">
                  <c:v>2.980568182</c:v>
                </c:pt>
                <c:pt idx="10">
                  <c:v>3.058881579</c:v>
                </c:pt>
                <c:pt idx="11">
                  <c:v>2.954829545</c:v>
                </c:pt>
                <c:pt idx="12">
                  <c:v>3.058875</c:v>
                </c:pt>
                <c:pt idx="13">
                  <c:v>3.055328947</c:v>
                </c:pt>
                <c:pt idx="14">
                  <c:v>3.051413043</c:v>
                </c:pt>
                <c:pt idx="15">
                  <c:v>2.918988095</c:v>
                </c:pt>
                <c:pt idx="16">
                  <c:v>3.021625</c:v>
                </c:pt>
                <c:pt idx="17">
                  <c:v>3.195681818</c:v>
                </c:pt>
                <c:pt idx="18">
                  <c:v>3.370952381</c:v>
                </c:pt>
                <c:pt idx="19">
                  <c:v>3.258806818</c:v>
                </c:pt>
                <c:pt idx="20">
                  <c:v>3.142083333</c:v>
                </c:pt>
                <c:pt idx="21">
                  <c:v>3.183988095</c:v>
                </c:pt>
                <c:pt idx="22">
                  <c:v>3.137202381</c:v>
                </c:pt>
                <c:pt idx="23">
                  <c:v>3.132797619</c:v>
                </c:pt>
                <c:pt idx="24">
                  <c:v>3.131607143</c:v>
                </c:pt>
                <c:pt idx="25">
                  <c:v>3.19575</c:v>
                </c:pt>
                <c:pt idx="26">
                  <c:v>3.418238636</c:v>
                </c:pt>
                <c:pt idx="27">
                  <c:v>3.5213125</c:v>
                </c:pt>
                <c:pt idx="28">
                  <c:v>3.535284091</c:v>
                </c:pt>
                <c:pt idx="29">
                  <c:v>3.478806818</c:v>
                </c:pt>
                <c:pt idx="30">
                  <c:v>3.5073125</c:v>
                </c:pt>
                <c:pt idx="31">
                  <c:v>3.440271739</c:v>
                </c:pt>
                <c:pt idx="32">
                  <c:v>3.3945625</c:v>
                </c:pt>
                <c:pt idx="33">
                  <c:v>3.406420455</c:v>
                </c:pt>
                <c:pt idx="34">
                  <c:v>3.682625</c:v>
                </c:pt>
                <c:pt idx="35">
                  <c:v>4.17375</c:v>
                </c:pt>
                <c:pt idx="36">
                  <c:v>4.528095238</c:v>
                </c:pt>
                <c:pt idx="37">
                  <c:v>5.839802632</c:v>
                </c:pt>
                <c:pt idx="38">
                  <c:v>6.024659091</c:v>
                </c:pt>
                <c:pt idx="39">
                  <c:v>6.3385</c:v>
                </c:pt>
                <c:pt idx="40">
                  <c:v>8.381931818</c:v>
                </c:pt>
                <c:pt idx="41">
                  <c:v>10.98276316</c:v>
                </c:pt>
                <c:pt idx="42">
                  <c:v>9.402380952</c:v>
                </c:pt>
                <c:pt idx="43">
                  <c:v>8.243478261</c:v>
                </c:pt>
                <c:pt idx="44">
                  <c:v>6.443157895</c:v>
                </c:pt>
                <c:pt idx="45">
                  <c:v>5.845681818</c:v>
                </c:pt>
                <c:pt idx="46">
                  <c:v>5.677619048</c:v>
                </c:pt>
                <c:pt idx="47">
                  <c:v>6.008157895</c:v>
                </c:pt>
                <c:pt idx="48">
                  <c:v>6.2625</c:v>
                </c:pt>
                <c:pt idx="49">
                  <c:v>6.439861111</c:v>
                </c:pt>
                <c:pt idx="50">
                  <c:v>6.317738095</c:v>
                </c:pt>
                <c:pt idx="51">
                  <c:v>5.5975</c:v>
                </c:pt>
                <c:pt idx="52">
                  <c:v>5.472727273</c:v>
                </c:pt>
                <c:pt idx="53">
                  <c:v>5.522625</c:v>
                </c:pt>
                <c:pt idx="54">
                  <c:v>7.099659091</c:v>
                </c:pt>
                <c:pt idx="55">
                  <c:v>7.813863636</c:v>
                </c:pt>
                <c:pt idx="56">
                  <c:v>7.6815</c:v>
                </c:pt>
                <c:pt idx="57">
                  <c:v>8.58826087</c:v>
                </c:pt>
                <c:pt idx="58">
                  <c:v>7.919473684</c:v>
                </c:pt>
                <c:pt idx="59">
                  <c:v>7.368928571</c:v>
                </c:pt>
                <c:pt idx="60">
                  <c:v>6.485340909</c:v>
                </c:pt>
                <c:pt idx="61">
                  <c:v>5.681973684</c:v>
                </c:pt>
                <c:pt idx="62">
                  <c:v>5.59875</c:v>
                </c:pt>
                <c:pt idx="63">
                  <c:v>5.726704545</c:v>
                </c:pt>
                <c:pt idx="64">
                  <c:v>5.107857143</c:v>
                </c:pt>
                <c:pt idx="65">
                  <c:v>5.088154762</c:v>
                </c:pt>
                <c:pt idx="66">
                  <c:v>5.554431818</c:v>
                </c:pt>
                <c:pt idx="67">
                  <c:v>6.055595238</c:v>
                </c:pt>
                <c:pt idx="68">
                  <c:v>5.734404762</c:v>
                </c:pt>
                <c:pt idx="69">
                  <c:v>5.245876522</c:v>
                </c:pt>
                <c:pt idx="70">
                  <c:v>4.860657895</c:v>
                </c:pt>
                <c:pt idx="71">
                  <c:v>4.635357143</c:v>
                </c:pt>
                <c:pt idx="72">
                  <c:v>4.75327381</c:v>
                </c:pt>
                <c:pt idx="73">
                  <c:v>4.796710526</c:v>
                </c:pt>
                <c:pt idx="74">
                  <c:v>4.80375</c:v>
                </c:pt>
                <c:pt idx="75">
                  <c:v>4.803095238</c:v>
                </c:pt>
                <c:pt idx="76">
                  <c:v>5.3135625</c:v>
                </c:pt>
                <c:pt idx="77">
                  <c:v>6.350227273</c:v>
                </c:pt>
                <c:pt idx="78">
                  <c:v>6.826964286</c:v>
                </c:pt>
                <c:pt idx="79">
                  <c:v>6.412386364</c:v>
                </c:pt>
                <c:pt idx="80">
                  <c:v>6.810238095</c:v>
                </c:pt>
                <c:pt idx="81">
                  <c:v>6.4125</c:v>
                </c:pt>
                <c:pt idx="82">
                  <c:v>6.683125</c:v>
                </c:pt>
                <c:pt idx="83">
                  <c:v>6.927857143</c:v>
                </c:pt>
                <c:pt idx="84">
                  <c:v>7.207559524</c:v>
                </c:pt>
                <c:pt idx="85">
                  <c:v>7.399078947</c:v>
                </c:pt>
                <c:pt idx="86">
                  <c:v>8.459021739</c:v>
                </c:pt>
                <c:pt idx="87">
                  <c:v>9.8885</c:v>
                </c:pt>
                <c:pt idx="88">
                  <c:v>9.545</c:v>
                </c:pt>
                <c:pt idx="89">
                  <c:v>8.279147727</c:v>
                </c:pt>
                <c:pt idx="90">
                  <c:v>6.35725</c:v>
                </c:pt>
                <c:pt idx="91">
                  <c:v>5.390217391</c:v>
                </c:pt>
                <c:pt idx="92">
                  <c:v>5.263928571</c:v>
                </c:pt>
                <c:pt idx="93">
                  <c:v>5.310833333</c:v>
                </c:pt>
                <c:pt idx="94">
                  <c:v>5.981309524</c:v>
                </c:pt>
                <c:pt idx="95">
                  <c:v>5.958333333</c:v>
                </c:pt>
                <c:pt idx="96">
                  <c:v>5.825952381</c:v>
                </c:pt>
                <c:pt idx="97">
                  <c:v>5.709473684</c:v>
                </c:pt>
                <c:pt idx="98">
                  <c:v>6.769204545</c:v>
                </c:pt>
                <c:pt idx="99">
                  <c:v>7.03825</c:v>
                </c:pt>
                <c:pt idx="100">
                  <c:v>7.14</c:v>
                </c:pt>
                <c:pt idx="101">
                  <c:v>6.869431818</c:v>
                </c:pt>
                <c:pt idx="102">
                  <c:v>6.5045</c:v>
                </c:pt>
                <c:pt idx="103">
                  <c:v>6.334782609</c:v>
                </c:pt>
                <c:pt idx="104">
                  <c:v>6.509625</c:v>
                </c:pt>
                <c:pt idx="105">
                  <c:v>6.838125</c:v>
                </c:pt>
                <c:pt idx="106">
                  <c:v>6.79875</c:v>
                </c:pt>
                <c:pt idx="107">
                  <c:v>6.83825</c:v>
                </c:pt>
                <c:pt idx="108">
                  <c:v>6.989431818</c:v>
                </c:pt>
                <c:pt idx="109">
                  <c:v>7.454078947</c:v>
                </c:pt>
                <c:pt idx="110">
                  <c:v>7.651136364</c:v>
                </c:pt>
                <c:pt idx="111">
                  <c:v>7.404375</c:v>
                </c:pt>
                <c:pt idx="112">
                  <c:v>7.369886364</c:v>
                </c:pt>
                <c:pt idx="113">
                  <c:v>7.807142857</c:v>
                </c:pt>
                <c:pt idx="114">
                  <c:v>7.638571429</c:v>
                </c:pt>
                <c:pt idx="115">
                  <c:v>7.175217391</c:v>
                </c:pt>
                <c:pt idx="116">
                  <c:v>7.131842105</c:v>
                </c:pt>
                <c:pt idx="117">
                  <c:v>6.718369565</c:v>
                </c:pt>
                <c:pt idx="118">
                  <c:v>6.773452381</c:v>
                </c:pt>
                <c:pt idx="119">
                  <c:v>6.636052632</c:v>
                </c:pt>
                <c:pt idx="120">
                  <c:v>6.6205</c:v>
                </c:pt>
                <c:pt idx="121">
                  <c:v>6.568375</c:v>
                </c:pt>
                <c:pt idx="122">
                  <c:v>6.316547619</c:v>
                </c:pt>
                <c:pt idx="123">
                  <c:v>5.937857143</c:v>
                </c:pt>
                <c:pt idx="124">
                  <c:v>6.248333333</c:v>
                </c:pt>
                <c:pt idx="125">
                  <c:v>6.330833333</c:v>
                </c:pt>
                <c:pt idx="126">
                  <c:v>7.472159091</c:v>
                </c:pt>
                <c:pt idx="127">
                  <c:v>7.645238095</c:v>
                </c:pt>
                <c:pt idx="128">
                  <c:v>8.386071429</c:v>
                </c:pt>
                <c:pt idx="129">
                  <c:v>8.572282609</c:v>
                </c:pt>
                <c:pt idx="130">
                  <c:v>9.254305556</c:v>
                </c:pt>
                <c:pt idx="131">
                  <c:v>7.980952381</c:v>
                </c:pt>
                <c:pt idx="132">
                  <c:v>7.861190476</c:v>
                </c:pt>
                <c:pt idx="133">
                  <c:v>7.501842105</c:v>
                </c:pt>
                <c:pt idx="134">
                  <c:v>7.555454545</c:v>
                </c:pt>
                <c:pt idx="135">
                  <c:v>7.844642857</c:v>
                </c:pt>
                <c:pt idx="136">
                  <c:v>7.705125</c:v>
                </c:pt>
                <c:pt idx="137">
                  <c:v>7.210795455</c:v>
                </c:pt>
                <c:pt idx="138">
                  <c:v>7.339545455</c:v>
                </c:pt>
                <c:pt idx="139">
                  <c:v>6.915</c:v>
                </c:pt>
                <c:pt idx="140">
                  <c:v>6.639880952</c:v>
                </c:pt>
                <c:pt idx="141">
                  <c:v>6.564772727</c:v>
                </c:pt>
                <c:pt idx="142">
                  <c:v>6.544875</c:v>
                </c:pt>
                <c:pt idx="143">
                  <c:v>6.286477273</c:v>
                </c:pt>
                <c:pt idx="144">
                  <c:v>6.422625</c:v>
                </c:pt>
                <c:pt idx="145">
                  <c:v>6.294736842</c:v>
                </c:pt>
                <c:pt idx="146">
                  <c:v>6.272608696</c:v>
                </c:pt>
                <c:pt idx="147">
                  <c:v>6.533214286</c:v>
                </c:pt>
                <c:pt idx="148">
                  <c:v>6.635375</c:v>
                </c:pt>
                <c:pt idx="149">
                  <c:v>6.286931818</c:v>
                </c:pt>
                <c:pt idx="150">
                  <c:v>6.161190476</c:v>
                </c:pt>
                <c:pt idx="151">
                  <c:v>5.712727273</c:v>
                </c:pt>
                <c:pt idx="152">
                  <c:v>5.484047619</c:v>
                </c:pt>
                <c:pt idx="153">
                  <c:v>5.32452381</c:v>
                </c:pt>
                <c:pt idx="154">
                  <c:v>5.730625</c:v>
                </c:pt>
                <c:pt idx="155">
                  <c:v>5.671666667</c:v>
                </c:pt>
                <c:pt idx="156">
                  <c:v>5.89702381</c:v>
                </c:pt>
                <c:pt idx="157">
                  <c:v>5.903684211</c:v>
                </c:pt>
                <c:pt idx="158">
                  <c:v>6.053369565</c:v>
                </c:pt>
                <c:pt idx="159">
                  <c:v>6.362125</c:v>
                </c:pt>
                <c:pt idx="160">
                  <c:v>6.308571429</c:v>
                </c:pt>
                <c:pt idx="161">
                  <c:v>6.0225</c:v>
                </c:pt>
                <c:pt idx="162">
                  <c:v>6.619125</c:v>
                </c:pt>
                <c:pt idx="163">
                  <c:v>8.500652174</c:v>
                </c:pt>
                <c:pt idx="164">
                  <c:v>9.01047619</c:v>
                </c:pt>
                <c:pt idx="165">
                  <c:v>8.428809524</c:v>
                </c:pt>
                <c:pt idx="166">
                  <c:v>8.270238095</c:v>
                </c:pt>
                <c:pt idx="167">
                  <c:v>7.871904762</c:v>
                </c:pt>
                <c:pt idx="168">
                  <c:v>7.611309524</c:v>
                </c:pt>
                <c:pt idx="169">
                  <c:v>7.22475</c:v>
                </c:pt>
                <c:pt idx="170">
                  <c:v>7.890681818</c:v>
                </c:pt>
                <c:pt idx="171">
                  <c:v>7.87375</c:v>
                </c:pt>
                <c:pt idx="172">
                  <c:v>8.536590909</c:v>
                </c:pt>
                <c:pt idx="173">
                  <c:v>7.820238095</c:v>
                </c:pt>
                <c:pt idx="174">
                  <c:v>6.650238095</c:v>
                </c:pt>
                <c:pt idx="175">
                  <c:v>6.37576087</c:v>
                </c:pt>
                <c:pt idx="176">
                  <c:v>6.105789474</c:v>
                </c:pt>
                <c:pt idx="177">
                  <c:v>6.138369565</c:v>
                </c:pt>
                <c:pt idx="178">
                  <c:v>6.223333333</c:v>
                </c:pt>
                <c:pt idx="179">
                  <c:v>5.90675</c:v>
                </c:pt>
                <c:pt idx="180">
                  <c:v>5.939545455</c:v>
                </c:pt>
                <c:pt idx="181">
                  <c:v>5.819868421</c:v>
                </c:pt>
                <c:pt idx="182">
                  <c:v>5.939761905</c:v>
                </c:pt>
                <c:pt idx="183">
                  <c:v>5.985</c:v>
                </c:pt>
                <c:pt idx="184">
                  <c:v>5.764659091</c:v>
                </c:pt>
                <c:pt idx="185">
                  <c:v>5.766</c:v>
                </c:pt>
                <c:pt idx="186">
                  <c:v>5.518181818</c:v>
                </c:pt>
                <c:pt idx="187">
                  <c:v>5.139886364</c:v>
                </c:pt>
                <c:pt idx="188">
                  <c:v>5.123625</c:v>
                </c:pt>
                <c:pt idx="189">
                  <c:v>5.048913043</c:v>
                </c:pt>
                <c:pt idx="190">
                  <c:v>5.1095</c:v>
                </c:pt>
                <c:pt idx="191">
                  <c:v>5.216904762</c:v>
                </c:pt>
                <c:pt idx="192">
                  <c:v>5.420909091</c:v>
                </c:pt>
                <c:pt idx="193">
                  <c:v>5.260131579</c:v>
                </c:pt>
                <c:pt idx="194">
                  <c:v>5.358</c:v>
                </c:pt>
                <c:pt idx="195">
                  <c:v>5.281363636</c:v>
                </c:pt>
                <c:pt idx="196">
                  <c:v>5.338928571</c:v>
                </c:pt>
                <c:pt idx="197">
                  <c:v>5.281666667</c:v>
                </c:pt>
                <c:pt idx="198">
                  <c:v>5.148522727</c:v>
                </c:pt>
                <c:pt idx="199">
                  <c:v>4.805357143</c:v>
                </c:pt>
                <c:pt idx="200">
                  <c:v>4.795238095</c:v>
                </c:pt>
                <c:pt idx="201">
                  <c:v>4.816847826</c:v>
                </c:pt>
                <c:pt idx="202">
                  <c:v>5.003026316</c:v>
                </c:pt>
                <c:pt idx="203">
                  <c:v>4.918636364</c:v>
                </c:pt>
                <c:pt idx="204">
                  <c:v>4.966428571</c:v>
                </c:pt>
                <c:pt idx="205">
                  <c:v>4.895131579</c:v>
                </c:pt>
                <c:pt idx="206">
                  <c:v>4.9075</c:v>
                </c:pt>
                <c:pt idx="207">
                  <c:v>5.131547619</c:v>
                </c:pt>
                <c:pt idx="208">
                  <c:v>5.565625</c:v>
                </c:pt>
                <c:pt idx="209">
                  <c:v>5.600795455</c:v>
                </c:pt>
                <c:pt idx="210">
                  <c:v>5.3525</c:v>
                </c:pt>
                <c:pt idx="211">
                  <c:v>5.07797619</c:v>
                </c:pt>
                <c:pt idx="212">
                  <c:v>5.247261905</c:v>
                </c:pt>
                <c:pt idx="213">
                  <c:v>5.38375</c:v>
                </c:pt>
                <c:pt idx="214">
                  <c:v>5.691125</c:v>
                </c:pt>
                <c:pt idx="215">
                  <c:v>5.957727273</c:v>
                </c:pt>
                <c:pt idx="216">
                  <c:v>6.235125</c:v>
                </c:pt>
                <c:pt idx="217">
                  <c:v>6.18675</c:v>
                </c:pt>
                <c:pt idx="218">
                  <c:v>6.332173913</c:v>
                </c:pt>
                <c:pt idx="219">
                  <c:v>6.719875</c:v>
                </c:pt>
                <c:pt idx="220">
                  <c:v>7.398095238</c:v>
                </c:pt>
                <c:pt idx="221">
                  <c:v>9.37125</c:v>
                </c:pt>
                <c:pt idx="222">
                  <c:v>8.82475</c:v>
                </c:pt>
                <c:pt idx="223">
                  <c:v>8.521195652</c:v>
                </c:pt>
                <c:pt idx="224">
                  <c:v>8.569166667</c:v>
                </c:pt>
                <c:pt idx="225">
                  <c:v>7.925595238</c:v>
                </c:pt>
                <c:pt idx="226">
                  <c:v>7.721785714</c:v>
                </c:pt>
                <c:pt idx="227">
                  <c:v>7.805</c:v>
                </c:pt>
                <c:pt idx="228">
                  <c:v>7.8675</c:v>
                </c:pt>
                <c:pt idx="229">
                  <c:v>7.501052632</c:v>
                </c:pt>
                <c:pt idx="230">
                  <c:v>7.735795455</c:v>
                </c:pt>
                <c:pt idx="231">
                  <c:v>7.305125</c:v>
                </c:pt>
                <c:pt idx="232">
                  <c:v>7.281704545</c:v>
                </c:pt>
                <c:pt idx="233">
                  <c:v>7.220227273</c:v>
                </c:pt>
                <c:pt idx="234">
                  <c:v>6.8305</c:v>
                </c:pt>
                <c:pt idx="235">
                  <c:v>5.845217391</c:v>
                </c:pt>
                <c:pt idx="236">
                  <c:v>5.7685</c:v>
                </c:pt>
                <c:pt idx="237">
                  <c:v>5.616931818</c:v>
                </c:pt>
                <c:pt idx="238">
                  <c:v>5.843690476</c:v>
                </c:pt>
                <c:pt idx="239">
                  <c:v>5.7545</c:v>
                </c:pt>
                <c:pt idx="240">
                  <c:v>5.710227273</c:v>
                </c:pt>
                <c:pt idx="241">
                  <c:v>5.651184211</c:v>
                </c:pt>
                <c:pt idx="242">
                  <c:v>5.94</c:v>
                </c:pt>
                <c:pt idx="243">
                  <c:v>6.00525</c:v>
                </c:pt>
                <c:pt idx="244">
                  <c:v>6.299886364</c:v>
                </c:pt>
                <c:pt idx="245">
                  <c:v>6.01547619</c:v>
                </c:pt>
                <c:pt idx="246">
                  <c:v>6.076904762</c:v>
                </c:pt>
                <c:pt idx="247">
                  <c:v>6.086847826</c:v>
                </c:pt>
                <c:pt idx="248">
                  <c:v>6.252368421</c:v>
                </c:pt>
                <c:pt idx="249">
                  <c:v>6.117282609</c:v>
                </c:pt>
                <c:pt idx="250">
                  <c:v>5.856785714</c:v>
                </c:pt>
                <c:pt idx="251">
                  <c:v>5.82</c:v>
                </c:pt>
                <c:pt idx="252">
                  <c:v>5.709318182</c:v>
                </c:pt>
                <c:pt idx="253">
                  <c:v>5.718026316</c:v>
                </c:pt>
                <c:pt idx="254">
                  <c:v>5.863625</c:v>
                </c:pt>
                <c:pt idx="255">
                  <c:v>5.875</c:v>
                </c:pt>
                <c:pt idx="256">
                  <c:v>5.791818182</c:v>
                </c:pt>
                <c:pt idx="257">
                  <c:v>5.68375</c:v>
                </c:pt>
                <c:pt idx="258">
                  <c:v>5.399659091</c:v>
                </c:pt>
                <c:pt idx="259">
                  <c:v>5.693068182</c:v>
                </c:pt>
                <c:pt idx="260">
                  <c:v>5.939875</c:v>
                </c:pt>
                <c:pt idx="261">
                  <c:v>5.598586957</c:v>
                </c:pt>
                <c:pt idx="262">
                  <c:v>5.611</c:v>
                </c:pt>
                <c:pt idx="263">
                  <c:v>5.555833333</c:v>
                </c:pt>
                <c:pt idx="264">
                  <c:v>5.693409091</c:v>
                </c:pt>
                <c:pt idx="265">
                  <c:v>5.746052632</c:v>
                </c:pt>
                <c:pt idx="266">
                  <c:v>5.926136364</c:v>
                </c:pt>
                <c:pt idx="267">
                  <c:v>5.750263158</c:v>
                </c:pt>
                <c:pt idx="268">
                  <c:v>6.032375</c:v>
                </c:pt>
                <c:pt idx="269">
                  <c:v>6.106477273</c:v>
                </c:pt>
                <c:pt idx="270">
                  <c:v>5.68125</c:v>
                </c:pt>
                <c:pt idx="271">
                  <c:v>5.500119048</c:v>
                </c:pt>
                <c:pt idx="272">
                  <c:v>5.474880952</c:v>
                </c:pt>
                <c:pt idx="273">
                  <c:v>5.379318182</c:v>
                </c:pt>
                <c:pt idx="274">
                  <c:v>5.597</c:v>
                </c:pt>
                <c:pt idx="275">
                  <c:v>5.684886364</c:v>
                </c:pt>
                <c:pt idx="276">
                  <c:v>5.7885</c:v>
                </c:pt>
                <c:pt idx="277">
                  <c:v>5.715394737</c:v>
                </c:pt>
                <c:pt idx="278">
                  <c:v>5.842826087</c:v>
                </c:pt>
                <c:pt idx="279">
                  <c:v>5.924047619</c:v>
                </c:pt>
                <c:pt idx="280">
                  <c:v>6.028375</c:v>
                </c:pt>
                <c:pt idx="281">
                  <c:v>6.039090909</c:v>
                </c:pt>
                <c:pt idx="282">
                  <c:v>7.046309524</c:v>
                </c:pt>
                <c:pt idx="283">
                  <c:v>6.713181818</c:v>
                </c:pt>
                <c:pt idx="284">
                  <c:v>6.388452381</c:v>
                </c:pt>
                <c:pt idx="285">
                  <c:v>6.152619048</c:v>
                </c:pt>
                <c:pt idx="286">
                  <c:v>6.681547619</c:v>
                </c:pt>
                <c:pt idx="287">
                  <c:v>6.871547619</c:v>
                </c:pt>
                <c:pt idx="288">
                  <c:v>7.007142857</c:v>
                </c:pt>
                <c:pt idx="289">
                  <c:v>6.793815789</c:v>
                </c:pt>
                <c:pt idx="290">
                  <c:v>6.838586957</c:v>
                </c:pt>
                <c:pt idx="291">
                  <c:v>6.605789474</c:v>
                </c:pt>
                <c:pt idx="292">
                  <c:v>6.790595238</c:v>
                </c:pt>
                <c:pt idx="293">
                  <c:v>6.792045455</c:v>
                </c:pt>
                <c:pt idx="294">
                  <c:v>6.039875</c:v>
                </c:pt>
                <c:pt idx="295">
                  <c:v>5.724782609</c:v>
                </c:pt>
                <c:pt idx="296">
                  <c:v>5.62202381</c:v>
                </c:pt>
                <c:pt idx="297">
                  <c:v>5.407142857</c:v>
                </c:pt>
                <c:pt idx="298">
                  <c:v>5.655357143</c:v>
                </c:pt>
                <c:pt idx="299">
                  <c:v>5.616190476</c:v>
                </c:pt>
                <c:pt idx="300">
                  <c:v>5.553333333</c:v>
                </c:pt>
                <c:pt idx="301">
                  <c:v>5.541973684</c:v>
                </c:pt>
                <c:pt idx="302">
                  <c:v>5.765434783</c:v>
                </c:pt>
                <c:pt idx="303">
                  <c:v>5.749342105</c:v>
                </c:pt>
                <c:pt idx="304">
                  <c:v>5.827159091</c:v>
                </c:pt>
                <c:pt idx="305">
                  <c:v>5.895454545</c:v>
                </c:pt>
                <c:pt idx="306">
                  <c:v>6.18475</c:v>
                </c:pt>
                <c:pt idx="307">
                  <c:v>5.979021739</c:v>
                </c:pt>
                <c:pt idx="308">
                  <c:v>6.383</c:v>
                </c:pt>
                <c:pt idx="309">
                  <c:v>6.558068182</c:v>
                </c:pt>
                <c:pt idx="310">
                  <c:v>6.834285714</c:v>
                </c:pt>
                <c:pt idx="311">
                  <c:v>7.183</c:v>
                </c:pt>
                <c:pt idx="312">
                  <c:v>7.4075</c:v>
                </c:pt>
                <c:pt idx="313">
                  <c:v>7.30025</c:v>
                </c:pt>
                <c:pt idx="314">
                  <c:v>7.297142857</c:v>
                </c:pt>
                <c:pt idx="315">
                  <c:v>7.902857143</c:v>
                </c:pt>
                <c:pt idx="316">
                  <c:v>8.088863636</c:v>
                </c:pt>
                <c:pt idx="317">
                  <c:v>7.74475</c:v>
                </c:pt>
                <c:pt idx="318">
                  <c:v>7.835909091</c:v>
                </c:pt>
                <c:pt idx="319">
                  <c:v>7.905340909</c:v>
                </c:pt>
                <c:pt idx="320">
                  <c:v>7.9395</c:v>
                </c:pt>
                <c:pt idx="321">
                  <c:v>7.07</c:v>
                </c:pt>
                <c:pt idx="322">
                  <c:v>6.936125</c:v>
                </c:pt>
                <c:pt idx="323">
                  <c:v>6.998333333</c:v>
                </c:pt>
                <c:pt idx="324">
                  <c:v>7.308522727</c:v>
                </c:pt>
                <c:pt idx="325">
                  <c:v>7.634605263</c:v>
                </c:pt>
                <c:pt idx="326">
                  <c:v>8.355875</c:v>
                </c:pt>
                <c:pt idx="327">
                  <c:v>8.527272727</c:v>
                </c:pt>
                <c:pt idx="328">
                  <c:v>8.671309524</c:v>
                </c:pt>
                <c:pt idx="329">
                  <c:v>8.293928571</c:v>
                </c:pt>
                <c:pt idx="330">
                  <c:v>7.385568182</c:v>
                </c:pt>
                <c:pt idx="331">
                  <c:v>6.617380952</c:v>
                </c:pt>
                <c:pt idx="332">
                  <c:v>6.368809524</c:v>
                </c:pt>
                <c:pt idx="333">
                  <c:v>6.823913043</c:v>
                </c:pt>
                <c:pt idx="334">
                  <c:v>7.219342105</c:v>
                </c:pt>
                <c:pt idx="335">
                  <c:v>6.928181818</c:v>
                </c:pt>
                <c:pt idx="336">
                  <c:v>6.714375</c:v>
                </c:pt>
                <c:pt idx="337">
                  <c:v>6.733289474</c:v>
                </c:pt>
                <c:pt idx="338">
                  <c:v>6.557272727</c:v>
                </c:pt>
                <c:pt idx="339">
                  <c:v>6.397261905</c:v>
                </c:pt>
                <c:pt idx="340">
                  <c:v>6.388375</c:v>
                </c:pt>
                <c:pt idx="341">
                  <c:v>6.289659091</c:v>
                </c:pt>
                <c:pt idx="342">
                  <c:v>6.197727273</c:v>
                </c:pt>
                <c:pt idx="343">
                  <c:v>5.363452381</c:v>
                </c:pt>
                <c:pt idx="344">
                  <c:v>5.25047619</c:v>
                </c:pt>
                <c:pt idx="345">
                  <c:v>5.463295455</c:v>
                </c:pt>
                <c:pt idx="346">
                  <c:v>5.761</c:v>
                </c:pt>
                <c:pt idx="347">
                  <c:v>5.576022727</c:v>
                </c:pt>
                <c:pt idx="348">
                  <c:v>5.321578947</c:v>
                </c:pt>
                <c:pt idx="349">
                  <c:v>4.889210526</c:v>
                </c:pt>
                <c:pt idx="350">
                  <c:v>4.813478261</c:v>
                </c:pt>
                <c:pt idx="351">
                  <c:v>4.831071429</c:v>
                </c:pt>
                <c:pt idx="352">
                  <c:v>4.715375</c:v>
                </c:pt>
                <c:pt idx="353">
                  <c:v>4.626477273</c:v>
                </c:pt>
                <c:pt idx="354">
                  <c:v>4.307261905</c:v>
                </c:pt>
                <c:pt idx="355">
                  <c:v>4.68625</c:v>
                </c:pt>
                <c:pt idx="356">
                  <c:v>4.947142857</c:v>
                </c:pt>
                <c:pt idx="357">
                  <c:v>4.848571429</c:v>
                </c:pt>
                <c:pt idx="358">
                  <c:v>4.718214286</c:v>
                </c:pt>
                <c:pt idx="359">
                  <c:v>4.625238095</c:v>
                </c:pt>
                <c:pt idx="360">
                  <c:v>4.94775</c:v>
                </c:pt>
                <c:pt idx="361">
                  <c:v>5.054875</c:v>
                </c:pt>
                <c:pt idx="362">
                  <c:v>5.238043478</c:v>
                </c:pt>
                <c:pt idx="363">
                  <c:v>5.363875</c:v>
                </c:pt>
                <c:pt idx="364">
                  <c:v>5.518068182</c:v>
                </c:pt>
                <c:pt idx="365">
                  <c:v>5.087727273</c:v>
                </c:pt>
                <c:pt idx="366">
                  <c:v>4.611125</c:v>
                </c:pt>
                <c:pt idx="367">
                  <c:v>4.577065217</c:v>
                </c:pt>
                <c:pt idx="368">
                  <c:v>4.911363636</c:v>
                </c:pt>
                <c:pt idx="369">
                  <c:v>4.724659091</c:v>
                </c:pt>
                <c:pt idx="370">
                  <c:v>4.821785714</c:v>
                </c:pt>
                <c:pt idx="371">
                  <c:v>5.06075</c:v>
                </c:pt>
                <c:pt idx="372">
                  <c:v>4.774047619</c:v>
                </c:pt>
                <c:pt idx="373">
                  <c:v>4.556578947</c:v>
                </c:pt>
                <c:pt idx="374">
                  <c:v>4.473068182</c:v>
                </c:pt>
                <c:pt idx="375">
                  <c:v>4.316</c:v>
                </c:pt>
                <c:pt idx="376">
                  <c:v>4.459545455</c:v>
                </c:pt>
                <c:pt idx="377">
                  <c:v>4.632380952</c:v>
                </c:pt>
                <c:pt idx="378">
                  <c:v>5.07952381</c:v>
                </c:pt>
                <c:pt idx="379">
                  <c:v>4.972934783</c:v>
                </c:pt>
                <c:pt idx="380">
                  <c:v>4.685526316</c:v>
                </c:pt>
                <c:pt idx="381">
                  <c:v>4.371413043</c:v>
                </c:pt>
                <c:pt idx="382">
                  <c:v>4.423690476</c:v>
                </c:pt>
                <c:pt idx="383">
                  <c:v>4.357894737</c:v>
                </c:pt>
                <c:pt idx="384">
                  <c:v>4.355595238</c:v>
                </c:pt>
                <c:pt idx="385">
                  <c:v>4.359210526</c:v>
                </c:pt>
                <c:pt idx="386">
                  <c:v>4.590875</c:v>
                </c:pt>
                <c:pt idx="387">
                  <c:v>4.663068182</c:v>
                </c:pt>
                <c:pt idx="388">
                  <c:v>4.807159091</c:v>
                </c:pt>
                <c:pt idx="389">
                  <c:v>5.0445</c:v>
                </c:pt>
                <c:pt idx="390">
                  <c:v>5.690113636</c:v>
                </c:pt>
                <c:pt idx="391">
                  <c:v>5.666363636</c:v>
                </c:pt>
                <c:pt idx="392">
                  <c:v>5.666125</c:v>
                </c:pt>
                <c:pt idx="393">
                  <c:v>5.445217391</c:v>
                </c:pt>
                <c:pt idx="394">
                  <c:v>5.720875</c:v>
                </c:pt>
                <c:pt idx="395">
                  <c:v>5.669642857</c:v>
                </c:pt>
                <c:pt idx="396">
                  <c:v>5.678809524</c:v>
                </c:pt>
                <c:pt idx="397">
                  <c:v>5.704736842</c:v>
                </c:pt>
                <c:pt idx="398">
                  <c:v>5.721309524</c:v>
                </c:pt>
                <c:pt idx="399">
                  <c:v>6.033928571</c:v>
                </c:pt>
                <c:pt idx="400">
                  <c:v>6.325238095</c:v>
                </c:pt>
                <c:pt idx="401">
                  <c:v>6.253452381</c:v>
                </c:pt>
                <c:pt idx="402">
                  <c:v>5.825</c:v>
                </c:pt>
                <c:pt idx="403">
                  <c:v>5.666785714</c:v>
                </c:pt>
                <c:pt idx="404">
                  <c:v>6.305833333</c:v>
                </c:pt>
                <c:pt idx="405">
                  <c:v>7.320652174</c:v>
                </c:pt>
                <c:pt idx="406">
                  <c:v>7.612763158</c:v>
                </c:pt>
                <c:pt idx="407">
                  <c:v>7.707045455</c:v>
                </c:pt>
                <c:pt idx="408">
                  <c:v>8.189125</c:v>
                </c:pt>
                <c:pt idx="409">
                  <c:v>8.615131579</c:v>
                </c:pt>
                <c:pt idx="410">
                  <c:v>9.815978261</c:v>
                </c:pt>
                <c:pt idx="411">
                  <c:v>9.89297619</c:v>
                </c:pt>
                <c:pt idx="412">
                  <c:v>9.4675</c:v>
                </c:pt>
                <c:pt idx="413">
                  <c:v>8.726904762</c:v>
                </c:pt>
                <c:pt idx="414">
                  <c:v>7.886666667</c:v>
                </c:pt>
                <c:pt idx="415">
                  <c:v>6.145</c:v>
                </c:pt>
                <c:pt idx="416">
                  <c:v>5.618571429</c:v>
                </c:pt>
                <c:pt idx="417">
                  <c:v>5.264404762</c:v>
                </c:pt>
                <c:pt idx="418">
                  <c:v>5.329285714</c:v>
                </c:pt>
                <c:pt idx="419">
                  <c:v>5.408068182</c:v>
                </c:pt>
                <c:pt idx="420">
                  <c:v>5.325125</c:v>
                </c:pt>
                <c:pt idx="421">
                  <c:v>5.3775</c:v>
                </c:pt>
                <c:pt idx="422">
                  <c:v>6.346136364</c:v>
                </c:pt>
                <c:pt idx="423">
                  <c:v>6.225952381</c:v>
                </c:pt>
                <c:pt idx="424">
                  <c:v>6.353809524</c:v>
                </c:pt>
                <c:pt idx="425">
                  <c:v>6.932954545</c:v>
                </c:pt>
                <c:pt idx="426">
                  <c:v>6.895</c:v>
                </c:pt>
                <c:pt idx="427">
                  <c:v>6.271195652</c:v>
                </c:pt>
                <c:pt idx="428">
                  <c:v>5.770119048</c:v>
                </c:pt>
                <c:pt idx="429">
                  <c:v>5.74702381</c:v>
                </c:pt>
                <c:pt idx="430">
                  <c:v>5.739761905</c:v>
                </c:pt>
                <c:pt idx="431">
                  <c:v>5.893333333</c:v>
                </c:pt>
                <c:pt idx="432">
                  <c:v>5.824375</c:v>
                </c:pt>
                <c:pt idx="433">
                  <c:v>5.834078947</c:v>
                </c:pt>
                <c:pt idx="434">
                  <c:v>5.789130435</c:v>
                </c:pt>
                <c:pt idx="435">
                  <c:v>5.685394737</c:v>
                </c:pt>
                <c:pt idx="436">
                  <c:v>5.915454545</c:v>
                </c:pt>
                <c:pt idx="437">
                  <c:v>5.892272727</c:v>
                </c:pt>
                <c:pt idx="438">
                  <c:v>5.912625</c:v>
                </c:pt>
                <c:pt idx="439">
                  <c:v>5.547717391</c:v>
                </c:pt>
                <c:pt idx="440">
                  <c:v>5.42425</c:v>
                </c:pt>
                <c:pt idx="441">
                  <c:v>5.929886364</c:v>
                </c:pt>
                <c:pt idx="442">
                  <c:v>6.640595238</c:v>
                </c:pt>
                <c:pt idx="443">
                  <c:v>6.62175</c:v>
                </c:pt>
                <c:pt idx="444">
                  <c:v>6.963571429</c:v>
                </c:pt>
                <c:pt idx="445">
                  <c:v>7.566973684</c:v>
                </c:pt>
                <c:pt idx="446">
                  <c:v>7.537613636</c:v>
                </c:pt>
                <c:pt idx="447">
                  <c:v>7.358875</c:v>
                </c:pt>
                <c:pt idx="448">
                  <c:v>7.707613636</c:v>
                </c:pt>
                <c:pt idx="449">
                  <c:v>8.241666667</c:v>
                </c:pt>
                <c:pt idx="450">
                  <c:v>8.531428571</c:v>
                </c:pt>
                <c:pt idx="451">
                  <c:v>8.409782609</c:v>
                </c:pt>
                <c:pt idx="452">
                  <c:v>9.459078947</c:v>
                </c:pt>
                <c:pt idx="453">
                  <c:v>9.754130435</c:v>
                </c:pt>
                <c:pt idx="454">
                  <c:v>10.5872619</c:v>
                </c:pt>
                <c:pt idx="455">
                  <c:v>11.514375</c:v>
                </c:pt>
                <c:pt idx="456">
                  <c:v>12.56583333</c:v>
                </c:pt>
                <c:pt idx="457">
                  <c:v>13.831375</c:v>
                </c:pt>
                <c:pt idx="458">
                  <c:v>13.4905</c:v>
                </c:pt>
                <c:pt idx="459">
                  <c:v>13.13943182</c:v>
                </c:pt>
                <c:pt idx="460">
                  <c:v>13.31083333</c:v>
                </c:pt>
                <c:pt idx="461">
                  <c:v>15.03583333</c:v>
                </c:pt>
                <c:pt idx="462">
                  <c:v>15.08147727</c:v>
                </c:pt>
                <c:pt idx="463">
                  <c:v>12.82035714</c:v>
                </c:pt>
                <c:pt idx="464">
                  <c:v>11.91619048</c:v>
                </c:pt>
                <c:pt idx="465">
                  <c:v>9.220217391</c:v>
                </c:pt>
                <c:pt idx="466">
                  <c:v>8.957631579</c:v>
                </c:pt>
                <c:pt idx="467">
                  <c:v>8.676704545</c:v>
                </c:pt>
                <c:pt idx="468">
                  <c:v>9.926</c:v>
                </c:pt>
                <c:pt idx="469">
                  <c:v>9.287894737</c:v>
                </c:pt>
                <c:pt idx="470">
                  <c:v>9.080681818</c:v>
                </c:pt>
                <c:pt idx="471">
                  <c:v>10.19130952</c:v>
                </c:pt>
                <c:pt idx="472">
                  <c:v>11.494625</c:v>
                </c:pt>
                <c:pt idx="473">
                  <c:v>12.11386364</c:v>
                </c:pt>
                <c:pt idx="474">
                  <c:v>10.83420455</c:v>
                </c:pt>
                <c:pt idx="475">
                  <c:v>11.13</c:v>
                </c:pt>
                <c:pt idx="476">
                  <c:v>9.499642857</c:v>
                </c:pt>
                <c:pt idx="477">
                  <c:v>9.657840909</c:v>
                </c:pt>
                <c:pt idx="478">
                  <c:v>10.089</c:v>
                </c:pt>
                <c:pt idx="479">
                  <c:v>10.32284091</c:v>
                </c:pt>
                <c:pt idx="480">
                  <c:v>9.769473684</c:v>
                </c:pt>
                <c:pt idx="481">
                  <c:v>9.380131579</c:v>
                </c:pt>
                <c:pt idx="482">
                  <c:v>9.496847826</c:v>
                </c:pt>
                <c:pt idx="483">
                  <c:v>9.733333333</c:v>
                </c:pt>
                <c:pt idx="484">
                  <c:v>9.499625</c:v>
                </c:pt>
                <c:pt idx="485">
                  <c:v>9.485</c:v>
                </c:pt>
                <c:pt idx="486">
                  <c:v>10.09630952</c:v>
                </c:pt>
                <c:pt idx="487">
                  <c:v>10.32727273</c:v>
                </c:pt>
                <c:pt idx="488">
                  <c:v>10.62035714</c:v>
                </c:pt>
                <c:pt idx="489">
                  <c:v>11.62583333</c:v>
                </c:pt>
                <c:pt idx="490">
                  <c:v>12.51809524</c:v>
                </c:pt>
                <c:pt idx="491">
                  <c:v>13.16568182</c:v>
                </c:pt>
                <c:pt idx="492">
                  <c:v>13.91</c:v>
                </c:pt>
                <c:pt idx="493">
                  <c:v>13.93578947</c:v>
                </c:pt>
                <c:pt idx="494">
                  <c:v>13.57347826</c:v>
                </c:pt>
                <c:pt idx="495">
                  <c:v>13.64775</c:v>
                </c:pt>
                <c:pt idx="496">
                  <c:v>13.57416667</c:v>
                </c:pt>
                <c:pt idx="497">
                  <c:v>13.60159091</c:v>
                </c:pt>
                <c:pt idx="498">
                  <c:v>13.6575</c:v>
                </c:pt>
                <c:pt idx="499">
                  <c:v>13.64652174</c:v>
                </c:pt>
                <c:pt idx="500">
                  <c:v>13.36035714</c:v>
                </c:pt>
                <c:pt idx="501">
                  <c:v>12.13857143</c:v>
                </c:pt>
                <c:pt idx="502">
                  <c:v>11.67071429</c:v>
                </c:pt>
                <c:pt idx="503">
                  <c:v>11.43178571</c:v>
                </c:pt>
                <c:pt idx="504">
                  <c:v>12.022</c:v>
                </c:pt>
                <c:pt idx="505">
                  <c:v>12.5615</c:v>
                </c:pt>
                <c:pt idx="506">
                  <c:v>13.50681818</c:v>
                </c:pt>
                <c:pt idx="507">
                  <c:v>14.4085</c:v>
                </c:pt>
                <c:pt idx="508">
                  <c:v>14.17727273</c:v>
                </c:pt>
                <c:pt idx="509">
                  <c:v>14.21547619</c:v>
                </c:pt>
                <c:pt idx="510">
                  <c:v>16.58642857</c:v>
                </c:pt>
                <c:pt idx="511">
                  <c:v>16.95293478</c:v>
                </c:pt>
                <c:pt idx="512">
                  <c:v>16.7425</c:v>
                </c:pt>
                <c:pt idx="513">
                  <c:v>15.39108696</c:v>
                </c:pt>
                <c:pt idx="514">
                  <c:v>14.50666667</c:v>
                </c:pt>
                <c:pt idx="515">
                  <c:v>14.554625</c:v>
                </c:pt>
                <c:pt idx="516">
                  <c:v>14.31666667</c:v>
                </c:pt>
                <c:pt idx="517">
                  <c:v>14.59776316</c:v>
                </c:pt>
                <c:pt idx="518">
                  <c:v>14.58975</c:v>
                </c:pt>
                <c:pt idx="519">
                  <c:v>14.09193182</c:v>
                </c:pt>
                <c:pt idx="520">
                  <c:v>14.75625</c:v>
                </c:pt>
                <c:pt idx="521">
                  <c:v>15.245</c:v>
                </c:pt>
                <c:pt idx="522">
                  <c:v>14.92363636</c:v>
                </c:pt>
                <c:pt idx="523">
                  <c:v>13.55465909</c:v>
                </c:pt>
                <c:pt idx="524">
                  <c:v>13.695875</c:v>
                </c:pt>
                <c:pt idx="525">
                  <c:v>12.86826087</c:v>
                </c:pt>
                <c:pt idx="526">
                  <c:v>12.972625</c:v>
                </c:pt>
                <c:pt idx="527">
                  <c:v>13.29940476</c:v>
                </c:pt>
                <c:pt idx="528">
                  <c:v>12.95738095</c:v>
                </c:pt>
                <c:pt idx="529">
                  <c:v>13.52065789</c:v>
                </c:pt>
                <c:pt idx="530">
                  <c:v>14.20654762</c:v>
                </c:pt>
                <c:pt idx="531">
                  <c:v>14.89202381</c:v>
                </c:pt>
                <c:pt idx="532">
                  <c:v>14.86059524</c:v>
                </c:pt>
                <c:pt idx="533">
                  <c:v>14.36988095</c:v>
                </c:pt>
                <c:pt idx="534">
                  <c:v>12.60715909</c:v>
                </c:pt>
                <c:pt idx="535">
                  <c:v>11.78392857</c:v>
                </c:pt>
                <c:pt idx="536">
                  <c:v>10.03845238</c:v>
                </c:pt>
                <c:pt idx="537">
                  <c:v>9.646304348</c:v>
                </c:pt>
                <c:pt idx="538">
                  <c:v>10.32407895</c:v>
                </c:pt>
                <c:pt idx="539">
                  <c:v>10.30875</c:v>
                </c:pt>
                <c:pt idx="540">
                  <c:v>10.0015</c:v>
                </c:pt>
                <c:pt idx="541">
                  <c:v>9.926578947</c:v>
                </c:pt>
                <c:pt idx="542">
                  <c:v>9.786590909</c:v>
                </c:pt>
                <c:pt idx="543">
                  <c:v>9.713928571</c:v>
                </c:pt>
                <c:pt idx="544">
                  <c:v>9.5785</c:v>
                </c:pt>
                <c:pt idx="545">
                  <c:v>9.656704545</c:v>
                </c:pt>
                <c:pt idx="546">
                  <c:v>10.13363636</c:v>
                </c:pt>
                <c:pt idx="547">
                  <c:v>9.444404762</c:v>
                </c:pt>
                <c:pt idx="548">
                  <c:v>8.805714286</c:v>
                </c:pt>
                <c:pt idx="549">
                  <c:v>8.910909091</c:v>
                </c:pt>
                <c:pt idx="550">
                  <c:v>8.684</c:v>
                </c:pt>
                <c:pt idx="551">
                  <c:v>8.799204545</c:v>
                </c:pt>
                <c:pt idx="552">
                  <c:v>8.796184211</c:v>
                </c:pt>
                <c:pt idx="553">
                  <c:v>8.7125</c:v>
                </c:pt>
                <c:pt idx="554">
                  <c:v>8.897727273</c:v>
                </c:pt>
                <c:pt idx="555">
                  <c:v>9.628928571</c:v>
                </c:pt>
                <c:pt idx="556">
                  <c:v>10.57357143</c:v>
                </c:pt>
                <c:pt idx="557">
                  <c:v>11.46397727</c:v>
                </c:pt>
                <c:pt idx="558">
                  <c:v>10.625</c:v>
                </c:pt>
                <c:pt idx="559">
                  <c:v>10.07836957</c:v>
                </c:pt>
                <c:pt idx="560">
                  <c:v>9.686071429</c:v>
                </c:pt>
                <c:pt idx="561">
                  <c:v>9.753690476</c:v>
                </c:pt>
                <c:pt idx="562">
                  <c:v>10.02547619</c:v>
                </c:pt>
                <c:pt idx="563">
                  <c:v>10.21369048</c:v>
                </c:pt>
                <c:pt idx="564">
                  <c:v>10.33075</c:v>
                </c:pt>
                <c:pt idx="565">
                  <c:v>10.36565789</c:v>
                </c:pt>
                <c:pt idx="566">
                  <c:v>9.963478261</c:v>
                </c:pt>
                <c:pt idx="567">
                  <c:v>9.467236842</c:v>
                </c:pt>
                <c:pt idx="568">
                  <c:v>9.530340909</c:v>
                </c:pt>
                <c:pt idx="569">
                  <c:v>9.245909091</c:v>
                </c:pt>
                <c:pt idx="570">
                  <c:v>9.946</c:v>
                </c:pt>
                <c:pt idx="571">
                  <c:v>9.400543478</c:v>
                </c:pt>
                <c:pt idx="572">
                  <c:v>9.6305</c:v>
                </c:pt>
                <c:pt idx="573">
                  <c:v>9.750681818</c:v>
                </c:pt>
                <c:pt idx="574">
                  <c:v>9.835952381</c:v>
                </c:pt>
                <c:pt idx="575">
                  <c:v>9.720125</c:v>
                </c:pt>
                <c:pt idx="576">
                  <c:v>9.712380952</c:v>
                </c:pt>
                <c:pt idx="577">
                  <c:v>10.10328947</c:v>
                </c:pt>
                <c:pt idx="578">
                  <c:v>10.39345238</c:v>
                </c:pt>
                <c:pt idx="579">
                  <c:v>10.37642857</c:v>
                </c:pt>
                <c:pt idx="580">
                  <c:v>10.20170455</c:v>
                </c:pt>
                <c:pt idx="581">
                  <c:v>9.252142857</c:v>
                </c:pt>
                <c:pt idx="582">
                  <c:v>8.506547619</c:v>
                </c:pt>
                <c:pt idx="583">
                  <c:v>8.618043478</c:v>
                </c:pt>
                <c:pt idx="584">
                  <c:v>8.339736842</c:v>
                </c:pt>
                <c:pt idx="585">
                  <c:v>8.596086957</c:v>
                </c:pt>
                <c:pt idx="586">
                  <c:v>8.771071429</c:v>
                </c:pt>
                <c:pt idx="587">
                  <c:v>8.99425</c:v>
                </c:pt>
                <c:pt idx="588">
                  <c:v>9.083928571</c:v>
                </c:pt>
                <c:pt idx="589">
                  <c:v>9.103684211</c:v>
                </c:pt>
                <c:pt idx="590">
                  <c:v>8.960357143</c:v>
                </c:pt>
                <c:pt idx="591">
                  <c:v>8.824761905</c:v>
                </c:pt>
                <c:pt idx="592">
                  <c:v>8.309204545</c:v>
                </c:pt>
                <c:pt idx="593">
                  <c:v>8.889</c:v>
                </c:pt>
                <c:pt idx="594">
                  <c:v>8.857840909</c:v>
                </c:pt>
                <c:pt idx="595">
                  <c:v>8.562727273</c:v>
                </c:pt>
                <c:pt idx="596">
                  <c:v>8.77575</c:v>
                </c:pt>
                <c:pt idx="597">
                  <c:v>9.249782609</c:v>
                </c:pt>
                <c:pt idx="598">
                  <c:v>9.061625</c:v>
                </c:pt>
                <c:pt idx="599">
                  <c:v>9.115833333</c:v>
                </c:pt>
                <c:pt idx="600">
                  <c:v>9.173809524</c:v>
                </c:pt>
                <c:pt idx="601">
                  <c:v>8.856710526</c:v>
                </c:pt>
                <c:pt idx="602">
                  <c:v>8.690909091</c:v>
                </c:pt>
                <c:pt idx="603">
                  <c:v>8.436666667</c:v>
                </c:pt>
                <c:pt idx="604">
                  <c:v>8.418625</c:v>
                </c:pt>
                <c:pt idx="605">
                  <c:v>8.672045455</c:v>
                </c:pt>
                <c:pt idx="606">
                  <c:v>8.952159091</c:v>
                </c:pt>
                <c:pt idx="607">
                  <c:v>9.039404762</c:v>
                </c:pt>
                <c:pt idx="608">
                  <c:v>9.983333333</c:v>
                </c:pt>
                <c:pt idx="609">
                  <c:v>10.54806818</c:v>
                </c:pt>
                <c:pt idx="610">
                  <c:v>11.41925</c:v>
                </c:pt>
                <c:pt idx="611">
                  <c:v>12.07431818</c:v>
                </c:pt>
                <c:pt idx="612">
                  <c:v>13.72513158</c:v>
                </c:pt>
                <c:pt idx="613">
                  <c:v>13.82052632</c:v>
                </c:pt>
                <c:pt idx="614">
                  <c:v>14.14880435</c:v>
                </c:pt>
                <c:pt idx="615">
                  <c:v>14.655</c:v>
                </c:pt>
                <c:pt idx="616">
                  <c:v>15.722375</c:v>
                </c:pt>
                <c:pt idx="617">
                  <c:v>14.62443182</c:v>
                </c:pt>
                <c:pt idx="618">
                  <c:v>14.24928571</c:v>
                </c:pt>
                <c:pt idx="619">
                  <c:v>13.71772727</c:v>
                </c:pt>
                <c:pt idx="620">
                  <c:v>12.77607143</c:v>
                </c:pt>
                <c:pt idx="621">
                  <c:v>12.30202381</c:v>
                </c:pt>
                <c:pt idx="622">
                  <c:v>12.37154762</c:v>
                </c:pt>
                <c:pt idx="623">
                  <c:v>12.895</c:v>
                </c:pt>
                <c:pt idx="624">
                  <c:v>14.001</c:v>
                </c:pt>
                <c:pt idx="625">
                  <c:v>15.88552632</c:v>
                </c:pt>
                <c:pt idx="626">
                  <c:v>16.7973913</c:v>
                </c:pt>
                <c:pt idx="627">
                  <c:v>16.823</c:v>
                </c:pt>
                <c:pt idx="628">
                  <c:v>16.7702381</c:v>
                </c:pt>
                <c:pt idx="629">
                  <c:v>16.90083333</c:v>
                </c:pt>
                <c:pt idx="630">
                  <c:v>15.504125</c:v>
                </c:pt>
                <c:pt idx="631">
                  <c:v>15.69858696</c:v>
                </c:pt>
                <c:pt idx="632">
                  <c:v>14.60714286</c:v>
                </c:pt>
                <c:pt idx="633">
                  <c:v>13.81309524</c:v>
                </c:pt>
                <c:pt idx="634">
                  <c:v>14.42011905</c:v>
                </c:pt>
                <c:pt idx="635">
                  <c:v>14.74416667</c:v>
                </c:pt>
                <c:pt idx="636">
                  <c:v>15.1015</c:v>
                </c:pt>
                <c:pt idx="637">
                  <c:v>15.27605263</c:v>
                </c:pt>
                <c:pt idx="638">
                  <c:v>14.89304348</c:v>
                </c:pt>
                <c:pt idx="639">
                  <c:v>14.88131579</c:v>
                </c:pt>
                <c:pt idx="640">
                  <c:v>13.85590909</c:v>
                </c:pt>
                <c:pt idx="641">
                  <c:v>14.30714286</c:v>
                </c:pt>
                <c:pt idx="642">
                  <c:v>15.082125</c:v>
                </c:pt>
                <c:pt idx="643">
                  <c:v>13.88402174</c:v>
                </c:pt>
                <c:pt idx="644">
                  <c:v>13.242875</c:v>
                </c:pt>
                <c:pt idx="645">
                  <c:v>12.84386364</c:v>
                </c:pt>
                <c:pt idx="646">
                  <c:v>13.44869048</c:v>
                </c:pt>
                <c:pt idx="647">
                  <c:v>13.10925</c:v>
                </c:pt>
                <c:pt idx="648">
                  <c:v>12.30154762</c:v>
                </c:pt>
                <c:pt idx="649">
                  <c:v>11.693875</c:v>
                </c:pt>
                <c:pt idx="650">
                  <c:v>11.792875</c:v>
                </c:pt>
                <c:pt idx="651">
                  <c:v>11.64613636</c:v>
                </c:pt>
                <c:pt idx="652">
                  <c:v>12.16511364</c:v>
                </c:pt>
                <c:pt idx="653">
                  <c:v>11.72855263</c:v>
                </c:pt>
                <c:pt idx="654">
                  <c:v>11.16159091</c:v>
                </c:pt>
                <c:pt idx="655">
                  <c:v>9.847386364</c:v>
                </c:pt>
                <c:pt idx="656">
                  <c:v>10.142125</c:v>
                </c:pt>
                <c:pt idx="657">
                  <c:v>10.02869565</c:v>
                </c:pt>
                <c:pt idx="658">
                  <c:v>9.95075</c:v>
                </c:pt>
              </c:strCache>
            </c:strRef>
          </c:xVal>
          <c:yVal>
            <c:numRef>
              <c:f>[1]Prices!$D$3:$D$661</c:f>
              <c:numCache>
                <c:formatCode>General</c:formatCode>
                <c:ptCount val="659"/>
                <c:pt idx="0">
                  <c:v>9.2504999999999988</c:v>
                </c:pt>
                <c:pt idx="1">
                  <c:v>10.867894736842105</c:v>
                </c:pt>
                <c:pt idx="2">
                  <c:v>0</c:v>
                </c:pt>
                <c:pt idx="3">
                  <c:v>11.689090909090909</c:v>
                </c:pt>
                <c:pt idx="4">
                  <c:v>10.911000000000001</c:v>
                </c:pt>
                <c:pt idx="5">
                  <c:v>10.858181818181819</c:v>
                </c:pt>
                <c:pt idx="6">
                  <c:v>11.053636363636365</c:v>
                </c:pt>
                <c:pt idx="7">
                  <c:v>10.855714285714287</c:v>
                </c:pt>
                <c:pt idx="8">
                  <c:v>11.21</c:v>
                </c:pt>
                <c:pt idx="9">
                  <c:v>12.519090909090909</c:v>
                </c:pt>
                <c:pt idx="10">
                  <c:v>13.129473684210524</c:v>
                </c:pt>
                <c:pt idx="11">
                  <c:v>11.907272727272726</c:v>
                </c:pt>
                <c:pt idx="12">
                  <c:v>12.136999999999999</c:v>
                </c:pt>
                <c:pt idx="13">
                  <c:v>11.954736842105264</c:v>
                </c:pt>
                <c:pt idx="14">
                  <c:v>11.89</c:v>
                </c:pt>
                <c:pt idx="15">
                  <c:v>10.926666666666666</c:v>
                </c:pt>
                <c:pt idx="16">
                  <c:v>11.186500000000001</c:v>
                </c:pt>
                <c:pt idx="17">
                  <c:v>12.640454545454544</c:v>
                </c:pt>
                <c:pt idx="18">
                  <c:v>14.181904761904761</c:v>
                </c:pt>
                <c:pt idx="19">
                  <c:v>13.950454545454546</c:v>
                </c:pt>
                <c:pt idx="20">
                  <c:v>12.562380952380952</c:v>
                </c:pt>
                <c:pt idx="21">
                  <c:v>12.819047619047618</c:v>
                </c:pt>
                <c:pt idx="22">
                  <c:v>12.425714285714283</c:v>
                </c:pt>
                <c:pt idx="23">
                  <c:v>11.683809523809524</c:v>
                </c:pt>
                <c:pt idx="24">
                  <c:v>11.01</c:v>
                </c:pt>
                <c:pt idx="25">
                  <c:v>11.074999999999999</c:v>
                </c:pt>
                <c:pt idx="26">
                  <c:v>11.779090909090909</c:v>
                </c:pt>
                <c:pt idx="27">
                  <c:v>11.892999999999997</c:v>
                </c:pt>
                <c:pt idx="28">
                  <c:v>11.556363636363635</c:v>
                </c:pt>
                <c:pt idx="29">
                  <c:v>10.723636363636365</c:v>
                </c:pt>
                <c:pt idx="30">
                  <c:v>10.293499999999998</c:v>
                </c:pt>
                <c:pt idx="31">
                  <c:v>10.173478260869565</c:v>
                </c:pt>
                <c:pt idx="32">
                  <c:v>9.8469999999999978</c:v>
                </c:pt>
                <c:pt idx="33">
                  <c:v>9.7236363636363627</c:v>
                </c:pt>
                <c:pt idx="34">
                  <c:v>9.7394999999999996</c:v>
                </c:pt>
                <c:pt idx="35">
                  <c:v>9.7684210526315809</c:v>
                </c:pt>
                <c:pt idx="36">
                  <c:v>10.195238095238098</c:v>
                </c:pt>
                <c:pt idx="37">
                  <c:v>13.018421052631579</c:v>
                </c:pt>
                <c:pt idx="38">
                  <c:v>14.008181818181818</c:v>
                </c:pt>
                <c:pt idx="39">
                  <c:v>14.892000000000001</c:v>
                </c:pt>
                <c:pt idx="40">
                  <c:v>16.707272727272727</c:v>
                </c:pt>
                <c:pt idx="41">
                  <c:v>18.977894736842103</c:v>
                </c:pt>
                <c:pt idx="42">
                  <c:v>21.09666666666666</c:v>
                </c:pt>
                <c:pt idx="43">
                  <c:v>29.200869565217381</c:v>
                </c:pt>
                <c:pt idx="44">
                  <c:v>20.567368421052628</c:v>
                </c:pt>
                <c:pt idx="45">
                  <c:v>19.079999999999998</c:v>
                </c:pt>
                <c:pt idx="46">
                  <c:v>18.780476190476193</c:v>
                </c:pt>
                <c:pt idx="47">
                  <c:v>23.155789473684216</c:v>
                </c:pt>
                <c:pt idx="48">
                  <c:v>24.758636363636359</c:v>
                </c:pt>
                <c:pt idx="49">
                  <c:v>32.445555555555551</c:v>
                </c:pt>
                <c:pt idx="50">
                  <c:v>26.326190476190476</c:v>
                </c:pt>
                <c:pt idx="51">
                  <c:v>26.246190476190474</c:v>
                </c:pt>
                <c:pt idx="52">
                  <c:v>26.804545454545458</c:v>
                </c:pt>
                <c:pt idx="53">
                  <c:v>29.796000000000003</c:v>
                </c:pt>
                <c:pt idx="54">
                  <c:v>37.254090909090905</c:v>
                </c:pt>
                <c:pt idx="55">
                  <c:v>40.303636363636357</c:v>
                </c:pt>
                <c:pt idx="56">
                  <c:v>39.020499999999998</c:v>
                </c:pt>
                <c:pt idx="57">
                  <c:v>42.278260869565223</c:v>
                </c:pt>
                <c:pt idx="58">
                  <c:v>40.208421052631586</c:v>
                </c:pt>
                <c:pt idx="59">
                  <c:v>36.981904761904765</c:v>
                </c:pt>
                <c:pt idx="60">
                  <c:v>32.768181818181823</c:v>
                </c:pt>
                <c:pt idx="61">
                  <c:v>28.565789473684209</c:v>
                </c:pt>
                <c:pt idx="62">
                  <c:v>26.9635</c:v>
                </c:pt>
                <c:pt idx="63">
                  <c:v>27.080454545454543</c:v>
                </c:pt>
                <c:pt idx="64">
                  <c:v>22.451428571428576</c:v>
                </c:pt>
                <c:pt idx="65">
                  <c:v>21.897142857142857</c:v>
                </c:pt>
                <c:pt idx="66">
                  <c:v>24.909090909090921</c:v>
                </c:pt>
                <c:pt idx="67">
                  <c:v>26.691428571428567</c:v>
                </c:pt>
                <c:pt idx="68">
                  <c:v>23.538095238095242</c:v>
                </c:pt>
                <c:pt idx="69">
                  <c:v>20.787826086956517</c:v>
                </c:pt>
                <c:pt idx="70">
                  <c:v>18.520526315789478</c:v>
                </c:pt>
                <c:pt idx="71">
                  <c:v>16.586190476190477</c:v>
                </c:pt>
                <c:pt idx="72">
                  <c:v>16.390476190476193</c:v>
                </c:pt>
                <c:pt idx="73">
                  <c:v>16.51157894736842</c:v>
                </c:pt>
                <c:pt idx="74">
                  <c:v>16.737826086956524</c:v>
                </c:pt>
                <c:pt idx="75">
                  <c:v>16.357619047619053</c:v>
                </c:pt>
                <c:pt idx="76">
                  <c:v>16.231000000000002</c:v>
                </c:pt>
                <c:pt idx="77">
                  <c:v>18.28681818181818</c:v>
                </c:pt>
                <c:pt idx="78">
                  <c:v>20.984285714285711</c:v>
                </c:pt>
                <c:pt idx="79">
                  <c:v>20.586818181818177</c:v>
                </c:pt>
                <c:pt idx="80">
                  <c:v>22.649047619047614</c:v>
                </c:pt>
                <c:pt idx="81">
                  <c:v>21.148095238095237</c:v>
                </c:pt>
                <c:pt idx="82">
                  <c:v>21.971499999999999</c:v>
                </c:pt>
                <c:pt idx="83">
                  <c:v>21.270952380952377</c:v>
                </c:pt>
                <c:pt idx="84">
                  <c:v>21.436190476190479</c:v>
                </c:pt>
                <c:pt idx="85">
                  <c:v>22.888947368421046</c:v>
                </c:pt>
                <c:pt idx="86">
                  <c:v>26.801739130434779</c:v>
                </c:pt>
                <c:pt idx="87">
                  <c:v>29.539499999999993</c:v>
                </c:pt>
                <c:pt idx="88">
                  <c:v>31.238499999999995</c:v>
                </c:pt>
                <c:pt idx="89">
                  <c:v>28.175000000000001</c:v>
                </c:pt>
                <c:pt idx="90">
                  <c:v>23.238500000000002</c:v>
                </c:pt>
                <c:pt idx="91">
                  <c:v>20.181739130434785</c:v>
                </c:pt>
                <c:pt idx="92">
                  <c:v>18.63428571428571</c:v>
                </c:pt>
                <c:pt idx="93">
                  <c:v>18.341428571428569</c:v>
                </c:pt>
                <c:pt idx="94">
                  <c:v>20.322857142857142</c:v>
                </c:pt>
                <c:pt idx="95">
                  <c:v>21.892857142857146</c:v>
                </c:pt>
                <c:pt idx="96">
                  <c:v>20.557619047619045</c:v>
                </c:pt>
                <c:pt idx="97">
                  <c:v>21.071052631578947</c:v>
                </c:pt>
                <c:pt idx="98">
                  <c:v>25.594999999999999</c:v>
                </c:pt>
                <c:pt idx="99">
                  <c:v>26.430999999999994</c:v>
                </c:pt>
                <c:pt idx="100">
                  <c:v>27.074090909090909</c:v>
                </c:pt>
                <c:pt idx="101">
                  <c:v>25.945</c:v>
                </c:pt>
                <c:pt idx="102">
                  <c:v>24.210500000000003</c:v>
                </c:pt>
                <c:pt idx="103">
                  <c:v>24.542173913043484</c:v>
                </c:pt>
                <c:pt idx="104">
                  <c:v>25.606999999999999</c:v>
                </c:pt>
                <c:pt idx="105">
                  <c:v>25.828181818181818</c:v>
                </c:pt>
                <c:pt idx="106">
                  <c:v>24.427499999999998</c:v>
                </c:pt>
                <c:pt idx="107">
                  <c:v>24.885999999999999</c:v>
                </c:pt>
                <c:pt idx="108">
                  <c:v>25.074999999999999</c:v>
                </c:pt>
                <c:pt idx="109">
                  <c:v>27.29526315789473</c:v>
                </c:pt>
                <c:pt idx="110">
                  <c:v>27.481363636363639</c:v>
                </c:pt>
                <c:pt idx="111">
                  <c:v>26.434000000000005</c:v>
                </c:pt>
                <c:pt idx="112">
                  <c:v>26.156363636363633</c:v>
                </c:pt>
                <c:pt idx="113">
                  <c:v>27.096190476190475</c:v>
                </c:pt>
                <c:pt idx="114">
                  <c:v>28.241428571428575</c:v>
                </c:pt>
                <c:pt idx="115">
                  <c:v>27.756086956521738</c:v>
                </c:pt>
                <c:pt idx="116">
                  <c:v>27.928421052631577</c:v>
                </c:pt>
                <c:pt idx="117">
                  <c:v>26.10478260869565</c:v>
                </c:pt>
                <c:pt idx="118">
                  <c:v>26.449523809523807</c:v>
                </c:pt>
                <c:pt idx="119">
                  <c:v>25.12157894736842</c:v>
                </c:pt>
                <c:pt idx="120">
                  <c:v>23.8005</c:v>
                </c:pt>
                <c:pt idx="121">
                  <c:v>23.531500000000001</c:v>
                </c:pt>
                <c:pt idx="122">
                  <c:v>22.398095238095237</c:v>
                </c:pt>
                <c:pt idx="123">
                  <c:v>20.463333333333335</c:v>
                </c:pt>
                <c:pt idx="124">
                  <c:v>21.303333333333335</c:v>
                </c:pt>
                <c:pt idx="125">
                  <c:v>21.997619047619054</c:v>
                </c:pt>
                <c:pt idx="126">
                  <c:v>26.488636363636363</c:v>
                </c:pt>
                <c:pt idx="127">
                  <c:v>26.457142857142859</c:v>
                </c:pt>
                <c:pt idx="128">
                  <c:v>26.912380952380957</c:v>
                </c:pt>
                <c:pt idx="129">
                  <c:v>26.295652173913048</c:v>
                </c:pt>
                <c:pt idx="130">
                  <c:v>27.90388888888889</c:v>
                </c:pt>
                <c:pt idx="131">
                  <c:v>25.045238095238091</c:v>
                </c:pt>
                <c:pt idx="132">
                  <c:v>24.524761904761899</c:v>
                </c:pt>
                <c:pt idx="133">
                  <c:v>23.816842105263152</c:v>
                </c:pt>
                <c:pt idx="134">
                  <c:v>24.479090909090907</c:v>
                </c:pt>
                <c:pt idx="135">
                  <c:v>24.484761904761907</c:v>
                </c:pt>
                <c:pt idx="136">
                  <c:v>23.736499999999999</c:v>
                </c:pt>
                <c:pt idx="137">
                  <c:v>22.375</c:v>
                </c:pt>
                <c:pt idx="138">
                  <c:v>23.470909090909092</c:v>
                </c:pt>
                <c:pt idx="139">
                  <c:v>21.59238095238095</c:v>
                </c:pt>
                <c:pt idx="140">
                  <c:v>20.713809523809527</c:v>
                </c:pt>
                <c:pt idx="141">
                  <c:v>21.496363636363636</c:v>
                </c:pt>
                <c:pt idx="142">
                  <c:v>20.472000000000001</c:v>
                </c:pt>
                <c:pt idx="143">
                  <c:v>19.498181818181816</c:v>
                </c:pt>
                <c:pt idx="144">
                  <c:v>19.568000000000005</c:v>
                </c:pt>
                <c:pt idx="145">
                  <c:v>18.999473684210528</c:v>
                </c:pt>
                <c:pt idx="146">
                  <c:v>18.784347826086957</c:v>
                </c:pt>
                <c:pt idx="147">
                  <c:v>19.659523809523812</c:v>
                </c:pt>
                <c:pt idx="148">
                  <c:v>20.608499999999999</c:v>
                </c:pt>
                <c:pt idx="149">
                  <c:v>19.055909090909093</c:v>
                </c:pt>
                <c:pt idx="150">
                  <c:v>18.573333333333331</c:v>
                </c:pt>
                <c:pt idx="151">
                  <c:v>17.531818181818181</c:v>
                </c:pt>
                <c:pt idx="152">
                  <c:v>17.216190476190473</c:v>
                </c:pt>
                <c:pt idx="153">
                  <c:v>17.135238095238098</c:v>
                </c:pt>
                <c:pt idx="154">
                  <c:v>17.078499999999998</c:v>
                </c:pt>
                <c:pt idx="155">
                  <c:v>16.587476190476199</c:v>
                </c:pt>
                <c:pt idx="156">
                  <c:v>16.947142857142854</c:v>
                </c:pt>
                <c:pt idx="157">
                  <c:v>17.211578947368427</c:v>
                </c:pt>
                <c:pt idx="158">
                  <c:v>17.532608695652179</c:v>
                </c:pt>
                <c:pt idx="159">
                  <c:v>19.008500000000002</c:v>
                </c:pt>
                <c:pt idx="160">
                  <c:v>19.400952380952383</c:v>
                </c:pt>
                <c:pt idx="161">
                  <c:v>18.961818181818185</c:v>
                </c:pt>
                <c:pt idx="162">
                  <c:v>21.313499999999998</c:v>
                </c:pt>
                <c:pt idx="163">
                  <c:v>29.816956521739133</c:v>
                </c:pt>
                <c:pt idx="164">
                  <c:v>33.966666666666661</c:v>
                </c:pt>
                <c:pt idx="165">
                  <c:v>30.218095238095241</c:v>
                </c:pt>
                <c:pt idx="166">
                  <c:v>27.69380952380952</c:v>
                </c:pt>
                <c:pt idx="167">
                  <c:v>27.416666666666668</c:v>
                </c:pt>
                <c:pt idx="168">
                  <c:v>28.387142857142855</c:v>
                </c:pt>
                <c:pt idx="169">
                  <c:v>26.791999999999994</c:v>
                </c:pt>
                <c:pt idx="170">
                  <c:v>29.625</c:v>
                </c:pt>
                <c:pt idx="171">
                  <c:v>31.402000000000008</c:v>
                </c:pt>
                <c:pt idx="172">
                  <c:v>37.05590909090909</c:v>
                </c:pt>
                <c:pt idx="173">
                  <c:v>34.043333333333322</c:v>
                </c:pt>
                <c:pt idx="174">
                  <c:v>28.153809523809521</c:v>
                </c:pt>
                <c:pt idx="175">
                  <c:v>27.253043478260881</c:v>
                </c:pt>
                <c:pt idx="176">
                  <c:v>26.062631578947368</c:v>
                </c:pt>
                <c:pt idx="177">
                  <c:v>26.118695652173916</c:v>
                </c:pt>
                <c:pt idx="178">
                  <c:v>28.158095238095239</c:v>
                </c:pt>
                <c:pt idx="179">
                  <c:v>25.876999999999999</c:v>
                </c:pt>
                <c:pt idx="180">
                  <c:v>25.991363636363634</c:v>
                </c:pt>
                <c:pt idx="181">
                  <c:v>28.06421052631579</c:v>
                </c:pt>
                <c:pt idx="182">
                  <c:v>28.658571428571431</c:v>
                </c:pt>
                <c:pt idx="183">
                  <c:v>32.095714285714287</c:v>
                </c:pt>
                <c:pt idx="184">
                  <c:v>30.246818181818188</c:v>
                </c:pt>
                <c:pt idx="185">
                  <c:v>30.481999999999999</c:v>
                </c:pt>
                <c:pt idx="186">
                  <c:v>26.950909090909089</c:v>
                </c:pt>
                <c:pt idx="187">
                  <c:v>23.020454545454545</c:v>
                </c:pt>
                <c:pt idx="188">
                  <c:v>21.305999999999997</c:v>
                </c:pt>
                <c:pt idx="189">
                  <c:v>19.858260869565218</c:v>
                </c:pt>
                <c:pt idx="190">
                  <c:v>19.940000000000001</c:v>
                </c:pt>
                <c:pt idx="191">
                  <c:v>20.983809523809523</c:v>
                </c:pt>
                <c:pt idx="192">
                  <c:v>20.376363636363639</c:v>
                </c:pt>
                <c:pt idx="193">
                  <c:v>18.594736842105263</c:v>
                </c:pt>
                <c:pt idx="194">
                  <c:v>17.7315</c:v>
                </c:pt>
                <c:pt idx="195">
                  <c:v>17.649999999999999</c:v>
                </c:pt>
                <c:pt idx="196">
                  <c:v>17.974761904761905</c:v>
                </c:pt>
                <c:pt idx="197">
                  <c:v>16.862380952380956</c:v>
                </c:pt>
                <c:pt idx="198">
                  <c:v>16.353636363636369</c:v>
                </c:pt>
                <c:pt idx="199">
                  <c:v>14.418095238095237</c:v>
                </c:pt>
                <c:pt idx="200">
                  <c:v>13.759523809523809</c:v>
                </c:pt>
                <c:pt idx="201">
                  <c:v>14.916956521739129</c:v>
                </c:pt>
                <c:pt idx="202">
                  <c:v>15.134736842105264</c:v>
                </c:pt>
                <c:pt idx="203">
                  <c:v>15.305909090909092</c:v>
                </c:pt>
                <c:pt idx="204">
                  <c:v>16.190000000000001</c:v>
                </c:pt>
                <c:pt idx="205">
                  <c:v>15.82842105263158</c:v>
                </c:pt>
                <c:pt idx="206">
                  <c:v>15.77090909090909</c:v>
                </c:pt>
                <c:pt idx="207">
                  <c:v>15.687619047619048</c:v>
                </c:pt>
                <c:pt idx="208">
                  <c:v>16.897500000000001</c:v>
                </c:pt>
                <c:pt idx="209">
                  <c:v>16.635000000000002</c:v>
                </c:pt>
                <c:pt idx="210">
                  <c:v>16.172272727272727</c:v>
                </c:pt>
                <c:pt idx="211">
                  <c:v>15.844285714285714</c:v>
                </c:pt>
                <c:pt idx="212">
                  <c:v>16.144285714285711</c:v>
                </c:pt>
                <c:pt idx="213">
                  <c:v>17.593636363636364</c:v>
                </c:pt>
                <c:pt idx="214">
                  <c:v>17.7195</c:v>
                </c:pt>
                <c:pt idx="215">
                  <c:v>19.573181818181819</c:v>
                </c:pt>
                <c:pt idx="216">
                  <c:v>22.166500000000003</c:v>
                </c:pt>
                <c:pt idx="217">
                  <c:v>21.0975</c:v>
                </c:pt>
                <c:pt idx="218">
                  <c:v>20.64</c:v>
                </c:pt>
                <c:pt idx="219">
                  <c:v>22.060500000000005</c:v>
                </c:pt>
                <c:pt idx="220">
                  <c:v>24.138095238095243</c:v>
                </c:pt>
                <c:pt idx="221">
                  <c:v>27.900454545454547</c:v>
                </c:pt>
                <c:pt idx="222">
                  <c:v>29.456500000000005</c:v>
                </c:pt>
                <c:pt idx="223">
                  <c:v>26.970869565217388</c:v>
                </c:pt>
                <c:pt idx="224">
                  <c:v>25.565714285714286</c:v>
                </c:pt>
                <c:pt idx="225">
                  <c:v>24.052380952380954</c:v>
                </c:pt>
                <c:pt idx="226">
                  <c:v>22.231428571428573</c:v>
                </c:pt>
                <c:pt idx="227">
                  <c:v>23.13095238095238</c:v>
                </c:pt>
                <c:pt idx="228">
                  <c:v>22.204285714285714</c:v>
                </c:pt>
                <c:pt idx="229">
                  <c:v>22.157894736842103</c:v>
                </c:pt>
                <c:pt idx="230">
                  <c:v>23.354090909090907</c:v>
                </c:pt>
                <c:pt idx="231">
                  <c:v>22.631999999999998</c:v>
                </c:pt>
                <c:pt idx="232">
                  <c:v>22.934090909090909</c:v>
                </c:pt>
                <c:pt idx="233">
                  <c:v>20.759545454545457</c:v>
                </c:pt>
                <c:pt idx="234">
                  <c:v>19.743500000000001</c:v>
                </c:pt>
                <c:pt idx="235">
                  <c:v>18.227391304347826</c:v>
                </c:pt>
                <c:pt idx="236">
                  <c:v>18.9025</c:v>
                </c:pt>
                <c:pt idx="237">
                  <c:v>18.933636363636364</c:v>
                </c:pt>
                <c:pt idx="238">
                  <c:v>19.363809523809522</c:v>
                </c:pt>
                <c:pt idx="239">
                  <c:v>19.038999999999998</c:v>
                </c:pt>
                <c:pt idx="240">
                  <c:v>19.191818181818185</c:v>
                </c:pt>
                <c:pt idx="241">
                  <c:v>19.895789473684211</c:v>
                </c:pt>
                <c:pt idx="242">
                  <c:v>22.173636363636362</c:v>
                </c:pt>
                <c:pt idx="243">
                  <c:v>22.595999999999997</c:v>
                </c:pt>
                <c:pt idx="244">
                  <c:v>23.902727272727269</c:v>
                </c:pt>
                <c:pt idx="245">
                  <c:v>24.116666666666667</c:v>
                </c:pt>
                <c:pt idx="246">
                  <c:v>23.937619047619048</c:v>
                </c:pt>
                <c:pt idx="247">
                  <c:v>24.375652173913043</c:v>
                </c:pt>
                <c:pt idx="248">
                  <c:v>23.793684210526315</c:v>
                </c:pt>
                <c:pt idx="249">
                  <c:v>22.326086956521745</c:v>
                </c:pt>
                <c:pt idx="250">
                  <c:v>20.776666666666664</c:v>
                </c:pt>
                <c:pt idx="251">
                  <c:v>21.240500000000001</c:v>
                </c:pt>
                <c:pt idx="252">
                  <c:v>21.384545454545457</c:v>
                </c:pt>
                <c:pt idx="253">
                  <c:v>21.35052631578947</c:v>
                </c:pt>
                <c:pt idx="254">
                  <c:v>22.119499999999999</c:v>
                </c:pt>
                <c:pt idx="255">
                  <c:v>21.409090909090903</c:v>
                </c:pt>
                <c:pt idx="256">
                  <c:v>20.262272727272727</c:v>
                </c:pt>
                <c:pt idx="257">
                  <c:v>19.638500000000001</c:v>
                </c:pt>
                <c:pt idx="258">
                  <c:v>19.057272727272725</c:v>
                </c:pt>
                <c:pt idx="259">
                  <c:v>20.267727272727274</c:v>
                </c:pt>
                <c:pt idx="260">
                  <c:v>20.4895</c:v>
                </c:pt>
                <c:pt idx="261">
                  <c:v>19.762608695652176</c:v>
                </c:pt>
                <c:pt idx="262">
                  <c:v>18.978000000000002</c:v>
                </c:pt>
                <c:pt idx="263">
                  <c:v>19.179523809523811</c:v>
                </c:pt>
                <c:pt idx="264">
                  <c:v>19.199090909090906</c:v>
                </c:pt>
                <c:pt idx="265">
                  <c:v>19.252631578947366</c:v>
                </c:pt>
                <c:pt idx="266">
                  <c:v>20.37863636363636</c:v>
                </c:pt>
                <c:pt idx="267">
                  <c:v>19.508421052631583</c:v>
                </c:pt>
                <c:pt idx="268">
                  <c:v>20.744500000000006</c:v>
                </c:pt>
                <c:pt idx="269">
                  <c:v>21.205454545454543</c:v>
                </c:pt>
                <c:pt idx="270">
                  <c:v>19.334090909090911</c:v>
                </c:pt>
                <c:pt idx="271">
                  <c:v>18.42428571428572</c:v>
                </c:pt>
                <c:pt idx="272">
                  <c:v>18.820476190476192</c:v>
                </c:pt>
                <c:pt idx="273">
                  <c:v>18.88727272727273</c:v>
                </c:pt>
                <c:pt idx="274">
                  <c:v>20.16</c:v>
                </c:pt>
                <c:pt idx="275">
                  <c:v>20.598636363636366</c:v>
                </c:pt>
                <c:pt idx="276">
                  <c:v>21.3475</c:v>
                </c:pt>
                <c:pt idx="277">
                  <c:v>20.723157894736847</c:v>
                </c:pt>
                <c:pt idx="278">
                  <c:v>21.138695652173915</c:v>
                </c:pt>
                <c:pt idx="279">
                  <c:v>21.243809523809528</c:v>
                </c:pt>
                <c:pt idx="280">
                  <c:v>21.316499999999998</c:v>
                </c:pt>
                <c:pt idx="281">
                  <c:v>21.334545454545449</c:v>
                </c:pt>
                <c:pt idx="282">
                  <c:v>24.271904761904764</c:v>
                </c:pt>
                <c:pt idx="283">
                  <c:v>23.618636363636366</c:v>
                </c:pt>
                <c:pt idx="284">
                  <c:v>23.493333333333332</c:v>
                </c:pt>
                <c:pt idx="285">
                  <c:v>22.85</c:v>
                </c:pt>
                <c:pt idx="286">
                  <c:v>25.282380952380954</c:v>
                </c:pt>
                <c:pt idx="287">
                  <c:v>27.948095238095242</c:v>
                </c:pt>
                <c:pt idx="288">
                  <c:v>29.511904761904763</c:v>
                </c:pt>
                <c:pt idx="289">
                  <c:v>28.452631578947368</c:v>
                </c:pt>
                <c:pt idx="290">
                  <c:v>28.679130434782603</c:v>
                </c:pt>
                <c:pt idx="291">
                  <c:v>27.852105263157899</c:v>
                </c:pt>
                <c:pt idx="292">
                  <c:v>28.85047619047619</c:v>
                </c:pt>
                <c:pt idx="293">
                  <c:v>27.4</c:v>
                </c:pt>
                <c:pt idx="294">
                  <c:v>24.459000000000007</c:v>
                </c:pt>
                <c:pt idx="295">
                  <c:v>24.416086956521742</c:v>
                </c:pt>
                <c:pt idx="296">
                  <c:v>25.62</c:v>
                </c:pt>
                <c:pt idx="297">
                  <c:v>24.87952380952381</c:v>
                </c:pt>
                <c:pt idx="298">
                  <c:v>27.90904761904762</c:v>
                </c:pt>
                <c:pt idx="299">
                  <c:v>28.085714285714282</c:v>
                </c:pt>
                <c:pt idx="300">
                  <c:v>26.921904761904774</c:v>
                </c:pt>
                <c:pt idx="301">
                  <c:v>27.171052631578949</c:v>
                </c:pt>
                <c:pt idx="302">
                  <c:v>26.748260869565218</c:v>
                </c:pt>
                <c:pt idx="303">
                  <c:v>25.695789473684204</c:v>
                </c:pt>
                <c:pt idx="304">
                  <c:v>25.548636363636362</c:v>
                </c:pt>
                <c:pt idx="305">
                  <c:v>26.587454545454499</c:v>
                </c:pt>
                <c:pt idx="306">
                  <c:v>27.458499999999997</c:v>
                </c:pt>
                <c:pt idx="307">
                  <c:v>26.271304347826081</c:v>
                </c:pt>
                <c:pt idx="308">
                  <c:v>26.247499999999999</c:v>
                </c:pt>
                <c:pt idx="309">
                  <c:v>26.734999999999999</c:v>
                </c:pt>
                <c:pt idx="310">
                  <c:v>25.666190476190472</c:v>
                </c:pt>
                <c:pt idx="311">
                  <c:v>25.174500000000002</c:v>
                </c:pt>
                <c:pt idx="312">
                  <c:v>24.35</c:v>
                </c:pt>
                <c:pt idx="313">
                  <c:v>24.296500000000002</c:v>
                </c:pt>
                <c:pt idx="314">
                  <c:v>24.439047619047614</c:v>
                </c:pt>
                <c:pt idx="315">
                  <c:v>26.33190476190477</c:v>
                </c:pt>
                <c:pt idx="316">
                  <c:v>27.365454545454533</c:v>
                </c:pt>
                <c:pt idx="317">
                  <c:v>25.673000000000002</c:v>
                </c:pt>
                <c:pt idx="318">
                  <c:v>25.011363636363637</c:v>
                </c:pt>
                <c:pt idx="319">
                  <c:v>25.12318181818182</c:v>
                </c:pt>
                <c:pt idx="320">
                  <c:v>25.243000000000002</c:v>
                </c:pt>
                <c:pt idx="321">
                  <c:v>23.35478260869565</c:v>
                </c:pt>
                <c:pt idx="322">
                  <c:v>23.133000000000003</c:v>
                </c:pt>
                <c:pt idx="323">
                  <c:v>23.104761904761901</c:v>
                </c:pt>
                <c:pt idx="324">
                  <c:v>24.097727272727273</c:v>
                </c:pt>
                <c:pt idx="325">
                  <c:v>23.905263157894741</c:v>
                </c:pt>
                <c:pt idx="326">
                  <c:v>24.918499999999998</c:v>
                </c:pt>
                <c:pt idx="327">
                  <c:v>24.359545454545458</c:v>
                </c:pt>
                <c:pt idx="328">
                  <c:v>24.174285714285713</c:v>
                </c:pt>
                <c:pt idx="329">
                  <c:v>23.038095238095238</c:v>
                </c:pt>
                <c:pt idx="330">
                  <c:v>21.985454545454544</c:v>
                </c:pt>
                <c:pt idx="331">
                  <c:v>22.301904761904762</c:v>
                </c:pt>
                <c:pt idx="332">
                  <c:v>23.19</c:v>
                </c:pt>
                <c:pt idx="333">
                  <c:v>24.79304347826087</c:v>
                </c:pt>
                <c:pt idx="334">
                  <c:v>25.66</c:v>
                </c:pt>
                <c:pt idx="335">
                  <c:v>24.943636363636358</c:v>
                </c:pt>
                <c:pt idx="336">
                  <c:v>25.159500000000001</c:v>
                </c:pt>
                <c:pt idx="337">
                  <c:v>26.374210526315789</c:v>
                </c:pt>
                <c:pt idx="338">
                  <c:v>27.213636363636365</c:v>
                </c:pt>
                <c:pt idx="339">
                  <c:v>27.861904761904764</c:v>
                </c:pt>
                <c:pt idx="340">
                  <c:v>28.155499999999996</c:v>
                </c:pt>
                <c:pt idx="341">
                  <c:v>25.634545454545457</c:v>
                </c:pt>
                <c:pt idx="342">
                  <c:v>24.78863636363636</c:v>
                </c:pt>
                <c:pt idx="343">
                  <c:v>23.759523809523806</c:v>
                </c:pt>
                <c:pt idx="344">
                  <c:v>24.751904761904761</c:v>
                </c:pt>
                <c:pt idx="345">
                  <c:v>24.63045454545454</c:v>
                </c:pt>
                <c:pt idx="346">
                  <c:v>24.758000000000003</c:v>
                </c:pt>
                <c:pt idx="347">
                  <c:v>23.805</c:v>
                </c:pt>
                <c:pt idx="348">
                  <c:v>23.042631578947372</c:v>
                </c:pt>
                <c:pt idx="349">
                  <c:v>20.098421052631576</c:v>
                </c:pt>
                <c:pt idx="350">
                  <c:v>18.813913043478262</c:v>
                </c:pt>
                <c:pt idx="351">
                  <c:v>19.124285714285708</c:v>
                </c:pt>
                <c:pt idx="352">
                  <c:v>18.332999999999998</c:v>
                </c:pt>
                <c:pt idx="353">
                  <c:v>16.928636363636361</c:v>
                </c:pt>
                <c:pt idx="354">
                  <c:v>15.510952380952379</c:v>
                </c:pt>
                <c:pt idx="355">
                  <c:v>16.774090909090912</c:v>
                </c:pt>
                <c:pt idx="356">
                  <c:v>17.100952380952382</c:v>
                </c:pt>
                <c:pt idx="357">
                  <c:v>16.566190476190478</c:v>
                </c:pt>
                <c:pt idx="358">
                  <c:v>16.158571428571427</c:v>
                </c:pt>
                <c:pt idx="359">
                  <c:v>15.962380952380951</c:v>
                </c:pt>
                <c:pt idx="360">
                  <c:v>16.2805</c:v>
                </c:pt>
                <c:pt idx="361">
                  <c:v>15.740999999999996</c:v>
                </c:pt>
                <c:pt idx="362">
                  <c:v>16.990434782608698</c:v>
                </c:pt>
                <c:pt idx="363">
                  <c:v>18.167000000000002</c:v>
                </c:pt>
                <c:pt idx="364">
                  <c:v>17.446363636363639</c:v>
                </c:pt>
                <c:pt idx="365">
                  <c:v>16.290909090909093</c:v>
                </c:pt>
                <c:pt idx="366">
                  <c:v>15.524000000000004</c:v>
                </c:pt>
                <c:pt idx="367">
                  <c:v>15.328260869565218</c:v>
                </c:pt>
                <c:pt idx="368">
                  <c:v>15.497</c:v>
                </c:pt>
                <c:pt idx="369">
                  <c:v>15.06772727272727</c:v>
                </c:pt>
                <c:pt idx="370">
                  <c:v>14.992380952380953</c:v>
                </c:pt>
                <c:pt idx="371">
                  <c:v>14.991499999999997</c:v>
                </c:pt>
                <c:pt idx="372">
                  <c:v>14.708095238095238</c:v>
                </c:pt>
                <c:pt idx="373">
                  <c:v>14.755263157894738</c:v>
                </c:pt>
                <c:pt idx="374">
                  <c:v>16.095454545454547</c:v>
                </c:pt>
                <c:pt idx="375">
                  <c:v>15.147</c:v>
                </c:pt>
                <c:pt idx="376">
                  <c:v>14.784347826086956</c:v>
                </c:pt>
                <c:pt idx="377">
                  <c:v>15.079047619047618</c:v>
                </c:pt>
                <c:pt idx="378">
                  <c:v>17.443333333333335</c:v>
                </c:pt>
                <c:pt idx="379">
                  <c:v>18.075217391304346</c:v>
                </c:pt>
                <c:pt idx="380">
                  <c:v>16.281176470588235</c:v>
                </c:pt>
                <c:pt idx="381">
                  <c:v>15.238695652173913</c:v>
                </c:pt>
                <c:pt idx="382">
                  <c:v>16.008571428571425</c:v>
                </c:pt>
                <c:pt idx="383">
                  <c:v>15.902105263157894</c:v>
                </c:pt>
                <c:pt idx="384">
                  <c:v>15.64</c:v>
                </c:pt>
                <c:pt idx="385">
                  <c:v>15.51</c:v>
                </c:pt>
                <c:pt idx="386">
                  <c:v>16.3</c:v>
                </c:pt>
                <c:pt idx="387">
                  <c:v>16.559999999999999</c:v>
                </c:pt>
                <c:pt idx="388">
                  <c:v>17.16</c:v>
                </c:pt>
                <c:pt idx="389">
                  <c:v>18.100000000000001</c:v>
                </c:pt>
                <c:pt idx="390">
                  <c:v>19.21</c:v>
                </c:pt>
                <c:pt idx="391">
                  <c:v>20.58</c:v>
                </c:pt>
                <c:pt idx="392">
                  <c:v>20.100000000000001</c:v>
                </c:pt>
                <c:pt idx="393">
                  <c:v>20.22</c:v>
                </c:pt>
                <c:pt idx="394">
                  <c:v>22.26</c:v>
                </c:pt>
                <c:pt idx="395">
                  <c:v>21.73</c:v>
                </c:pt>
                <c:pt idx="396">
                  <c:v>20.63</c:v>
                </c:pt>
                <c:pt idx="397">
                  <c:v>20.46</c:v>
                </c:pt>
                <c:pt idx="398">
                  <c:v>20.94</c:v>
                </c:pt>
                <c:pt idx="399">
                  <c:v>21.84</c:v>
                </c:pt>
                <c:pt idx="400">
                  <c:v>22.52</c:v>
                </c:pt>
                <c:pt idx="401">
                  <c:v>22.14</c:v>
                </c:pt>
                <c:pt idx="402">
                  <c:v>21.01</c:v>
                </c:pt>
                <c:pt idx="403">
                  <c:v>19.79</c:v>
                </c:pt>
                <c:pt idx="404">
                  <c:v>22.47</c:v>
                </c:pt>
                <c:pt idx="405">
                  <c:v>26.01</c:v>
                </c:pt>
                <c:pt idx="406">
                  <c:v>26.37</c:v>
                </c:pt>
                <c:pt idx="407">
                  <c:v>27.89</c:v>
                </c:pt>
                <c:pt idx="408">
                  <c:v>29.16</c:v>
                </c:pt>
                <c:pt idx="409">
                  <c:v>31.97</c:v>
                </c:pt>
                <c:pt idx="410">
                  <c:v>33.44</c:v>
                </c:pt>
                <c:pt idx="411">
                  <c:v>32.630000000000003</c:v>
                </c:pt>
                <c:pt idx="412">
                  <c:v>30.54</c:v>
                </c:pt>
                <c:pt idx="413">
                  <c:v>28.34</c:v>
                </c:pt>
                <c:pt idx="414">
                  <c:v>25.82</c:v>
                </c:pt>
                <c:pt idx="415">
                  <c:v>23.36</c:v>
                </c:pt>
                <c:pt idx="416">
                  <c:v>22.85</c:v>
                </c:pt>
                <c:pt idx="417">
                  <c:v>20.84</c:v>
                </c:pt>
                <c:pt idx="418">
                  <c:v>20.91</c:v>
                </c:pt>
                <c:pt idx="419">
                  <c:v>20.49</c:v>
                </c:pt>
                <c:pt idx="420">
                  <c:v>19.77</c:v>
                </c:pt>
                <c:pt idx="421">
                  <c:v>20.11</c:v>
                </c:pt>
                <c:pt idx="422">
                  <c:v>23.31</c:v>
                </c:pt>
                <c:pt idx="423">
                  <c:v>22.62</c:v>
                </c:pt>
                <c:pt idx="424">
                  <c:v>22.79</c:v>
                </c:pt>
                <c:pt idx="425">
                  <c:v>24.03</c:v>
                </c:pt>
                <c:pt idx="426">
                  <c:v>24.83</c:v>
                </c:pt>
                <c:pt idx="427">
                  <c:v>22.92</c:v>
                </c:pt>
                <c:pt idx="428">
                  <c:v>22.58</c:v>
                </c:pt>
                <c:pt idx="429">
                  <c:v>23.84</c:v>
                </c:pt>
                <c:pt idx="430">
                  <c:v>22.26</c:v>
                </c:pt>
                <c:pt idx="431">
                  <c:v>21.25</c:v>
                </c:pt>
                <c:pt idx="432">
                  <c:v>22.05</c:v>
                </c:pt>
                <c:pt idx="433">
                  <c:v>22.57</c:v>
                </c:pt>
                <c:pt idx="434">
                  <c:v>23.55</c:v>
                </c:pt>
                <c:pt idx="435">
                  <c:v>23.52</c:v>
                </c:pt>
                <c:pt idx="436">
                  <c:v>25.44</c:v>
                </c:pt>
                <c:pt idx="437">
                  <c:v>24.95</c:v>
                </c:pt>
                <c:pt idx="438">
                  <c:v>26.66</c:v>
                </c:pt>
                <c:pt idx="439">
                  <c:v>25.58</c:v>
                </c:pt>
                <c:pt idx="440">
                  <c:v>24.31</c:v>
                </c:pt>
                <c:pt idx="441">
                  <c:v>25.51</c:v>
                </c:pt>
                <c:pt idx="442">
                  <c:v>28.29</c:v>
                </c:pt>
                <c:pt idx="443">
                  <c:v>28.69</c:v>
                </c:pt>
                <c:pt idx="444">
                  <c:v>28.93</c:v>
                </c:pt>
                <c:pt idx="445">
                  <c:v>30.16</c:v>
                </c:pt>
                <c:pt idx="446">
                  <c:v>31.01</c:v>
                </c:pt>
                <c:pt idx="447">
                  <c:v>32.39</c:v>
                </c:pt>
                <c:pt idx="448">
                  <c:v>34.479999999999997</c:v>
                </c:pt>
                <c:pt idx="449">
                  <c:v>35.51</c:v>
                </c:pt>
                <c:pt idx="450">
                  <c:v>37.24</c:v>
                </c:pt>
                <c:pt idx="451">
                  <c:v>36.24</c:v>
                </c:pt>
                <c:pt idx="452">
                  <c:v>38.74</c:v>
                </c:pt>
                <c:pt idx="453">
                  <c:v>40.14</c:v>
                </c:pt>
                <c:pt idx="454">
                  <c:v>44.81</c:v>
                </c:pt>
                <c:pt idx="455">
                  <c:v>46.78</c:v>
                </c:pt>
                <c:pt idx="456">
                  <c:v>52.07</c:v>
                </c:pt>
                <c:pt idx="457">
                  <c:v>59.32</c:v>
                </c:pt>
                <c:pt idx="458">
                  <c:v>60.47</c:v>
                </c:pt>
                <c:pt idx="459">
                  <c:v>58.61</c:v>
                </c:pt>
                <c:pt idx="460">
                  <c:v>60.6</c:v>
                </c:pt>
                <c:pt idx="461">
                  <c:v>64.16</c:v>
                </c:pt>
                <c:pt idx="462">
                  <c:v>62.32</c:v>
                </c:pt>
                <c:pt idx="463">
                  <c:v>52.91</c:v>
                </c:pt>
                <c:pt idx="464">
                  <c:v>47.36</c:v>
                </c:pt>
                <c:pt idx="465">
                  <c:v>36.86</c:v>
                </c:pt>
                <c:pt idx="466">
                  <c:v>33.049999999999997</c:v>
                </c:pt>
                <c:pt idx="467">
                  <c:v>31</c:v>
                </c:pt>
                <c:pt idx="468">
                  <c:v>34.340000000000003</c:v>
                </c:pt>
                <c:pt idx="469">
                  <c:v>31.92</c:v>
                </c:pt>
                <c:pt idx="470">
                  <c:v>31.56</c:v>
                </c:pt>
                <c:pt idx="471">
                  <c:v>35.71</c:v>
                </c:pt>
                <c:pt idx="472">
                  <c:v>38.49</c:v>
                </c:pt>
                <c:pt idx="473">
                  <c:v>37.729999999999997</c:v>
                </c:pt>
                <c:pt idx="474">
                  <c:v>34.1</c:v>
                </c:pt>
                <c:pt idx="475">
                  <c:v>36.78</c:v>
                </c:pt>
                <c:pt idx="476">
                  <c:v>34.07</c:v>
                </c:pt>
                <c:pt idx="477">
                  <c:v>36.31</c:v>
                </c:pt>
                <c:pt idx="478">
                  <c:v>38.75</c:v>
                </c:pt>
                <c:pt idx="479">
                  <c:v>39.5</c:v>
                </c:pt>
                <c:pt idx="480">
                  <c:v>38.229999999999997</c:v>
                </c:pt>
                <c:pt idx="481">
                  <c:v>38.119999999999997</c:v>
                </c:pt>
                <c:pt idx="482">
                  <c:v>39.590000000000003</c:v>
                </c:pt>
                <c:pt idx="483">
                  <c:v>39.369999999999997</c:v>
                </c:pt>
                <c:pt idx="484">
                  <c:v>37.92</c:v>
                </c:pt>
                <c:pt idx="485">
                  <c:v>37.24</c:v>
                </c:pt>
                <c:pt idx="486">
                  <c:v>38.01</c:v>
                </c:pt>
                <c:pt idx="487">
                  <c:v>40.700000000000003</c:v>
                </c:pt>
                <c:pt idx="488">
                  <c:v>42.22</c:v>
                </c:pt>
                <c:pt idx="489">
                  <c:v>47.13</c:v>
                </c:pt>
                <c:pt idx="490">
                  <c:v>50.95</c:v>
                </c:pt>
                <c:pt idx="491">
                  <c:v>54.98</c:v>
                </c:pt>
                <c:pt idx="492">
                  <c:v>57.27</c:v>
                </c:pt>
                <c:pt idx="493">
                  <c:v>57.53</c:v>
                </c:pt>
                <c:pt idx="494">
                  <c:v>56.67</c:v>
                </c:pt>
                <c:pt idx="495">
                  <c:v>58.02</c:v>
                </c:pt>
                <c:pt idx="496">
                  <c:v>57.12</c:v>
                </c:pt>
                <c:pt idx="497">
                  <c:v>56.7</c:v>
                </c:pt>
                <c:pt idx="498">
                  <c:v>56.38</c:v>
                </c:pt>
                <c:pt idx="499">
                  <c:v>55.6</c:v>
                </c:pt>
                <c:pt idx="500">
                  <c:v>55.45</c:v>
                </c:pt>
                <c:pt idx="501">
                  <c:v>51.23</c:v>
                </c:pt>
                <c:pt idx="502">
                  <c:v>50.66</c:v>
                </c:pt>
                <c:pt idx="503">
                  <c:v>50.16</c:v>
                </c:pt>
                <c:pt idx="504">
                  <c:v>51.45</c:v>
                </c:pt>
                <c:pt idx="505">
                  <c:v>53.1</c:v>
                </c:pt>
                <c:pt idx="506">
                  <c:v>54.44</c:v>
                </c:pt>
                <c:pt idx="507">
                  <c:v>55.82</c:v>
                </c:pt>
                <c:pt idx="508">
                  <c:v>51.57</c:v>
                </c:pt>
                <c:pt idx="509">
                  <c:v>49.8</c:v>
                </c:pt>
                <c:pt idx="510">
                  <c:v>53.32</c:v>
                </c:pt>
                <c:pt idx="511">
                  <c:v>53.991739130434702</c:v>
                </c:pt>
                <c:pt idx="512">
                  <c:v>55.122631578947299</c:v>
                </c:pt>
                <c:pt idx="513">
                  <c:v>51.004347826086899</c:v>
                </c:pt>
                <c:pt idx="514">
                  <c:v>48.6142857142857</c:v>
                </c:pt>
                <c:pt idx="515">
                  <c:v>49.58</c:v>
                </c:pt>
                <c:pt idx="516">
                  <c:v>51.073</c:v>
                </c:pt>
                <c:pt idx="517">
                  <c:v>51.359499999999997</c:v>
                </c:pt>
                <c:pt idx="518">
                  <c:v>50.124299999999998</c:v>
                </c:pt>
                <c:pt idx="519">
                  <c:v>49.2941</c:v>
                </c:pt>
                <c:pt idx="520">
                  <c:v>49.1768</c:v>
                </c:pt>
                <c:pt idx="521">
                  <c:v>48.017000000000003</c:v>
                </c:pt>
                <c:pt idx="522">
                  <c:v>45.387300000000003</c:v>
                </c:pt>
                <c:pt idx="523">
                  <c:v>42.8673</c:v>
                </c:pt>
                <c:pt idx="524">
                  <c:v>42.445500000000003</c:v>
                </c:pt>
                <c:pt idx="525">
                  <c:v>40.812199999999997</c:v>
                </c:pt>
                <c:pt idx="526">
                  <c:v>40.701500000000003</c:v>
                </c:pt>
                <c:pt idx="527">
                  <c:v>39.681399999999996</c:v>
                </c:pt>
                <c:pt idx="528">
                  <c:v>37.824300000000001</c:v>
                </c:pt>
                <c:pt idx="529">
                  <c:v>39.628399999999999</c:v>
                </c:pt>
                <c:pt idx="530">
                  <c:v>42.230499999999999</c:v>
                </c:pt>
                <c:pt idx="531">
                  <c:v>42.37</c:v>
                </c:pt>
                <c:pt idx="532">
                  <c:v>40.6248</c:v>
                </c:pt>
                <c:pt idx="533">
                  <c:v>39.533799999999999</c:v>
                </c:pt>
                <c:pt idx="534">
                  <c:v>36.954099999999997</c:v>
                </c:pt>
                <c:pt idx="535">
                  <c:v>33.855699999999999</c:v>
                </c:pt>
                <c:pt idx="536">
                  <c:v>32.299500000000002</c:v>
                </c:pt>
                <c:pt idx="537">
                  <c:v>32.794800000000002</c:v>
                </c:pt>
                <c:pt idx="538">
                  <c:v>32.722099999999998</c:v>
                </c:pt>
                <c:pt idx="539">
                  <c:v>32.059100000000001</c:v>
                </c:pt>
                <c:pt idx="540">
                  <c:v>32.186</c:v>
                </c:pt>
                <c:pt idx="541">
                  <c:v>31.657900000000001</c:v>
                </c:pt>
                <c:pt idx="542">
                  <c:v>31.072299999999998</c:v>
                </c:pt>
                <c:pt idx="543">
                  <c:v>31.373799999999999</c:v>
                </c:pt>
                <c:pt idx="544">
                  <c:v>32.587499999999999</c:v>
                </c:pt>
                <c:pt idx="545">
                  <c:v>33.476799999999997</c:v>
                </c:pt>
                <c:pt idx="546">
                  <c:v>31.6023</c:v>
                </c:pt>
                <c:pt idx="547">
                  <c:v>28.573799999999999</c:v>
                </c:pt>
                <c:pt idx="548">
                  <c:v>26.809000000000001</c:v>
                </c:pt>
                <c:pt idx="549">
                  <c:v>28.377700000000001</c:v>
                </c:pt>
                <c:pt idx="550">
                  <c:v>27.884</c:v>
                </c:pt>
                <c:pt idx="551">
                  <c:v>30.822700000000001</c:v>
                </c:pt>
                <c:pt idx="552">
                  <c:v>30.012599999999999</c:v>
                </c:pt>
                <c:pt idx="553">
                  <c:v>31.157499999999999</c:v>
                </c:pt>
                <c:pt idx="554">
                  <c:v>32.476399999999998</c:v>
                </c:pt>
                <c:pt idx="555">
                  <c:v>33.9529</c:v>
                </c:pt>
                <c:pt idx="556">
                  <c:v>32.2057</c:v>
                </c:pt>
                <c:pt idx="557">
                  <c:v>31.914999999999999</c:v>
                </c:pt>
                <c:pt idx="558">
                  <c:v>30.401499999999999</c:v>
                </c:pt>
                <c:pt idx="559">
                  <c:v>32.326999999999998</c:v>
                </c:pt>
                <c:pt idx="560">
                  <c:v>32.812899999999999</c:v>
                </c:pt>
                <c:pt idx="561">
                  <c:v>34.444800000000001</c:v>
                </c:pt>
                <c:pt idx="562">
                  <c:v>35.036200000000001</c:v>
                </c:pt>
                <c:pt idx="563">
                  <c:v>36.395699999999998</c:v>
                </c:pt>
                <c:pt idx="564">
                  <c:v>35.111499999999999</c:v>
                </c:pt>
                <c:pt idx="565">
                  <c:v>33.698399999999999</c:v>
                </c:pt>
                <c:pt idx="566">
                  <c:v>32.93</c:v>
                </c:pt>
                <c:pt idx="567">
                  <c:v>31.538399999999999</c:v>
                </c:pt>
                <c:pt idx="568">
                  <c:v>32.490900000000003</c:v>
                </c:pt>
                <c:pt idx="569">
                  <c:v>31.970500000000001</c:v>
                </c:pt>
                <c:pt idx="570">
                  <c:v>33.548499999999997</c:v>
                </c:pt>
                <c:pt idx="571">
                  <c:v>33.869999999999997</c:v>
                </c:pt>
                <c:pt idx="572">
                  <c:v>34.28</c:v>
                </c:pt>
                <c:pt idx="573">
                  <c:v>33.6</c:v>
                </c:pt>
                <c:pt idx="574">
                  <c:v>34.409999999999997</c:v>
                </c:pt>
                <c:pt idx="575">
                  <c:v>33.14</c:v>
                </c:pt>
                <c:pt idx="576">
                  <c:v>32.950000000000003</c:v>
                </c:pt>
                <c:pt idx="577">
                  <c:v>32.18</c:v>
                </c:pt>
                <c:pt idx="578">
                  <c:v>31.85</c:v>
                </c:pt>
                <c:pt idx="579">
                  <c:v>31.35</c:v>
                </c:pt>
                <c:pt idx="580">
                  <c:v>31</c:v>
                </c:pt>
                <c:pt idx="581">
                  <c:v>29.82</c:v>
                </c:pt>
                <c:pt idx="582">
                  <c:v>28.36</c:v>
                </c:pt>
                <c:pt idx="583">
                  <c:v>28.33</c:v>
                </c:pt>
                <c:pt idx="584">
                  <c:v>28.26</c:v>
                </c:pt>
                <c:pt idx="585">
                  <c:v>29.051739130434775</c:v>
                </c:pt>
                <c:pt idx="586">
                  <c:v>27.69</c:v>
                </c:pt>
                <c:pt idx="587">
                  <c:v>28.32</c:v>
                </c:pt>
                <c:pt idx="588">
                  <c:v>29.000952380952373</c:v>
                </c:pt>
                <c:pt idx="589">
                  <c:v>30.23</c:v>
                </c:pt>
                <c:pt idx="590">
                  <c:v>29.38</c:v>
                </c:pt>
                <c:pt idx="591">
                  <c:v>28.556666666666668</c:v>
                </c:pt>
                <c:pt idx="592">
                  <c:v>27.230454545454549</c:v>
                </c:pt>
                <c:pt idx="593">
                  <c:v>27.85</c:v>
                </c:pt>
                <c:pt idx="594">
                  <c:v>28.054999999999996</c:v>
                </c:pt>
                <c:pt idx="595">
                  <c:v>28.569999999999997</c:v>
                </c:pt>
                <c:pt idx="596">
                  <c:v>29.063000000000006</c:v>
                </c:pt>
                <c:pt idx="597">
                  <c:v>30.28</c:v>
                </c:pt>
                <c:pt idx="598">
                  <c:v>30.957999999999998</c:v>
                </c:pt>
                <c:pt idx="599">
                  <c:v>32.689523809523813</c:v>
                </c:pt>
                <c:pt idx="600">
                  <c:v>33.150952380952383</c:v>
                </c:pt>
                <c:pt idx="601">
                  <c:v>30.248421052631581</c:v>
                </c:pt>
                <c:pt idx="602">
                  <c:v>27.017727272727271</c:v>
                </c:pt>
                <c:pt idx="603">
                  <c:v>26.202857142857148</c:v>
                </c:pt>
                <c:pt idx="604">
                  <c:v>26.708999999999996</c:v>
                </c:pt>
                <c:pt idx="605">
                  <c:v>27.891363636363643</c:v>
                </c:pt>
                <c:pt idx="606">
                  <c:v>29.206818181818178</c:v>
                </c:pt>
                <c:pt idx="607">
                  <c:v>31.59238095238096</c:v>
                </c:pt>
                <c:pt idx="608">
                  <c:v>33.51047619047619</c:v>
                </c:pt>
                <c:pt idx="609">
                  <c:v>33.276818181818186</c:v>
                </c:pt>
                <c:pt idx="610">
                  <c:v>36.862499999999997</c:v>
                </c:pt>
                <c:pt idx="611">
                  <c:v>39.571363636363643</c:v>
                </c:pt>
                <c:pt idx="612">
                  <c:v>43.154210526315786</c:v>
                </c:pt>
                <c:pt idx="613">
                  <c:v>46.94631578947368</c:v>
                </c:pt>
                <c:pt idx="614">
                  <c:v>53.370000000000012</c:v>
                </c:pt>
                <c:pt idx="615">
                  <c:v>58.235714285714302</c:v>
                </c:pt>
                <c:pt idx="616">
                  <c:v>65.639500000000012</c:v>
                </c:pt>
                <c:pt idx="617">
                  <c:v>65.243181818181839</c:v>
                </c:pt>
                <c:pt idx="618">
                  <c:v>64.936190476190475</c:v>
                </c:pt>
                <c:pt idx="619">
                  <c:v>61.464090909090899</c:v>
                </c:pt>
                <c:pt idx="620">
                  <c:v>57.204761904761902</c:v>
                </c:pt>
                <c:pt idx="621">
                  <c:v>61.246190476190478</c:v>
                </c:pt>
                <c:pt idx="622">
                  <c:v>59.234761904761896</c:v>
                </c:pt>
                <c:pt idx="623">
                  <c:v>55.209545454545463</c:v>
                </c:pt>
                <c:pt idx="624">
                  <c:v>60.679999999999993</c:v>
                </c:pt>
                <c:pt idx="625">
                  <c:v>67.012631578947364</c:v>
                </c:pt>
                <c:pt idx="626">
                  <c:v>74.006521739130449</c:v>
                </c:pt>
                <c:pt idx="627">
                  <c:v>79.201999999999998</c:v>
                </c:pt>
                <c:pt idx="628">
                  <c:v>81.004761904761907</c:v>
                </c:pt>
                <c:pt idx="629">
                  <c:v>76.33</c:v>
                </c:pt>
                <c:pt idx="630">
                  <c:v>61.398000000000003</c:v>
                </c:pt>
                <c:pt idx="631">
                  <c:v>67.486956521739117</c:v>
                </c:pt>
                <c:pt idx="632">
                  <c:v>66.873333333333335</c:v>
                </c:pt>
                <c:pt idx="633">
                  <c:v>68.494285714285709</c:v>
                </c:pt>
                <c:pt idx="634">
                  <c:v>74.968095238095245</c:v>
                </c:pt>
                <c:pt idx="635">
                  <c:v>64.203809523809525</c:v>
                </c:pt>
                <c:pt idx="636">
                  <c:v>62.383999999999993</c:v>
                </c:pt>
                <c:pt idx="637">
                  <c:v>60.783157894736839</c:v>
                </c:pt>
                <c:pt idx="638">
                  <c:v>56.891304347826086</c:v>
                </c:pt>
                <c:pt idx="639">
                  <c:v>53.917894736842108</c:v>
                </c:pt>
                <c:pt idx="640">
                  <c:v>49.765454545454553</c:v>
                </c:pt>
                <c:pt idx="641">
                  <c:v>55.860952380952369</c:v>
                </c:pt>
                <c:pt idx="642">
                  <c:v>66.389999999999972</c:v>
                </c:pt>
                <c:pt idx="643">
                  <c:v>65.607391304347829</c:v>
                </c:pt>
                <c:pt idx="644">
                  <c:v>61.316499999999984</c:v>
                </c:pt>
                <c:pt idx="645">
                  <c:v>53.868181818181831</c:v>
                </c:pt>
                <c:pt idx="646">
                  <c:v>51.671428571428564</c:v>
                </c:pt>
                <c:pt idx="647">
                  <c:v>49.773000000000003</c:v>
                </c:pt>
                <c:pt idx="648">
                  <c:v>47.540476190476184</c:v>
                </c:pt>
                <c:pt idx="649">
                  <c:v>45.639999999999993</c:v>
                </c:pt>
                <c:pt idx="650">
                  <c:v>47.468999999999994</c:v>
                </c:pt>
                <c:pt idx="651">
                  <c:v>46.189999999999991</c:v>
                </c:pt>
                <c:pt idx="652">
                  <c:v>44.612272727272725</c:v>
                </c:pt>
                <c:pt idx="653">
                  <c:v>43.706842105263163</c:v>
                </c:pt>
                <c:pt idx="654">
                  <c:v>46.263181818181813</c:v>
                </c:pt>
                <c:pt idx="655">
                  <c:v>41.318181818181813</c:v>
                </c:pt>
                <c:pt idx="656">
                  <c:v>41.493000000000002</c:v>
                </c:pt>
                <c:pt idx="657">
                  <c:v>43.290869565217378</c:v>
                </c:pt>
                <c:pt idx="658">
                  <c:v>44.668500000000002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294-4E07-4AED-B744-DBFF2ED88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607600"/>
        <c:axId val="1196608584"/>
      </c:scatterChart>
      <c:valAx>
        <c:axId val="119660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Soybeans (dollars per bushel)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6608584"/>
        <c:crosses val="autoZero"/>
        <c:crossBetween val="midCat"/>
      </c:valAx>
      <c:valAx>
        <c:axId val="119660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Soybean Oil (cents per pound)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6607600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Soybean Oil - Palm Oil Futures Spread</a:t>
            </a:r>
          </a:p>
          <a:p>
            <a:pPr>
              <a:defRPr/>
            </a:pPr>
            <a:r>
              <a:rPr lang="en-US" sz="1400"/>
              <a:t>(continuous third month Palm Oil contract - matching soybean</a:t>
            </a:r>
            <a:r>
              <a:rPr lang="en-US" sz="1400" baseline="0"/>
              <a:t> oil contract</a:t>
            </a:r>
            <a:r>
              <a:rPr lang="en-US" sz="140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726466570900613E-2"/>
          <c:y val="0.14280668792717147"/>
          <c:w val="0.89155353322679154"/>
          <c:h val="0.6696264855277114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[1]Prices!$A$375:$A$638</c:f>
              <c:numCache>
                <c:formatCode>General</c:formatCode>
                <c:ptCount val="2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</c:numCache>
            </c:numRef>
          </c:cat>
          <c:val>
            <c:numRef>
              <c:f>[1]Prices!$AI$375:$AI$638</c:f>
              <c:numCache>
                <c:formatCode>General</c:formatCode>
                <c:ptCount val="264"/>
                <c:pt idx="0">
                  <c:v>2.4613202095967104</c:v>
                </c:pt>
                <c:pt idx="1">
                  <c:v>2.4824921631480343</c:v>
                </c:pt>
                <c:pt idx="2">
                  <c:v>1.3665166113081906</c:v>
                </c:pt>
                <c:pt idx="3">
                  <c:v>0.69192221677149846</c:v>
                </c:pt>
                <c:pt idx="4">
                  <c:v>4.4867693510435647</c:v>
                </c:pt>
                <c:pt idx="5">
                  <c:v>5.4924007034582889</c:v>
                </c:pt>
                <c:pt idx="6">
                  <c:v>3.9291166211186095</c:v>
                </c:pt>
                <c:pt idx="7">
                  <c:v>3.139315465675546</c:v>
                </c:pt>
                <c:pt idx="8">
                  <c:v>4.6604268115602032</c:v>
                </c:pt>
                <c:pt idx="9">
                  <c:v>5.9141935405367292</c:v>
                </c:pt>
                <c:pt idx="10">
                  <c:v>5.550148061607171</c:v>
                </c:pt>
                <c:pt idx="11">
                  <c:v>5.8370038558003987</c:v>
                </c:pt>
                <c:pt idx="12">
                  <c:v>6.8562515046435912</c:v>
                </c:pt>
                <c:pt idx="13">
                  <c:v>7.6696975253848372</c:v>
                </c:pt>
                <c:pt idx="14">
                  <c:v>7.1676535697967285</c:v>
                </c:pt>
                <c:pt idx="15">
                  <c:v>8.3278153246129172</c:v>
                </c:pt>
                <c:pt idx="16">
                  <c:v>10.040056087648008</c:v>
                </c:pt>
                <c:pt idx="17">
                  <c:v>10.823473925298952</c:v>
                </c:pt>
                <c:pt idx="18">
                  <c:v>7.2207385738229544</c:v>
                </c:pt>
                <c:pt idx="19">
                  <c:v>6.0284624712429782</c:v>
                </c:pt>
                <c:pt idx="20">
                  <c:v>10.483640203981176</c:v>
                </c:pt>
                <c:pt idx="21">
                  <c:v>10.606088246384582</c:v>
                </c:pt>
                <c:pt idx="22">
                  <c:v>7.3515784416883676</c:v>
                </c:pt>
                <c:pt idx="23">
                  <c:v>6.5543878891896306</c:v>
                </c:pt>
                <c:pt idx="24">
                  <c:v>6.5746705621539441</c:v>
                </c:pt>
                <c:pt idx="25">
                  <c:v>8.0454826776771622</c:v>
                </c:pt>
                <c:pt idx="26">
                  <c:v>8.6687343778053183</c:v>
                </c:pt>
                <c:pt idx="27">
                  <c:v>7.9765359125559776</c:v>
                </c:pt>
                <c:pt idx="28">
                  <c:v>5.6884624362481411</c:v>
                </c:pt>
                <c:pt idx="29">
                  <c:v>2.8380720472654559</c:v>
                </c:pt>
                <c:pt idx="30">
                  <c:v>5.6507394238692754</c:v>
                </c:pt>
                <c:pt idx="31">
                  <c:v>8.2340624120357404</c:v>
                </c:pt>
                <c:pt idx="32">
                  <c:v>9.6423033707672836</c:v>
                </c:pt>
                <c:pt idx="33">
                  <c:v>10.899342848328558</c:v>
                </c:pt>
                <c:pt idx="34">
                  <c:v>10.437759841000744</c:v>
                </c:pt>
                <c:pt idx="35">
                  <c:v>12.376072192644052</c:v>
                </c:pt>
                <c:pt idx="36">
                  <c:v>13.912063994994245</c:v>
                </c:pt>
                <c:pt idx="37">
                  <c:v>13.475133229386074</c:v>
                </c:pt>
                <c:pt idx="38">
                  <c:v>12.919170496612811</c:v>
                </c:pt>
                <c:pt idx="39">
                  <c:v>11.63559408248469</c:v>
                </c:pt>
                <c:pt idx="40">
                  <c:v>9.0856331484718567</c:v>
                </c:pt>
                <c:pt idx="41">
                  <c:v>6.3900080059668944</c:v>
                </c:pt>
                <c:pt idx="42">
                  <c:v>6.6308031470257554</c:v>
                </c:pt>
                <c:pt idx="43">
                  <c:v>5.4777905966166553</c:v>
                </c:pt>
                <c:pt idx="44">
                  <c:v>4.5819949520072072</c:v>
                </c:pt>
                <c:pt idx="45">
                  <c:v>0.94062947170918676</c:v>
                </c:pt>
                <c:pt idx="46">
                  <c:v>-0.99031389783717927</c:v>
                </c:pt>
                <c:pt idx="47">
                  <c:v>-1.1962005613419677</c:v>
                </c:pt>
                <c:pt idx="48">
                  <c:v>2.3865217153798319</c:v>
                </c:pt>
                <c:pt idx="49">
                  <c:v>1.9088202642507213E-2</c:v>
                </c:pt>
                <c:pt idx="50">
                  <c:v>-0.45048471723075778</c:v>
                </c:pt>
                <c:pt idx="51">
                  <c:v>1.5083302067305695</c:v>
                </c:pt>
                <c:pt idx="52">
                  <c:v>4.1822808709626855</c:v>
                </c:pt>
                <c:pt idx="53">
                  <c:v>4.6194503906849036</c:v>
                </c:pt>
                <c:pt idx="54">
                  <c:v>5.3341710154145829</c:v>
                </c:pt>
                <c:pt idx="55">
                  <c:v>6.5260377265938558</c:v>
                </c:pt>
                <c:pt idx="56">
                  <c:v>4.9131012531404785</c:v>
                </c:pt>
                <c:pt idx="57">
                  <c:v>4.3400601461972492</c:v>
                </c:pt>
                <c:pt idx="58">
                  <c:v>4.8793348703726238</c:v>
                </c:pt>
                <c:pt idx="59">
                  <c:v>5.8496764618173067</c:v>
                </c:pt>
                <c:pt idx="60">
                  <c:v>7.8279985129224787</c:v>
                </c:pt>
                <c:pt idx="61">
                  <c:v>7.7424543944884014</c:v>
                </c:pt>
                <c:pt idx="62">
                  <c:v>8.3716077111847262</c:v>
                </c:pt>
                <c:pt idx="63">
                  <c:v>7.85626613555403</c:v>
                </c:pt>
                <c:pt idx="64">
                  <c:v>9.8756371765913613</c:v>
                </c:pt>
                <c:pt idx="65">
                  <c:v>8.8257998373125268</c:v>
                </c:pt>
                <c:pt idx="66">
                  <c:v>7.4945726389297</c:v>
                </c:pt>
                <c:pt idx="67">
                  <c:v>8.986827237773646</c:v>
                </c:pt>
                <c:pt idx="68">
                  <c:v>11.311869848252396</c:v>
                </c:pt>
                <c:pt idx="69">
                  <c:v>11.289620194494209</c:v>
                </c:pt>
                <c:pt idx="70">
                  <c:v>11.897087703232284</c:v>
                </c:pt>
                <c:pt idx="71">
                  <c:v>13.26420658337484</c:v>
                </c:pt>
                <c:pt idx="72">
                  <c:v>13.701370341564591</c:v>
                </c:pt>
                <c:pt idx="73">
                  <c:v>14.44608815183064</c:v>
                </c:pt>
                <c:pt idx="74">
                  <c:v>16.635055317870549</c:v>
                </c:pt>
                <c:pt idx="75">
                  <c:v>17.459944457582303</c:v>
                </c:pt>
                <c:pt idx="76">
                  <c:v>19.00383250769141</c:v>
                </c:pt>
                <c:pt idx="77">
                  <c:v>18.177192902298142</c:v>
                </c:pt>
                <c:pt idx="78">
                  <c:v>19.665653298465291</c:v>
                </c:pt>
                <c:pt idx="79">
                  <c:v>20.114288004719622</c:v>
                </c:pt>
                <c:pt idx="80">
                  <c:v>25.705879072133207</c:v>
                </c:pt>
                <c:pt idx="81">
                  <c:v>27.160278028211906</c:v>
                </c:pt>
                <c:pt idx="82">
                  <c:v>29.950127389591795</c:v>
                </c:pt>
                <c:pt idx="83">
                  <c:v>35.063636834178546</c:v>
                </c:pt>
                <c:pt idx="84">
                  <c:v>35.915232237036982</c:v>
                </c:pt>
                <c:pt idx="85">
                  <c:v>33.589994349913106</c:v>
                </c:pt>
                <c:pt idx="86">
                  <c:v>34.897819254702782</c:v>
                </c:pt>
                <c:pt idx="87">
                  <c:v>35.556376537730785</c:v>
                </c:pt>
                <c:pt idx="88">
                  <c:v>30.664670047203856</c:v>
                </c:pt>
                <c:pt idx="89">
                  <c:v>20.661049223444557</c:v>
                </c:pt>
                <c:pt idx="90">
                  <c:v>13.845458169998992</c:v>
                </c:pt>
                <c:pt idx="91">
                  <c:v>4.7354581134445795</c:v>
                </c:pt>
                <c:pt idx="92">
                  <c:v>-0.46788704571468998</c:v>
                </c:pt>
                <c:pt idx="93">
                  <c:v>-5.3017412444671592</c:v>
                </c:pt>
                <c:pt idx="94">
                  <c:v>-5.6383787857724741</c:v>
                </c:pt>
                <c:pt idx="95">
                  <c:v>-8.3392866071778187</c:v>
                </c:pt>
                <c:pt idx="96">
                  <c:v>-13.252048057309427</c:v>
                </c:pt>
                <c:pt idx="97">
                  <c:v>-14.988929756973789</c:v>
                </c:pt>
                <c:pt idx="98">
                  <c:v>-14.352290190528969</c:v>
                </c:pt>
                <c:pt idx="99">
                  <c:v>-11.623905335852683</c:v>
                </c:pt>
                <c:pt idx="100">
                  <c:v>-15.58720811798996</c:v>
                </c:pt>
                <c:pt idx="101">
                  <c:v>-13.132846123893877</c:v>
                </c:pt>
                <c:pt idx="102">
                  <c:v>-12.585516482797566</c:v>
                </c:pt>
                <c:pt idx="103">
                  <c:v>0.36384173623991245</c:v>
                </c:pt>
                <c:pt idx="104">
                  <c:v>8.3936970896199199</c:v>
                </c:pt>
                <c:pt idx="105">
                  <c:v>17.839720479815707</c:v>
                </c:pt>
                <c:pt idx="106">
                  <c:v>18.709364367150826</c:v>
                </c:pt>
                <c:pt idx="107">
                  <c:v>17.958065756002728</c:v>
                </c:pt>
                <c:pt idx="108">
                  <c:v>16.034728466215384</c:v>
                </c:pt>
                <c:pt idx="109">
                  <c:v>15.819334566238659</c:v>
                </c:pt>
                <c:pt idx="110">
                  <c:v>13.820448926542259</c:v>
                </c:pt>
                <c:pt idx="111">
                  <c:v>7.4245595949975147</c:v>
                </c:pt>
                <c:pt idx="112">
                  <c:v>4.2994484669185766</c:v>
                </c:pt>
                <c:pt idx="113">
                  <c:v>9.6903600679768047</c:v>
                </c:pt>
                <c:pt idx="114">
                  <c:v>15.31199391708472</c:v>
                </c:pt>
                <c:pt idx="115">
                  <c:v>16.58977719722543</c:v>
                </c:pt>
                <c:pt idx="116">
                  <c:v>22.801559613485555</c:v>
                </c:pt>
                <c:pt idx="117">
                  <c:v>26.405627838867556</c:v>
                </c:pt>
                <c:pt idx="118">
                  <c:v>26.118552730716935</c:v>
                </c:pt>
                <c:pt idx="119">
                  <c:v>23.615273525254459</c:v>
                </c:pt>
                <c:pt idx="120">
                  <c:v>22.6676097760961</c:v>
                </c:pt>
                <c:pt idx="121">
                  <c:v>23.883666034371309</c:v>
                </c:pt>
                <c:pt idx="122">
                  <c:v>21.547105510708938</c:v>
                </c:pt>
                <c:pt idx="123">
                  <c:v>20.890197074439641</c:v>
                </c:pt>
                <c:pt idx="124">
                  <c:v>21.673381105733064</c:v>
                </c:pt>
                <c:pt idx="125">
                  <c:v>22.114141349867431</c:v>
                </c:pt>
                <c:pt idx="126">
                  <c:v>21.298419524747572</c:v>
                </c:pt>
                <c:pt idx="127">
                  <c:v>13.71182683595223</c:v>
                </c:pt>
                <c:pt idx="128">
                  <c:v>11.821386841172789</c:v>
                </c:pt>
                <c:pt idx="129">
                  <c:v>7.5834274705463258</c:v>
                </c:pt>
                <c:pt idx="130">
                  <c:v>3.8589346797762545</c:v>
                </c:pt>
                <c:pt idx="131">
                  <c:v>0.64102264830584943</c:v>
                </c:pt>
                <c:pt idx="132">
                  <c:v>-0.94014092705086227</c:v>
                </c:pt>
                <c:pt idx="133">
                  <c:v>1.4609366695005122E-2</c:v>
                </c:pt>
                <c:pt idx="134">
                  <c:v>0.43441422498896998</c:v>
                </c:pt>
                <c:pt idx="135">
                  <c:v>-0.29834076865595449</c:v>
                </c:pt>
                <c:pt idx="136">
                  <c:v>3.4796149508442866</c:v>
                </c:pt>
                <c:pt idx="137">
                  <c:v>5.5765721413737168</c:v>
                </c:pt>
                <c:pt idx="138">
                  <c:v>8.2364580925136721</c:v>
                </c:pt>
                <c:pt idx="139">
                  <c:v>4.9175811431013443</c:v>
                </c:pt>
                <c:pt idx="140">
                  <c:v>4.4193796985290916</c:v>
                </c:pt>
                <c:pt idx="141">
                  <c:v>8.0859056484611642</c:v>
                </c:pt>
                <c:pt idx="142">
                  <c:v>6.4114980296196364</c:v>
                </c:pt>
                <c:pt idx="143">
                  <c:v>7.1323597820258371</c:v>
                </c:pt>
                <c:pt idx="144">
                  <c:v>3.7880830044109359</c:v>
                </c:pt>
                <c:pt idx="145">
                  <c:v>1.1626224286857507</c:v>
                </c:pt>
                <c:pt idx="146">
                  <c:v>-0.9415731337304436</c:v>
                </c:pt>
                <c:pt idx="147">
                  <c:v>-4.1469818586913831</c:v>
                </c:pt>
                <c:pt idx="148">
                  <c:v>-1.5561028355392281</c:v>
                </c:pt>
                <c:pt idx="149">
                  <c:v>0.44849648844495249</c:v>
                </c:pt>
                <c:pt idx="150">
                  <c:v>-1.1438069336371015</c:v>
                </c:pt>
                <c:pt idx="151">
                  <c:v>-2.2179726671771505</c:v>
                </c:pt>
                <c:pt idx="152">
                  <c:v>-1.0091050901721701</c:v>
                </c:pt>
                <c:pt idx="153">
                  <c:v>2.9983751279249304</c:v>
                </c:pt>
                <c:pt idx="154">
                  <c:v>2.054633277964804</c:v>
                </c:pt>
                <c:pt idx="155">
                  <c:v>4.8306494272596652</c:v>
                </c:pt>
                <c:pt idx="156">
                  <c:v>5.8359090667214275</c:v>
                </c:pt>
                <c:pt idx="157">
                  <c:v>5.6076837796298449</c:v>
                </c:pt>
                <c:pt idx="158">
                  <c:v>5.2693072758227544</c:v>
                </c:pt>
                <c:pt idx="159">
                  <c:v>4.8976237786932018</c:v>
                </c:pt>
                <c:pt idx="160">
                  <c:v>2.0509647420491319</c:v>
                </c:pt>
                <c:pt idx="161">
                  <c:v>-1.1288341867803595</c:v>
                </c:pt>
                <c:pt idx="162">
                  <c:v>-0.19073846035794872</c:v>
                </c:pt>
                <c:pt idx="163">
                  <c:v>0.57078472634061228</c:v>
                </c:pt>
                <c:pt idx="164">
                  <c:v>-2.3994590266340765E-2</c:v>
                </c:pt>
                <c:pt idx="165">
                  <c:v>-2.3958031151867019</c:v>
                </c:pt>
                <c:pt idx="166">
                  <c:v>-4.6152605173211327</c:v>
                </c:pt>
                <c:pt idx="167">
                  <c:v>-4.8895318406352395</c:v>
                </c:pt>
                <c:pt idx="168">
                  <c:v>-4.1543959217694919</c:v>
                </c:pt>
                <c:pt idx="169">
                  <c:v>-5.3865533153679372</c:v>
                </c:pt>
                <c:pt idx="170">
                  <c:v>-5.7431389998338176</c:v>
                </c:pt>
                <c:pt idx="171">
                  <c:v>-3.3065953981289482</c:v>
                </c:pt>
                <c:pt idx="172">
                  <c:v>-4.1655714481491515</c:v>
                </c:pt>
                <c:pt idx="173">
                  <c:v>-5.7124726609779017</c:v>
                </c:pt>
                <c:pt idx="174">
                  <c:v>-6.4102634337277529</c:v>
                </c:pt>
                <c:pt idx="175">
                  <c:v>-1.874801476976355</c:v>
                </c:pt>
                <c:pt idx="176">
                  <c:v>-1.639551405777528</c:v>
                </c:pt>
                <c:pt idx="177">
                  <c:v>0.53255354050640946</c:v>
                </c:pt>
                <c:pt idx="178">
                  <c:v>-0.33764162461330827</c:v>
                </c:pt>
                <c:pt idx="179">
                  <c:v>2.7019906749113112</c:v>
                </c:pt>
                <c:pt idx="180">
                  <c:v>3.6738815996712013</c:v>
                </c:pt>
                <c:pt idx="181">
                  <c:v>5.1020252087663351</c:v>
                </c:pt>
                <c:pt idx="182">
                  <c:v>4.6708504485165676</c:v>
                </c:pt>
                <c:pt idx="183">
                  <c:v>5.0874419771776473</c:v>
                </c:pt>
                <c:pt idx="184">
                  <c:v>2.9476596448866559</c:v>
                </c:pt>
                <c:pt idx="185">
                  <c:v>4.6656690341363181</c:v>
                </c:pt>
                <c:pt idx="186">
                  <c:v>6.7342604496105842</c:v>
                </c:pt>
                <c:pt idx="187">
                  <c:v>12.007559881646014</c:v>
                </c:pt>
                <c:pt idx="188">
                  <c:v>12.170464743265416</c:v>
                </c:pt>
                <c:pt idx="189">
                  <c:v>11.56592896122639</c:v>
                </c:pt>
                <c:pt idx="190">
                  <c:v>10.716874710284475</c:v>
                </c:pt>
                <c:pt idx="191">
                  <c:v>8.1041694902153871</c:v>
                </c:pt>
                <c:pt idx="192">
                  <c:v>7.4141169296458145</c:v>
                </c:pt>
                <c:pt idx="193">
                  <c:v>3.7095168679110628</c:v>
                </c:pt>
                <c:pt idx="194">
                  <c:v>3.1891267693653198</c:v>
                </c:pt>
                <c:pt idx="195">
                  <c:v>0.76466224198178878</c:v>
                </c:pt>
                <c:pt idx="196">
                  <c:v>4.518248647096847</c:v>
                </c:pt>
                <c:pt idx="197">
                  <c:v>6.224076781056862</c:v>
                </c:pt>
                <c:pt idx="198">
                  <c:v>8.3910259447428821</c:v>
                </c:pt>
                <c:pt idx="199">
                  <c:v>5.3072691963880665</c:v>
                </c:pt>
                <c:pt idx="200">
                  <c:v>5.3534574867825704</c:v>
                </c:pt>
                <c:pt idx="201">
                  <c:v>3.9405981670872805</c:v>
                </c:pt>
                <c:pt idx="202">
                  <c:v>2.6794400675972199</c:v>
                </c:pt>
                <c:pt idx="203">
                  <c:v>0.48365661150451089</c:v>
                </c:pt>
                <c:pt idx="204">
                  <c:v>0.1603204697320173</c:v>
                </c:pt>
                <c:pt idx="205">
                  <c:v>1.2621360507631678</c:v>
                </c:pt>
                <c:pt idx="206">
                  <c:v>2.5284290146193165</c:v>
                </c:pt>
                <c:pt idx="207">
                  <c:v>3.3774630717482204</c:v>
                </c:pt>
                <c:pt idx="208">
                  <c:v>1.051883933721264</c:v>
                </c:pt>
                <c:pt idx="209">
                  <c:v>2.1714453940752279</c:v>
                </c:pt>
                <c:pt idx="210">
                  <c:v>0.98166115703421042</c:v>
                </c:pt>
                <c:pt idx="211">
                  <c:v>0.73718634722342458</c:v>
                </c:pt>
                <c:pt idx="212">
                  <c:v>-2.2398495400452347</c:v>
                </c:pt>
                <c:pt idx="213">
                  <c:v>-1.167904649755954</c:v>
                </c:pt>
                <c:pt idx="214">
                  <c:v>-0.50677817133190217</c:v>
                </c:pt>
                <c:pt idx="215">
                  <c:v>2.382105763701361</c:v>
                </c:pt>
                <c:pt idx="216">
                  <c:v>0.32547957763929602</c:v>
                </c:pt>
                <c:pt idx="217">
                  <c:v>-0.51487772419670108</c:v>
                </c:pt>
                <c:pt idx="218">
                  <c:v>-1.0792315019675129</c:v>
                </c:pt>
                <c:pt idx="219">
                  <c:v>-0.39806282054467701</c:v>
                </c:pt>
                <c:pt idx="220">
                  <c:v>0.34358561338995841</c:v>
                </c:pt>
                <c:pt idx="221">
                  <c:v>2.1142121230450002</c:v>
                </c:pt>
                <c:pt idx="222">
                  <c:v>4.2791887372835973</c:v>
                </c:pt>
                <c:pt idx="223">
                  <c:v>5.6348894709667228</c:v>
                </c:pt>
                <c:pt idx="224">
                  <c:v>6.7535305079230206</c:v>
                </c:pt>
                <c:pt idx="225">
                  <c:v>8.7051290190061223</c:v>
                </c:pt>
                <c:pt idx="226">
                  <c:v>11.075804548101765</c:v>
                </c:pt>
                <c:pt idx="227">
                  <c:v>7.6238546338900157</c:v>
                </c:pt>
                <c:pt idx="228">
                  <c:v>2.5745251775115285</c:v>
                </c:pt>
                <c:pt idx="229">
                  <c:v>1.1867988932959079</c:v>
                </c:pt>
                <c:pt idx="230">
                  <c:v>3.0100556211389247</c:v>
                </c:pt>
                <c:pt idx="231">
                  <c:v>4.004681571089403</c:v>
                </c:pt>
                <c:pt idx="232">
                  <c:v>7.0300696164788405</c:v>
                </c:pt>
                <c:pt idx="233">
                  <c:v>9.7109215726195259</c:v>
                </c:pt>
                <c:pt idx="234">
                  <c:v>11.65833996625831</c:v>
                </c:pt>
                <c:pt idx="235">
                  <c:v>9.641715193523325</c:v>
                </c:pt>
                <c:pt idx="236">
                  <c:v>13.060358115481822</c:v>
                </c:pt>
                <c:pt idx="237">
                  <c:v>15.072433717547518</c:v>
                </c:pt>
                <c:pt idx="238">
                  <c:v>14.59588508084245</c:v>
                </c:pt>
                <c:pt idx="239">
                  <c:v>15.245796035952882</c:v>
                </c:pt>
                <c:pt idx="240">
                  <c:v>20.783452906338084</c:v>
                </c:pt>
                <c:pt idx="241">
                  <c:v>29.66124548177762</c:v>
                </c:pt>
                <c:pt idx="242">
                  <c:v>40.886196116938208</c:v>
                </c:pt>
                <c:pt idx="243">
                  <c:v>42.38436027756498</c:v>
                </c:pt>
                <c:pt idx="244">
                  <c:v>42.858475329819456</c:v>
                </c:pt>
                <c:pt idx="245">
                  <c:v>36.28711063210995</c:v>
                </c:pt>
                <c:pt idx="246">
                  <c:v>30.165174834917131</c:v>
                </c:pt>
                <c:pt idx="247">
                  <c:v>31.964158042572752</c:v>
                </c:pt>
                <c:pt idx="248">
                  <c:v>27.973481833435883</c:v>
                </c:pt>
                <c:pt idx="249">
                  <c:v>23.406712591601369</c:v>
                </c:pt>
                <c:pt idx="250">
                  <c:v>24.695092081533325</c:v>
                </c:pt>
                <c:pt idx="251">
                  <c:v>28.544094683696621</c:v>
                </c:pt>
                <c:pt idx="252">
                  <c:v>34.582102542074153</c:v>
                </c:pt>
                <c:pt idx="253">
                  <c:v>39.440017275202386</c:v>
                </c:pt>
                <c:pt idx="254">
                  <c:v>38.716383997640001</c:v>
                </c:pt>
                <c:pt idx="255">
                  <c:v>34.327280941423744</c:v>
                </c:pt>
                <c:pt idx="256">
                  <c:v>15.664811667093502</c:v>
                </c:pt>
                <c:pt idx="257">
                  <c:v>27.433031329355181</c:v>
                </c:pt>
                <c:pt idx="258">
                  <c:v>22.949076034994903</c:v>
                </c:pt>
                <c:pt idx="259">
                  <c:v>22.074880845048881</c:v>
                </c:pt>
                <c:pt idx="260">
                  <c:v>27.569601090477384</c:v>
                </c:pt>
                <c:pt idx="261">
                  <c:v>10.813668425852917</c:v>
                </c:pt>
                <c:pt idx="262">
                  <c:v>9.1608392730349379</c:v>
                </c:pt>
                <c:pt idx="263">
                  <c:v>10.810717647658571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5-4302-9798-F94C6FAF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90279"/>
        <c:axId val="149487327"/>
      </c:lineChart>
      <c:catAx>
        <c:axId val="149490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487327"/>
        <c:crosses val="autoZero"/>
        <c:auto val="1"/>
        <c:lblAlgn val="ctr"/>
        <c:lblOffset val="100"/>
        <c:noMultiLvlLbl val="1"/>
      </c:catAx>
      <c:valAx>
        <c:axId val="14948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9490279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tx1"/>
                </a:solidFill>
                <a:prstDash val="solid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numRef>
              <c:f>[1]Prices!$A$4:$A$654</c:f>
              <c:numCache>
                <c:formatCode>General</c:formatCode>
                <c:ptCount val="651"/>
                <c:pt idx="0">
                  <c:v>25600</c:v>
                </c:pt>
                <c:pt idx="1">
                  <c:v>25628</c:v>
                </c:pt>
                <c:pt idx="2">
                  <c:v>25659</c:v>
                </c:pt>
                <c:pt idx="3">
                  <c:v>25689</c:v>
                </c:pt>
                <c:pt idx="4">
                  <c:v>25720</c:v>
                </c:pt>
                <c:pt idx="5">
                  <c:v>25750</c:v>
                </c:pt>
                <c:pt idx="6">
                  <c:v>25781</c:v>
                </c:pt>
                <c:pt idx="7">
                  <c:v>25812</c:v>
                </c:pt>
                <c:pt idx="8">
                  <c:v>25842</c:v>
                </c:pt>
                <c:pt idx="9">
                  <c:v>25873</c:v>
                </c:pt>
                <c:pt idx="10">
                  <c:v>25903</c:v>
                </c:pt>
                <c:pt idx="11">
                  <c:v>25934</c:v>
                </c:pt>
                <c:pt idx="12">
                  <c:v>25965</c:v>
                </c:pt>
                <c:pt idx="13">
                  <c:v>25993</c:v>
                </c:pt>
                <c:pt idx="14">
                  <c:v>26024</c:v>
                </c:pt>
                <c:pt idx="15">
                  <c:v>26054</c:v>
                </c:pt>
                <c:pt idx="16">
                  <c:v>26085</c:v>
                </c:pt>
                <c:pt idx="17">
                  <c:v>26115</c:v>
                </c:pt>
                <c:pt idx="18">
                  <c:v>26146</c:v>
                </c:pt>
                <c:pt idx="19">
                  <c:v>26177</c:v>
                </c:pt>
                <c:pt idx="20">
                  <c:v>26207</c:v>
                </c:pt>
                <c:pt idx="21">
                  <c:v>26238</c:v>
                </c:pt>
                <c:pt idx="22">
                  <c:v>26268</c:v>
                </c:pt>
                <c:pt idx="23">
                  <c:v>26299</c:v>
                </c:pt>
                <c:pt idx="24">
                  <c:v>26330</c:v>
                </c:pt>
                <c:pt idx="25">
                  <c:v>26359</c:v>
                </c:pt>
                <c:pt idx="26">
                  <c:v>26390</c:v>
                </c:pt>
                <c:pt idx="27">
                  <c:v>26420</c:v>
                </c:pt>
                <c:pt idx="28">
                  <c:v>26451</c:v>
                </c:pt>
                <c:pt idx="29">
                  <c:v>26481</c:v>
                </c:pt>
                <c:pt idx="30">
                  <c:v>26512</c:v>
                </c:pt>
                <c:pt idx="31">
                  <c:v>26543</c:v>
                </c:pt>
                <c:pt idx="32">
                  <c:v>26573</c:v>
                </c:pt>
                <c:pt idx="33">
                  <c:v>26604</c:v>
                </c:pt>
                <c:pt idx="34">
                  <c:v>26634</c:v>
                </c:pt>
                <c:pt idx="35">
                  <c:v>26665</c:v>
                </c:pt>
                <c:pt idx="36">
                  <c:v>26696</c:v>
                </c:pt>
                <c:pt idx="37">
                  <c:v>26724</c:v>
                </c:pt>
                <c:pt idx="38">
                  <c:v>26755</c:v>
                </c:pt>
                <c:pt idx="39">
                  <c:v>26785</c:v>
                </c:pt>
                <c:pt idx="40">
                  <c:v>26816</c:v>
                </c:pt>
                <c:pt idx="41">
                  <c:v>26846</c:v>
                </c:pt>
                <c:pt idx="42">
                  <c:v>26877</c:v>
                </c:pt>
                <c:pt idx="43">
                  <c:v>26908</c:v>
                </c:pt>
                <c:pt idx="44">
                  <c:v>26938</c:v>
                </c:pt>
                <c:pt idx="45">
                  <c:v>26969</c:v>
                </c:pt>
                <c:pt idx="46">
                  <c:v>26999</c:v>
                </c:pt>
                <c:pt idx="47">
                  <c:v>27030</c:v>
                </c:pt>
                <c:pt idx="48">
                  <c:v>27061</c:v>
                </c:pt>
                <c:pt idx="49">
                  <c:v>27089</c:v>
                </c:pt>
                <c:pt idx="50">
                  <c:v>27120</c:v>
                </c:pt>
                <c:pt idx="51">
                  <c:v>27150</c:v>
                </c:pt>
                <c:pt idx="52">
                  <c:v>27181</c:v>
                </c:pt>
                <c:pt idx="53">
                  <c:v>27211</c:v>
                </c:pt>
                <c:pt idx="54">
                  <c:v>27242</c:v>
                </c:pt>
                <c:pt idx="55">
                  <c:v>27273</c:v>
                </c:pt>
                <c:pt idx="56">
                  <c:v>27303</c:v>
                </c:pt>
                <c:pt idx="57">
                  <c:v>27334</c:v>
                </c:pt>
                <c:pt idx="58">
                  <c:v>27364</c:v>
                </c:pt>
                <c:pt idx="59">
                  <c:v>27395</c:v>
                </c:pt>
                <c:pt idx="60">
                  <c:v>27426</c:v>
                </c:pt>
                <c:pt idx="61">
                  <c:v>27454</c:v>
                </c:pt>
                <c:pt idx="62">
                  <c:v>27485</c:v>
                </c:pt>
                <c:pt idx="63">
                  <c:v>27515</c:v>
                </c:pt>
                <c:pt idx="64">
                  <c:v>27546</c:v>
                </c:pt>
                <c:pt idx="65">
                  <c:v>27576</c:v>
                </c:pt>
                <c:pt idx="66">
                  <c:v>27607</c:v>
                </c:pt>
                <c:pt idx="67">
                  <c:v>27638</c:v>
                </c:pt>
                <c:pt idx="68">
                  <c:v>27668</c:v>
                </c:pt>
                <c:pt idx="69">
                  <c:v>27699</c:v>
                </c:pt>
                <c:pt idx="70">
                  <c:v>27729</c:v>
                </c:pt>
                <c:pt idx="71">
                  <c:v>27760</c:v>
                </c:pt>
                <c:pt idx="72">
                  <c:v>27791</c:v>
                </c:pt>
                <c:pt idx="73">
                  <c:v>27820</c:v>
                </c:pt>
                <c:pt idx="74">
                  <c:v>27851</c:v>
                </c:pt>
                <c:pt idx="75">
                  <c:v>27881</c:v>
                </c:pt>
                <c:pt idx="76">
                  <c:v>27912</c:v>
                </c:pt>
                <c:pt idx="77">
                  <c:v>27942</c:v>
                </c:pt>
                <c:pt idx="78">
                  <c:v>27973</c:v>
                </c:pt>
                <c:pt idx="79">
                  <c:v>28004</c:v>
                </c:pt>
                <c:pt idx="80">
                  <c:v>28034</c:v>
                </c:pt>
                <c:pt idx="81">
                  <c:v>28065</c:v>
                </c:pt>
                <c:pt idx="82">
                  <c:v>28095</c:v>
                </c:pt>
                <c:pt idx="83">
                  <c:v>28126</c:v>
                </c:pt>
                <c:pt idx="84">
                  <c:v>28157</c:v>
                </c:pt>
                <c:pt idx="85">
                  <c:v>28185</c:v>
                </c:pt>
                <c:pt idx="86">
                  <c:v>28216</c:v>
                </c:pt>
                <c:pt idx="87">
                  <c:v>28246</c:v>
                </c:pt>
                <c:pt idx="88">
                  <c:v>28277</c:v>
                </c:pt>
                <c:pt idx="89">
                  <c:v>28307</c:v>
                </c:pt>
                <c:pt idx="90">
                  <c:v>28338</c:v>
                </c:pt>
                <c:pt idx="91">
                  <c:v>28369</c:v>
                </c:pt>
                <c:pt idx="92">
                  <c:v>28399</c:v>
                </c:pt>
                <c:pt idx="93">
                  <c:v>28430</c:v>
                </c:pt>
                <c:pt idx="94">
                  <c:v>28460</c:v>
                </c:pt>
                <c:pt idx="95">
                  <c:v>28491</c:v>
                </c:pt>
                <c:pt idx="96">
                  <c:v>28522</c:v>
                </c:pt>
                <c:pt idx="97">
                  <c:v>28550</c:v>
                </c:pt>
                <c:pt idx="98">
                  <c:v>28581</c:v>
                </c:pt>
                <c:pt idx="99">
                  <c:v>28611</c:v>
                </c:pt>
                <c:pt idx="100">
                  <c:v>28642</c:v>
                </c:pt>
                <c:pt idx="101">
                  <c:v>28672</c:v>
                </c:pt>
                <c:pt idx="102">
                  <c:v>28703</c:v>
                </c:pt>
                <c:pt idx="103">
                  <c:v>28734</c:v>
                </c:pt>
                <c:pt idx="104">
                  <c:v>28764</c:v>
                </c:pt>
                <c:pt idx="105">
                  <c:v>28795</c:v>
                </c:pt>
                <c:pt idx="106">
                  <c:v>28825</c:v>
                </c:pt>
                <c:pt idx="107">
                  <c:v>28856</c:v>
                </c:pt>
                <c:pt idx="108">
                  <c:v>28887</c:v>
                </c:pt>
                <c:pt idx="109">
                  <c:v>28915</c:v>
                </c:pt>
                <c:pt idx="110">
                  <c:v>28946</c:v>
                </c:pt>
                <c:pt idx="111">
                  <c:v>28976</c:v>
                </c:pt>
                <c:pt idx="112">
                  <c:v>29007</c:v>
                </c:pt>
                <c:pt idx="113">
                  <c:v>29037</c:v>
                </c:pt>
                <c:pt idx="114">
                  <c:v>29068</c:v>
                </c:pt>
                <c:pt idx="115">
                  <c:v>29099</c:v>
                </c:pt>
                <c:pt idx="116">
                  <c:v>29129</c:v>
                </c:pt>
                <c:pt idx="117">
                  <c:v>29160</c:v>
                </c:pt>
                <c:pt idx="118">
                  <c:v>29190</c:v>
                </c:pt>
                <c:pt idx="119">
                  <c:v>29221</c:v>
                </c:pt>
                <c:pt idx="120">
                  <c:v>29252</c:v>
                </c:pt>
                <c:pt idx="121">
                  <c:v>29281</c:v>
                </c:pt>
                <c:pt idx="122">
                  <c:v>29312</c:v>
                </c:pt>
                <c:pt idx="123">
                  <c:v>29342</c:v>
                </c:pt>
                <c:pt idx="124">
                  <c:v>29373</c:v>
                </c:pt>
                <c:pt idx="125">
                  <c:v>29403</c:v>
                </c:pt>
                <c:pt idx="126">
                  <c:v>29434</c:v>
                </c:pt>
                <c:pt idx="127">
                  <c:v>29465</c:v>
                </c:pt>
                <c:pt idx="128">
                  <c:v>29495</c:v>
                </c:pt>
                <c:pt idx="129">
                  <c:v>29526</c:v>
                </c:pt>
                <c:pt idx="130">
                  <c:v>29556</c:v>
                </c:pt>
                <c:pt idx="131">
                  <c:v>29587</c:v>
                </c:pt>
                <c:pt idx="132">
                  <c:v>29618</c:v>
                </c:pt>
                <c:pt idx="133">
                  <c:v>29646</c:v>
                </c:pt>
                <c:pt idx="134">
                  <c:v>29677</c:v>
                </c:pt>
                <c:pt idx="135">
                  <c:v>29707</c:v>
                </c:pt>
                <c:pt idx="136">
                  <c:v>29738</c:v>
                </c:pt>
                <c:pt idx="137">
                  <c:v>29768</c:v>
                </c:pt>
                <c:pt idx="138">
                  <c:v>29799</c:v>
                </c:pt>
                <c:pt idx="139">
                  <c:v>29830</c:v>
                </c:pt>
                <c:pt idx="140">
                  <c:v>29860</c:v>
                </c:pt>
                <c:pt idx="141">
                  <c:v>29891</c:v>
                </c:pt>
                <c:pt idx="142">
                  <c:v>29921</c:v>
                </c:pt>
                <c:pt idx="143">
                  <c:v>29952</c:v>
                </c:pt>
                <c:pt idx="144">
                  <c:v>29983</c:v>
                </c:pt>
                <c:pt idx="145">
                  <c:v>30011</c:v>
                </c:pt>
                <c:pt idx="146">
                  <c:v>30042</c:v>
                </c:pt>
                <c:pt idx="147">
                  <c:v>30072</c:v>
                </c:pt>
                <c:pt idx="148">
                  <c:v>30103</c:v>
                </c:pt>
                <c:pt idx="149">
                  <c:v>30133</c:v>
                </c:pt>
                <c:pt idx="150">
                  <c:v>30164</c:v>
                </c:pt>
                <c:pt idx="151">
                  <c:v>30195</c:v>
                </c:pt>
                <c:pt idx="152">
                  <c:v>30225</c:v>
                </c:pt>
                <c:pt idx="153">
                  <c:v>30256</c:v>
                </c:pt>
                <c:pt idx="154">
                  <c:v>30286</c:v>
                </c:pt>
                <c:pt idx="155">
                  <c:v>30317</c:v>
                </c:pt>
                <c:pt idx="156">
                  <c:v>30348</c:v>
                </c:pt>
                <c:pt idx="157">
                  <c:v>30376</c:v>
                </c:pt>
                <c:pt idx="158">
                  <c:v>30407</c:v>
                </c:pt>
                <c:pt idx="159">
                  <c:v>30437</c:v>
                </c:pt>
                <c:pt idx="160">
                  <c:v>30468</c:v>
                </c:pt>
                <c:pt idx="161">
                  <c:v>30498</c:v>
                </c:pt>
                <c:pt idx="162">
                  <c:v>30529</c:v>
                </c:pt>
                <c:pt idx="163">
                  <c:v>30560</c:v>
                </c:pt>
                <c:pt idx="164">
                  <c:v>30590</c:v>
                </c:pt>
                <c:pt idx="165">
                  <c:v>30621</c:v>
                </c:pt>
                <c:pt idx="166">
                  <c:v>30651</c:v>
                </c:pt>
                <c:pt idx="167">
                  <c:v>30682</c:v>
                </c:pt>
                <c:pt idx="168">
                  <c:v>30713</c:v>
                </c:pt>
                <c:pt idx="169">
                  <c:v>30742</c:v>
                </c:pt>
                <c:pt idx="170">
                  <c:v>30773</c:v>
                </c:pt>
                <c:pt idx="171">
                  <c:v>30803</c:v>
                </c:pt>
                <c:pt idx="172">
                  <c:v>30834</c:v>
                </c:pt>
                <c:pt idx="173">
                  <c:v>30864</c:v>
                </c:pt>
                <c:pt idx="174">
                  <c:v>30895</c:v>
                </c:pt>
                <c:pt idx="175">
                  <c:v>30926</c:v>
                </c:pt>
                <c:pt idx="176">
                  <c:v>30956</c:v>
                </c:pt>
                <c:pt idx="177">
                  <c:v>30987</c:v>
                </c:pt>
                <c:pt idx="178">
                  <c:v>31017</c:v>
                </c:pt>
                <c:pt idx="179">
                  <c:v>31048</c:v>
                </c:pt>
                <c:pt idx="180">
                  <c:v>31079</c:v>
                </c:pt>
                <c:pt idx="181">
                  <c:v>31107</c:v>
                </c:pt>
                <c:pt idx="182">
                  <c:v>31138</c:v>
                </c:pt>
                <c:pt idx="183">
                  <c:v>31168</c:v>
                </c:pt>
                <c:pt idx="184">
                  <c:v>31199</c:v>
                </c:pt>
                <c:pt idx="185">
                  <c:v>31229</c:v>
                </c:pt>
                <c:pt idx="186">
                  <c:v>31260</c:v>
                </c:pt>
                <c:pt idx="187">
                  <c:v>31291</c:v>
                </c:pt>
                <c:pt idx="188">
                  <c:v>31321</c:v>
                </c:pt>
                <c:pt idx="189">
                  <c:v>31352</c:v>
                </c:pt>
                <c:pt idx="190">
                  <c:v>31382</c:v>
                </c:pt>
                <c:pt idx="191">
                  <c:v>31413</c:v>
                </c:pt>
                <c:pt idx="192">
                  <c:v>31444</c:v>
                </c:pt>
                <c:pt idx="193">
                  <c:v>31472</c:v>
                </c:pt>
                <c:pt idx="194">
                  <c:v>31503</c:v>
                </c:pt>
                <c:pt idx="195">
                  <c:v>31533</c:v>
                </c:pt>
                <c:pt idx="196">
                  <c:v>31564</c:v>
                </c:pt>
                <c:pt idx="197">
                  <c:v>31594</c:v>
                </c:pt>
                <c:pt idx="198">
                  <c:v>31625</c:v>
                </c:pt>
                <c:pt idx="199">
                  <c:v>31656</c:v>
                </c:pt>
                <c:pt idx="200">
                  <c:v>31686</c:v>
                </c:pt>
                <c:pt idx="201">
                  <c:v>31717</c:v>
                </c:pt>
                <c:pt idx="202">
                  <c:v>31747</c:v>
                </c:pt>
                <c:pt idx="203">
                  <c:v>31778</c:v>
                </c:pt>
                <c:pt idx="204">
                  <c:v>31809</c:v>
                </c:pt>
                <c:pt idx="205">
                  <c:v>31837</c:v>
                </c:pt>
                <c:pt idx="206">
                  <c:v>31868</c:v>
                </c:pt>
                <c:pt idx="207">
                  <c:v>31898</c:v>
                </c:pt>
                <c:pt idx="208">
                  <c:v>31929</c:v>
                </c:pt>
                <c:pt idx="209">
                  <c:v>31959</c:v>
                </c:pt>
                <c:pt idx="210">
                  <c:v>31990</c:v>
                </c:pt>
                <c:pt idx="211">
                  <c:v>32021</c:v>
                </c:pt>
                <c:pt idx="212">
                  <c:v>32051</c:v>
                </c:pt>
                <c:pt idx="213">
                  <c:v>32082</c:v>
                </c:pt>
                <c:pt idx="214">
                  <c:v>32112</c:v>
                </c:pt>
                <c:pt idx="215">
                  <c:v>32143</c:v>
                </c:pt>
                <c:pt idx="216">
                  <c:v>32174</c:v>
                </c:pt>
                <c:pt idx="217">
                  <c:v>32203</c:v>
                </c:pt>
                <c:pt idx="218">
                  <c:v>32234</c:v>
                </c:pt>
                <c:pt idx="219">
                  <c:v>32264</c:v>
                </c:pt>
                <c:pt idx="220">
                  <c:v>32295</c:v>
                </c:pt>
                <c:pt idx="221">
                  <c:v>32325</c:v>
                </c:pt>
                <c:pt idx="222">
                  <c:v>32356</c:v>
                </c:pt>
                <c:pt idx="223">
                  <c:v>32387</c:v>
                </c:pt>
                <c:pt idx="224">
                  <c:v>32417</c:v>
                </c:pt>
                <c:pt idx="225">
                  <c:v>32448</c:v>
                </c:pt>
                <c:pt idx="226">
                  <c:v>32478</c:v>
                </c:pt>
                <c:pt idx="227">
                  <c:v>32509</c:v>
                </c:pt>
                <c:pt idx="228">
                  <c:v>32540</c:v>
                </c:pt>
                <c:pt idx="229">
                  <c:v>32568</c:v>
                </c:pt>
                <c:pt idx="230">
                  <c:v>32599</c:v>
                </c:pt>
                <c:pt idx="231">
                  <c:v>32629</c:v>
                </c:pt>
                <c:pt idx="232">
                  <c:v>32660</c:v>
                </c:pt>
                <c:pt idx="233">
                  <c:v>32690</c:v>
                </c:pt>
                <c:pt idx="234">
                  <c:v>32721</c:v>
                </c:pt>
                <c:pt idx="235">
                  <c:v>32752</c:v>
                </c:pt>
                <c:pt idx="236">
                  <c:v>32782</c:v>
                </c:pt>
                <c:pt idx="237">
                  <c:v>32813</c:v>
                </c:pt>
                <c:pt idx="238">
                  <c:v>32843</c:v>
                </c:pt>
                <c:pt idx="239">
                  <c:v>32874</c:v>
                </c:pt>
                <c:pt idx="240">
                  <c:v>32905</c:v>
                </c:pt>
                <c:pt idx="241">
                  <c:v>32933</c:v>
                </c:pt>
                <c:pt idx="242">
                  <c:v>32964</c:v>
                </c:pt>
                <c:pt idx="243">
                  <c:v>32994</c:v>
                </c:pt>
                <c:pt idx="244">
                  <c:v>33025</c:v>
                </c:pt>
                <c:pt idx="245">
                  <c:v>33055</c:v>
                </c:pt>
                <c:pt idx="246">
                  <c:v>33086</c:v>
                </c:pt>
                <c:pt idx="247">
                  <c:v>33117</c:v>
                </c:pt>
                <c:pt idx="248">
                  <c:v>33147</c:v>
                </c:pt>
                <c:pt idx="249">
                  <c:v>33178</c:v>
                </c:pt>
                <c:pt idx="250">
                  <c:v>33208</c:v>
                </c:pt>
                <c:pt idx="251">
                  <c:v>33239</c:v>
                </c:pt>
                <c:pt idx="252">
                  <c:v>33270</c:v>
                </c:pt>
                <c:pt idx="253">
                  <c:v>33298</c:v>
                </c:pt>
                <c:pt idx="254">
                  <c:v>33329</c:v>
                </c:pt>
                <c:pt idx="255">
                  <c:v>33359</c:v>
                </c:pt>
                <c:pt idx="256">
                  <c:v>33390</c:v>
                </c:pt>
                <c:pt idx="257">
                  <c:v>33420</c:v>
                </c:pt>
                <c:pt idx="258">
                  <c:v>33451</c:v>
                </c:pt>
                <c:pt idx="259">
                  <c:v>33482</c:v>
                </c:pt>
                <c:pt idx="260">
                  <c:v>33512</c:v>
                </c:pt>
                <c:pt idx="261">
                  <c:v>33543</c:v>
                </c:pt>
                <c:pt idx="262">
                  <c:v>33573</c:v>
                </c:pt>
                <c:pt idx="263">
                  <c:v>33604</c:v>
                </c:pt>
                <c:pt idx="264">
                  <c:v>33635</c:v>
                </c:pt>
                <c:pt idx="265">
                  <c:v>33664</c:v>
                </c:pt>
                <c:pt idx="266">
                  <c:v>33695</c:v>
                </c:pt>
                <c:pt idx="267">
                  <c:v>33725</c:v>
                </c:pt>
                <c:pt idx="268">
                  <c:v>33756</c:v>
                </c:pt>
                <c:pt idx="269">
                  <c:v>33786</c:v>
                </c:pt>
                <c:pt idx="270">
                  <c:v>33817</c:v>
                </c:pt>
                <c:pt idx="271">
                  <c:v>33848</c:v>
                </c:pt>
                <c:pt idx="272">
                  <c:v>33878</c:v>
                </c:pt>
                <c:pt idx="273">
                  <c:v>33909</c:v>
                </c:pt>
                <c:pt idx="274">
                  <c:v>33939</c:v>
                </c:pt>
                <c:pt idx="275">
                  <c:v>33970</c:v>
                </c:pt>
                <c:pt idx="276">
                  <c:v>34001</c:v>
                </c:pt>
                <c:pt idx="277">
                  <c:v>34029</c:v>
                </c:pt>
                <c:pt idx="278">
                  <c:v>34060</c:v>
                </c:pt>
                <c:pt idx="279">
                  <c:v>34090</c:v>
                </c:pt>
                <c:pt idx="280">
                  <c:v>34121</c:v>
                </c:pt>
                <c:pt idx="281">
                  <c:v>34151</c:v>
                </c:pt>
                <c:pt idx="282">
                  <c:v>34182</c:v>
                </c:pt>
                <c:pt idx="283">
                  <c:v>34213</c:v>
                </c:pt>
                <c:pt idx="284">
                  <c:v>34243</c:v>
                </c:pt>
                <c:pt idx="285">
                  <c:v>34274</c:v>
                </c:pt>
                <c:pt idx="286">
                  <c:v>34304</c:v>
                </c:pt>
                <c:pt idx="287">
                  <c:v>34335</c:v>
                </c:pt>
                <c:pt idx="288">
                  <c:v>34366</c:v>
                </c:pt>
                <c:pt idx="289">
                  <c:v>34394</c:v>
                </c:pt>
                <c:pt idx="290">
                  <c:v>34425</c:v>
                </c:pt>
                <c:pt idx="291">
                  <c:v>34455</c:v>
                </c:pt>
                <c:pt idx="292">
                  <c:v>34486</c:v>
                </c:pt>
                <c:pt idx="293">
                  <c:v>34516</c:v>
                </c:pt>
                <c:pt idx="294">
                  <c:v>34547</c:v>
                </c:pt>
                <c:pt idx="295">
                  <c:v>34578</c:v>
                </c:pt>
                <c:pt idx="296">
                  <c:v>34608</c:v>
                </c:pt>
                <c:pt idx="297">
                  <c:v>34639</c:v>
                </c:pt>
                <c:pt idx="298">
                  <c:v>34669</c:v>
                </c:pt>
                <c:pt idx="299">
                  <c:v>34700</c:v>
                </c:pt>
                <c:pt idx="300">
                  <c:v>34731</c:v>
                </c:pt>
                <c:pt idx="301">
                  <c:v>34759</c:v>
                </c:pt>
                <c:pt idx="302">
                  <c:v>34790</c:v>
                </c:pt>
                <c:pt idx="303">
                  <c:v>34820</c:v>
                </c:pt>
                <c:pt idx="304">
                  <c:v>34851</c:v>
                </c:pt>
                <c:pt idx="305">
                  <c:v>34881</c:v>
                </c:pt>
                <c:pt idx="306">
                  <c:v>34912</c:v>
                </c:pt>
                <c:pt idx="307">
                  <c:v>34943</c:v>
                </c:pt>
                <c:pt idx="308">
                  <c:v>34973</c:v>
                </c:pt>
                <c:pt idx="309">
                  <c:v>35004</c:v>
                </c:pt>
                <c:pt idx="310">
                  <c:v>35034</c:v>
                </c:pt>
                <c:pt idx="311">
                  <c:v>35065</c:v>
                </c:pt>
                <c:pt idx="312">
                  <c:v>35096</c:v>
                </c:pt>
                <c:pt idx="313">
                  <c:v>35125</c:v>
                </c:pt>
                <c:pt idx="314">
                  <c:v>35156</c:v>
                </c:pt>
                <c:pt idx="315">
                  <c:v>35186</c:v>
                </c:pt>
                <c:pt idx="316">
                  <c:v>35217</c:v>
                </c:pt>
                <c:pt idx="317">
                  <c:v>35247</c:v>
                </c:pt>
                <c:pt idx="318">
                  <c:v>35278</c:v>
                </c:pt>
                <c:pt idx="319">
                  <c:v>35309</c:v>
                </c:pt>
                <c:pt idx="320">
                  <c:v>35339</c:v>
                </c:pt>
                <c:pt idx="321">
                  <c:v>35370</c:v>
                </c:pt>
                <c:pt idx="322">
                  <c:v>35400</c:v>
                </c:pt>
                <c:pt idx="323">
                  <c:v>35431</c:v>
                </c:pt>
                <c:pt idx="324">
                  <c:v>35462</c:v>
                </c:pt>
                <c:pt idx="325">
                  <c:v>35490</c:v>
                </c:pt>
                <c:pt idx="326">
                  <c:v>35521</c:v>
                </c:pt>
                <c:pt idx="327">
                  <c:v>35551</c:v>
                </c:pt>
                <c:pt idx="328">
                  <c:v>35582</c:v>
                </c:pt>
                <c:pt idx="329">
                  <c:v>35612</c:v>
                </c:pt>
                <c:pt idx="330">
                  <c:v>35643</c:v>
                </c:pt>
                <c:pt idx="331">
                  <c:v>35674</c:v>
                </c:pt>
                <c:pt idx="332">
                  <c:v>35704</c:v>
                </c:pt>
                <c:pt idx="333">
                  <c:v>35735</c:v>
                </c:pt>
                <c:pt idx="334">
                  <c:v>35765</c:v>
                </c:pt>
                <c:pt idx="335">
                  <c:v>35796</c:v>
                </c:pt>
                <c:pt idx="336">
                  <c:v>35827</c:v>
                </c:pt>
                <c:pt idx="337">
                  <c:v>35855</c:v>
                </c:pt>
                <c:pt idx="338">
                  <c:v>35886</c:v>
                </c:pt>
                <c:pt idx="339">
                  <c:v>35916</c:v>
                </c:pt>
                <c:pt idx="340">
                  <c:v>35947</c:v>
                </c:pt>
                <c:pt idx="341">
                  <c:v>35977</c:v>
                </c:pt>
                <c:pt idx="342">
                  <c:v>36008</c:v>
                </c:pt>
                <c:pt idx="343">
                  <c:v>36039</c:v>
                </c:pt>
                <c:pt idx="344">
                  <c:v>36069</c:v>
                </c:pt>
                <c:pt idx="345">
                  <c:v>36100</c:v>
                </c:pt>
                <c:pt idx="346">
                  <c:v>36130</c:v>
                </c:pt>
                <c:pt idx="347">
                  <c:v>36161</c:v>
                </c:pt>
                <c:pt idx="348">
                  <c:v>36192</c:v>
                </c:pt>
                <c:pt idx="349">
                  <c:v>36220</c:v>
                </c:pt>
                <c:pt idx="350">
                  <c:v>36251</c:v>
                </c:pt>
                <c:pt idx="351">
                  <c:v>36281</c:v>
                </c:pt>
                <c:pt idx="352">
                  <c:v>36312</c:v>
                </c:pt>
                <c:pt idx="353">
                  <c:v>36342</c:v>
                </c:pt>
                <c:pt idx="354">
                  <c:v>36373</c:v>
                </c:pt>
                <c:pt idx="355">
                  <c:v>36404</c:v>
                </c:pt>
                <c:pt idx="356">
                  <c:v>36434</c:v>
                </c:pt>
                <c:pt idx="357">
                  <c:v>36465</c:v>
                </c:pt>
                <c:pt idx="358">
                  <c:v>36495</c:v>
                </c:pt>
                <c:pt idx="359">
                  <c:v>36526</c:v>
                </c:pt>
                <c:pt idx="360">
                  <c:v>36557</c:v>
                </c:pt>
                <c:pt idx="361">
                  <c:v>36586</c:v>
                </c:pt>
                <c:pt idx="362">
                  <c:v>36617</c:v>
                </c:pt>
                <c:pt idx="363">
                  <c:v>36647</c:v>
                </c:pt>
                <c:pt idx="364">
                  <c:v>36678</c:v>
                </c:pt>
                <c:pt idx="365">
                  <c:v>36708</c:v>
                </c:pt>
                <c:pt idx="366">
                  <c:v>36739</c:v>
                </c:pt>
                <c:pt idx="367">
                  <c:v>36770</c:v>
                </c:pt>
                <c:pt idx="368">
                  <c:v>36800</c:v>
                </c:pt>
                <c:pt idx="369">
                  <c:v>36831</c:v>
                </c:pt>
                <c:pt idx="370">
                  <c:v>36861</c:v>
                </c:pt>
                <c:pt idx="371">
                  <c:v>36892</c:v>
                </c:pt>
                <c:pt idx="372">
                  <c:v>36923</c:v>
                </c:pt>
                <c:pt idx="373">
                  <c:v>36951</c:v>
                </c:pt>
                <c:pt idx="374">
                  <c:v>36982</c:v>
                </c:pt>
                <c:pt idx="375">
                  <c:v>37012</c:v>
                </c:pt>
                <c:pt idx="376">
                  <c:v>37043</c:v>
                </c:pt>
                <c:pt idx="377">
                  <c:v>37073</c:v>
                </c:pt>
                <c:pt idx="378">
                  <c:v>37104</c:v>
                </c:pt>
                <c:pt idx="379">
                  <c:v>37135</c:v>
                </c:pt>
                <c:pt idx="380">
                  <c:v>37165</c:v>
                </c:pt>
                <c:pt idx="381">
                  <c:v>37196</c:v>
                </c:pt>
                <c:pt idx="382">
                  <c:v>37226</c:v>
                </c:pt>
                <c:pt idx="383">
                  <c:v>37257</c:v>
                </c:pt>
                <c:pt idx="384">
                  <c:v>37288</c:v>
                </c:pt>
                <c:pt idx="385">
                  <c:v>37316</c:v>
                </c:pt>
                <c:pt idx="386">
                  <c:v>37347</c:v>
                </c:pt>
                <c:pt idx="387">
                  <c:v>37377</c:v>
                </c:pt>
                <c:pt idx="388">
                  <c:v>37408</c:v>
                </c:pt>
                <c:pt idx="389">
                  <c:v>37438</c:v>
                </c:pt>
                <c:pt idx="390">
                  <c:v>37469</c:v>
                </c:pt>
                <c:pt idx="391">
                  <c:v>37500</c:v>
                </c:pt>
                <c:pt idx="392">
                  <c:v>37530</c:v>
                </c:pt>
                <c:pt idx="393">
                  <c:v>37561</c:v>
                </c:pt>
                <c:pt idx="394">
                  <c:v>37591</c:v>
                </c:pt>
                <c:pt idx="395">
                  <c:v>37622</c:v>
                </c:pt>
                <c:pt idx="396">
                  <c:v>37653</c:v>
                </c:pt>
                <c:pt idx="397">
                  <c:v>37681</c:v>
                </c:pt>
                <c:pt idx="398">
                  <c:v>37712</c:v>
                </c:pt>
                <c:pt idx="399">
                  <c:v>37742</c:v>
                </c:pt>
                <c:pt idx="400">
                  <c:v>37773</c:v>
                </c:pt>
                <c:pt idx="401">
                  <c:v>37803</c:v>
                </c:pt>
                <c:pt idx="402">
                  <c:v>37834</c:v>
                </c:pt>
                <c:pt idx="403">
                  <c:v>37865</c:v>
                </c:pt>
                <c:pt idx="404">
                  <c:v>37895</c:v>
                </c:pt>
                <c:pt idx="405">
                  <c:v>37926</c:v>
                </c:pt>
                <c:pt idx="406">
                  <c:v>37956</c:v>
                </c:pt>
                <c:pt idx="407">
                  <c:v>37987</c:v>
                </c:pt>
                <c:pt idx="408">
                  <c:v>38018</c:v>
                </c:pt>
                <c:pt idx="409">
                  <c:v>38047</c:v>
                </c:pt>
                <c:pt idx="410">
                  <c:v>38078</c:v>
                </c:pt>
                <c:pt idx="411">
                  <c:v>38108</c:v>
                </c:pt>
                <c:pt idx="412">
                  <c:v>38139</c:v>
                </c:pt>
                <c:pt idx="413">
                  <c:v>38169</c:v>
                </c:pt>
                <c:pt idx="414">
                  <c:v>38200</c:v>
                </c:pt>
                <c:pt idx="415">
                  <c:v>38231</c:v>
                </c:pt>
                <c:pt idx="416">
                  <c:v>38261</c:v>
                </c:pt>
                <c:pt idx="417">
                  <c:v>38292</c:v>
                </c:pt>
                <c:pt idx="418">
                  <c:v>38322</c:v>
                </c:pt>
                <c:pt idx="419">
                  <c:v>38353</c:v>
                </c:pt>
                <c:pt idx="420">
                  <c:v>38384</c:v>
                </c:pt>
                <c:pt idx="421">
                  <c:v>38412</c:v>
                </c:pt>
                <c:pt idx="422">
                  <c:v>38443</c:v>
                </c:pt>
                <c:pt idx="423">
                  <c:v>38473</c:v>
                </c:pt>
                <c:pt idx="424">
                  <c:v>38504</c:v>
                </c:pt>
                <c:pt idx="425">
                  <c:v>38534</c:v>
                </c:pt>
                <c:pt idx="426">
                  <c:v>38565</c:v>
                </c:pt>
                <c:pt idx="427">
                  <c:v>38596</c:v>
                </c:pt>
                <c:pt idx="428">
                  <c:v>38626</c:v>
                </c:pt>
                <c:pt idx="429">
                  <c:v>38657</c:v>
                </c:pt>
                <c:pt idx="430">
                  <c:v>38687</c:v>
                </c:pt>
                <c:pt idx="431">
                  <c:v>38718</c:v>
                </c:pt>
                <c:pt idx="432">
                  <c:v>38749</c:v>
                </c:pt>
                <c:pt idx="433">
                  <c:v>38777</c:v>
                </c:pt>
                <c:pt idx="434">
                  <c:v>38808</c:v>
                </c:pt>
                <c:pt idx="435">
                  <c:v>38838</c:v>
                </c:pt>
                <c:pt idx="436">
                  <c:v>38869</c:v>
                </c:pt>
                <c:pt idx="437">
                  <c:v>38899</c:v>
                </c:pt>
                <c:pt idx="438">
                  <c:v>38930</c:v>
                </c:pt>
                <c:pt idx="439">
                  <c:v>38961</c:v>
                </c:pt>
                <c:pt idx="440">
                  <c:v>38991</c:v>
                </c:pt>
                <c:pt idx="441">
                  <c:v>39022</c:v>
                </c:pt>
                <c:pt idx="442">
                  <c:v>39052</c:v>
                </c:pt>
                <c:pt idx="443">
                  <c:v>39083</c:v>
                </c:pt>
                <c:pt idx="444">
                  <c:v>39114</c:v>
                </c:pt>
                <c:pt idx="445">
                  <c:v>39142</c:v>
                </c:pt>
                <c:pt idx="446">
                  <c:v>39173</c:v>
                </c:pt>
                <c:pt idx="447">
                  <c:v>39203</c:v>
                </c:pt>
                <c:pt idx="448">
                  <c:v>39234</c:v>
                </c:pt>
                <c:pt idx="449">
                  <c:v>39264</c:v>
                </c:pt>
                <c:pt idx="450">
                  <c:v>39295</c:v>
                </c:pt>
                <c:pt idx="451">
                  <c:v>39326</c:v>
                </c:pt>
                <c:pt idx="452">
                  <c:v>39356</c:v>
                </c:pt>
                <c:pt idx="453">
                  <c:v>39387</c:v>
                </c:pt>
                <c:pt idx="454">
                  <c:v>39417</c:v>
                </c:pt>
                <c:pt idx="455">
                  <c:v>39448</c:v>
                </c:pt>
                <c:pt idx="456">
                  <c:v>39479</c:v>
                </c:pt>
                <c:pt idx="457">
                  <c:v>39508</c:v>
                </c:pt>
                <c:pt idx="458">
                  <c:v>39539</c:v>
                </c:pt>
                <c:pt idx="459">
                  <c:v>39569</c:v>
                </c:pt>
                <c:pt idx="460">
                  <c:v>39600</c:v>
                </c:pt>
                <c:pt idx="461">
                  <c:v>39630</c:v>
                </c:pt>
                <c:pt idx="462">
                  <c:v>39661</c:v>
                </c:pt>
                <c:pt idx="463">
                  <c:v>39692</c:v>
                </c:pt>
                <c:pt idx="464">
                  <c:v>39722</c:v>
                </c:pt>
                <c:pt idx="465">
                  <c:v>39753</c:v>
                </c:pt>
                <c:pt idx="466">
                  <c:v>39783</c:v>
                </c:pt>
                <c:pt idx="467">
                  <c:v>39814</c:v>
                </c:pt>
                <c:pt idx="468">
                  <c:v>39845</c:v>
                </c:pt>
                <c:pt idx="469">
                  <c:v>39873</c:v>
                </c:pt>
                <c:pt idx="470">
                  <c:v>39904</c:v>
                </c:pt>
                <c:pt idx="471">
                  <c:v>39934</c:v>
                </c:pt>
                <c:pt idx="472">
                  <c:v>39965</c:v>
                </c:pt>
                <c:pt idx="473">
                  <c:v>39995</c:v>
                </c:pt>
                <c:pt idx="474">
                  <c:v>40026</c:v>
                </c:pt>
                <c:pt idx="475">
                  <c:v>40057</c:v>
                </c:pt>
                <c:pt idx="476">
                  <c:v>40087</c:v>
                </c:pt>
                <c:pt idx="477">
                  <c:v>40118</c:v>
                </c:pt>
                <c:pt idx="478">
                  <c:v>40148</c:v>
                </c:pt>
                <c:pt idx="479">
                  <c:v>40179</c:v>
                </c:pt>
                <c:pt idx="480">
                  <c:v>40210</c:v>
                </c:pt>
                <c:pt idx="481">
                  <c:v>40238</c:v>
                </c:pt>
                <c:pt idx="482">
                  <c:v>40269</c:v>
                </c:pt>
                <c:pt idx="483">
                  <c:v>40299</c:v>
                </c:pt>
                <c:pt idx="484">
                  <c:v>40330</c:v>
                </c:pt>
                <c:pt idx="485">
                  <c:v>40360</c:v>
                </c:pt>
                <c:pt idx="486">
                  <c:v>40391</c:v>
                </c:pt>
                <c:pt idx="487">
                  <c:v>40422</c:v>
                </c:pt>
                <c:pt idx="488">
                  <c:v>40452</c:v>
                </c:pt>
                <c:pt idx="489">
                  <c:v>40483</c:v>
                </c:pt>
                <c:pt idx="490">
                  <c:v>40513</c:v>
                </c:pt>
                <c:pt idx="491">
                  <c:v>40544</c:v>
                </c:pt>
                <c:pt idx="492">
                  <c:v>40575</c:v>
                </c:pt>
                <c:pt idx="493">
                  <c:v>40603</c:v>
                </c:pt>
                <c:pt idx="494">
                  <c:v>40634</c:v>
                </c:pt>
                <c:pt idx="495">
                  <c:v>40664</c:v>
                </c:pt>
                <c:pt idx="496">
                  <c:v>40695</c:v>
                </c:pt>
                <c:pt idx="497">
                  <c:v>40725</c:v>
                </c:pt>
                <c:pt idx="498">
                  <c:v>40756</c:v>
                </c:pt>
                <c:pt idx="499">
                  <c:v>40787</c:v>
                </c:pt>
                <c:pt idx="500">
                  <c:v>40817</c:v>
                </c:pt>
                <c:pt idx="501">
                  <c:v>40848</c:v>
                </c:pt>
                <c:pt idx="502">
                  <c:v>40878</c:v>
                </c:pt>
                <c:pt idx="503">
                  <c:v>40909</c:v>
                </c:pt>
                <c:pt idx="504">
                  <c:v>40940</c:v>
                </c:pt>
                <c:pt idx="505">
                  <c:v>40969</c:v>
                </c:pt>
                <c:pt idx="506">
                  <c:v>41000</c:v>
                </c:pt>
                <c:pt idx="507">
                  <c:v>41030</c:v>
                </c:pt>
                <c:pt idx="508">
                  <c:v>41061</c:v>
                </c:pt>
                <c:pt idx="509">
                  <c:v>41091</c:v>
                </c:pt>
                <c:pt idx="510">
                  <c:v>41122</c:v>
                </c:pt>
                <c:pt idx="511">
                  <c:v>41153</c:v>
                </c:pt>
                <c:pt idx="512">
                  <c:v>41183</c:v>
                </c:pt>
                <c:pt idx="513">
                  <c:v>41214</c:v>
                </c:pt>
                <c:pt idx="514">
                  <c:v>41244</c:v>
                </c:pt>
                <c:pt idx="515">
                  <c:v>41275</c:v>
                </c:pt>
                <c:pt idx="516">
                  <c:v>41306</c:v>
                </c:pt>
                <c:pt idx="517">
                  <c:v>41334</c:v>
                </c:pt>
                <c:pt idx="518">
                  <c:v>41365</c:v>
                </c:pt>
                <c:pt idx="519">
                  <c:v>41395</c:v>
                </c:pt>
                <c:pt idx="520">
                  <c:v>41426</c:v>
                </c:pt>
                <c:pt idx="521">
                  <c:v>41456</c:v>
                </c:pt>
                <c:pt idx="522">
                  <c:v>41487</c:v>
                </c:pt>
                <c:pt idx="523">
                  <c:v>41518</c:v>
                </c:pt>
                <c:pt idx="524">
                  <c:v>41548</c:v>
                </c:pt>
                <c:pt idx="525">
                  <c:v>41579</c:v>
                </c:pt>
                <c:pt idx="526">
                  <c:v>41609</c:v>
                </c:pt>
                <c:pt idx="527">
                  <c:v>41640</c:v>
                </c:pt>
                <c:pt idx="528">
                  <c:v>41671</c:v>
                </c:pt>
                <c:pt idx="529">
                  <c:v>41699</c:v>
                </c:pt>
                <c:pt idx="530">
                  <c:v>41730</c:v>
                </c:pt>
                <c:pt idx="531">
                  <c:v>41760</c:v>
                </c:pt>
                <c:pt idx="532">
                  <c:v>41791</c:v>
                </c:pt>
                <c:pt idx="533">
                  <c:v>41821</c:v>
                </c:pt>
                <c:pt idx="534">
                  <c:v>41852</c:v>
                </c:pt>
                <c:pt idx="535">
                  <c:v>41883</c:v>
                </c:pt>
                <c:pt idx="536">
                  <c:v>41913</c:v>
                </c:pt>
                <c:pt idx="537">
                  <c:v>41944</c:v>
                </c:pt>
                <c:pt idx="538">
                  <c:v>41974</c:v>
                </c:pt>
                <c:pt idx="539">
                  <c:v>42005</c:v>
                </c:pt>
                <c:pt idx="540">
                  <c:v>42036</c:v>
                </c:pt>
                <c:pt idx="541">
                  <c:v>42064</c:v>
                </c:pt>
                <c:pt idx="542">
                  <c:v>42095</c:v>
                </c:pt>
                <c:pt idx="543">
                  <c:v>42125</c:v>
                </c:pt>
                <c:pt idx="544">
                  <c:v>42156</c:v>
                </c:pt>
                <c:pt idx="545">
                  <c:v>42186</c:v>
                </c:pt>
                <c:pt idx="546">
                  <c:v>42217</c:v>
                </c:pt>
                <c:pt idx="547">
                  <c:v>42248</c:v>
                </c:pt>
                <c:pt idx="548">
                  <c:v>42278</c:v>
                </c:pt>
                <c:pt idx="549">
                  <c:v>42309</c:v>
                </c:pt>
                <c:pt idx="550">
                  <c:v>42339</c:v>
                </c:pt>
                <c:pt idx="551">
                  <c:v>42370</c:v>
                </c:pt>
                <c:pt idx="552">
                  <c:v>42401</c:v>
                </c:pt>
                <c:pt idx="553">
                  <c:v>42430</c:v>
                </c:pt>
                <c:pt idx="554">
                  <c:v>42461</c:v>
                </c:pt>
                <c:pt idx="555">
                  <c:v>42491</c:v>
                </c:pt>
                <c:pt idx="556">
                  <c:v>42522</c:v>
                </c:pt>
                <c:pt idx="557">
                  <c:v>42552</c:v>
                </c:pt>
                <c:pt idx="558">
                  <c:v>42583</c:v>
                </c:pt>
                <c:pt idx="559">
                  <c:v>42614</c:v>
                </c:pt>
                <c:pt idx="560">
                  <c:v>42644</c:v>
                </c:pt>
                <c:pt idx="561">
                  <c:v>42675</c:v>
                </c:pt>
                <c:pt idx="562">
                  <c:v>42705</c:v>
                </c:pt>
                <c:pt idx="563">
                  <c:v>42736</c:v>
                </c:pt>
                <c:pt idx="564">
                  <c:v>42767</c:v>
                </c:pt>
                <c:pt idx="565">
                  <c:v>42795</c:v>
                </c:pt>
                <c:pt idx="566">
                  <c:v>42826</c:v>
                </c:pt>
                <c:pt idx="567">
                  <c:v>42856</c:v>
                </c:pt>
                <c:pt idx="568">
                  <c:v>42887</c:v>
                </c:pt>
                <c:pt idx="569">
                  <c:v>42917</c:v>
                </c:pt>
                <c:pt idx="570">
                  <c:v>42948</c:v>
                </c:pt>
                <c:pt idx="571">
                  <c:v>42979</c:v>
                </c:pt>
                <c:pt idx="572">
                  <c:v>43009</c:v>
                </c:pt>
                <c:pt idx="573">
                  <c:v>43040</c:v>
                </c:pt>
                <c:pt idx="574">
                  <c:v>43070</c:v>
                </c:pt>
                <c:pt idx="575">
                  <c:v>43101</c:v>
                </c:pt>
                <c:pt idx="576">
                  <c:v>43132</c:v>
                </c:pt>
                <c:pt idx="577">
                  <c:v>43160</c:v>
                </c:pt>
                <c:pt idx="578">
                  <c:v>43191</c:v>
                </c:pt>
                <c:pt idx="579">
                  <c:v>43221</c:v>
                </c:pt>
                <c:pt idx="580">
                  <c:v>43252</c:v>
                </c:pt>
                <c:pt idx="581">
                  <c:v>43282</c:v>
                </c:pt>
                <c:pt idx="582">
                  <c:v>43313</c:v>
                </c:pt>
                <c:pt idx="583">
                  <c:v>43344</c:v>
                </c:pt>
                <c:pt idx="584">
                  <c:v>43374</c:v>
                </c:pt>
                <c:pt idx="585">
                  <c:v>43405</c:v>
                </c:pt>
                <c:pt idx="586">
                  <c:v>43435</c:v>
                </c:pt>
                <c:pt idx="587">
                  <c:v>43466</c:v>
                </c:pt>
                <c:pt idx="588">
                  <c:v>43497</c:v>
                </c:pt>
                <c:pt idx="589">
                  <c:v>43525</c:v>
                </c:pt>
                <c:pt idx="590">
                  <c:v>43556</c:v>
                </c:pt>
                <c:pt idx="591">
                  <c:v>43586</c:v>
                </c:pt>
                <c:pt idx="592">
                  <c:v>43617</c:v>
                </c:pt>
                <c:pt idx="593">
                  <c:v>43647</c:v>
                </c:pt>
                <c:pt idx="594">
                  <c:v>43678</c:v>
                </c:pt>
                <c:pt idx="595">
                  <c:v>43709</c:v>
                </c:pt>
                <c:pt idx="596">
                  <c:v>43739</c:v>
                </c:pt>
                <c:pt idx="597">
                  <c:v>43770</c:v>
                </c:pt>
                <c:pt idx="598">
                  <c:v>43800</c:v>
                </c:pt>
                <c:pt idx="599">
                  <c:v>43831</c:v>
                </c:pt>
                <c:pt idx="600">
                  <c:v>43862</c:v>
                </c:pt>
                <c:pt idx="601">
                  <c:v>43891</c:v>
                </c:pt>
                <c:pt idx="602">
                  <c:v>43922</c:v>
                </c:pt>
                <c:pt idx="603">
                  <c:v>43952</c:v>
                </c:pt>
                <c:pt idx="604">
                  <c:v>43983</c:v>
                </c:pt>
                <c:pt idx="605">
                  <c:v>44013</c:v>
                </c:pt>
                <c:pt idx="606">
                  <c:v>44044</c:v>
                </c:pt>
                <c:pt idx="607">
                  <c:v>44075</c:v>
                </c:pt>
                <c:pt idx="608">
                  <c:v>44105</c:v>
                </c:pt>
                <c:pt idx="609">
                  <c:v>44136</c:v>
                </c:pt>
                <c:pt idx="610">
                  <c:v>44166</c:v>
                </c:pt>
                <c:pt idx="611">
                  <c:v>44197</c:v>
                </c:pt>
                <c:pt idx="612">
                  <c:v>44228</c:v>
                </c:pt>
                <c:pt idx="613">
                  <c:v>44256</c:v>
                </c:pt>
                <c:pt idx="614">
                  <c:v>44287</c:v>
                </c:pt>
                <c:pt idx="615">
                  <c:v>44317</c:v>
                </c:pt>
                <c:pt idx="616">
                  <c:v>44348</c:v>
                </c:pt>
                <c:pt idx="617">
                  <c:v>44378</c:v>
                </c:pt>
                <c:pt idx="618">
                  <c:v>44409</c:v>
                </c:pt>
                <c:pt idx="619">
                  <c:v>44440</c:v>
                </c:pt>
                <c:pt idx="620">
                  <c:v>44470</c:v>
                </c:pt>
                <c:pt idx="621">
                  <c:v>44501</c:v>
                </c:pt>
                <c:pt idx="622">
                  <c:v>44531</c:v>
                </c:pt>
                <c:pt idx="623">
                  <c:v>44562</c:v>
                </c:pt>
                <c:pt idx="624">
                  <c:v>44593</c:v>
                </c:pt>
                <c:pt idx="625">
                  <c:v>44621</c:v>
                </c:pt>
                <c:pt idx="626">
                  <c:v>44652</c:v>
                </c:pt>
                <c:pt idx="627">
                  <c:v>44682</c:v>
                </c:pt>
                <c:pt idx="628">
                  <c:v>44713</c:v>
                </c:pt>
                <c:pt idx="629">
                  <c:v>44743</c:v>
                </c:pt>
                <c:pt idx="630">
                  <c:v>44774</c:v>
                </c:pt>
                <c:pt idx="631">
                  <c:v>44805</c:v>
                </c:pt>
                <c:pt idx="632">
                  <c:v>44835</c:v>
                </c:pt>
                <c:pt idx="633">
                  <c:v>44866</c:v>
                </c:pt>
                <c:pt idx="634">
                  <c:v>44896</c:v>
                </c:pt>
                <c:pt idx="635">
                  <c:v>44927</c:v>
                </c:pt>
                <c:pt idx="636">
                  <c:v>44958</c:v>
                </c:pt>
                <c:pt idx="637">
                  <c:v>44986</c:v>
                </c:pt>
                <c:pt idx="638">
                  <c:v>45017</c:v>
                </c:pt>
                <c:pt idx="639">
                  <c:v>45047</c:v>
                </c:pt>
                <c:pt idx="640">
                  <c:v>45078</c:v>
                </c:pt>
                <c:pt idx="641">
                  <c:v>45108</c:v>
                </c:pt>
                <c:pt idx="642">
                  <c:v>45139</c:v>
                </c:pt>
                <c:pt idx="643">
                  <c:v>45170</c:v>
                </c:pt>
                <c:pt idx="644">
                  <c:v>45200</c:v>
                </c:pt>
                <c:pt idx="645">
                  <c:v>45231</c:v>
                </c:pt>
                <c:pt idx="646">
                  <c:v>45261</c:v>
                </c:pt>
                <c:pt idx="647">
                  <c:v>45292</c:v>
                </c:pt>
                <c:pt idx="648">
                  <c:v>45323</c:v>
                </c:pt>
                <c:pt idx="649">
                  <c:v>45352</c:v>
                </c:pt>
                <c:pt idx="650">
                  <c:v>45383</c:v>
                </c:pt>
              </c:numCache>
            </c:numRef>
          </c:cat>
          <c:val>
            <c:numRef>
              <c:f>[1]Prices!$G$4:$G$654</c:f>
              <c:numCache>
                <c:formatCode>General</c:formatCode>
                <c:ptCount val="651"/>
                <c:pt idx="0">
                  <c:v>2.5958857423485082E-2</c:v>
                </c:pt>
                <c:pt idx="1">
                  <c:v>0</c:v>
                </c:pt>
                <c:pt idx="2">
                  <c:v>0</c:v>
                </c:pt>
                <c:pt idx="3">
                  <c:v>-1.518122901878316E-2</c:v>
                </c:pt>
                <c:pt idx="4">
                  <c:v>-1.2244812843991371E-2</c:v>
                </c:pt>
                <c:pt idx="5">
                  <c:v>-1.2655792144510902E-2</c:v>
                </c:pt>
                <c:pt idx="6">
                  <c:v>-2.8895169479460359E-3</c:v>
                </c:pt>
                <c:pt idx="7">
                  <c:v>1.1359366542305072E-2</c:v>
                </c:pt>
                <c:pt idx="8">
                  <c:v>3.2402954423142116E-2</c:v>
                </c:pt>
                <c:pt idx="9">
                  <c:v>6.7767347986815718E-3</c:v>
                </c:pt>
                <c:pt idx="10">
                  <c:v>-2.649906304339672E-2</c:v>
                </c:pt>
                <c:pt idx="11">
                  <c:v>9.2427682769576913E-3</c:v>
                </c:pt>
                <c:pt idx="12">
                  <c:v>1.3909109447942658E-3</c:v>
                </c:pt>
                <c:pt idx="13">
                  <c:v>-1.7957568741495678E-3</c:v>
                </c:pt>
                <c:pt idx="14">
                  <c:v>-1.6424539399871541E-2</c:v>
                </c:pt>
                <c:pt idx="15">
                  <c:v>-4.740509837285134E-3</c:v>
                </c:pt>
                <c:pt idx="16">
                  <c:v>2.0118024497269016E-2</c:v>
                </c:pt>
                <c:pt idx="17">
                  <c:v>1.8481651299631585E-2</c:v>
                </c:pt>
                <c:pt idx="18">
                  <c:v>1.1159958108136969E-2</c:v>
                </c:pt>
                <c:pt idx="19">
                  <c:v>-1.7997698492681846E-2</c:v>
                </c:pt>
                <c:pt idx="20">
                  <c:v>-3.5704845076038327E-3</c:v>
                </c:pt>
                <c:pt idx="21">
                  <c:v>-4.8738174053469252E-3</c:v>
                </c:pt>
                <c:pt idx="22">
                  <c:v>-2.2872820906374158E-2</c:v>
                </c:pt>
                <c:pt idx="23">
                  <c:v>-1.8119592090228787E-2</c:v>
                </c:pt>
                <c:pt idx="24">
                  <c:v>-1.6015304448168677E-3</c:v>
                </c:pt>
                <c:pt idx="25">
                  <c:v>-4.3263864881702419E-3</c:v>
                </c:pt>
                <c:pt idx="26">
                  <c:v>-7.9998743711941489E-3</c:v>
                </c:pt>
                <c:pt idx="27">
                  <c:v>-1.070130524313273E-2</c:v>
                </c:pt>
                <c:pt idx="28">
                  <c:v>-2.0384451352007449E-2</c:v>
                </c:pt>
                <c:pt idx="29">
                  <c:v>-1.6646463631141639E-2</c:v>
                </c:pt>
                <c:pt idx="30">
                  <c:v>1.2563164137537886E-3</c:v>
                </c:pt>
                <c:pt idx="31">
                  <c:v>-1.2037886148175858E-2</c:v>
                </c:pt>
                <c:pt idx="32">
                  <c:v>-2.8213402042454039E-3</c:v>
                </c:pt>
                <c:pt idx="33">
                  <c:v>-2.6836886706023133E-2</c:v>
                </c:pt>
                <c:pt idx="34">
                  <c:v>-4.5094761457947358E-2</c:v>
                </c:pt>
                <c:pt idx="35">
                  <c:v>-1.6502502003369612E-3</c:v>
                </c:pt>
                <c:pt idx="36">
                  <c:v>3.150027535059996E-3</c:v>
                </c:pt>
                <c:pt idx="37">
                  <c:v>2.3273464398994914E-2</c:v>
                </c:pt>
                <c:pt idx="38">
                  <c:v>2.7909612413252738E-3</c:v>
                </c:pt>
                <c:pt idx="39">
                  <c:v>-4.3310131525964551E-2</c:v>
                </c:pt>
                <c:pt idx="40">
                  <c:v>-2.1233456636007758E-2</c:v>
                </c:pt>
                <c:pt idx="41">
                  <c:v>5.7619680679675989E-2</c:v>
                </c:pt>
                <c:pt idx="42">
                  <c:v>8.1114202722512518E-2</c:v>
                </c:pt>
                <c:pt idx="43">
                  <c:v>-2.0496040767563062E-3</c:v>
                </c:pt>
                <c:pt idx="44">
                  <c:v>2.071944428757827E-2</c:v>
                </c:pt>
                <c:pt idx="45">
                  <c:v>-1.0116590739607023E-2</c:v>
                </c:pt>
                <c:pt idx="46">
                  <c:v>2.9831336621766291E-2</c:v>
                </c:pt>
                <c:pt idx="47">
                  <c:v>3.4206224531164009E-2</c:v>
                </c:pt>
                <c:pt idx="48">
                  <c:v>8.3068921786277949E-2</c:v>
                </c:pt>
                <c:pt idx="49">
                  <c:v>-4.6157354764367942E-2</c:v>
                </c:pt>
                <c:pt idx="50">
                  <c:v>5.6281109971545784E-2</c:v>
                </c:pt>
                <c:pt idx="51">
                  <c:v>1.9043774153996662E-2</c:v>
                </c:pt>
                <c:pt idx="52">
                  <c:v>5.1622176607504122E-2</c:v>
                </c:pt>
                <c:pt idx="53">
                  <c:v>-2.3343098998944933E-2</c:v>
                </c:pt>
                <c:pt idx="54">
                  <c:v>8.7970745040899523E-4</c:v>
                </c:pt>
                <c:pt idx="55">
                  <c:v>-2.8850782406898423E-3</c:v>
                </c:pt>
                <c:pt idx="56">
                  <c:v>-1.8717453779264592E-2</c:v>
                </c:pt>
                <c:pt idx="57">
                  <c:v>2.5911453888014191E-2</c:v>
                </c:pt>
                <c:pt idx="58">
                  <c:v>-2.0535726972336965E-2</c:v>
                </c:pt>
                <c:pt idx="59">
                  <c:v>9.0076944880657095E-3</c:v>
                </c:pt>
                <c:pt idx="60">
                  <c:v>-7.8836848094313572E-3</c:v>
                </c:pt>
                <c:pt idx="61">
                  <c:v>-2.284348186914642E-2</c:v>
                </c:pt>
                <c:pt idx="62">
                  <c:v>-4.3129250873763514E-3</c:v>
                </c:pt>
                <c:pt idx="63">
                  <c:v>-3.8495259411224225E-2</c:v>
                </c:pt>
                <c:pt idx="64">
                  <c:v>-1.031968180167997E-2</c:v>
                </c:pt>
                <c:pt idx="65">
                  <c:v>1.9929058752697182E-2</c:v>
                </c:pt>
                <c:pt idx="66">
                  <c:v>-7.7190950849584383E-3</c:v>
                </c:pt>
                <c:pt idx="67">
                  <c:v>-2.6752447777806942E-2</c:v>
                </c:pt>
                <c:pt idx="68">
                  <c:v>-2.1816408394673414E-2</c:v>
                </c:pt>
                <c:pt idx="69">
                  <c:v>-1.7372754921831213E-2</c:v>
                </c:pt>
                <c:pt idx="70">
                  <c:v>-2.7155015990418918E-2</c:v>
                </c:pt>
                <c:pt idx="71">
                  <c:v>-1.1090471036105443E-2</c:v>
                </c:pt>
                <c:pt idx="72">
                  <c:v>-1.9457415474152251E-3</c:v>
                </c:pt>
                <c:pt idx="73">
                  <c:v>1.0200405642147581E-2</c:v>
                </c:pt>
                <c:pt idx="74">
                  <c:v>-4.9158379379624084E-3</c:v>
                </c:pt>
                <c:pt idx="75">
                  <c:v>-4.0208781096810475E-2</c:v>
                </c:pt>
                <c:pt idx="76">
                  <c:v>-1.7073169808987987E-2</c:v>
                </c:pt>
                <c:pt idx="77">
                  <c:v>2.2487485266630414E-2</c:v>
                </c:pt>
                <c:pt idx="78">
                  <c:v>1.4419082639026748E-2</c:v>
                </c:pt>
                <c:pt idx="79">
                  <c:v>1.6728960540442372E-2</c:v>
                </c:pt>
                <c:pt idx="80">
                  <c:v>-9.8454349930931495E-3</c:v>
                </c:pt>
                <c:pt idx="81">
                  <c:v>3.836134609076669E-3</c:v>
                </c:pt>
                <c:pt idx="82">
                  <c:v>-2.265286784743753E-2</c:v>
                </c:pt>
                <c:pt idx="83">
                  <c:v>-1.1618959884471924E-2</c:v>
                </c:pt>
                <c:pt idx="84">
                  <c:v>1.3934287804367118E-2</c:v>
                </c:pt>
                <c:pt idx="85">
                  <c:v>1.0101286894545203E-2</c:v>
                </c:pt>
                <c:pt idx="86">
                  <c:v>-1.6225452219074565E-2</c:v>
                </c:pt>
                <c:pt idx="87">
                  <c:v>2.751069914004084E-2</c:v>
                </c:pt>
                <c:pt idx="88">
                  <c:v>1.3663797634127062E-2</c:v>
                </c:pt>
                <c:pt idx="89">
                  <c:v>2.4503370308108618E-2</c:v>
                </c:pt>
                <c:pt idx="90">
                  <c:v>4.4384515239114797E-3</c:v>
                </c:pt>
                <c:pt idx="91">
                  <c:v>-1.2380353768585872E-2</c:v>
                </c:pt>
                <c:pt idx="92">
                  <c:v>-1.312727532836977E-2</c:v>
                </c:pt>
                <c:pt idx="93">
                  <c:v>-6.6467514456329257E-3</c:v>
                </c:pt>
                <c:pt idx="94">
                  <c:v>2.456079378964382E-2</c:v>
                </c:pt>
                <c:pt idx="95">
                  <c:v>-1.2436039561978141E-2</c:v>
                </c:pt>
                <c:pt idx="96">
                  <c:v>1.6751810116164945E-2</c:v>
                </c:pt>
                <c:pt idx="97">
                  <c:v>8.5889839482499175E-3</c:v>
                </c:pt>
                <c:pt idx="98">
                  <c:v>5.8217308014879565E-3</c:v>
                </c:pt>
                <c:pt idx="99">
                  <c:v>2.6549654597183281E-3</c:v>
                </c:pt>
                <c:pt idx="100">
                  <c:v>-1.9449238286370907E-3</c:v>
                </c:pt>
                <c:pt idx="101">
                  <c:v>-9.0724120752125881E-3</c:v>
                </c:pt>
                <c:pt idx="102">
                  <c:v>7.7781860176337481E-3</c:v>
                </c:pt>
                <c:pt idx="103">
                  <c:v>3.3728424806412916E-3</c:v>
                </c:pt>
                <c:pt idx="104">
                  <c:v>-1.8054948347416444E-2</c:v>
                </c:pt>
                <c:pt idx="105">
                  <c:v>-1.4296723493459063E-2</c:v>
                </c:pt>
                <c:pt idx="106">
                  <c:v>-2.8544817414391521E-3</c:v>
                </c:pt>
                <c:pt idx="107">
                  <c:v>4.2264193658498872E-3</c:v>
                </c:pt>
                <c:pt idx="108">
                  <c:v>1.1300874559071195E-2</c:v>
                </c:pt>
                <c:pt idx="109">
                  <c:v>-2.4893526018259227E-3</c:v>
                </c:pt>
                <c:pt idx="110">
                  <c:v>-2.2360418459063669E-3</c:v>
                </c:pt>
                <c:pt idx="111">
                  <c:v>-2.8949609893628714E-3</c:v>
                </c:pt>
                <c:pt idx="112">
                  <c:v>-1.0612861252318417E-2</c:v>
                </c:pt>
                <c:pt idx="113">
                  <c:v>1.8241425926826982E-2</c:v>
                </c:pt>
                <c:pt idx="114">
                  <c:v>1.0743701924256055E-2</c:v>
                </c:pt>
                <c:pt idx="115">
                  <c:v>3.4000079673736638E-3</c:v>
                </c:pt>
                <c:pt idx="116">
                  <c:v>-1.303480620618902E-2</c:v>
                </c:pt>
                <c:pt idx="117">
                  <c:v>-8.6286664132684265E-4</c:v>
                </c:pt>
                <c:pt idx="118">
                  <c:v>-1.109093958503693E-2</c:v>
                </c:pt>
                <c:pt idx="119">
                  <c:v>-6.828627465960746E-3</c:v>
                </c:pt>
                <c:pt idx="120">
                  <c:v>4.1074995757400812E-3</c:v>
                </c:pt>
                <c:pt idx="121">
                  <c:v>-2.9273695411319856E-3</c:v>
                </c:pt>
                <c:pt idx="122">
                  <c:v>-8.6480405552460948E-3</c:v>
                </c:pt>
                <c:pt idx="123">
                  <c:v>-3.4363919941725607E-3</c:v>
                </c:pt>
                <c:pt idx="124">
                  <c:v>9.1293884098035405E-3</c:v>
                </c:pt>
                <c:pt idx="125">
                  <c:v>5.560436352009257E-3</c:v>
                </c:pt>
                <c:pt idx="126">
                  <c:v>-1.3257991428476334E-2</c:v>
                </c:pt>
                <c:pt idx="127">
                  <c:v>-2.2050109268167362E-2</c:v>
                </c:pt>
                <c:pt idx="128">
                  <c:v>-2.3496912870709485E-2</c:v>
                </c:pt>
                <c:pt idx="129">
                  <c:v>2.0338360389091092E-3</c:v>
                </c:pt>
                <c:pt idx="130">
                  <c:v>9.5358443796927372E-3</c:v>
                </c:pt>
                <c:pt idx="131">
                  <c:v>1.0033429074371991E-3</c:v>
                </c:pt>
                <c:pt idx="132">
                  <c:v>7.6434459317114012E-3</c:v>
                </c:pt>
                <c:pt idx="133">
                  <c:v>7.2590944030277438E-3</c:v>
                </c:pt>
                <c:pt idx="134">
                  <c:v>-9.9382458570009824E-3</c:v>
                </c:pt>
                <c:pt idx="135">
                  <c:v>-4.5577716934287471E-3</c:v>
                </c:pt>
                <c:pt idx="136">
                  <c:v>3.5868458640001544E-3</c:v>
                </c:pt>
                <c:pt idx="137">
                  <c:v>9.3465290577827709E-3</c:v>
                </c:pt>
                <c:pt idx="138">
                  <c:v>-7.041395789461613E-3</c:v>
                </c:pt>
                <c:pt idx="139">
                  <c:v>1.3555392850017611E-3</c:v>
                </c:pt>
                <c:pt idx="140">
                  <c:v>5.2898259792428237E-3</c:v>
                </c:pt>
                <c:pt idx="141">
                  <c:v>-7.3497026642619923E-3</c:v>
                </c:pt>
                <c:pt idx="142">
                  <c:v>-1.0380394691865802E-2</c:v>
                </c:pt>
                <c:pt idx="143">
                  <c:v>-3.5004283054380081E-3</c:v>
                </c:pt>
                <c:pt idx="144">
                  <c:v>-3.1904152191257751E-3</c:v>
                </c:pt>
                <c:pt idx="145">
                  <c:v>2.1730489400240693E-3</c:v>
                </c:pt>
                <c:pt idx="146">
                  <c:v>2.8398809527213631E-3</c:v>
                </c:pt>
                <c:pt idx="147">
                  <c:v>9.8399745560155405E-3</c:v>
                </c:pt>
                <c:pt idx="148">
                  <c:v>-8.0666442690042195E-3</c:v>
                </c:pt>
                <c:pt idx="149">
                  <c:v>-9.9429600631828485E-4</c:v>
                </c:pt>
                <c:pt idx="150">
                  <c:v>3.2913504573998664E-3</c:v>
                </c:pt>
                <c:pt idx="151">
                  <c:v>8.7188463055469234E-3</c:v>
                </c:pt>
                <c:pt idx="152">
                  <c:v>-2.3658180358199221E-3</c:v>
                </c:pt>
                <c:pt idx="153">
                  <c:v>-1.997576047908467E-2</c:v>
                </c:pt>
                <c:pt idx="154">
                  <c:v>-7.691944832898312E-3</c:v>
                </c:pt>
                <c:pt idx="155">
                  <c:v>-2.2453208467162478E-3</c:v>
                </c:pt>
                <c:pt idx="156">
                  <c:v>5.9510491547153377E-3</c:v>
                </c:pt>
                <c:pt idx="157">
                  <c:v>-4.025628280164284E-4</c:v>
                </c:pt>
                <c:pt idx="158">
                  <c:v>8.0006657075539778E-3</c:v>
                </c:pt>
                <c:pt idx="159">
                  <c:v>9.8685827772423407E-3</c:v>
                </c:pt>
                <c:pt idx="160">
                  <c:v>6.4179801366121558E-3</c:v>
                </c:pt>
                <c:pt idx="161">
                  <c:v>7.4813858998261651E-3</c:v>
                </c:pt>
                <c:pt idx="162">
                  <c:v>2.6468180459141066E-2</c:v>
                </c:pt>
                <c:pt idx="163">
                  <c:v>3.0508315669537434E-2</c:v>
                </c:pt>
                <c:pt idx="164">
                  <c:v>-2.5240547844085248E-2</c:v>
                </c:pt>
                <c:pt idx="165">
                  <c:v>-1.7745341682692761E-2</c:v>
                </c:pt>
                <c:pt idx="166">
                  <c:v>1.0294591382995488E-2</c:v>
                </c:pt>
                <c:pt idx="167">
                  <c:v>2.7817794689272812E-2</c:v>
                </c:pt>
                <c:pt idx="168">
                  <c:v>1.6273157541601968E-4</c:v>
                </c:pt>
                <c:pt idx="169">
                  <c:v>6.6151069857784406E-3</c:v>
                </c:pt>
                <c:pt idx="170">
                  <c:v>2.5674595675042822E-2</c:v>
                </c:pt>
                <c:pt idx="171">
                  <c:v>3.7957178442641182E-2</c:v>
                </c:pt>
                <c:pt idx="172">
                  <c:v>-3.2972695752668257E-3</c:v>
                </c:pt>
                <c:pt idx="173">
                  <c:v>-2.0741097953590248E-2</c:v>
                </c:pt>
                <c:pt idx="174">
                  <c:v>5.293749071754561E-3</c:v>
                </c:pt>
                <c:pt idx="175">
                  <c:v>1.4947588240887821E-3</c:v>
                </c:pt>
                <c:pt idx="176">
                  <c:v>-7.6211341671595934E-3</c:v>
                </c:pt>
                <c:pt idx="177">
                  <c:v>2.1251189814870564E-2</c:v>
                </c:pt>
                <c:pt idx="178">
                  <c:v>-1.1036770119896122E-2</c:v>
                </c:pt>
                <c:pt idx="179">
                  <c:v>4.653402124168704E-3</c:v>
                </c:pt>
                <c:pt idx="180">
                  <c:v>4.0692063892237451E-2</c:v>
                </c:pt>
                <c:pt idx="181">
                  <c:v>-8.7416061316786253E-4</c:v>
                </c:pt>
                <c:pt idx="182">
                  <c:v>4.1966590770417256E-2</c:v>
                </c:pt>
                <c:pt idx="183">
                  <c:v>-6.8223250217182008E-3</c:v>
                </c:pt>
                <c:pt idx="184">
                  <c:v>7.1699700401939293E-3</c:v>
                </c:pt>
                <c:pt idx="185">
                  <c:v>-3.8704104136744688E-2</c:v>
                </c:pt>
                <c:pt idx="186">
                  <c:v>-3.635371765307277E-2</c:v>
                </c:pt>
                <c:pt idx="187">
                  <c:v>-3.0329682497115817E-2</c:v>
                </c:pt>
                <c:pt idx="188">
                  <c:v>-3.7197862226727385E-2</c:v>
                </c:pt>
                <c:pt idx="189">
                  <c:v>-2.8466903374567698E-3</c:v>
                </c:pt>
                <c:pt idx="190">
                  <c:v>9.7321179970880634E-3</c:v>
                </c:pt>
                <c:pt idx="191">
                  <c:v>-2.1842013100092039E-2</c:v>
                </c:pt>
                <c:pt idx="192">
                  <c:v>-1.9319212096647054E-2</c:v>
                </c:pt>
                <c:pt idx="193">
                  <c:v>-2.0576565588120599E-2</c:v>
                </c:pt>
                <c:pt idx="194">
                  <c:v>8.3227833296619091E-3</c:v>
                </c:pt>
                <c:pt idx="195">
                  <c:v>7.4905882335118967E-3</c:v>
                </c:pt>
                <c:pt idx="196">
                  <c:v>-1.098992650943742E-2</c:v>
                </c:pt>
                <c:pt idx="197">
                  <c:v>-5.0528955764914119E-3</c:v>
                </c:pt>
                <c:pt idx="198">
                  <c:v>-2.9259388569621014E-2</c:v>
                </c:pt>
                <c:pt idx="199">
                  <c:v>-1.2322349138375432E-2</c:v>
                </c:pt>
                <c:pt idx="200">
                  <c:v>2.003988772643911E-2</c:v>
                </c:pt>
                <c:pt idx="201">
                  <c:v>1.1875320520739474E-3</c:v>
                </c:pt>
                <c:pt idx="202">
                  <c:v>1.1518320409870442E-2</c:v>
                </c:pt>
                <c:pt idx="203">
                  <c:v>1.2986166101940033E-2</c:v>
                </c:pt>
                <c:pt idx="204">
                  <c:v>-6.1453386997762371E-3</c:v>
                </c:pt>
                <c:pt idx="205">
                  <c:v>6.55430595005424E-3</c:v>
                </c:pt>
                <c:pt idx="206">
                  <c:v>-1.8116751279074139E-2</c:v>
                </c:pt>
                <c:pt idx="207">
                  <c:v>-5.1124826768224607E-3</c:v>
                </c:pt>
                <c:pt idx="208">
                  <c:v>-1.6197973049218883E-2</c:v>
                </c:pt>
                <c:pt idx="209">
                  <c:v>6.9851648089965246E-3</c:v>
                </c:pt>
                <c:pt idx="210">
                  <c:v>6.3210401447874043E-3</c:v>
                </c:pt>
                <c:pt idx="211">
                  <c:v>-1.0375944454308283E-2</c:v>
                </c:pt>
                <c:pt idx="212">
                  <c:v>1.0913625947082173E-2</c:v>
                </c:pt>
                <c:pt idx="213">
                  <c:v>-2.4723383365545248E-2</c:v>
                </c:pt>
                <c:pt idx="214">
                  <c:v>1.828137246212086E-2</c:v>
                </c:pt>
                <c:pt idx="215">
                  <c:v>4.674739372120873E-2</c:v>
                </c:pt>
                <c:pt idx="216">
                  <c:v>-1.0021715158247402E-2</c:v>
                </c:pt>
                <c:pt idx="217">
                  <c:v>-1.1249678017885512E-2</c:v>
                </c:pt>
                <c:pt idx="218">
                  <c:v>2.8736724673691927E-3</c:v>
                </c:pt>
                <c:pt idx="219">
                  <c:v>-3.4158519593359138E-3</c:v>
                </c:pt>
                <c:pt idx="220">
                  <c:v>-2.8682611157698823E-2</c:v>
                </c:pt>
                <c:pt idx="221">
                  <c:v>3.3724170718257895E-2</c:v>
                </c:pt>
                <c:pt idx="222">
                  <c:v>-2.0659032367530805E-2</c:v>
                </c:pt>
                <c:pt idx="223">
                  <c:v>-1.3622312028074846E-2</c:v>
                </c:pt>
                <c:pt idx="224">
                  <c:v>-4.3185677787767052E-3</c:v>
                </c:pt>
                <c:pt idx="225">
                  <c:v>-1.2598212398562791E-2</c:v>
                </c:pt>
                <c:pt idx="226">
                  <c:v>8.6939274276282563E-3</c:v>
                </c:pt>
                <c:pt idx="227">
                  <c:v>-1.1169553817469424E-2</c:v>
                </c:pt>
                <c:pt idx="228">
                  <c:v>1.2777549600201665E-2</c:v>
                </c:pt>
                <c:pt idx="229">
                  <c:v>1.1515907114034996E-2</c:v>
                </c:pt>
                <c:pt idx="230">
                  <c:v>6.1329168074529816E-3</c:v>
                </c:pt>
                <c:pt idx="231">
                  <c:v>1.08612645001816E-2</c:v>
                </c:pt>
                <c:pt idx="232">
                  <c:v>-1.7082200649606916E-2</c:v>
                </c:pt>
                <c:pt idx="233">
                  <c:v>-7.8803696759865427E-3</c:v>
                </c:pt>
                <c:pt idx="234">
                  <c:v>4.9575560143334529E-3</c:v>
                </c:pt>
                <c:pt idx="235">
                  <c:v>8.5278909726791974E-3</c:v>
                </c:pt>
                <c:pt idx="236">
                  <c:v>5.9746256646625029E-3</c:v>
                </c:pt>
                <c:pt idx="237">
                  <c:v>3.144815032377013E-3</c:v>
                </c:pt>
                <c:pt idx="238">
                  <c:v>2.9401986257177049E-4</c:v>
                </c:pt>
                <c:pt idx="239">
                  <c:v>1.0350386691987734E-2</c:v>
                </c:pt>
                <c:pt idx="240">
                  <c:v>2.0398990423938335E-2</c:v>
                </c:pt>
                <c:pt idx="241">
                  <c:v>1.8773082482033465E-2</c:v>
                </c:pt>
                <c:pt idx="242">
                  <c:v>-2.1225838967864341E-4</c:v>
                </c:pt>
                <c:pt idx="243">
                  <c:v>-3.8283019237778104E-4</c:v>
                </c:pt>
                <c:pt idx="244">
                  <c:v>1.3992453217206935E-2</c:v>
                </c:pt>
                <c:pt idx="245">
                  <c:v>-4.4625141449504135E-3</c:v>
                </c:pt>
                <c:pt idx="246">
                  <c:v>5.6048537271883858E-3</c:v>
                </c:pt>
                <c:pt idx="247">
                  <c:v>-1.2269545702765172E-2</c:v>
                </c:pt>
                <c:pt idx="248">
                  <c:v>-2.0399712851013274E-2</c:v>
                </c:pt>
                <c:pt idx="249">
                  <c:v>-2.6448902421650766E-3</c:v>
                </c:pt>
                <c:pt idx="250">
                  <c:v>6.7737377720876735E-3</c:v>
                </c:pt>
                <c:pt idx="251">
                  <c:v>1.0274501973985495E-2</c:v>
                </c:pt>
                <c:pt idx="252">
                  <c:v>-3.1095227703220596E-4</c:v>
                </c:pt>
                <c:pt idx="253">
                  <c:v>5.0427445279023209E-3</c:v>
                </c:pt>
                <c:pt idx="254">
                  <c:v>-1.2920976402124584E-2</c:v>
                </c:pt>
                <c:pt idx="255">
                  <c:v>-1.344517216679969E-2</c:v>
                </c:pt>
                <c:pt idx="256">
                  <c:v>-5.901011148469415E-3</c:v>
                </c:pt>
                <c:pt idx="257">
                  <c:v>-1.0803925721515895E-3</c:v>
                </c:pt>
                <c:pt idx="258">
                  <c:v>-1.1543813603334674E-3</c:v>
                </c:pt>
                <c:pt idx="259">
                  <c:v>-1.1724708671509043E-2</c:v>
                </c:pt>
                <c:pt idx="260">
                  <c:v>2.3284830232463971E-3</c:v>
                </c:pt>
                <c:pt idx="261">
                  <c:v>-5.8296780804817927E-3</c:v>
                </c:pt>
                <c:pt idx="262">
                  <c:v>1.2339183411576748E-2</c:v>
                </c:pt>
                <c:pt idx="263">
                  <c:v>-3.1391666479885783E-3</c:v>
                </c:pt>
                <c:pt idx="264">
                  <c:v>8.9377366501153244E-4</c:v>
                </c:pt>
                <c:pt idx="265">
                  <c:v>8.402799762960822E-3</c:v>
                </c:pt>
                <c:pt idx="266">
                  <c:v>-5.1158810248059239E-3</c:v>
                </c:pt>
                <c:pt idx="267">
                  <c:v>4.1618684336787171E-3</c:v>
                </c:pt>
                <c:pt idx="268">
                  <c:v>4.2948655285162118E-3</c:v>
                </c:pt>
                <c:pt idx="269">
                  <c:v>-1.1498207303491881E-2</c:v>
                </c:pt>
                <c:pt idx="270">
                  <c:v>-7.8888536499042705E-3</c:v>
                </c:pt>
                <c:pt idx="271">
                  <c:v>4.8101352262502894E-3</c:v>
                </c:pt>
                <c:pt idx="272">
                  <c:v>8.383009243035755E-3</c:v>
                </c:pt>
                <c:pt idx="273">
                  <c:v>1.7002256213469735E-2</c:v>
                </c:pt>
                <c:pt idx="274">
                  <c:v>-4.6590068863927581E-4</c:v>
                </c:pt>
                <c:pt idx="275">
                  <c:v>1.0124072821976082E-2</c:v>
                </c:pt>
                <c:pt idx="276">
                  <c:v>4.0546077125364066E-4</c:v>
                </c:pt>
                <c:pt idx="277">
                  <c:v>-8.2750902974687568E-4</c:v>
                </c:pt>
                <c:pt idx="278">
                  <c:v>-3.035703972556314E-3</c:v>
                </c:pt>
                <c:pt idx="279">
                  <c:v>-6.3954091839044658E-3</c:v>
                </c:pt>
                <c:pt idx="280">
                  <c:v>4.1545407383525301E-4</c:v>
                </c:pt>
                <c:pt idx="281">
                  <c:v>-8.2460978932062945E-3</c:v>
                </c:pt>
                <c:pt idx="282">
                  <c:v>4.2928481208395763E-3</c:v>
                </c:pt>
                <c:pt idx="283">
                  <c:v>1.7703595559576013E-2</c:v>
                </c:pt>
                <c:pt idx="284">
                  <c:v>1.904150059224119E-3</c:v>
                </c:pt>
                <c:pt idx="285">
                  <c:v>5.553405475144324E-3</c:v>
                </c:pt>
                <c:pt idx="286">
                  <c:v>2.9276858389599703E-2</c:v>
                </c:pt>
                <c:pt idx="287">
                  <c:v>1.8595210392420847E-2</c:v>
                </c:pt>
                <c:pt idx="288">
                  <c:v>-5.9776574681823513E-3</c:v>
                </c:pt>
                <c:pt idx="289">
                  <c:v>3.0351430897656573E-3</c:v>
                </c:pt>
                <c:pt idx="290">
                  <c:v>6.8946271899278377E-4</c:v>
                </c:pt>
                <c:pt idx="291">
                  <c:v>3.9410400934939971E-3</c:v>
                </c:pt>
                <c:pt idx="292">
                  <c:v>-1.8770581643609063E-2</c:v>
                </c:pt>
                <c:pt idx="293">
                  <c:v>-7.0485021462749486E-3</c:v>
                </c:pt>
                <c:pt idx="294">
                  <c:v>9.5100664478688368E-3</c:v>
                </c:pt>
                <c:pt idx="295">
                  <c:v>2.0650494257411056E-2</c:v>
                </c:pt>
                <c:pt idx="296">
                  <c:v>-1.9496588815165472E-4</c:v>
                </c:pt>
                <c:pt idx="297">
                  <c:v>3.3862538062385039E-2</c:v>
                </c:pt>
                <c:pt idx="298">
                  <c:v>3.0582858487797626E-3</c:v>
                </c:pt>
                <c:pt idx="299">
                  <c:v>-1.0714591914765037E-2</c:v>
                </c:pt>
                <c:pt idx="300">
                  <c:v>8.4343141277512523E-3</c:v>
                </c:pt>
                <c:pt idx="301">
                  <c:v>-1.7840467563472517E-2</c:v>
                </c:pt>
                <c:pt idx="302">
                  <c:v>-1.5255293788057622E-2</c:v>
                </c:pt>
                <c:pt idx="303">
                  <c:v>-7.4114938603899727E-3</c:v>
                </c:pt>
                <c:pt idx="304">
                  <c:v>8.1984985252367415E-3</c:v>
                </c:pt>
                <c:pt idx="305">
                  <c:v>-5.2512566727215271E-3</c:v>
                </c:pt>
                <c:pt idx="306">
                  <c:v>-5.2352271423681263E-3</c:v>
                </c:pt>
                <c:pt idx="307">
                  <c:v>-1.8020362288431235E-2</c:v>
                </c:pt>
                <c:pt idx="308">
                  <c:v>-7.7593005842080953E-3</c:v>
                </c:pt>
                <c:pt idx="309">
                  <c:v>-1.9077524416905356E-2</c:v>
                </c:pt>
                <c:pt idx="310">
                  <c:v>-2.405617366780699E-2</c:v>
                </c:pt>
                <c:pt idx="311">
                  <c:v>-1.6466921064353268E-2</c:v>
                </c:pt>
                <c:pt idx="312">
                  <c:v>5.7199687798509813E-3</c:v>
                </c:pt>
                <c:pt idx="313">
                  <c:v>7.3257141370952628E-4</c:v>
                </c:pt>
                <c:pt idx="314">
                  <c:v>-2.6712734592243548E-4</c:v>
                </c:pt>
                <c:pt idx="315">
                  <c:v>8.9807678649301281E-3</c:v>
                </c:pt>
                <c:pt idx="316">
                  <c:v>-6.1804361430523591E-3</c:v>
                </c:pt>
                <c:pt idx="317">
                  <c:v>-1.1692111849923581E-2</c:v>
                </c:pt>
                <c:pt idx="318">
                  <c:v>-4.3780236904553127E-3</c:v>
                </c:pt>
                <c:pt idx="319">
                  <c:v>-5.9520031568838783E-3</c:v>
                </c:pt>
                <c:pt idx="320">
                  <c:v>6.9701029775816603E-3</c:v>
                </c:pt>
                <c:pt idx="321">
                  <c:v>-8.3163818313897186E-4</c:v>
                </c:pt>
                <c:pt idx="322">
                  <c:v>4.5218252810269588E-3</c:v>
                </c:pt>
                <c:pt idx="323">
                  <c:v>4.6148012620558787E-3</c:v>
                </c:pt>
                <c:pt idx="324">
                  <c:v>-1.6837138111624683E-2</c:v>
                </c:pt>
                <c:pt idx="325">
                  <c:v>-1.0253316714533722E-2</c:v>
                </c:pt>
                <c:pt idx="326">
                  <c:v>-1.2233599219680646E-2</c:v>
                </c:pt>
                <c:pt idx="327">
                  <c:v>-6.6511687436903721E-3</c:v>
                </c:pt>
                <c:pt idx="328">
                  <c:v>9.1128667103029803E-4</c:v>
                </c:pt>
                <c:pt idx="329">
                  <c:v>1.4153839217526609E-2</c:v>
                </c:pt>
                <c:pt idx="330">
                  <c:v>1.0559757485500088E-2</c:v>
                </c:pt>
                <c:pt idx="331">
                  <c:v>1.8325237621092838E-2</c:v>
                </c:pt>
                <c:pt idx="332">
                  <c:v>2.1142709956701811E-2</c:v>
                </c:pt>
                <c:pt idx="333">
                  <c:v>-8.5232591296689475E-3</c:v>
                </c:pt>
                <c:pt idx="334">
                  <c:v>1.4955801620278375E-2</c:v>
                </c:pt>
                <c:pt idx="335">
                  <c:v>2.3538810400686616E-2</c:v>
                </c:pt>
                <c:pt idx="336">
                  <c:v>2.1319579745856854E-2</c:v>
                </c:pt>
                <c:pt idx="337">
                  <c:v>2.7983616095926755E-2</c:v>
                </c:pt>
                <c:pt idx="338">
                  <c:v>2.4890976862577796E-2</c:v>
                </c:pt>
                <c:pt idx="339">
                  <c:v>5.8970298539161581E-3</c:v>
                </c:pt>
                <c:pt idx="340">
                  <c:v>-2.9250991754727562E-2</c:v>
                </c:pt>
                <c:pt idx="341">
                  <c:v>-9.1466993709656275E-3</c:v>
                </c:pt>
                <c:pt idx="342">
                  <c:v>3.1189772558409934E-2</c:v>
                </c:pt>
                <c:pt idx="343">
                  <c:v>2.60586296940023E-2</c:v>
                </c:pt>
                <c:pt idx="344">
                  <c:v>-2.0279977823736917E-2</c:v>
                </c:pt>
                <c:pt idx="345">
                  <c:v>-9.9484913183083834E-3</c:v>
                </c:pt>
                <c:pt idx="346">
                  <c:v>-9.5954569792796041E-3</c:v>
                </c:pt>
                <c:pt idx="347">
                  <c:v>9.9530116295363236E-3</c:v>
                </c:pt>
                <c:pt idx="348">
                  <c:v>-2.3742402328763235E-2</c:v>
                </c:pt>
                <c:pt idx="349">
                  <c:v>-2.1217243860137291E-2</c:v>
                </c:pt>
                <c:pt idx="350">
                  <c:v>3.2271941003538807E-3</c:v>
                </c:pt>
                <c:pt idx="351">
                  <c:v>-8.8974391707360434E-3</c:v>
                </c:pt>
                <c:pt idx="352">
                  <c:v>-2.661015201376532E-2</c:v>
                </c:pt>
                <c:pt idx="353">
                  <c:v>-8.2107793464809564E-3</c:v>
                </c:pt>
                <c:pt idx="354">
                  <c:v>-4.4108459153846535E-4</c:v>
                </c:pt>
                <c:pt idx="355">
                  <c:v>-6.5260994668083216E-3</c:v>
                </c:pt>
                <c:pt idx="356">
                  <c:v>-1.4146015348905916E-2</c:v>
                </c:pt>
                <c:pt idx="357">
                  <c:v>-2.2802525882387181E-3</c:v>
                </c:pt>
                <c:pt idx="358">
                  <c:v>1.5726108622291513E-3</c:v>
                </c:pt>
                <c:pt idx="359">
                  <c:v>-1.1593402518989548E-2</c:v>
                </c:pt>
                <c:pt idx="360">
                  <c:v>-1.6621424026838194E-2</c:v>
                </c:pt>
                <c:pt idx="361">
                  <c:v>1.0234981584196778E-2</c:v>
                </c:pt>
                <c:pt idx="362">
                  <c:v>1.2868205807495536E-2</c:v>
                </c:pt>
                <c:pt idx="363">
                  <c:v>-2.3583744574205423E-2</c:v>
                </c:pt>
                <c:pt idx="364">
                  <c:v>-4.9698823743569709E-3</c:v>
                </c:pt>
                <c:pt idx="365">
                  <c:v>1.2233992933422255E-2</c:v>
                </c:pt>
                <c:pt idx="366">
                  <c:v>-2.8700718128726876E-4</c:v>
                </c:pt>
                <c:pt idx="367">
                  <c:v>-1.7620920124631012E-2</c:v>
                </c:pt>
                <c:pt idx="368">
                  <c:v>-3.6401179453198762E-3</c:v>
                </c:pt>
                <c:pt idx="369">
                  <c:v>-1.1540647519307334E-2</c:v>
                </c:pt>
                <c:pt idx="370">
                  <c:v>-1.6587388477403486E-2</c:v>
                </c:pt>
                <c:pt idx="371">
                  <c:v>1.1265921334475126E-2</c:v>
                </c:pt>
                <c:pt idx="372">
                  <c:v>1.9710315008267976E-2</c:v>
                </c:pt>
                <c:pt idx="373">
                  <c:v>3.129943308638361E-2</c:v>
                </c:pt>
                <c:pt idx="374">
                  <c:v>-1.3427486874306338E-2</c:v>
                </c:pt>
                <c:pt idx="375">
                  <c:v>-1.435694017255229E-2</c:v>
                </c:pt>
                <c:pt idx="376">
                  <c:v>-6.3341650220960499E-3</c:v>
                </c:pt>
                <c:pt idx="377">
                  <c:v>2.3411043845469548E-2</c:v>
                </c:pt>
                <c:pt idx="378">
                  <c:v>1.47353172640729E-2</c:v>
                </c:pt>
                <c:pt idx="379">
                  <c:v>-1.8825573705226473E-2</c:v>
                </c:pt>
                <c:pt idx="380">
                  <c:v>-7.5481641523929E-3</c:v>
                </c:pt>
                <c:pt idx="381">
                  <c:v>9.7198179927391881E-3</c:v>
                </c:pt>
                <c:pt idx="382">
                  <c:v>1.5407310718343559E-2</c:v>
                </c:pt>
                <c:pt idx="383">
                  <c:v>-6.5470062886656688E-3</c:v>
                </c:pt>
                <c:pt idx="384">
                  <c:v>3.8837634362159923E-4</c:v>
                </c:pt>
                <c:pt idx="385">
                  <c:v>1.0495994447815016E-3</c:v>
                </c:pt>
                <c:pt idx="386">
                  <c:v>-1.3491915229263407E-4</c:v>
                </c:pt>
                <c:pt idx="387">
                  <c:v>4.6628149497758842E-3</c:v>
                </c:pt>
                <c:pt idx="388">
                  <c:v>3.0524978605974695E-3</c:v>
                </c:pt>
                <c:pt idx="389">
                  <c:v>-5.1329239996131815E-3</c:v>
                </c:pt>
                <c:pt idx="390">
                  <c:v>1.9450541716470426E-2</c:v>
                </c:pt>
                <c:pt idx="391">
                  <c:v>-5.1621900594540637E-3</c:v>
                </c:pt>
                <c:pt idx="392">
                  <c:v>1.5242151460138798E-2</c:v>
                </c:pt>
                <c:pt idx="393">
                  <c:v>2.6489919309630183E-2</c:v>
                </c:pt>
                <c:pt idx="394">
                  <c:v>-3.8132510732549751E-3</c:v>
                </c:pt>
                <c:pt idx="395">
                  <c:v>-1.6601250703397075E-2</c:v>
                </c:pt>
                <c:pt idx="396">
                  <c:v>-1.0271637131954281E-2</c:v>
                </c:pt>
                <c:pt idx="397">
                  <c:v>7.8916646594653361E-3</c:v>
                </c:pt>
                <c:pt idx="398">
                  <c:v>-1.96704760969868E-3</c:v>
                </c:pt>
                <c:pt idx="399">
                  <c:v>-8.0998132933404188E-3</c:v>
                </c:pt>
                <c:pt idx="400">
                  <c:v>-4.7780841425043574E-4</c:v>
                </c:pt>
                <c:pt idx="401">
                  <c:v>2.7862344338035472E-3</c:v>
                </c:pt>
                <c:pt idx="402">
                  <c:v>-1.3365608011218777E-2</c:v>
                </c:pt>
                <c:pt idx="403">
                  <c:v>1.4780789539403483E-2</c:v>
                </c:pt>
                <c:pt idx="404">
                  <c:v>-2.865107515226395E-3</c:v>
                </c:pt>
                <c:pt idx="405">
                  <c:v>-1.2217611855532606E-2</c:v>
                </c:pt>
                <c:pt idx="406">
                  <c:v>1.9171346205143491E-2</c:v>
                </c:pt>
                <c:pt idx="407">
                  <c:v>-1.0072016812619766E-2</c:v>
                </c:pt>
                <c:pt idx="408">
                  <c:v>1.5837736548649006E-2</c:v>
                </c:pt>
                <c:pt idx="409">
                  <c:v>-2.4042768607833054E-2</c:v>
                </c:pt>
                <c:pt idx="410">
                  <c:v>-1.3358209265357357E-2</c:v>
                </c:pt>
                <c:pt idx="411">
                  <c:v>-5.3340801294036733E-3</c:v>
                </c:pt>
                <c:pt idx="412">
                  <c:v>-4.3247327607154884E-3</c:v>
                </c:pt>
                <c:pt idx="413">
                  <c:v>8.2426379265632121E-3</c:v>
                </c:pt>
                <c:pt idx="414">
                  <c:v>4.0150040311245194E-2</c:v>
                </c:pt>
                <c:pt idx="415">
                  <c:v>2.7820231967301212E-2</c:v>
                </c:pt>
                <c:pt idx="416">
                  <c:v>-1.0838287310995676E-2</c:v>
                </c:pt>
                <c:pt idx="417">
                  <c:v>4.6210477499723512E-3</c:v>
                </c:pt>
                <c:pt idx="418">
                  <c:v>-1.243545703881721E-2</c:v>
                </c:pt>
                <c:pt idx="419">
                  <c:v>-6.6538946934525667E-3</c:v>
                </c:pt>
                <c:pt idx="420">
                  <c:v>-1.731680077327602E-3</c:v>
                </c:pt>
                <c:pt idx="421">
                  <c:v>-2.4097240003151388E-3</c:v>
                </c:pt>
                <c:pt idx="422">
                  <c:v>-8.3855762742280349E-3</c:v>
                </c:pt>
                <c:pt idx="423">
                  <c:v>-5.8833196662759768E-3</c:v>
                </c:pt>
                <c:pt idx="424">
                  <c:v>-1.1894126738508648E-2</c:v>
                </c:pt>
                <c:pt idx="425">
                  <c:v>1.0186593823376389E-2</c:v>
                </c:pt>
                <c:pt idx="426">
                  <c:v>3.6196441859791539E-3</c:v>
                </c:pt>
                <c:pt idx="427">
                  <c:v>2.254073380013355E-2</c:v>
                </c:pt>
                <c:pt idx="428">
                  <c:v>2.0511295944733332E-2</c:v>
                </c:pt>
                <c:pt idx="429">
                  <c:v>-2.1857161166531192E-2</c:v>
                </c:pt>
                <c:pt idx="430">
                  <c:v>-3.0663788562161898E-2</c:v>
                </c:pt>
                <c:pt idx="431">
                  <c:v>1.6000280537894263E-2</c:v>
                </c:pt>
                <c:pt idx="432">
                  <c:v>1.0541258152583222E-2</c:v>
                </c:pt>
                <c:pt idx="433">
                  <c:v>1.6237367128800584E-2</c:v>
                </c:pt>
                <c:pt idx="434">
                  <c:v>3.2991733474802554E-3</c:v>
                </c:pt>
                <c:pt idx="435">
                  <c:v>1.495474830262461E-2</c:v>
                </c:pt>
                <c:pt idx="436">
                  <c:v>-7.827724541789427E-3</c:v>
                </c:pt>
                <c:pt idx="437">
                  <c:v>2.690297292872651E-2</c:v>
                </c:pt>
                <c:pt idx="438">
                  <c:v>5.1136373455713535E-3</c:v>
                </c:pt>
                <c:pt idx="439">
                  <c:v>-1.4302030956875877E-2</c:v>
                </c:pt>
                <c:pt idx="440">
                  <c:v>-1.0901797190081663E-2</c:v>
                </c:pt>
                <c:pt idx="441">
                  <c:v>2.4445281537479602E-3</c:v>
                </c:pt>
                <c:pt idx="442">
                  <c:v>1.1628232153896856E-2</c:v>
                </c:pt>
                <c:pt idx="443">
                  <c:v>-1.7379886523923027E-2</c:v>
                </c:pt>
                <c:pt idx="444">
                  <c:v>-1.0389670166194187E-2</c:v>
                </c:pt>
                <c:pt idx="445">
                  <c:v>8.6163184787811931E-3</c:v>
                </c:pt>
                <c:pt idx="446">
                  <c:v>3.2275398867977478E-2</c:v>
                </c:pt>
                <c:pt idx="447">
                  <c:v>6.0704750147348441E-3</c:v>
                </c:pt>
                <c:pt idx="448">
                  <c:v>-1.2128730222386752E-2</c:v>
                </c:pt>
                <c:pt idx="449">
                  <c:v>7.8738889631401743E-3</c:v>
                </c:pt>
                <c:pt idx="450">
                  <c:v>-6.3124955186744658E-3</c:v>
                </c:pt>
                <c:pt idx="451">
                  <c:v>-1.7025435320406734E-2</c:v>
                </c:pt>
                <c:pt idx="452">
                  <c:v>-2.657627943362828E-3</c:v>
                </c:pt>
                <c:pt idx="453">
                  <c:v>1.7463383184940229E-2</c:v>
                </c:pt>
                <c:pt idx="454">
                  <c:v>-1.6855982043999407E-2</c:v>
                </c:pt>
                <c:pt idx="455">
                  <c:v>8.4628109190627021E-3</c:v>
                </c:pt>
                <c:pt idx="456">
                  <c:v>2.0910575174149848E-2</c:v>
                </c:pt>
                <c:pt idx="457">
                  <c:v>1.3579118346579822E-2</c:v>
                </c:pt>
                <c:pt idx="458">
                  <c:v>-2.8089074852125084E-3</c:v>
                </c:pt>
                <c:pt idx="459">
                  <c:v>1.0375501312580471E-2</c:v>
                </c:pt>
                <c:pt idx="460">
                  <c:v>-2.5622404054261527E-2</c:v>
                </c:pt>
                <c:pt idx="461">
                  <c:v>-1.3898093517251409E-2</c:v>
                </c:pt>
                <c:pt idx="462">
                  <c:v>-2.8181830022522836E-3</c:v>
                </c:pt>
                <c:pt idx="463">
                  <c:v>-8.8010715968629971E-3</c:v>
                </c:pt>
                <c:pt idx="464">
                  <c:v>-1.2055865551254041E-2</c:v>
                </c:pt>
                <c:pt idx="465">
                  <c:v>-2.6184808920547253E-2</c:v>
                </c:pt>
                <c:pt idx="466">
                  <c:v>-1.4461614125960809E-2</c:v>
                </c:pt>
                <c:pt idx="467">
                  <c:v>-1.0315660273194638E-2</c:v>
                </c:pt>
                <c:pt idx="468">
                  <c:v>-5.3667640579792564E-3</c:v>
                </c:pt>
                <c:pt idx="469">
                  <c:v>6.03537962373496E-3</c:v>
                </c:pt>
                <c:pt idx="470">
                  <c:v>7.6619791632437373E-4</c:v>
                </c:pt>
                <c:pt idx="471">
                  <c:v>-1.2993519822119604E-2</c:v>
                </c:pt>
                <c:pt idx="472">
                  <c:v>-2.7138429941579167E-2</c:v>
                </c:pt>
                <c:pt idx="473">
                  <c:v>1.4429508275139169E-2</c:v>
                </c:pt>
                <c:pt idx="474">
                  <c:v>1.4856955087468482E-2</c:v>
                </c:pt>
                <c:pt idx="475">
                  <c:v>2.083939883248398E-2</c:v>
                </c:pt>
                <c:pt idx="476">
                  <c:v>1.2787303960320628E-2</c:v>
                </c:pt>
                <c:pt idx="477">
                  <c:v>4.4605366052989925E-3</c:v>
                </c:pt>
                <c:pt idx="478">
                  <c:v>2.2926584652924187E-3</c:v>
                </c:pt>
                <c:pt idx="479">
                  <c:v>6.2231348707511569E-3</c:v>
                </c:pt>
                <c:pt idx="480">
                  <c:v>1.2965623575475094E-2</c:v>
                </c:pt>
                <c:pt idx="481">
                  <c:v>1.8299839789712835E-2</c:v>
                </c:pt>
                <c:pt idx="482">
                  <c:v>-1.3961244173710863E-2</c:v>
                </c:pt>
                <c:pt idx="483">
                  <c:v>-7.3290128960844525E-3</c:v>
                </c:pt>
                <c:pt idx="484">
                  <c:v>-1.0916717280314014E-2</c:v>
                </c:pt>
                <c:pt idx="485">
                  <c:v>-6.2182527297548473E-3</c:v>
                </c:pt>
                <c:pt idx="486">
                  <c:v>1.4009431734235134E-2</c:v>
                </c:pt>
                <c:pt idx="487">
                  <c:v>9.6068577613449002E-3</c:v>
                </c:pt>
                <c:pt idx="488">
                  <c:v>9.5908548174591379E-3</c:v>
                </c:pt>
                <c:pt idx="489">
                  <c:v>5.4873612795711679E-3</c:v>
                </c:pt>
                <c:pt idx="490">
                  <c:v>1.1191093040930078E-2</c:v>
                </c:pt>
                <c:pt idx="491">
                  <c:v>-6.4373184558290664E-3</c:v>
                </c:pt>
                <c:pt idx="492">
                  <c:v>3.7395292416997905E-3</c:v>
                </c:pt>
                <c:pt idx="493">
                  <c:v>4.6979166498940517E-3</c:v>
                </c:pt>
                <c:pt idx="494">
                  <c:v>1.0962126121087212E-2</c:v>
                </c:pt>
                <c:pt idx="495">
                  <c:v>-5.3453982273943268E-3</c:v>
                </c:pt>
                <c:pt idx="496">
                  <c:v>-2.546648735666901E-3</c:v>
                </c:pt>
                <c:pt idx="497">
                  <c:v>-4.0164127831954222E-4</c:v>
                </c:pt>
                <c:pt idx="498">
                  <c:v>-6.1476612128224528E-3</c:v>
                </c:pt>
                <c:pt idx="499">
                  <c:v>5.8091316329635379E-3</c:v>
                </c:pt>
                <c:pt idx="500">
                  <c:v>4.0860753098224678E-3</c:v>
                </c:pt>
                <c:pt idx="501">
                  <c:v>1.1201523589117524E-2</c:v>
                </c:pt>
                <c:pt idx="502">
                  <c:v>3.8728746812953241E-3</c:v>
                </c:pt>
                <c:pt idx="503">
                  <c:v>-1.3044548145498769E-2</c:v>
                </c:pt>
                <c:pt idx="504">
                  <c:v>-3.8658244319445534E-3</c:v>
                </c:pt>
                <c:pt idx="505">
                  <c:v>-2.0812826905100779E-2</c:v>
                </c:pt>
                <c:pt idx="506">
                  <c:v>-1.3091313637228652E-2</c:v>
                </c:pt>
                <c:pt idx="507">
                  <c:v>-2.8380244851648195E-2</c:v>
                </c:pt>
                <c:pt idx="508">
                  <c:v>-1.1329105897262104E-2</c:v>
                </c:pt>
                <c:pt idx="509">
                  <c:v>-1.9745562161860741E-2</c:v>
                </c:pt>
                <c:pt idx="510">
                  <c:v>-1.1053553321241416E-2</c:v>
                </c:pt>
                <c:pt idx="511">
                  <c:v>1.2057562738146732E-2</c:v>
                </c:pt>
                <c:pt idx="512">
                  <c:v>-9.9023220139177193E-4</c:v>
                </c:pt>
                <c:pt idx="513">
                  <c:v>1.2962741272584677E-3</c:v>
                </c:pt>
                <c:pt idx="514">
                  <c:v>6.8188510293641369E-3</c:v>
                </c:pt>
                <c:pt idx="515">
                  <c:v>2.1352092680538504E-2</c:v>
                </c:pt>
                <c:pt idx="516">
                  <c:v>-4.6466830383708468E-3</c:v>
                </c:pt>
                <c:pt idx="517">
                  <c:v>-5.248388272179938E-3</c:v>
                </c:pt>
                <c:pt idx="518">
                  <c:v>6.8592077897468573E-3</c:v>
                </c:pt>
                <c:pt idx="519">
                  <c:v>-1.0140143372020793E-2</c:v>
                </c:pt>
                <c:pt idx="520">
                  <c:v>-2.372966385290215E-2</c:v>
                </c:pt>
                <c:pt idx="521">
                  <c:v>-1.0338123900386631E-2</c:v>
                </c:pt>
                <c:pt idx="522">
                  <c:v>6.2101266610091743E-3</c:v>
                </c:pt>
                <c:pt idx="523">
                  <c:v>-8.2299863909264803E-3</c:v>
                </c:pt>
                <c:pt idx="524">
                  <c:v>-1.2168904728072638E-3</c:v>
                </c:pt>
                <c:pt idx="525">
                  <c:v>-3.9062374525463128E-3</c:v>
                </c:pt>
                <c:pt idx="526">
                  <c:v>-1.542488227395955E-2</c:v>
                </c:pt>
                <c:pt idx="527">
                  <c:v>-1.8567172946646893E-3</c:v>
                </c:pt>
                <c:pt idx="528">
                  <c:v>-5.4422696606435395E-3</c:v>
                </c:pt>
                <c:pt idx="529">
                  <c:v>1.2348456720139289E-2</c:v>
                </c:pt>
                <c:pt idx="530">
                  <c:v>-1.2240813116389804E-2</c:v>
                </c:pt>
                <c:pt idx="531">
                  <c:v>-1.0293418898757956E-2</c:v>
                </c:pt>
                <c:pt idx="532">
                  <c:v>1.473401002328345E-3</c:v>
                </c:pt>
                <c:pt idx="533">
                  <c:v>2.2495530961659516E-2</c:v>
                </c:pt>
                <c:pt idx="534">
                  <c:v>-1.4707063693829903E-2</c:v>
                </c:pt>
                <c:pt idx="535">
                  <c:v>2.2134173261677992E-2</c:v>
                </c:pt>
                <c:pt idx="536">
                  <c:v>2.6944971166280585E-3</c:v>
                </c:pt>
                <c:pt idx="537">
                  <c:v>-2.9410167166309953E-2</c:v>
                </c:pt>
                <c:pt idx="538">
                  <c:v>5.487349785044171E-3</c:v>
                </c:pt>
                <c:pt idx="539">
                  <c:v>1.8199674115400355E-2</c:v>
                </c:pt>
                <c:pt idx="540">
                  <c:v>-4.5012107962458803E-3</c:v>
                </c:pt>
                <c:pt idx="541">
                  <c:v>4.5207197384303788E-3</c:v>
                </c:pt>
                <c:pt idx="542">
                  <c:v>8.3670795236249762E-3</c:v>
                </c:pt>
                <c:pt idx="543">
                  <c:v>1.5417003270585816E-2</c:v>
                </c:pt>
                <c:pt idx="544">
                  <c:v>-3.5874520561742229E-3</c:v>
                </c:pt>
                <c:pt idx="545">
                  <c:v>-3.4156727772534923E-2</c:v>
                </c:pt>
                <c:pt idx="546">
                  <c:v>-7.0588194219906586E-3</c:v>
                </c:pt>
                <c:pt idx="547">
                  <c:v>7.8826013854299548E-4</c:v>
                </c:pt>
                <c:pt idx="548">
                  <c:v>1.3740525176367813E-2</c:v>
                </c:pt>
                <c:pt idx="549">
                  <c:v>8.2046320164331776E-3</c:v>
                </c:pt>
                <c:pt idx="550">
                  <c:v>3.4531183326294346E-2</c:v>
                </c:pt>
                <c:pt idx="551">
                  <c:v>-1.8327912623768983E-3</c:v>
                </c:pt>
                <c:pt idx="552">
                  <c:v>1.3914960474891491E-2</c:v>
                </c:pt>
                <c:pt idx="553">
                  <c:v>4.8513031920496275E-3</c:v>
                </c:pt>
                <c:pt idx="554">
                  <c:v>-1.2192253701910072E-2</c:v>
                </c:pt>
                <c:pt idx="555">
                  <c:v>-6.0213512009765935E-2</c:v>
                </c:pt>
                <c:pt idx="556">
                  <c:v>-1.9243704718140464E-2</c:v>
                </c:pt>
                <c:pt idx="557">
                  <c:v>1.0040176413179724E-2</c:v>
                </c:pt>
                <c:pt idx="558">
                  <c:v>3.4617847953733571E-2</c:v>
                </c:pt>
                <c:pt idx="559">
                  <c:v>1.8663940712454807E-2</c:v>
                </c:pt>
                <c:pt idx="560">
                  <c:v>1.2234025837848661E-2</c:v>
                </c:pt>
                <c:pt idx="561">
                  <c:v>-1.1877344359851327E-3</c:v>
                </c:pt>
                <c:pt idx="562">
                  <c:v>8.152164012471097E-3</c:v>
                </c:pt>
                <c:pt idx="563">
                  <c:v>-2.0992225310764168E-2</c:v>
                </c:pt>
                <c:pt idx="564">
                  <c:v>-1.2168079633832041E-2</c:v>
                </c:pt>
                <c:pt idx="565">
                  <c:v>2.4638169121488085E-3</c:v>
                </c:pt>
                <c:pt idx="566">
                  <c:v>7.2310326181274087E-4</c:v>
                </c:pt>
                <c:pt idx="567">
                  <c:v>6.3594750339023842E-3</c:v>
                </c:pt>
                <c:pt idx="568">
                  <c:v>4.8984160589383707E-3</c:v>
                </c:pt>
                <c:pt idx="569">
                  <c:v>-7.3104689382589294E-3</c:v>
                </c:pt>
                <c:pt idx="570">
                  <c:v>2.0442386421503533E-2</c:v>
                </c:pt>
                <c:pt idx="571">
                  <c:v>-1.3387964561908383E-3</c:v>
                </c:pt>
                <c:pt idx="572">
                  <c:v>-1.1919465215606828E-2</c:v>
                </c:pt>
                <c:pt idx="573">
                  <c:v>3.7917578047766409E-3</c:v>
                </c:pt>
                <c:pt idx="574">
                  <c:v>-1.2252159358042636E-2</c:v>
                </c:pt>
                <c:pt idx="575">
                  <c:v>-3.9971867460221189E-3</c:v>
                </c:pt>
                <c:pt idx="576">
                  <c:v>-2.6659785258718094E-2</c:v>
                </c:pt>
                <c:pt idx="577">
                  <c:v>-1.0588578720849784E-2</c:v>
                </c:pt>
                <c:pt idx="578">
                  <c:v>-6.3861235122819049E-3</c:v>
                </c:pt>
                <c:pt idx="579">
                  <c:v>-4.3085725913403761E-3</c:v>
                </c:pt>
                <c:pt idx="580">
                  <c:v>1.3878640430905476E-2</c:v>
                </c:pt>
                <c:pt idx="581">
                  <c:v>-8.6613450883638032E-4</c:v>
                </c:pt>
                <c:pt idx="582">
                  <c:v>4.8659502871095106E-3</c:v>
                </c:pt>
                <c:pt idx="583">
                  <c:v>6.8698976955570701E-3</c:v>
                </c:pt>
                <c:pt idx="584">
                  <c:v>4.2710122831085551E-3</c:v>
                </c:pt>
                <c:pt idx="585">
                  <c:v>-5.7292802823469269E-3</c:v>
                </c:pt>
                <c:pt idx="586">
                  <c:v>3.4384806433470083E-3</c:v>
                </c:pt>
                <c:pt idx="587">
                  <c:v>1.522779208837588E-3</c:v>
                </c:pt>
                <c:pt idx="588">
                  <c:v>1.4597183815256098E-2</c:v>
                </c:pt>
                <c:pt idx="589">
                  <c:v>-7.4859170397810759E-3</c:v>
                </c:pt>
                <c:pt idx="590">
                  <c:v>-4.374081877566327E-3</c:v>
                </c:pt>
                <c:pt idx="591">
                  <c:v>-6.2840892382937663E-3</c:v>
                </c:pt>
                <c:pt idx="592">
                  <c:v>-7.2628943860379436E-3</c:v>
                </c:pt>
                <c:pt idx="593">
                  <c:v>8.8066658861791214E-3</c:v>
                </c:pt>
                <c:pt idx="594">
                  <c:v>1.3306002301755993E-2</c:v>
                </c:pt>
                <c:pt idx="595">
                  <c:v>4.6699211369766735E-3</c:v>
                </c:pt>
                <c:pt idx="596">
                  <c:v>-6.8312527220248942E-4</c:v>
                </c:pt>
                <c:pt idx="597">
                  <c:v>8.9019824815338988E-3</c:v>
                </c:pt>
                <c:pt idx="598">
                  <c:v>1.4120562478476428E-2</c:v>
                </c:pt>
                <c:pt idx="599">
                  <c:v>2.2943350992322697E-3</c:v>
                </c:pt>
                <c:pt idx="600">
                  <c:v>-1.4082000909112269E-2</c:v>
                </c:pt>
                <c:pt idx="601">
                  <c:v>-3.9868770719205859E-2</c:v>
                </c:pt>
                <c:pt idx="602">
                  <c:v>7.5441622386677176E-3</c:v>
                </c:pt>
                <c:pt idx="603">
                  <c:v>7.7525844082052542E-3</c:v>
                </c:pt>
                <c:pt idx="604">
                  <c:v>9.6871758150334775E-3</c:v>
                </c:pt>
                <c:pt idx="605">
                  <c:v>7.4725871361306928E-3</c:v>
                </c:pt>
                <c:pt idx="606">
                  <c:v>1.7242333006129873E-2</c:v>
                </c:pt>
                <c:pt idx="607">
                  <c:v>-1.0506189228499219E-2</c:v>
                </c:pt>
                <c:pt idx="608">
                  <c:v>-3.0109635089553388E-2</c:v>
                </c:pt>
                <c:pt idx="609">
                  <c:v>9.4636551083294163E-3</c:v>
                </c:pt>
                <c:pt idx="610">
                  <c:v>1.0481282352149457E-2</c:v>
                </c:pt>
                <c:pt idx="611">
                  <c:v>-2.6391668201725116E-3</c:v>
                </c:pt>
                <c:pt idx="612">
                  <c:v>2.517323366785218E-2</c:v>
                </c:pt>
                <c:pt idx="613">
                  <c:v>4.1552220530983952E-2</c:v>
                </c:pt>
                <c:pt idx="614">
                  <c:v>1.9157624692744235E-2</c:v>
                </c:pt>
                <c:pt idx="615">
                  <c:v>2.7325042497088781E-2</c:v>
                </c:pt>
                <c:pt idx="616">
                  <c:v>2.4071942601038177E-2</c:v>
                </c:pt>
                <c:pt idx="617">
                  <c:v>7.3839663357447294E-3</c:v>
                </c:pt>
                <c:pt idx="618">
                  <c:v>-8.5748431435837547E-3</c:v>
                </c:pt>
                <c:pt idx="619">
                  <c:v>-5.6335474149872833E-3</c:v>
                </c:pt>
                <c:pt idx="620">
                  <c:v>2.7963125928426202E-2</c:v>
                </c:pt>
                <c:pt idx="621">
                  <c:v>-3.0266503375479425E-2</c:v>
                </c:pt>
                <c:pt idx="622">
                  <c:v>-3.6152228521764362E-2</c:v>
                </c:pt>
                <c:pt idx="623">
                  <c:v>6.5264199523948352E-3</c:v>
                </c:pt>
                <c:pt idx="624">
                  <c:v>-5.5935047872718302E-4</c:v>
                </c:pt>
                <c:pt idx="625">
                  <c:v>1.2262448661564007E-2</c:v>
                </c:pt>
                <c:pt idx="626">
                  <c:v>2.4899715250900178E-2</c:v>
                </c:pt>
                <c:pt idx="627">
                  <c:v>2.896721063235258E-2</c:v>
                </c:pt>
                <c:pt idx="628">
                  <c:v>-2.1582152086703277E-2</c:v>
                </c:pt>
                <c:pt idx="629">
                  <c:v>-6.1060665197668895E-2</c:v>
                </c:pt>
                <c:pt idx="630">
                  <c:v>1.7214044077045632E-2</c:v>
                </c:pt>
                <c:pt idx="631">
                  <c:v>1.1521017985597182E-2</c:v>
                </c:pt>
                <c:pt idx="632">
                  <c:v>1.67706813878995E-2</c:v>
                </c:pt>
                <c:pt idx="633">
                  <c:v>2.0359029180713084E-2</c:v>
                </c:pt>
                <c:pt idx="634">
                  <c:v>-6.160253692119283E-2</c:v>
                </c:pt>
                <c:pt idx="635">
                  <c:v>-1.6584547482805911E-2</c:v>
                </c:pt>
                <c:pt idx="636">
                  <c:v>-1.6330051387348887E-2</c:v>
                </c:pt>
                <c:pt idx="637">
                  <c:v>-3.9040579150552701E-3</c:v>
                </c:pt>
                <c:pt idx="638">
                  <c:v>-3.1320596447970694E-3</c:v>
                </c:pt>
                <c:pt idx="639">
                  <c:v>-7.8786793619395334E-4</c:v>
                </c:pt>
                <c:pt idx="640">
                  <c:v>3.3816722809415944E-2</c:v>
                </c:pt>
                <c:pt idx="641">
                  <c:v>2.6764090241495897E-2</c:v>
                </c:pt>
                <c:pt idx="642">
                  <c:v>6.7927371500690614E-3</c:v>
                </c:pt>
                <c:pt idx="643">
                  <c:v>-3.8630516780221447E-3</c:v>
                </c:pt>
                <c:pt idx="644">
                  <c:v>-3.5872062523156889E-2</c:v>
                </c:pt>
                <c:pt idx="645">
                  <c:v>-3.759236454671383E-2</c:v>
                </c:pt>
                <c:pt idx="646">
                  <c:v>1.7397469027504553E-2</c:v>
                </c:pt>
                <c:pt idx="647">
                  <c:v>1.3817456522488947E-2</c:v>
                </c:pt>
                <c:pt idx="648">
                  <c:v>3.6818119943131666E-3</c:v>
                </c:pt>
                <c:pt idx="649">
                  <c:v>1.4844317501801929E-2</c:v>
                </c:pt>
                <c:pt idx="650">
                  <c:v>-7.8613660815237685E-3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5-4985-8908-78CEDF22E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6"/>
        <c:axId val="1217816319"/>
        <c:axId val="1217822079"/>
      </c:barChart>
      <c:catAx>
        <c:axId val="121781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7822079"/>
        <c:crosses val="autoZero"/>
        <c:auto val="1"/>
        <c:lblAlgn val="ctr"/>
        <c:lblOffset val="100"/>
        <c:noMultiLvlLbl val="1"/>
      </c:catAx>
      <c:valAx>
        <c:axId val="121782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78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Soybean Meal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Price and Crush Margins - </a:t>
            </a:r>
          </a:p>
          <a:p>
            <a:pPr>
              <a:defRPr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Central Illinois</a:t>
            </a:r>
            <a:r>
              <a:rPr lang="en-US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71665080326492E-2"/>
          <c:y val="0.1197060049793322"/>
          <c:w val="0.76478001788238004"/>
          <c:h val="0.81865288019027882"/>
        </c:manualLayout>
      </c:layout>
      <c:lineChart>
        <c:grouping val="standard"/>
        <c:varyColors val="0"/>
        <c:ser>
          <c:idx val="0"/>
          <c:order val="1"/>
          <c:tx>
            <c:v>Crush Margin</c:v>
          </c:tx>
          <c:spPr>
            <a:ln w="28575" cap="rnd">
              <a:solidFill>
                <a:srgbClr val="D7BA2F"/>
              </a:solidFill>
              <a:round/>
            </a:ln>
            <a:effectLst/>
          </c:spPr>
          <c:marker>
            <c:symbol val="none"/>
          </c:marker>
          <c:cat>
            <c:numRef>
              <c:f>[1]Prices!$A$528:$A$638</c:f>
              <c:numCache>
                <c:formatCode>General</c:formatCode>
                <c:ptCount val="111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  <c:pt idx="25">
                  <c:v>42309</c:v>
                </c:pt>
                <c:pt idx="26">
                  <c:v>42339</c:v>
                </c:pt>
                <c:pt idx="27">
                  <c:v>42370</c:v>
                </c:pt>
                <c:pt idx="28">
                  <c:v>42401</c:v>
                </c:pt>
                <c:pt idx="29">
                  <c:v>42430</c:v>
                </c:pt>
                <c:pt idx="30">
                  <c:v>42461</c:v>
                </c:pt>
                <c:pt idx="31">
                  <c:v>42491</c:v>
                </c:pt>
                <c:pt idx="32">
                  <c:v>42522</c:v>
                </c:pt>
                <c:pt idx="33">
                  <c:v>42552</c:v>
                </c:pt>
                <c:pt idx="34">
                  <c:v>42583</c:v>
                </c:pt>
                <c:pt idx="35">
                  <c:v>42614</c:v>
                </c:pt>
                <c:pt idx="36">
                  <c:v>42644</c:v>
                </c:pt>
                <c:pt idx="37">
                  <c:v>42675</c:v>
                </c:pt>
                <c:pt idx="38">
                  <c:v>42705</c:v>
                </c:pt>
                <c:pt idx="39">
                  <c:v>42736</c:v>
                </c:pt>
                <c:pt idx="40">
                  <c:v>42767</c:v>
                </c:pt>
                <c:pt idx="41">
                  <c:v>42795</c:v>
                </c:pt>
                <c:pt idx="42">
                  <c:v>42826</c:v>
                </c:pt>
                <c:pt idx="43">
                  <c:v>42856</c:v>
                </c:pt>
                <c:pt idx="44">
                  <c:v>42887</c:v>
                </c:pt>
                <c:pt idx="45">
                  <c:v>42917</c:v>
                </c:pt>
                <c:pt idx="46">
                  <c:v>42948</c:v>
                </c:pt>
                <c:pt idx="47">
                  <c:v>42979</c:v>
                </c:pt>
                <c:pt idx="48">
                  <c:v>43009</c:v>
                </c:pt>
                <c:pt idx="49">
                  <c:v>43040</c:v>
                </c:pt>
                <c:pt idx="50">
                  <c:v>43070</c:v>
                </c:pt>
                <c:pt idx="51">
                  <c:v>43101</c:v>
                </c:pt>
                <c:pt idx="52">
                  <c:v>43132</c:v>
                </c:pt>
                <c:pt idx="53">
                  <c:v>43160</c:v>
                </c:pt>
                <c:pt idx="54">
                  <c:v>43191</c:v>
                </c:pt>
                <c:pt idx="55">
                  <c:v>43221</c:v>
                </c:pt>
                <c:pt idx="56">
                  <c:v>43252</c:v>
                </c:pt>
                <c:pt idx="57">
                  <c:v>43282</c:v>
                </c:pt>
                <c:pt idx="58">
                  <c:v>43313</c:v>
                </c:pt>
                <c:pt idx="59">
                  <c:v>43344</c:v>
                </c:pt>
                <c:pt idx="60">
                  <c:v>43374</c:v>
                </c:pt>
                <c:pt idx="61">
                  <c:v>43405</c:v>
                </c:pt>
                <c:pt idx="62">
                  <c:v>43435</c:v>
                </c:pt>
                <c:pt idx="63">
                  <c:v>43466</c:v>
                </c:pt>
                <c:pt idx="64">
                  <c:v>43497</c:v>
                </c:pt>
                <c:pt idx="65">
                  <c:v>43525</c:v>
                </c:pt>
                <c:pt idx="66">
                  <c:v>43556</c:v>
                </c:pt>
                <c:pt idx="67">
                  <c:v>43586</c:v>
                </c:pt>
                <c:pt idx="68">
                  <c:v>43617</c:v>
                </c:pt>
                <c:pt idx="69">
                  <c:v>43647</c:v>
                </c:pt>
                <c:pt idx="70">
                  <c:v>43678</c:v>
                </c:pt>
                <c:pt idx="71">
                  <c:v>43709</c:v>
                </c:pt>
                <c:pt idx="72">
                  <c:v>43739</c:v>
                </c:pt>
                <c:pt idx="73">
                  <c:v>43770</c:v>
                </c:pt>
                <c:pt idx="74">
                  <c:v>43800</c:v>
                </c:pt>
                <c:pt idx="75">
                  <c:v>43831</c:v>
                </c:pt>
                <c:pt idx="76">
                  <c:v>43862</c:v>
                </c:pt>
                <c:pt idx="77">
                  <c:v>43891</c:v>
                </c:pt>
                <c:pt idx="78">
                  <c:v>43922</c:v>
                </c:pt>
                <c:pt idx="79">
                  <c:v>43952</c:v>
                </c:pt>
                <c:pt idx="80">
                  <c:v>43983</c:v>
                </c:pt>
                <c:pt idx="81">
                  <c:v>44013</c:v>
                </c:pt>
                <c:pt idx="82">
                  <c:v>44044</c:v>
                </c:pt>
                <c:pt idx="83">
                  <c:v>44075</c:v>
                </c:pt>
                <c:pt idx="84">
                  <c:v>44105</c:v>
                </c:pt>
                <c:pt idx="85">
                  <c:v>44136</c:v>
                </c:pt>
                <c:pt idx="86">
                  <c:v>44166</c:v>
                </c:pt>
                <c:pt idx="87">
                  <c:v>44197</c:v>
                </c:pt>
                <c:pt idx="88">
                  <c:v>44228</c:v>
                </c:pt>
                <c:pt idx="89">
                  <c:v>44256</c:v>
                </c:pt>
                <c:pt idx="90">
                  <c:v>44287</c:v>
                </c:pt>
                <c:pt idx="91">
                  <c:v>44317</c:v>
                </c:pt>
                <c:pt idx="92">
                  <c:v>44348</c:v>
                </c:pt>
                <c:pt idx="93">
                  <c:v>44378</c:v>
                </c:pt>
                <c:pt idx="94">
                  <c:v>44409</c:v>
                </c:pt>
                <c:pt idx="95">
                  <c:v>44440</c:v>
                </c:pt>
                <c:pt idx="96">
                  <c:v>44470</c:v>
                </c:pt>
                <c:pt idx="97">
                  <c:v>44501</c:v>
                </c:pt>
                <c:pt idx="98">
                  <c:v>44531</c:v>
                </c:pt>
                <c:pt idx="99">
                  <c:v>44562</c:v>
                </c:pt>
                <c:pt idx="100">
                  <c:v>44593</c:v>
                </c:pt>
                <c:pt idx="101">
                  <c:v>44621</c:v>
                </c:pt>
                <c:pt idx="102">
                  <c:v>44652</c:v>
                </c:pt>
                <c:pt idx="103">
                  <c:v>44682</c:v>
                </c:pt>
                <c:pt idx="104">
                  <c:v>44713</c:v>
                </c:pt>
                <c:pt idx="105">
                  <c:v>44743</c:v>
                </c:pt>
                <c:pt idx="106">
                  <c:v>44774</c:v>
                </c:pt>
                <c:pt idx="107">
                  <c:v>44805</c:v>
                </c:pt>
                <c:pt idx="108">
                  <c:v>44835</c:v>
                </c:pt>
                <c:pt idx="109">
                  <c:v>44866</c:v>
                </c:pt>
                <c:pt idx="110">
                  <c:v>44896</c:v>
                </c:pt>
              </c:numCache>
            </c:numRef>
          </c:cat>
          <c:val>
            <c:numRef>
              <c:f>[1]Prices!$M$528:$M$638</c:f>
              <c:numCache>
                <c:formatCode>General</c:formatCode>
                <c:ptCount val="111"/>
                <c:pt idx="0">
                  <c:v>1.1824600000000007</c:v>
                </c:pt>
                <c:pt idx="1">
                  <c:v>1.2086599999999983</c:v>
                </c:pt>
                <c:pt idx="2">
                  <c:v>1.6975000000000016</c:v>
                </c:pt>
                <c:pt idx="3">
                  <c:v>1.3643800000000006</c:v>
                </c:pt>
                <c:pt idx="4">
                  <c:v>1.6129999999999995</c:v>
                </c:pt>
                <c:pt idx="5">
                  <c:v>0.98841999999999786</c:v>
                </c:pt>
                <c:pt idx="6">
                  <c:v>0.78431999999999746</c:v>
                </c:pt>
                <c:pt idx="7">
                  <c:v>0.67975999999999992</c:v>
                </c:pt>
                <c:pt idx="8">
                  <c:v>0.7454400000000021</c:v>
                </c:pt>
                <c:pt idx="9">
                  <c:v>0.90668000000000148</c:v>
                </c:pt>
                <c:pt idx="10">
                  <c:v>1.773439999999999</c:v>
                </c:pt>
                <c:pt idx="11">
                  <c:v>4.2222400000000029</c:v>
                </c:pt>
                <c:pt idx="12">
                  <c:v>2.5175000000000018</c:v>
                </c:pt>
                <c:pt idx="13">
                  <c:v>3.0794800000000002</c:v>
                </c:pt>
                <c:pt idx="14">
                  <c:v>2.7165600000000012</c:v>
                </c:pt>
                <c:pt idx="15">
                  <c:v>1.8354399999999984</c:v>
                </c:pt>
                <c:pt idx="16">
                  <c:v>1.5792599999999997</c:v>
                </c:pt>
                <c:pt idx="17">
                  <c:v>1.3674600000000012</c:v>
                </c:pt>
                <c:pt idx="18">
                  <c:v>0.95031999999999961</c:v>
                </c:pt>
                <c:pt idx="19">
                  <c:v>0.84356000000000009</c:v>
                </c:pt>
                <c:pt idx="20">
                  <c:v>1.1429599999999986</c:v>
                </c:pt>
                <c:pt idx="21">
                  <c:v>1.2698200000000011</c:v>
                </c:pt>
                <c:pt idx="22">
                  <c:v>1.2964000000000002</c:v>
                </c:pt>
                <c:pt idx="23">
                  <c:v>1.3374400000000009</c:v>
                </c:pt>
                <c:pt idx="24">
                  <c:v>1.2712400000000006</c:v>
                </c:pt>
                <c:pt idx="25">
                  <c:v>0.86460000000000115</c:v>
                </c:pt>
                <c:pt idx="26">
                  <c:v>0.74245999999999945</c:v>
                </c:pt>
                <c:pt idx="27">
                  <c:v>0.51811999999999969</c:v>
                </c:pt>
                <c:pt idx="28">
                  <c:v>0.47401999999999944</c:v>
                </c:pt>
                <c:pt idx="29">
                  <c:v>0.50914000000000037</c:v>
                </c:pt>
                <c:pt idx="30">
                  <c:v>0.64372000000000007</c:v>
                </c:pt>
                <c:pt idx="31">
                  <c:v>1.1729000000000003</c:v>
                </c:pt>
                <c:pt idx="32">
                  <c:v>0.93034000000000106</c:v>
                </c:pt>
                <c:pt idx="33">
                  <c:v>0.74917999999999907</c:v>
                </c:pt>
                <c:pt idx="34">
                  <c:v>0.69399999999999906</c:v>
                </c:pt>
                <c:pt idx="35">
                  <c:v>1.1722999999999981</c:v>
                </c:pt>
                <c:pt idx="36">
                  <c:v>1.2791399999999999</c:v>
                </c:pt>
                <c:pt idx="37">
                  <c:v>0.95092000000000176</c:v>
                </c:pt>
                <c:pt idx="38">
                  <c:v>0.81763999999999903</c:v>
                </c:pt>
                <c:pt idx="39">
                  <c:v>0.74747999999999948</c:v>
                </c:pt>
                <c:pt idx="40">
                  <c:v>0.65214000000000105</c:v>
                </c:pt>
                <c:pt idx="41">
                  <c:v>0.58227999999999902</c:v>
                </c:pt>
                <c:pt idx="42">
                  <c:v>0.60333999999999932</c:v>
                </c:pt>
                <c:pt idx="43">
                  <c:v>0.64886000000000088</c:v>
                </c:pt>
                <c:pt idx="44">
                  <c:v>0.77224000000000181</c:v>
                </c:pt>
                <c:pt idx="45">
                  <c:v>0.87658000000000058</c:v>
                </c:pt>
                <c:pt idx="46">
                  <c:v>0.88049999999999962</c:v>
                </c:pt>
                <c:pt idx="47">
                  <c:v>0.92659999999999876</c:v>
                </c:pt>
                <c:pt idx="48">
                  <c:v>1.0203600000000002</c:v>
                </c:pt>
                <c:pt idx="49">
                  <c:v>0.87293999999999805</c:v>
                </c:pt>
                <c:pt idx="50">
                  <c:v>0.9767399999999995</c:v>
                </c:pt>
                <c:pt idx="51">
                  <c:v>0.94860000000000078</c:v>
                </c:pt>
                <c:pt idx="52">
                  <c:v>1.3591999999999995</c:v>
                </c:pt>
                <c:pt idx="53">
                  <c:v>1.5167000000000002</c:v>
                </c:pt>
                <c:pt idx="54">
                  <c:v>1.524779999999998</c:v>
                </c:pt>
                <c:pt idx="55">
                  <c:v>1.8313000000000006</c:v>
                </c:pt>
                <c:pt idx="56">
                  <c:v>1.7912200000000009</c:v>
                </c:pt>
                <c:pt idx="57">
                  <c:v>1.9910599999999992</c:v>
                </c:pt>
                <c:pt idx="58">
                  <c:v>1.9532000000000007</c:v>
                </c:pt>
                <c:pt idx="59">
                  <c:v>2.1994399999999983</c:v>
                </c:pt>
                <c:pt idx="60">
                  <c:v>2.0699999999999985</c:v>
                </c:pt>
                <c:pt idx="61">
                  <c:v>1.3948300000000007</c:v>
                </c:pt>
                <c:pt idx="62">
                  <c:v>1.2157999999999998</c:v>
                </c:pt>
                <c:pt idx="63">
                  <c:v>1.2465400000000013</c:v>
                </c:pt>
                <c:pt idx="64">
                  <c:v>1.1635599999999986</c:v>
                </c:pt>
                <c:pt idx="65">
                  <c:v>1.1981599999999997</c:v>
                </c:pt>
                <c:pt idx="66">
                  <c:v>1.191419999999999</c:v>
                </c:pt>
                <c:pt idx="67">
                  <c:v>1.4321400000000004</c:v>
                </c:pt>
                <c:pt idx="68">
                  <c:v>1.4582999999999995</c:v>
                </c:pt>
                <c:pt idx="69">
                  <c:v>0.97284000000000148</c:v>
                </c:pt>
                <c:pt idx="70">
                  <c:v>1.1192400000000013</c:v>
                </c:pt>
                <c:pt idx="71">
                  <c:v>1.0971399999999996</c:v>
                </c:pt>
                <c:pt idx="72">
                  <c:v>1.0564599999999995</c:v>
                </c:pt>
                <c:pt idx="73">
                  <c:v>0.90845999999999982</c:v>
                </c:pt>
                <c:pt idx="74">
                  <c:v>0.89297999999999966</c:v>
                </c:pt>
                <c:pt idx="75">
                  <c:v>0.96731999999999907</c:v>
                </c:pt>
                <c:pt idx="76">
                  <c:v>0.86486000000000018</c:v>
                </c:pt>
                <c:pt idx="77">
                  <c:v>1.7387599999999992</c:v>
                </c:pt>
                <c:pt idx="78">
                  <c:v>0.78068000000000026</c:v>
                </c:pt>
                <c:pt idx="79">
                  <c:v>0.64361999999999853</c:v>
                </c:pt>
                <c:pt idx="80">
                  <c:v>0.53602000000000061</c:v>
                </c:pt>
                <c:pt idx="81">
                  <c:v>0.61309999999999931</c:v>
                </c:pt>
                <c:pt idx="82">
                  <c:v>1.0425599999999999</c:v>
                </c:pt>
                <c:pt idx="83">
                  <c:v>0.82832761904761831</c:v>
                </c:pt>
                <c:pt idx="84">
                  <c:v>1.2549009523809502</c:v>
                </c:pt>
                <c:pt idx="85">
                  <c:v>1.2124100000000038</c:v>
                </c:pt>
                <c:pt idx="86">
                  <c:v>1.0603647619047631</c:v>
                </c:pt>
                <c:pt idx="87">
                  <c:v>0.70182736842105342</c:v>
                </c:pt>
                <c:pt idx="88">
                  <c:v>0.76328105263157653</c:v>
                </c:pt>
                <c:pt idx="89">
                  <c:v>0.82150521739130511</c:v>
                </c:pt>
                <c:pt idx="90">
                  <c:v>1.0039104761904731</c:v>
                </c:pt>
                <c:pt idx="91">
                  <c:v>1.4874850000000048</c:v>
                </c:pt>
                <c:pt idx="92">
                  <c:v>1.7215736363636367</c:v>
                </c:pt>
                <c:pt idx="93">
                  <c:v>1.4891933333333327</c:v>
                </c:pt>
                <c:pt idx="94">
                  <c:v>1.7558109090909113</c:v>
                </c:pt>
                <c:pt idx="95">
                  <c:v>2.0365904761904776</c:v>
                </c:pt>
                <c:pt idx="96">
                  <c:v>2.6034599999999983</c:v>
                </c:pt>
                <c:pt idx="97">
                  <c:v>2.6664849999999998</c:v>
                </c:pt>
                <c:pt idx="98">
                  <c:v>2.7620123809523793</c:v>
                </c:pt>
                <c:pt idx="99">
                  <c:v>2.4042199999999987</c:v>
                </c:pt>
                <c:pt idx="100">
                  <c:v>1.9836315789473691</c:v>
                </c:pt>
                <c:pt idx="101">
                  <c:v>2.5487608695652142</c:v>
                </c:pt>
                <c:pt idx="102">
                  <c:v>2.7027800000000042</c:v>
                </c:pt>
                <c:pt idx="103">
                  <c:v>2.2944238095238099</c:v>
                </c:pt>
                <c:pt idx="104">
                  <c:v>1.2152321428571504</c:v>
                </c:pt>
                <c:pt idx="105">
                  <c:v>1.7139950000000006</c:v>
                </c:pt>
                <c:pt idx="106">
                  <c:v>3.185019565217388</c:v>
                </c:pt>
                <c:pt idx="107">
                  <c:v>3.011611428571431</c:v>
                </c:pt>
                <c:pt idx="108">
                  <c:v>4.5527999999999977</c:v>
                </c:pt>
                <c:pt idx="109">
                  <c:v>3.7366250000000019</c:v>
                </c:pt>
                <c:pt idx="110">
                  <c:v>2.7785999999999973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C-46F4-BCE4-0E4A32AC1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381096"/>
        <c:axId val="453375192"/>
      </c:lineChart>
      <c:lineChart>
        <c:grouping val="standard"/>
        <c:varyColors val="0"/>
        <c:ser>
          <c:idx val="1"/>
          <c:order val="0"/>
          <c:tx>
            <c:v>Soybean Meal</c:v>
          </c:tx>
          <c:spPr>
            <a:ln w="28575" cap="rnd">
              <a:solidFill>
                <a:srgbClr val="C4722E"/>
              </a:solidFill>
              <a:round/>
            </a:ln>
            <a:effectLst/>
          </c:spPr>
          <c:marker>
            <c:symbol val="none"/>
          </c:marker>
          <c:cat>
            <c:numRef>
              <c:f>[1]Prices!$A$528:$A$638</c:f>
              <c:numCache>
                <c:formatCode>General</c:formatCode>
                <c:ptCount val="111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  <c:pt idx="25">
                  <c:v>42309</c:v>
                </c:pt>
                <c:pt idx="26">
                  <c:v>42339</c:v>
                </c:pt>
                <c:pt idx="27">
                  <c:v>42370</c:v>
                </c:pt>
                <c:pt idx="28">
                  <c:v>42401</c:v>
                </c:pt>
                <c:pt idx="29">
                  <c:v>42430</c:v>
                </c:pt>
                <c:pt idx="30">
                  <c:v>42461</c:v>
                </c:pt>
                <c:pt idx="31">
                  <c:v>42491</c:v>
                </c:pt>
                <c:pt idx="32">
                  <c:v>42522</c:v>
                </c:pt>
                <c:pt idx="33">
                  <c:v>42552</c:v>
                </c:pt>
                <c:pt idx="34">
                  <c:v>42583</c:v>
                </c:pt>
                <c:pt idx="35">
                  <c:v>42614</c:v>
                </c:pt>
                <c:pt idx="36">
                  <c:v>42644</c:v>
                </c:pt>
                <c:pt idx="37">
                  <c:v>42675</c:v>
                </c:pt>
                <c:pt idx="38">
                  <c:v>42705</c:v>
                </c:pt>
                <c:pt idx="39">
                  <c:v>42736</c:v>
                </c:pt>
                <c:pt idx="40">
                  <c:v>42767</c:v>
                </c:pt>
                <c:pt idx="41">
                  <c:v>42795</c:v>
                </c:pt>
                <c:pt idx="42">
                  <c:v>42826</c:v>
                </c:pt>
                <c:pt idx="43">
                  <c:v>42856</c:v>
                </c:pt>
                <c:pt idx="44">
                  <c:v>42887</c:v>
                </c:pt>
                <c:pt idx="45">
                  <c:v>42917</c:v>
                </c:pt>
                <c:pt idx="46">
                  <c:v>42948</c:v>
                </c:pt>
                <c:pt idx="47">
                  <c:v>42979</c:v>
                </c:pt>
                <c:pt idx="48">
                  <c:v>43009</c:v>
                </c:pt>
                <c:pt idx="49">
                  <c:v>43040</c:v>
                </c:pt>
                <c:pt idx="50">
                  <c:v>43070</c:v>
                </c:pt>
                <c:pt idx="51">
                  <c:v>43101</c:v>
                </c:pt>
                <c:pt idx="52">
                  <c:v>43132</c:v>
                </c:pt>
                <c:pt idx="53">
                  <c:v>43160</c:v>
                </c:pt>
                <c:pt idx="54">
                  <c:v>43191</c:v>
                </c:pt>
                <c:pt idx="55">
                  <c:v>43221</c:v>
                </c:pt>
                <c:pt idx="56">
                  <c:v>43252</c:v>
                </c:pt>
                <c:pt idx="57">
                  <c:v>43282</c:v>
                </c:pt>
                <c:pt idx="58">
                  <c:v>43313</c:v>
                </c:pt>
                <c:pt idx="59">
                  <c:v>43344</c:v>
                </c:pt>
                <c:pt idx="60">
                  <c:v>43374</c:v>
                </c:pt>
                <c:pt idx="61">
                  <c:v>43405</c:v>
                </c:pt>
                <c:pt idx="62">
                  <c:v>43435</c:v>
                </c:pt>
                <c:pt idx="63">
                  <c:v>43466</c:v>
                </c:pt>
                <c:pt idx="64">
                  <c:v>43497</c:v>
                </c:pt>
                <c:pt idx="65">
                  <c:v>43525</c:v>
                </c:pt>
                <c:pt idx="66">
                  <c:v>43556</c:v>
                </c:pt>
                <c:pt idx="67">
                  <c:v>43586</c:v>
                </c:pt>
                <c:pt idx="68">
                  <c:v>43617</c:v>
                </c:pt>
                <c:pt idx="69">
                  <c:v>43647</c:v>
                </c:pt>
                <c:pt idx="70">
                  <c:v>43678</c:v>
                </c:pt>
                <c:pt idx="71">
                  <c:v>43709</c:v>
                </c:pt>
                <c:pt idx="72">
                  <c:v>43739</c:v>
                </c:pt>
                <c:pt idx="73">
                  <c:v>43770</c:v>
                </c:pt>
                <c:pt idx="74">
                  <c:v>43800</c:v>
                </c:pt>
                <c:pt idx="75">
                  <c:v>43831</c:v>
                </c:pt>
                <c:pt idx="76">
                  <c:v>43862</c:v>
                </c:pt>
                <c:pt idx="77">
                  <c:v>43891</c:v>
                </c:pt>
                <c:pt idx="78">
                  <c:v>43922</c:v>
                </c:pt>
                <c:pt idx="79">
                  <c:v>43952</c:v>
                </c:pt>
                <c:pt idx="80">
                  <c:v>43983</c:v>
                </c:pt>
                <c:pt idx="81">
                  <c:v>44013</c:v>
                </c:pt>
                <c:pt idx="82">
                  <c:v>44044</c:v>
                </c:pt>
                <c:pt idx="83">
                  <c:v>44075</c:v>
                </c:pt>
                <c:pt idx="84">
                  <c:v>44105</c:v>
                </c:pt>
                <c:pt idx="85">
                  <c:v>44136</c:v>
                </c:pt>
                <c:pt idx="86">
                  <c:v>44166</c:v>
                </c:pt>
                <c:pt idx="87">
                  <c:v>44197</c:v>
                </c:pt>
                <c:pt idx="88">
                  <c:v>44228</c:v>
                </c:pt>
                <c:pt idx="89">
                  <c:v>44256</c:v>
                </c:pt>
                <c:pt idx="90">
                  <c:v>44287</c:v>
                </c:pt>
                <c:pt idx="91">
                  <c:v>44317</c:v>
                </c:pt>
                <c:pt idx="92">
                  <c:v>44348</c:v>
                </c:pt>
                <c:pt idx="93">
                  <c:v>44378</c:v>
                </c:pt>
                <c:pt idx="94">
                  <c:v>44409</c:v>
                </c:pt>
                <c:pt idx="95">
                  <c:v>44440</c:v>
                </c:pt>
                <c:pt idx="96">
                  <c:v>44470</c:v>
                </c:pt>
                <c:pt idx="97">
                  <c:v>44501</c:v>
                </c:pt>
                <c:pt idx="98">
                  <c:v>44531</c:v>
                </c:pt>
                <c:pt idx="99">
                  <c:v>44562</c:v>
                </c:pt>
                <c:pt idx="100">
                  <c:v>44593</c:v>
                </c:pt>
                <c:pt idx="101">
                  <c:v>44621</c:v>
                </c:pt>
                <c:pt idx="102">
                  <c:v>44652</c:v>
                </c:pt>
                <c:pt idx="103">
                  <c:v>44682</c:v>
                </c:pt>
                <c:pt idx="104">
                  <c:v>44713</c:v>
                </c:pt>
                <c:pt idx="105">
                  <c:v>44743</c:v>
                </c:pt>
                <c:pt idx="106">
                  <c:v>44774</c:v>
                </c:pt>
                <c:pt idx="107">
                  <c:v>44805</c:v>
                </c:pt>
                <c:pt idx="108">
                  <c:v>44835</c:v>
                </c:pt>
                <c:pt idx="109">
                  <c:v>44866</c:v>
                </c:pt>
                <c:pt idx="110">
                  <c:v>44896</c:v>
                </c:pt>
              </c:numCache>
            </c:numRef>
          </c:cat>
          <c:val>
            <c:numRef>
              <c:f>[1]Prices!$K$528:$K$638</c:f>
              <c:numCache>
                <c:formatCode>General</c:formatCode>
                <c:ptCount val="111"/>
                <c:pt idx="0">
                  <c:v>443.63</c:v>
                </c:pt>
                <c:pt idx="1">
                  <c:v>451.13</c:v>
                </c:pt>
                <c:pt idx="2">
                  <c:v>498.1</c:v>
                </c:pt>
                <c:pt idx="3">
                  <c:v>479.54</c:v>
                </c:pt>
                <c:pt idx="4">
                  <c:v>509.25</c:v>
                </c:pt>
                <c:pt idx="5">
                  <c:v>495.71</c:v>
                </c:pt>
                <c:pt idx="6">
                  <c:v>514.01</c:v>
                </c:pt>
                <c:pt idx="7">
                  <c:v>519.38</c:v>
                </c:pt>
                <c:pt idx="8">
                  <c:v>501.72</c:v>
                </c:pt>
                <c:pt idx="9">
                  <c:v>450.79</c:v>
                </c:pt>
                <c:pt idx="10">
                  <c:v>490.32</c:v>
                </c:pt>
                <c:pt idx="11">
                  <c:v>525.72</c:v>
                </c:pt>
                <c:pt idx="12">
                  <c:v>381.5</c:v>
                </c:pt>
                <c:pt idx="13">
                  <c:v>441.39</c:v>
                </c:pt>
                <c:pt idx="14">
                  <c:v>431.73</c:v>
                </c:pt>
                <c:pt idx="15">
                  <c:v>380.02</c:v>
                </c:pt>
                <c:pt idx="16">
                  <c:v>370.38</c:v>
                </c:pt>
                <c:pt idx="17">
                  <c:v>357.83</c:v>
                </c:pt>
                <c:pt idx="18">
                  <c:v>336.61</c:v>
                </c:pt>
                <c:pt idx="19">
                  <c:v>320.23</c:v>
                </c:pt>
                <c:pt idx="20">
                  <c:v>335.03</c:v>
                </c:pt>
                <c:pt idx="21">
                  <c:v>375.71</c:v>
                </c:pt>
                <c:pt idx="22">
                  <c:v>357.85</c:v>
                </c:pt>
                <c:pt idx="23">
                  <c:v>333.62</c:v>
                </c:pt>
                <c:pt idx="24">
                  <c:v>327.97</c:v>
                </c:pt>
                <c:pt idx="25">
                  <c:v>308.60000000000002</c:v>
                </c:pt>
                <c:pt idx="26">
                  <c:v>289.77999999999997</c:v>
                </c:pt>
                <c:pt idx="27">
                  <c:v>279.56</c:v>
                </c:pt>
                <c:pt idx="28">
                  <c:v>273.61</c:v>
                </c:pt>
                <c:pt idx="29">
                  <c:v>276.22000000000003</c:v>
                </c:pt>
                <c:pt idx="30">
                  <c:v>303.81</c:v>
                </c:pt>
                <c:pt idx="31">
                  <c:v>376.35</c:v>
                </c:pt>
                <c:pt idx="32">
                  <c:v>408.57</c:v>
                </c:pt>
                <c:pt idx="33">
                  <c:v>371.49</c:v>
                </c:pt>
                <c:pt idx="34">
                  <c:v>340.8</c:v>
                </c:pt>
                <c:pt idx="35">
                  <c:v>337.95</c:v>
                </c:pt>
                <c:pt idx="36">
                  <c:v>323.27</c:v>
                </c:pt>
                <c:pt idx="37">
                  <c:v>322.41000000000003</c:v>
                </c:pt>
                <c:pt idx="38">
                  <c:v>321.02</c:v>
                </c:pt>
                <c:pt idx="39">
                  <c:v>332.34</c:v>
                </c:pt>
                <c:pt idx="40">
                  <c:v>334.42</c:v>
                </c:pt>
                <c:pt idx="41">
                  <c:v>320.33999999999997</c:v>
                </c:pt>
                <c:pt idx="42">
                  <c:v>305.67</c:v>
                </c:pt>
                <c:pt idx="43">
                  <c:v>307.63</c:v>
                </c:pt>
                <c:pt idx="44">
                  <c:v>300.72000000000003</c:v>
                </c:pt>
                <c:pt idx="45">
                  <c:v>326.04000000000002</c:v>
                </c:pt>
                <c:pt idx="46">
                  <c:v>301.05</c:v>
                </c:pt>
                <c:pt idx="47">
                  <c:v>307.7</c:v>
                </c:pt>
                <c:pt idx="48">
                  <c:v>315.23</c:v>
                </c:pt>
                <c:pt idx="49">
                  <c:v>313.52</c:v>
                </c:pt>
                <c:pt idx="50">
                  <c:v>319.22000000000003</c:v>
                </c:pt>
                <c:pt idx="51">
                  <c:v>322.60000000000002</c:v>
                </c:pt>
                <c:pt idx="52">
                  <c:v>362.85</c:v>
                </c:pt>
                <c:pt idx="53">
                  <c:v>379.85</c:v>
                </c:pt>
                <c:pt idx="54">
                  <c:v>385.84</c:v>
                </c:pt>
                <c:pt idx="55">
                  <c:v>393.55</c:v>
                </c:pt>
                <c:pt idx="56">
                  <c:v>355.71</c:v>
                </c:pt>
                <c:pt idx="57">
                  <c:v>341.08</c:v>
                </c:pt>
                <c:pt idx="58">
                  <c:v>332.5</c:v>
                </c:pt>
                <c:pt idx="59">
                  <c:v>318.32</c:v>
                </c:pt>
                <c:pt idx="60">
                  <c:v>319.14999999999998</c:v>
                </c:pt>
                <c:pt idx="61">
                  <c:v>310.61500000000001</c:v>
                </c:pt>
                <c:pt idx="62">
                  <c:v>311.7</c:v>
                </c:pt>
                <c:pt idx="63">
                  <c:v>314.92</c:v>
                </c:pt>
                <c:pt idx="64">
                  <c:v>306.83</c:v>
                </c:pt>
                <c:pt idx="65">
                  <c:v>306.38</c:v>
                </c:pt>
                <c:pt idx="66">
                  <c:v>304.26</c:v>
                </c:pt>
                <c:pt idx="67">
                  <c:v>297.52</c:v>
                </c:pt>
                <c:pt idx="68">
                  <c:v>324.75</c:v>
                </c:pt>
                <c:pt idx="69">
                  <c:v>310.77</c:v>
                </c:pt>
                <c:pt idx="70">
                  <c:v>296.92</c:v>
                </c:pt>
                <c:pt idx="71">
                  <c:v>295.57</c:v>
                </c:pt>
                <c:pt idx="72">
                  <c:v>309.48</c:v>
                </c:pt>
                <c:pt idx="73">
                  <c:v>303.13</c:v>
                </c:pt>
                <c:pt idx="74">
                  <c:v>299.58999999999997</c:v>
                </c:pt>
                <c:pt idx="75">
                  <c:v>300.11</c:v>
                </c:pt>
                <c:pt idx="76">
                  <c:v>295.27999999999997</c:v>
                </c:pt>
                <c:pt idx="77">
                  <c:v>312.38</c:v>
                </c:pt>
                <c:pt idx="78">
                  <c:v>295.39</c:v>
                </c:pt>
                <c:pt idx="79">
                  <c:v>288.56</c:v>
                </c:pt>
                <c:pt idx="80">
                  <c:v>288.66000000000003</c:v>
                </c:pt>
                <c:pt idx="81">
                  <c:v>291.25</c:v>
                </c:pt>
                <c:pt idx="82">
                  <c:v>290.18</c:v>
                </c:pt>
                <c:pt idx="83">
                  <c:v>319.99</c:v>
                </c:pt>
                <c:pt idx="84">
                  <c:v>367.11</c:v>
                </c:pt>
                <c:pt idx="85">
                  <c:v>387.83</c:v>
                </c:pt>
                <c:pt idx="86">
                  <c:v>396.68</c:v>
                </c:pt>
                <c:pt idx="87">
                  <c:v>439.24</c:v>
                </c:pt>
                <c:pt idx="88">
                  <c:v>427.28</c:v>
                </c:pt>
                <c:pt idx="89">
                  <c:v>410.02</c:v>
                </c:pt>
                <c:pt idx="90">
                  <c:v>413.36</c:v>
                </c:pt>
                <c:pt idx="91">
                  <c:v>421.03</c:v>
                </c:pt>
                <c:pt idx="92">
                  <c:v>378.18</c:v>
                </c:pt>
                <c:pt idx="93">
                  <c:v>365.23</c:v>
                </c:pt>
                <c:pt idx="94">
                  <c:v>358.21</c:v>
                </c:pt>
                <c:pt idx="95">
                  <c:v>343.55</c:v>
                </c:pt>
                <c:pt idx="96">
                  <c:v>325.43</c:v>
                </c:pt>
                <c:pt idx="97">
                  <c:v>358.73</c:v>
                </c:pt>
                <c:pt idx="98">
                  <c:v>399.53</c:v>
                </c:pt>
                <c:pt idx="99">
                  <c:v>421.21</c:v>
                </c:pt>
                <c:pt idx="100">
                  <c:v>460.45</c:v>
                </c:pt>
                <c:pt idx="101">
                  <c:v>493.97500000000002</c:v>
                </c:pt>
                <c:pt idx="102">
                  <c:v>475.35999999999996</c:v>
                </c:pt>
                <c:pt idx="103">
                  <c:v>441.27499999999998</c:v>
                </c:pt>
                <c:pt idx="104">
                  <c:v>445.92499999999995</c:v>
                </c:pt>
                <c:pt idx="105">
                  <c:v>467.87</c:v>
                </c:pt>
                <c:pt idx="106">
                  <c:v>510.90000000000009</c:v>
                </c:pt>
                <c:pt idx="107">
                  <c:v>473.94</c:v>
                </c:pt>
                <c:pt idx="108">
                  <c:v>468.67499999999995</c:v>
                </c:pt>
                <c:pt idx="109">
                  <c:v>436.74999999999994</c:v>
                </c:pt>
                <c:pt idx="110">
                  <c:v>462.85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C-46F4-BCE4-0E4A32AC1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610264"/>
        <c:axId val="1192613872"/>
      </c:lineChart>
      <c:catAx>
        <c:axId val="45338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3375192"/>
        <c:crosses val="autoZero"/>
        <c:auto val="1"/>
        <c:lblAlgn val="ctr"/>
        <c:lblOffset val="100"/>
        <c:tickLblSkip val="12"/>
        <c:noMultiLvlLbl val="1"/>
      </c:catAx>
      <c:valAx>
        <c:axId val="45337519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(dollars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per bushel)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094570771307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3381096"/>
        <c:crosses val="autoZero"/>
        <c:crossBetween val="between"/>
      </c:valAx>
      <c:valAx>
        <c:axId val="1192613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(dollars per short 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2610264"/>
        <c:crosses val="max"/>
        <c:crossBetween val="between"/>
      </c:valAx>
      <c:catAx>
        <c:axId val="1192610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2613872"/>
        <c:crosses val="autoZero"/>
        <c:auto val="1"/>
        <c:lblAlgn val="ctr"/>
        <c:lblOffset val="100"/>
        <c:noMultiLvlLbl val="1"/>
      </c:cat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3114473078026731"/>
          <c:y val="0.20050428643469489"/>
          <c:w val="0.42780383144183198"/>
          <c:h val="0.11441562725013356"/>
        </c:manualLayout>
      </c:layout>
      <c:overlay val="0"/>
      <c:spPr>
        <a:solidFill>
          <a:schemeClr val="bg1"/>
        </a:solidFill>
        <a:ln w="2222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Soybean Oil Price and Crush Margins - </a:t>
            </a:r>
          </a:p>
          <a:p>
            <a:pPr>
              <a:defRPr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Central Illinois</a:t>
            </a:r>
            <a:r>
              <a:rPr lang="en-US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(AMS)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30206801072943"/>
          <c:y val="0.11821029935554576"/>
          <c:w val="0.81459132992991268"/>
          <c:h val="0.81461858871271953"/>
        </c:manualLayout>
      </c:layout>
      <c:lineChart>
        <c:grouping val="standard"/>
        <c:varyColors val="0"/>
        <c:ser>
          <c:idx val="0"/>
          <c:order val="0"/>
          <c:tx>
            <c:v>Crush Margin</c:v>
          </c:tx>
          <c:spPr>
            <a:ln w="28575" cap="rnd">
              <a:solidFill>
                <a:srgbClr val="D7BA2F"/>
              </a:solidFill>
              <a:round/>
            </a:ln>
            <a:effectLst/>
          </c:spPr>
          <c:marker>
            <c:symbol val="none"/>
          </c:marker>
          <c:cat>
            <c:numRef>
              <c:f>[1]Prices!$A$528:$A$638</c:f>
              <c:numCache>
                <c:formatCode>General</c:formatCode>
                <c:ptCount val="111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3">
                  <c:v>41944</c:v>
                </c:pt>
                <c:pt idx="14">
                  <c:v>41974</c:v>
                </c:pt>
                <c:pt idx="15">
                  <c:v>42005</c:v>
                </c:pt>
                <c:pt idx="16">
                  <c:v>42036</c:v>
                </c:pt>
                <c:pt idx="17">
                  <c:v>42064</c:v>
                </c:pt>
                <c:pt idx="18">
                  <c:v>42095</c:v>
                </c:pt>
                <c:pt idx="19">
                  <c:v>42125</c:v>
                </c:pt>
                <c:pt idx="20">
                  <c:v>42156</c:v>
                </c:pt>
                <c:pt idx="21">
                  <c:v>42186</c:v>
                </c:pt>
                <c:pt idx="22">
                  <c:v>42217</c:v>
                </c:pt>
                <c:pt idx="23">
                  <c:v>42248</c:v>
                </c:pt>
                <c:pt idx="24">
                  <c:v>42278</c:v>
                </c:pt>
                <c:pt idx="25">
                  <c:v>42309</c:v>
                </c:pt>
                <c:pt idx="26">
                  <c:v>42339</c:v>
                </c:pt>
                <c:pt idx="27">
                  <c:v>42370</c:v>
                </c:pt>
                <c:pt idx="28">
                  <c:v>42401</c:v>
                </c:pt>
                <c:pt idx="29">
                  <c:v>42430</c:v>
                </c:pt>
                <c:pt idx="30">
                  <c:v>42461</c:v>
                </c:pt>
                <c:pt idx="31">
                  <c:v>42491</c:v>
                </c:pt>
                <c:pt idx="32">
                  <c:v>42522</c:v>
                </c:pt>
                <c:pt idx="33">
                  <c:v>42552</c:v>
                </c:pt>
                <c:pt idx="34">
                  <c:v>42583</c:v>
                </c:pt>
                <c:pt idx="35">
                  <c:v>42614</c:v>
                </c:pt>
                <c:pt idx="36">
                  <c:v>42644</c:v>
                </c:pt>
                <c:pt idx="37">
                  <c:v>42675</c:v>
                </c:pt>
                <c:pt idx="38">
                  <c:v>42705</c:v>
                </c:pt>
                <c:pt idx="39">
                  <c:v>42736</c:v>
                </c:pt>
                <c:pt idx="40">
                  <c:v>42767</c:v>
                </c:pt>
                <c:pt idx="41">
                  <c:v>42795</c:v>
                </c:pt>
                <c:pt idx="42">
                  <c:v>42826</c:v>
                </c:pt>
                <c:pt idx="43">
                  <c:v>42856</c:v>
                </c:pt>
                <c:pt idx="44">
                  <c:v>42887</c:v>
                </c:pt>
                <c:pt idx="45">
                  <c:v>42917</c:v>
                </c:pt>
                <c:pt idx="46">
                  <c:v>42948</c:v>
                </c:pt>
                <c:pt idx="47">
                  <c:v>42979</c:v>
                </c:pt>
                <c:pt idx="48">
                  <c:v>43009</c:v>
                </c:pt>
                <c:pt idx="49">
                  <c:v>43040</c:v>
                </c:pt>
                <c:pt idx="50">
                  <c:v>43070</c:v>
                </c:pt>
                <c:pt idx="51">
                  <c:v>43101</c:v>
                </c:pt>
                <c:pt idx="52">
                  <c:v>43132</c:v>
                </c:pt>
                <c:pt idx="53">
                  <c:v>43160</c:v>
                </c:pt>
                <c:pt idx="54">
                  <c:v>43191</c:v>
                </c:pt>
                <c:pt idx="55">
                  <c:v>43221</c:v>
                </c:pt>
                <c:pt idx="56">
                  <c:v>43252</c:v>
                </c:pt>
                <c:pt idx="57">
                  <c:v>43282</c:v>
                </c:pt>
                <c:pt idx="58">
                  <c:v>43313</c:v>
                </c:pt>
                <c:pt idx="59">
                  <c:v>43344</c:v>
                </c:pt>
                <c:pt idx="60">
                  <c:v>43374</c:v>
                </c:pt>
                <c:pt idx="61">
                  <c:v>43405</c:v>
                </c:pt>
                <c:pt idx="62">
                  <c:v>43435</c:v>
                </c:pt>
                <c:pt idx="63">
                  <c:v>43466</c:v>
                </c:pt>
                <c:pt idx="64">
                  <c:v>43497</c:v>
                </c:pt>
                <c:pt idx="65">
                  <c:v>43525</c:v>
                </c:pt>
                <c:pt idx="66">
                  <c:v>43556</c:v>
                </c:pt>
                <c:pt idx="67">
                  <c:v>43586</c:v>
                </c:pt>
                <c:pt idx="68">
                  <c:v>43617</c:v>
                </c:pt>
                <c:pt idx="69">
                  <c:v>43647</c:v>
                </c:pt>
                <c:pt idx="70">
                  <c:v>43678</c:v>
                </c:pt>
                <c:pt idx="71">
                  <c:v>43709</c:v>
                </c:pt>
                <c:pt idx="72">
                  <c:v>43739</c:v>
                </c:pt>
                <c:pt idx="73">
                  <c:v>43770</c:v>
                </c:pt>
                <c:pt idx="74">
                  <c:v>43800</c:v>
                </c:pt>
                <c:pt idx="75">
                  <c:v>43831</c:v>
                </c:pt>
                <c:pt idx="76">
                  <c:v>43862</c:v>
                </c:pt>
                <c:pt idx="77">
                  <c:v>43891</c:v>
                </c:pt>
                <c:pt idx="78">
                  <c:v>43922</c:v>
                </c:pt>
                <c:pt idx="79">
                  <c:v>43952</c:v>
                </c:pt>
                <c:pt idx="80">
                  <c:v>43983</c:v>
                </c:pt>
                <c:pt idx="81">
                  <c:v>44013</c:v>
                </c:pt>
                <c:pt idx="82">
                  <c:v>44044</c:v>
                </c:pt>
                <c:pt idx="83">
                  <c:v>44075</c:v>
                </c:pt>
                <c:pt idx="84">
                  <c:v>44105</c:v>
                </c:pt>
                <c:pt idx="85">
                  <c:v>44136</c:v>
                </c:pt>
                <c:pt idx="86">
                  <c:v>44166</c:v>
                </c:pt>
                <c:pt idx="87">
                  <c:v>44197</c:v>
                </c:pt>
                <c:pt idx="88">
                  <c:v>44228</c:v>
                </c:pt>
                <c:pt idx="89">
                  <c:v>44256</c:v>
                </c:pt>
                <c:pt idx="90">
                  <c:v>44287</c:v>
                </c:pt>
                <c:pt idx="91">
                  <c:v>44317</c:v>
                </c:pt>
                <c:pt idx="92">
                  <c:v>44348</c:v>
                </c:pt>
                <c:pt idx="93">
                  <c:v>44378</c:v>
                </c:pt>
                <c:pt idx="94">
                  <c:v>44409</c:v>
                </c:pt>
                <c:pt idx="95">
                  <c:v>44440</c:v>
                </c:pt>
                <c:pt idx="96">
                  <c:v>44470</c:v>
                </c:pt>
                <c:pt idx="97">
                  <c:v>44501</c:v>
                </c:pt>
                <c:pt idx="98">
                  <c:v>44531</c:v>
                </c:pt>
                <c:pt idx="99">
                  <c:v>44562</c:v>
                </c:pt>
                <c:pt idx="100">
                  <c:v>44593</c:v>
                </c:pt>
                <c:pt idx="101">
                  <c:v>44621</c:v>
                </c:pt>
                <c:pt idx="102">
                  <c:v>44652</c:v>
                </c:pt>
                <c:pt idx="103">
                  <c:v>44682</c:v>
                </c:pt>
                <c:pt idx="104">
                  <c:v>44713</c:v>
                </c:pt>
                <c:pt idx="105">
                  <c:v>44743</c:v>
                </c:pt>
                <c:pt idx="106">
                  <c:v>44774</c:v>
                </c:pt>
                <c:pt idx="107">
                  <c:v>44805</c:v>
                </c:pt>
                <c:pt idx="108">
                  <c:v>44835</c:v>
                </c:pt>
                <c:pt idx="109">
                  <c:v>44866</c:v>
                </c:pt>
                <c:pt idx="110">
                  <c:v>44896</c:v>
                </c:pt>
              </c:numCache>
            </c:numRef>
          </c:cat>
          <c:val>
            <c:numRef>
              <c:f>[1]Prices!$M$528:$M$638</c:f>
              <c:numCache>
                <c:formatCode>General</c:formatCode>
                <c:ptCount val="111"/>
                <c:pt idx="0">
                  <c:v>1.1824600000000007</c:v>
                </c:pt>
                <c:pt idx="1">
                  <c:v>1.2086599999999983</c:v>
                </c:pt>
                <c:pt idx="2">
                  <c:v>1.6975000000000016</c:v>
                </c:pt>
                <c:pt idx="3">
                  <c:v>1.3643800000000006</c:v>
                </c:pt>
                <c:pt idx="4">
                  <c:v>1.6129999999999995</c:v>
                </c:pt>
                <c:pt idx="5">
                  <c:v>0.98841999999999786</c:v>
                </c:pt>
                <c:pt idx="6">
                  <c:v>0.78431999999999746</c:v>
                </c:pt>
                <c:pt idx="7">
                  <c:v>0.67975999999999992</c:v>
                </c:pt>
                <c:pt idx="8">
                  <c:v>0.7454400000000021</c:v>
                </c:pt>
                <c:pt idx="9">
                  <c:v>0.90668000000000148</c:v>
                </c:pt>
                <c:pt idx="10">
                  <c:v>1.773439999999999</c:v>
                </c:pt>
                <c:pt idx="11">
                  <c:v>4.2222400000000029</c:v>
                </c:pt>
                <c:pt idx="12">
                  <c:v>2.5175000000000018</c:v>
                </c:pt>
                <c:pt idx="13">
                  <c:v>3.0794800000000002</c:v>
                </c:pt>
                <c:pt idx="14">
                  <c:v>2.7165600000000012</c:v>
                </c:pt>
                <c:pt idx="15">
                  <c:v>1.8354399999999984</c:v>
                </c:pt>
                <c:pt idx="16">
                  <c:v>1.5792599999999997</c:v>
                </c:pt>
                <c:pt idx="17">
                  <c:v>1.3674600000000012</c:v>
                </c:pt>
                <c:pt idx="18">
                  <c:v>0.95031999999999961</c:v>
                </c:pt>
                <c:pt idx="19">
                  <c:v>0.84356000000000009</c:v>
                </c:pt>
                <c:pt idx="20">
                  <c:v>1.1429599999999986</c:v>
                </c:pt>
                <c:pt idx="21">
                  <c:v>1.2698200000000011</c:v>
                </c:pt>
                <c:pt idx="22">
                  <c:v>1.2964000000000002</c:v>
                </c:pt>
                <c:pt idx="23">
                  <c:v>1.3374400000000009</c:v>
                </c:pt>
                <c:pt idx="24">
                  <c:v>1.2712400000000006</c:v>
                </c:pt>
                <c:pt idx="25">
                  <c:v>0.86460000000000115</c:v>
                </c:pt>
                <c:pt idx="26">
                  <c:v>0.74245999999999945</c:v>
                </c:pt>
                <c:pt idx="27">
                  <c:v>0.51811999999999969</c:v>
                </c:pt>
                <c:pt idx="28">
                  <c:v>0.47401999999999944</c:v>
                </c:pt>
                <c:pt idx="29">
                  <c:v>0.50914000000000037</c:v>
                </c:pt>
                <c:pt idx="30">
                  <c:v>0.64372000000000007</c:v>
                </c:pt>
                <c:pt idx="31">
                  <c:v>1.1729000000000003</c:v>
                </c:pt>
                <c:pt idx="32">
                  <c:v>0.93034000000000106</c:v>
                </c:pt>
                <c:pt idx="33">
                  <c:v>0.74917999999999907</c:v>
                </c:pt>
                <c:pt idx="34">
                  <c:v>0.69399999999999906</c:v>
                </c:pt>
                <c:pt idx="35">
                  <c:v>1.1722999999999981</c:v>
                </c:pt>
                <c:pt idx="36">
                  <c:v>1.2791399999999999</c:v>
                </c:pt>
                <c:pt idx="37">
                  <c:v>0.95092000000000176</c:v>
                </c:pt>
                <c:pt idx="38">
                  <c:v>0.81763999999999903</c:v>
                </c:pt>
                <c:pt idx="39">
                  <c:v>0.74747999999999948</c:v>
                </c:pt>
                <c:pt idx="40">
                  <c:v>0.65214000000000105</c:v>
                </c:pt>
                <c:pt idx="41">
                  <c:v>0.58227999999999902</c:v>
                </c:pt>
                <c:pt idx="42">
                  <c:v>0.60333999999999932</c:v>
                </c:pt>
                <c:pt idx="43">
                  <c:v>0.64886000000000088</c:v>
                </c:pt>
                <c:pt idx="44">
                  <c:v>0.77224000000000181</c:v>
                </c:pt>
                <c:pt idx="45">
                  <c:v>0.87658000000000058</c:v>
                </c:pt>
                <c:pt idx="46">
                  <c:v>0.88049999999999962</c:v>
                </c:pt>
                <c:pt idx="47">
                  <c:v>0.92659999999999876</c:v>
                </c:pt>
                <c:pt idx="48">
                  <c:v>1.0203600000000002</c:v>
                </c:pt>
                <c:pt idx="49">
                  <c:v>0.87293999999999805</c:v>
                </c:pt>
                <c:pt idx="50">
                  <c:v>0.9767399999999995</c:v>
                </c:pt>
                <c:pt idx="51">
                  <c:v>0.94860000000000078</c:v>
                </c:pt>
                <c:pt idx="52">
                  <c:v>1.3591999999999995</c:v>
                </c:pt>
                <c:pt idx="53">
                  <c:v>1.5167000000000002</c:v>
                </c:pt>
                <c:pt idx="54">
                  <c:v>1.524779999999998</c:v>
                </c:pt>
                <c:pt idx="55">
                  <c:v>1.8313000000000006</c:v>
                </c:pt>
                <c:pt idx="56">
                  <c:v>1.7912200000000009</c:v>
                </c:pt>
                <c:pt idx="57">
                  <c:v>1.9910599999999992</c:v>
                </c:pt>
                <c:pt idx="58">
                  <c:v>1.9532000000000007</c:v>
                </c:pt>
                <c:pt idx="59">
                  <c:v>2.1994399999999983</c:v>
                </c:pt>
                <c:pt idx="60">
                  <c:v>2.0699999999999985</c:v>
                </c:pt>
                <c:pt idx="61">
                  <c:v>1.3948300000000007</c:v>
                </c:pt>
                <c:pt idx="62">
                  <c:v>1.2157999999999998</c:v>
                </c:pt>
                <c:pt idx="63">
                  <c:v>1.2465400000000013</c:v>
                </c:pt>
                <c:pt idx="64">
                  <c:v>1.1635599999999986</c:v>
                </c:pt>
                <c:pt idx="65">
                  <c:v>1.1981599999999997</c:v>
                </c:pt>
                <c:pt idx="66">
                  <c:v>1.191419999999999</c:v>
                </c:pt>
                <c:pt idx="67">
                  <c:v>1.4321400000000004</c:v>
                </c:pt>
                <c:pt idx="68">
                  <c:v>1.4582999999999995</c:v>
                </c:pt>
                <c:pt idx="69">
                  <c:v>0.97284000000000148</c:v>
                </c:pt>
                <c:pt idx="70">
                  <c:v>1.1192400000000013</c:v>
                </c:pt>
                <c:pt idx="71">
                  <c:v>1.0971399999999996</c:v>
                </c:pt>
                <c:pt idx="72">
                  <c:v>1.0564599999999995</c:v>
                </c:pt>
                <c:pt idx="73">
                  <c:v>0.90845999999999982</c:v>
                </c:pt>
                <c:pt idx="74">
                  <c:v>0.89297999999999966</c:v>
                </c:pt>
                <c:pt idx="75">
                  <c:v>0.96731999999999907</c:v>
                </c:pt>
                <c:pt idx="76">
                  <c:v>0.86486000000000018</c:v>
                </c:pt>
                <c:pt idx="77">
                  <c:v>1.7387599999999992</c:v>
                </c:pt>
                <c:pt idx="78">
                  <c:v>0.78068000000000026</c:v>
                </c:pt>
                <c:pt idx="79">
                  <c:v>0.64361999999999853</c:v>
                </c:pt>
                <c:pt idx="80">
                  <c:v>0.53602000000000061</c:v>
                </c:pt>
                <c:pt idx="81">
                  <c:v>0.61309999999999931</c:v>
                </c:pt>
                <c:pt idx="82">
                  <c:v>1.0425599999999999</c:v>
                </c:pt>
                <c:pt idx="83">
                  <c:v>0.82832761904761831</c:v>
                </c:pt>
                <c:pt idx="84">
                  <c:v>1.2549009523809502</c:v>
                </c:pt>
                <c:pt idx="85">
                  <c:v>1.2124100000000038</c:v>
                </c:pt>
                <c:pt idx="86">
                  <c:v>1.0603647619047631</c:v>
                </c:pt>
                <c:pt idx="87">
                  <c:v>0.70182736842105342</c:v>
                </c:pt>
                <c:pt idx="88">
                  <c:v>0.76328105263157653</c:v>
                </c:pt>
                <c:pt idx="89">
                  <c:v>0.82150521739130511</c:v>
                </c:pt>
                <c:pt idx="90">
                  <c:v>1.0039104761904731</c:v>
                </c:pt>
                <c:pt idx="91">
                  <c:v>1.4874850000000048</c:v>
                </c:pt>
                <c:pt idx="92">
                  <c:v>1.7215736363636367</c:v>
                </c:pt>
                <c:pt idx="93">
                  <c:v>1.4891933333333327</c:v>
                </c:pt>
                <c:pt idx="94">
                  <c:v>1.7558109090909113</c:v>
                </c:pt>
                <c:pt idx="95">
                  <c:v>2.0365904761904776</c:v>
                </c:pt>
                <c:pt idx="96">
                  <c:v>2.6034599999999983</c:v>
                </c:pt>
                <c:pt idx="97">
                  <c:v>2.6664849999999998</c:v>
                </c:pt>
                <c:pt idx="98">
                  <c:v>2.7620123809523793</c:v>
                </c:pt>
                <c:pt idx="99">
                  <c:v>2.4042199999999987</c:v>
                </c:pt>
                <c:pt idx="100">
                  <c:v>1.9836315789473691</c:v>
                </c:pt>
                <c:pt idx="101">
                  <c:v>2.5487608695652142</c:v>
                </c:pt>
                <c:pt idx="102">
                  <c:v>2.7027800000000042</c:v>
                </c:pt>
                <c:pt idx="103">
                  <c:v>2.2944238095238099</c:v>
                </c:pt>
                <c:pt idx="104">
                  <c:v>1.2152321428571504</c:v>
                </c:pt>
                <c:pt idx="105">
                  <c:v>1.7139950000000006</c:v>
                </c:pt>
                <c:pt idx="106">
                  <c:v>3.185019565217388</c:v>
                </c:pt>
                <c:pt idx="107">
                  <c:v>3.011611428571431</c:v>
                </c:pt>
                <c:pt idx="108">
                  <c:v>4.5527999999999977</c:v>
                </c:pt>
                <c:pt idx="109">
                  <c:v>3.7366250000000019</c:v>
                </c:pt>
                <c:pt idx="110">
                  <c:v>2.7785999999999973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6-4E7F-852E-A2F1BC2A8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381096"/>
        <c:axId val="453375192"/>
      </c:lineChart>
      <c:lineChart>
        <c:grouping val="standard"/>
        <c:varyColors val="0"/>
        <c:ser>
          <c:idx val="1"/>
          <c:order val="1"/>
          <c:tx>
            <c:v>Soybean Oil</c:v>
          </c:tx>
          <c:spPr>
            <a:ln w="28575" cap="rnd">
              <a:solidFill>
                <a:srgbClr val="C4722E"/>
              </a:solidFill>
              <a:round/>
            </a:ln>
            <a:effectLst/>
          </c:spPr>
          <c:marker>
            <c:symbol val="none"/>
          </c:marker>
          <c:val>
            <c:numRef>
              <c:f>[1]Prices!$L$528:$L$638</c:f>
              <c:numCache>
                <c:formatCode>General</c:formatCode>
                <c:ptCount val="111"/>
                <c:pt idx="0">
                  <c:v>39.659999999999997</c:v>
                </c:pt>
                <c:pt idx="1">
                  <c:v>39.58</c:v>
                </c:pt>
                <c:pt idx="2">
                  <c:v>37.630000000000003</c:v>
                </c:pt>
                <c:pt idx="3">
                  <c:v>34.950000000000003</c:v>
                </c:pt>
                <c:pt idx="4">
                  <c:v>37.11</c:v>
                </c:pt>
                <c:pt idx="5">
                  <c:v>40.82</c:v>
                </c:pt>
                <c:pt idx="6">
                  <c:v>41.87</c:v>
                </c:pt>
                <c:pt idx="7">
                  <c:v>40.68</c:v>
                </c:pt>
                <c:pt idx="8">
                  <c:v>39.840000000000003</c:v>
                </c:pt>
                <c:pt idx="9">
                  <c:v>37.6</c:v>
                </c:pt>
                <c:pt idx="10">
                  <c:v>35.04</c:v>
                </c:pt>
                <c:pt idx="11">
                  <c:v>33.99</c:v>
                </c:pt>
                <c:pt idx="12">
                  <c:v>34.1</c:v>
                </c:pt>
                <c:pt idx="13">
                  <c:v>33.450000000000003</c:v>
                </c:pt>
                <c:pt idx="14">
                  <c:v>32.56</c:v>
                </c:pt>
                <c:pt idx="15">
                  <c:v>32.33</c:v>
                </c:pt>
                <c:pt idx="16">
                  <c:v>31.57</c:v>
                </c:pt>
                <c:pt idx="17">
                  <c:v>30.89</c:v>
                </c:pt>
                <c:pt idx="18">
                  <c:v>31.13</c:v>
                </c:pt>
                <c:pt idx="19">
                  <c:v>32.65</c:v>
                </c:pt>
                <c:pt idx="20">
                  <c:v>33.729999999999997</c:v>
                </c:pt>
                <c:pt idx="21">
                  <c:v>31.54</c:v>
                </c:pt>
                <c:pt idx="22">
                  <c:v>28.87</c:v>
                </c:pt>
                <c:pt idx="23">
                  <c:v>26.43</c:v>
                </c:pt>
                <c:pt idx="24">
                  <c:v>27.14</c:v>
                </c:pt>
                <c:pt idx="25">
                  <c:v>26.42</c:v>
                </c:pt>
                <c:pt idx="26">
                  <c:v>29.72</c:v>
                </c:pt>
                <c:pt idx="27">
                  <c:v>28.89</c:v>
                </c:pt>
                <c:pt idx="28">
                  <c:v>29.79</c:v>
                </c:pt>
                <c:pt idx="29">
                  <c:v>30.86</c:v>
                </c:pt>
                <c:pt idx="30">
                  <c:v>32.450000000000003</c:v>
                </c:pt>
                <c:pt idx="31">
                  <c:v>30.76</c:v>
                </c:pt>
                <c:pt idx="32">
                  <c:v>30.35</c:v>
                </c:pt>
                <c:pt idx="33">
                  <c:v>28.75</c:v>
                </c:pt>
                <c:pt idx="34">
                  <c:v>31.21</c:v>
                </c:pt>
                <c:pt idx="35">
                  <c:v>31.99</c:v>
                </c:pt>
                <c:pt idx="36">
                  <c:v>33.86</c:v>
                </c:pt>
                <c:pt idx="37">
                  <c:v>34.520000000000003</c:v>
                </c:pt>
                <c:pt idx="38">
                  <c:v>35.57</c:v>
                </c:pt>
                <c:pt idx="39">
                  <c:v>33.58</c:v>
                </c:pt>
                <c:pt idx="40">
                  <c:v>32</c:v>
                </c:pt>
                <c:pt idx="41">
                  <c:v>30.86</c:v>
                </c:pt>
                <c:pt idx="42">
                  <c:v>29.57</c:v>
                </c:pt>
                <c:pt idx="43">
                  <c:v>30.6</c:v>
                </c:pt>
                <c:pt idx="44">
                  <c:v>30.74</c:v>
                </c:pt>
                <c:pt idx="45">
                  <c:v>32.82</c:v>
                </c:pt>
                <c:pt idx="46">
                  <c:v>33.17</c:v>
                </c:pt>
                <c:pt idx="47">
                  <c:v>33.28</c:v>
                </c:pt>
                <c:pt idx="48">
                  <c:v>32.35</c:v>
                </c:pt>
                <c:pt idx="49">
                  <c:v>33.43</c:v>
                </c:pt>
                <c:pt idx="50">
                  <c:v>32.270000000000003</c:v>
                </c:pt>
                <c:pt idx="51">
                  <c:v>31.61</c:v>
                </c:pt>
                <c:pt idx="52">
                  <c:v>30.63</c:v>
                </c:pt>
                <c:pt idx="53">
                  <c:v>30.28</c:v>
                </c:pt>
                <c:pt idx="54">
                  <c:v>29.7</c:v>
                </c:pt>
                <c:pt idx="55">
                  <c:v>29.4</c:v>
                </c:pt>
                <c:pt idx="56">
                  <c:v>28.3</c:v>
                </c:pt>
                <c:pt idx="57">
                  <c:v>27.21</c:v>
                </c:pt>
                <c:pt idx="58">
                  <c:v>27.6</c:v>
                </c:pt>
                <c:pt idx="59">
                  <c:v>27.73</c:v>
                </c:pt>
                <c:pt idx="60">
                  <c:v>28.89</c:v>
                </c:pt>
                <c:pt idx="61">
                  <c:v>27.49</c:v>
                </c:pt>
                <c:pt idx="62">
                  <c:v>28.14</c:v>
                </c:pt>
                <c:pt idx="63">
                  <c:v>28.44</c:v>
                </c:pt>
                <c:pt idx="64">
                  <c:v>29.58</c:v>
                </c:pt>
                <c:pt idx="65">
                  <c:v>28.62</c:v>
                </c:pt>
                <c:pt idx="66">
                  <c:v>27.86</c:v>
                </c:pt>
                <c:pt idx="67">
                  <c:v>26.93</c:v>
                </c:pt>
                <c:pt idx="68">
                  <c:v>28.24</c:v>
                </c:pt>
                <c:pt idx="69">
                  <c:v>27.68</c:v>
                </c:pt>
                <c:pt idx="70">
                  <c:v>28.41</c:v>
                </c:pt>
                <c:pt idx="71">
                  <c:v>28.81</c:v>
                </c:pt>
                <c:pt idx="72">
                  <c:v>30.14</c:v>
                </c:pt>
                <c:pt idx="73">
                  <c:v>30.62</c:v>
                </c:pt>
                <c:pt idx="74">
                  <c:v>32.270000000000003</c:v>
                </c:pt>
                <c:pt idx="75">
                  <c:v>33.04</c:v>
                </c:pt>
                <c:pt idx="76">
                  <c:v>30.26</c:v>
                </c:pt>
                <c:pt idx="77">
                  <c:v>27.04</c:v>
                </c:pt>
                <c:pt idx="78">
                  <c:v>25.69</c:v>
                </c:pt>
                <c:pt idx="79">
                  <c:v>25.27</c:v>
                </c:pt>
                <c:pt idx="80">
                  <c:v>26.61</c:v>
                </c:pt>
                <c:pt idx="81">
                  <c:v>28.71</c:v>
                </c:pt>
                <c:pt idx="82">
                  <c:v>32.130000000000003</c:v>
                </c:pt>
                <c:pt idx="83">
                  <c:v>34.200000000000003</c:v>
                </c:pt>
                <c:pt idx="84">
                  <c:v>33.909999999999997</c:v>
                </c:pt>
                <c:pt idx="85">
                  <c:v>37.79</c:v>
                </c:pt>
                <c:pt idx="86">
                  <c:v>40.85</c:v>
                </c:pt>
                <c:pt idx="87">
                  <c:v>44.31</c:v>
                </c:pt>
                <c:pt idx="88">
                  <c:v>48.37</c:v>
                </c:pt>
                <c:pt idx="89">
                  <c:v>56</c:v>
                </c:pt>
                <c:pt idx="90">
                  <c:v>62.88</c:v>
                </c:pt>
                <c:pt idx="91">
                  <c:v>74.75</c:v>
                </c:pt>
                <c:pt idx="92">
                  <c:v>74.75</c:v>
                </c:pt>
                <c:pt idx="93">
                  <c:v>72.930000000000007</c:v>
                </c:pt>
                <c:pt idx="94">
                  <c:v>70.010000000000005</c:v>
                </c:pt>
                <c:pt idx="95">
                  <c:v>65.930000000000007</c:v>
                </c:pt>
                <c:pt idx="96">
                  <c:v>70.42</c:v>
                </c:pt>
                <c:pt idx="97">
                  <c:v>66.459999999999994</c:v>
                </c:pt>
                <c:pt idx="98">
                  <c:v>63.69</c:v>
                </c:pt>
                <c:pt idx="99">
                  <c:v>65.7</c:v>
                </c:pt>
                <c:pt idx="100">
                  <c:v>70.91</c:v>
                </c:pt>
                <c:pt idx="101">
                  <c:v>76.405000000000001</c:v>
                </c:pt>
                <c:pt idx="102">
                  <c:v>83.846000000000004</c:v>
                </c:pt>
                <c:pt idx="103">
                  <c:v>87.385000000000005</c:v>
                </c:pt>
                <c:pt idx="104">
                  <c:v>80.297499999999999</c:v>
                </c:pt>
                <c:pt idx="105">
                  <c:v>67.74799999999999</c:v>
                </c:pt>
                <c:pt idx="106">
                  <c:v>72.334999999999994</c:v>
                </c:pt>
                <c:pt idx="107">
                  <c:v>70.626000000000005</c:v>
                </c:pt>
                <c:pt idx="108">
                  <c:v>72.67</c:v>
                </c:pt>
                <c:pt idx="109">
                  <c:v>79.180000000000007</c:v>
                </c:pt>
                <c:pt idx="110">
                  <c:v>68.14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6-4E7F-852E-A2F1BC2A8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751064"/>
        <c:axId val="822751720"/>
      </c:lineChart>
      <c:catAx>
        <c:axId val="45338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3375192"/>
        <c:crosses val="autoZero"/>
        <c:auto val="1"/>
        <c:lblAlgn val="ctr"/>
        <c:lblOffset val="100"/>
        <c:tickLblSkip val="12"/>
        <c:noMultiLvlLbl val="1"/>
      </c:catAx>
      <c:valAx>
        <c:axId val="45337519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(dollars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per bushel)</a:t>
                </a:r>
                <a:endParaRPr lang="en-US" sz="1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094570771307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3381096"/>
        <c:crosses val="autoZero"/>
        <c:crossBetween val="between"/>
      </c:valAx>
      <c:valAx>
        <c:axId val="8227517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(cents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per pound)</a:t>
                </a:r>
                <a:endParaRPr lang="en-US" sz="1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2751064"/>
        <c:crosses val="max"/>
        <c:crossBetween val="between"/>
      </c:valAx>
      <c:catAx>
        <c:axId val="822751064"/>
        <c:scaling>
          <c:orientation val="minMax"/>
        </c:scaling>
        <c:delete val="1"/>
        <c:axPos val="b"/>
        <c:majorTickMark val="out"/>
        <c:minorTickMark val="none"/>
        <c:tickLblPos val="nextTo"/>
        <c:crossAx val="822751720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24758062934440883"/>
          <c:y val="0.1541099344427635"/>
          <c:w val="0.41604430215453836"/>
          <c:h val="0.10183282309075965"/>
        </c:manualLayout>
      </c:layout>
      <c:overlay val="0"/>
      <c:spPr>
        <a:solidFill>
          <a:schemeClr val="bg1"/>
        </a:solidFill>
        <a:ln w="2222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Average Monthly Soybean Oil</a:t>
            </a:r>
            <a:r>
              <a:rPr lang="en-US" sz="2400" baseline="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 Futures Prices</a:t>
            </a:r>
            <a:endParaRPr lang="en-US" sz="2400">
              <a:solidFill>
                <a:sysClr val="windowText" lastClr="000000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757255564314362E-2"/>
          <c:y val="0.10210167329199038"/>
          <c:w val="0.90013560207679533"/>
          <c:h val="0.8114432923700001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50449A"/>
              </a:solidFill>
              <a:round/>
            </a:ln>
            <a:effectLst/>
          </c:spPr>
          <c:marker>
            <c:symbol val="none"/>
          </c:marker>
          <c:cat>
            <c:numRef>
              <c:f>[1]Prices!$A$3:$A$585</c:f>
              <c:numCache>
                <c:formatCode>General</c:formatCode>
                <c:ptCount val="583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41852</c:v>
                </c:pt>
                <c:pt idx="536">
                  <c:v>41883</c:v>
                </c:pt>
                <c:pt idx="537">
                  <c:v>41913</c:v>
                </c:pt>
                <c:pt idx="538">
                  <c:v>41944</c:v>
                </c:pt>
                <c:pt idx="539">
                  <c:v>41974</c:v>
                </c:pt>
                <c:pt idx="540">
                  <c:v>42005</c:v>
                </c:pt>
                <c:pt idx="541">
                  <c:v>42036</c:v>
                </c:pt>
                <c:pt idx="542">
                  <c:v>42064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42217</c:v>
                </c:pt>
                <c:pt idx="548">
                  <c:v>42248</c:v>
                </c:pt>
                <c:pt idx="549">
                  <c:v>42278</c:v>
                </c:pt>
                <c:pt idx="550">
                  <c:v>42309</c:v>
                </c:pt>
                <c:pt idx="551">
                  <c:v>42339</c:v>
                </c:pt>
                <c:pt idx="552">
                  <c:v>42370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42491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42644</c:v>
                </c:pt>
                <c:pt idx="562">
                  <c:v>42675</c:v>
                </c:pt>
                <c:pt idx="563">
                  <c:v>42705</c:v>
                </c:pt>
                <c:pt idx="564">
                  <c:v>42736</c:v>
                </c:pt>
                <c:pt idx="565">
                  <c:v>42767</c:v>
                </c:pt>
                <c:pt idx="566">
                  <c:v>42795</c:v>
                </c:pt>
                <c:pt idx="567">
                  <c:v>42826</c:v>
                </c:pt>
                <c:pt idx="568">
                  <c:v>42856</c:v>
                </c:pt>
                <c:pt idx="569">
                  <c:v>42887</c:v>
                </c:pt>
                <c:pt idx="570">
                  <c:v>42917</c:v>
                </c:pt>
                <c:pt idx="571">
                  <c:v>42948</c:v>
                </c:pt>
                <c:pt idx="572">
                  <c:v>42979</c:v>
                </c:pt>
                <c:pt idx="573">
                  <c:v>43009</c:v>
                </c:pt>
                <c:pt idx="574">
                  <c:v>43040</c:v>
                </c:pt>
                <c:pt idx="575">
                  <c:v>43070</c:v>
                </c:pt>
                <c:pt idx="576">
                  <c:v>43101</c:v>
                </c:pt>
                <c:pt idx="577">
                  <c:v>43132</c:v>
                </c:pt>
                <c:pt idx="578">
                  <c:v>43160</c:v>
                </c:pt>
                <c:pt idx="579">
                  <c:v>43191</c:v>
                </c:pt>
                <c:pt idx="580">
                  <c:v>43221</c:v>
                </c:pt>
                <c:pt idx="581">
                  <c:v>43252</c:v>
                </c:pt>
                <c:pt idx="582">
                  <c:v>43282</c:v>
                </c:pt>
              </c:numCache>
            </c:numRef>
          </c:cat>
          <c:val>
            <c:numRef>
              <c:f>[1]Prices!$D$3:$D$585</c:f>
              <c:numCache>
                <c:formatCode>General</c:formatCode>
                <c:ptCount val="583"/>
                <c:pt idx="0">
                  <c:v>9.2504999999999988</c:v>
                </c:pt>
                <c:pt idx="1">
                  <c:v>10.867894736842105</c:v>
                </c:pt>
                <c:pt idx="2">
                  <c:v>0</c:v>
                </c:pt>
                <c:pt idx="3">
                  <c:v>11.689090909090909</c:v>
                </c:pt>
                <c:pt idx="4">
                  <c:v>10.911000000000001</c:v>
                </c:pt>
                <c:pt idx="5">
                  <c:v>10.858181818181819</c:v>
                </c:pt>
                <c:pt idx="6">
                  <c:v>11.053636363636365</c:v>
                </c:pt>
                <c:pt idx="7">
                  <c:v>10.855714285714287</c:v>
                </c:pt>
                <c:pt idx="8">
                  <c:v>11.21</c:v>
                </c:pt>
                <c:pt idx="9">
                  <c:v>12.519090909090909</c:v>
                </c:pt>
                <c:pt idx="10">
                  <c:v>13.129473684210524</c:v>
                </c:pt>
                <c:pt idx="11">
                  <c:v>11.907272727272726</c:v>
                </c:pt>
                <c:pt idx="12">
                  <c:v>12.136999999999999</c:v>
                </c:pt>
                <c:pt idx="13">
                  <c:v>11.954736842105264</c:v>
                </c:pt>
                <c:pt idx="14">
                  <c:v>11.89</c:v>
                </c:pt>
                <c:pt idx="15">
                  <c:v>10.926666666666666</c:v>
                </c:pt>
                <c:pt idx="16">
                  <c:v>11.186500000000001</c:v>
                </c:pt>
                <c:pt idx="17">
                  <c:v>12.640454545454544</c:v>
                </c:pt>
                <c:pt idx="18">
                  <c:v>14.181904761904761</c:v>
                </c:pt>
                <c:pt idx="19">
                  <c:v>13.950454545454546</c:v>
                </c:pt>
                <c:pt idx="20">
                  <c:v>12.562380952380952</c:v>
                </c:pt>
                <c:pt idx="21">
                  <c:v>12.819047619047618</c:v>
                </c:pt>
                <c:pt idx="22">
                  <c:v>12.425714285714283</c:v>
                </c:pt>
                <c:pt idx="23">
                  <c:v>11.683809523809524</c:v>
                </c:pt>
                <c:pt idx="24">
                  <c:v>11.01</c:v>
                </c:pt>
                <c:pt idx="25">
                  <c:v>11.074999999999999</c:v>
                </c:pt>
                <c:pt idx="26">
                  <c:v>11.779090909090909</c:v>
                </c:pt>
                <c:pt idx="27">
                  <c:v>11.892999999999997</c:v>
                </c:pt>
                <c:pt idx="28">
                  <c:v>11.556363636363635</c:v>
                </c:pt>
                <c:pt idx="29">
                  <c:v>10.723636363636365</c:v>
                </c:pt>
                <c:pt idx="30">
                  <c:v>10.293499999999998</c:v>
                </c:pt>
                <c:pt idx="31">
                  <c:v>10.173478260869565</c:v>
                </c:pt>
                <c:pt idx="32">
                  <c:v>9.8469999999999978</c:v>
                </c:pt>
                <c:pt idx="33">
                  <c:v>9.7236363636363627</c:v>
                </c:pt>
                <c:pt idx="34">
                  <c:v>9.7394999999999996</c:v>
                </c:pt>
                <c:pt idx="35">
                  <c:v>9.7684210526315809</c:v>
                </c:pt>
                <c:pt idx="36">
                  <c:v>10.195238095238098</c:v>
                </c:pt>
                <c:pt idx="37">
                  <c:v>13.018421052631579</c:v>
                </c:pt>
                <c:pt idx="38">
                  <c:v>14.008181818181818</c:v>
                </c:pt>
                <c:pt idx="39">
                  <c:v>14.892000000000001</c:v>
                </c:pt>
                <c:pt idx="40">
                  <c:v>16.707272727272727</c:v>
                </c:pt>
                <c:pt idx="41">
                  <c:v>18.977894736842103</c:v>
                </c:pt>
                <c:pt idx="42">
                  <c:v>21.09666666666666</c:v>
                </c:pt>
                <c:pt idx="43">
                  <c:v>29.200869565217381</c:v>
                </c:pt>
                <c:pt idx="44">
                  <c:v>20.567368421052628</c:v>
                </c:pt>
                <c:pt idx="45">
                  <c:v>19.079999999999998</c:v>
                </c:pt>
                <c:pt idx="46">
                  <c:v>18.780476190476193</c:v>
                </c:pt>
                <c:pt idx="47">
                  <c:v>23.155789473684216</c:v>
                </c:pt>
                <c:pt idx="48">
                  <c:v>24.758636363636359</c:v>
                </c:pt>
                <c:pt idx="49">
                  <c:v>32.445555555555551</c:v>
                </c:pt>
                <c:pt idx="50">
                  <c:v>26.326190476190476</c:v>
                </c:pt>
                <c:pt idx="51">
                  <c:v>26.246190476190474</c:v>
                </c:pt>
                <c:pt idx="52">
                  <c:v>26.804545454545458</c:v>
                </c:pt>
                <c:pt idx="53">
                  <c:v>29.796000000000003</c:v>
                </c:pt>
                <c:pt idx="54">
                  <c:v>37.254090909090905</c:v>
                </c:pt>
                <c:pt idx="55">
                  <c:v>40.303636363636357</c:v>
                </c:pt>
                <c:pt idx="56">
                  <c:v>39.020499999999998</c:v>
                </c:pt>
                <c:pt idx="57">
                  <c:v>42.278260869565223</c:v>
                </c:pt>
                <c:pt idx="58">
                  <c:v>40.208421052631586</c:v>
                </c:pt>
                <c:pt idx="59">
                  <c:v>36.981904761904765</c:v>
                </c:pt>
                <c:pt idx="60">
                  <c:v>32.768181818181823</c:v>
                </c:pt>
                <c:pt idx="61">
                  <c:v>28.565789473684209</c:v>
                </c:pt>
                <c:pt idx="62">
                  <c:v>26.9635</c:v>
                </c:pt>
                <c:pt idx="63">
                  <c:v>27.080454545454543</c:v>
                </c:pt>
                <c:pt idx="64">
                  <c:v>22.451428571428576</c:v>
                </c:pt>
                <c:pt idx="65">
                  <c:v>21.897142857142857</c:v>
                </c:pt>
                <c:pt idx="66">
                  <c:v>24.909090909090921</c:v>
                </c:pt>
                <c:pt idx="67">
                  <c:v>26.691428571428567</c:v>
                </c:pt>
                <c:pt idx="68">
                  <c:v>23.538095238095242</c:v>
                </c:pt>
                <c:pt idx="69">
                  <c:v>20.787826086956517</c:v>
                </c:pt>
                <c:pt idx="70">
                  <c:v>18.520526315789478</c:v>
                </c:pt>
                <c:pt idx="71">
                  <c:v>16.586190476190477</c:v>
                </c:pt>
                <c:pt idx="72">
                  <c:v>16.390476190476193</c:v>
                </c:pt>
                <c:pt idx="73">
                  <c:v>16.51157894736842</c:v>
                </c:pt>
                <c:pt idx="74">
                  <c:v>16.737826086956524</c:v>
                </c:pt>
                <c:pt idx="75">
                  <c:v>16.357619047619053</c:v>
                </c:pt>
                <c:pt idx="76">
                  <c:v>16.231000000000002</c:v>
                </c:pt>
                <c:pt idx="77">
                  <c:v>18.28681818181818</c:v>
                </c:pt>
                <c:pt idx="78">
                  <c:v>20.984285714285711</c:v>
                </c:pt>
                <c:pt idx="79">
                  <c:v>20.586818181818177</c:v>
                </c:pt>
                <c:pt idx="80">
                  <c:v>22.649047619047614</c:v>
                </c:pt>
                <c:pt idx="81">
                  <c:v>21.148095238095237</c:v>
                </c:pt>
                <c:pt idx="82">
                  <c:v>21.971499999999999</c:v>
                </c:pt>
                <c:pt idx="83">
                  <c:v>21.270952380952377</c:v>
                </c:pt>
                <c:pt idx="84">
                  <c:v>21.436190476190479</c:v>
                </c:pt>
                <c:pt idx="85">
                  <c:v>22.888947368421046</c:v>
                </c:pt>
                <c:pt idx="86">
                  <c:v>26.801739130434779</c:v>
                </c:pt>
                <c:pt idx="87">
                  <c:v>29.539499999999993</c:v>
                </c:pt>
                <c:pt idx="88">
                  <c:v>31.238499999999995</c:v>
                </c:pt>
                <c:pt idx="89">
                  <c:v>28.175000000000001</c:v>
                </c:pt>
                <c:pt idx="90">
                  <c:v>23.238500000000002</c:v>
                </c:pt>
                <c:pt idx="91">
                  <c:v>20.181739130434785</c:v>
                </c:pt>
                <c:pt idx="92">
                  <c:v>18.63428571428571</c:v>
                </c:pt>
                <c:pt idx="93">
                  <c:v>18.341428571428569</c:v>
                </c:pt>
                <c:pt idx="94">
                  <c:v>20.322857142857142</c:v>
                </c:pt>
                <c:pt idx="95">
                  <c:v>21.892857142857146</c:v>
                </c:pt>
                <c:pt idx="96">
                  <c:v>20.557619047619045</c:v>
                </c:pt>
                <c:pt idx="97">
                  <c:v>21.071052631578947</c:v>
                </c:pt>
                <c:pt idx="98">
                  <c:v>25.594999999999999</c:v>
                </c:pt>
                <c:pt idx="99">
                  <c:v>26.430999999999994</c:v>
                </c:pt>
                <c:pt idx="100">
                  <c:v>27.074090909090909</c:v>
                </c:pt>
                <c:pt idx="101">
                  <c:v>25.945</c:v>
                </c:pt>
                <c:pt idx="102">
                  <c:v>24.210500000000003</c:v>
                </c:pt>
                <c:pt idx="103">
                  <c:v>24.542173913043484</c:v>
                </c:pt>
                <c:pt idx="104">
                  <c:v>25.606999999999999</c:v>
                </c:pt>
                <c:pt idx="105">
                  <c:v>25.828181818181818</c:v>
                </c:pt>
                <c:pt idx="106">
                  <c:v>24.427499999999998</c:v>
                </c:pt>
                <c:pt idx="107">
                  <c:v>24.885999999999999</c:v>
                </c:pt>
                <c:pt idx="108">
                  <c:v>25.074999999999999</c:v>
                </c:pt>
                <c:pt idx="109">
                  <c:v>27.29526315789473</c:v>
                </c:pt>
                <c:pt idx="110">
                  <c:v>27.481363636363639</c:v>
                </c:pt>
                <c:pt idx="111">
                  <c:v>26.434000000000005</c:v>
                </c:pt>
                <c:pt idx="112">
                  <c:v>26.156363636363633</c:v>
                </c:pt>
                <c:pt idx="113">
                  <c:v>27.096190476190475</c:v>
                </c:pt>
                <c:pt idx="114">
                  <c:v>28.241428571428575</c:v>
                </c:pt>
                <c:pt idx="115">
                  <c:v>27.756086956521738</c:v>
                </c:pt>
                <c:pt idx="116">
                  <c:v>27.928421052631577</c:v>
                </c:pt>
                <c:pt idx="117">
                  <c:v>26.10478260869565</c:v>
                </c:pt>
                <c:pt idx="118">
                  <c:v>26.449523809523807</c:v>
                </c:pt>
                <c:pt idx="119">
                  <c:v>25.12157894736842</c:v>
                </c:pt>
                <c:pt idx="120">
                  <c:v>23.8005</c:v>
                </c:pt>
                <c:pt idx="121">
                  <c:v>23.531500000000001</c:v>
                </c:pt>
                <c:pt idx="122">
                  <c:v>22.398095238095237</c:v>
                </c:pt>
                <c:pt idx="123">
                  <c:v>20.463333333333335</c:v>
                </c:pt>
                <c:pt idx="124">
                  <c:v>21.303333333333335</c:v>
                </c:pt>
                <c:pt idx="125">
                  <c:v>21.997619047619054</c:v>
                </c:pt>
                <c:pt idx="126">
                  <c:v>26.488636363636363</c:v>
                </c:pt>
                <c:pt idx="127">
                  <c:v>26.457142857142859</c:v>
                </c:pt>
                <c:pt idx="128">
                  <c:v>26.912380952380957</c:v>
                </c:pt>
                <c:pt idx="129">
                  <c:v>26.295652173913048</c:v>
                </c:pt>
                <c:pt idx="130">
                  <c:v>27.90388888888889</c:v>
                </c:pt>
                <c:pt idx="131">
                  <c:v>25.045238095238091</c:v>
                </c:pt>
                <c:pt idx="132">
                  <c:v>24.524761904761899</c:v>
                </c:pt>
                <c:pt idx="133">
                  <c:v>23.816842105263152</c:v>
                </c:pt>
                <c:pt idx="134">
                  <c:v>24.479090909090907</c:v>
                </c:pt>
                <c:pt idx="135">
                  <c:v>24.484761904761907</c:v>
                </c:pt>
                <c:pt idx="136">
                  <c:v>23.736499999999999</c:v>
                </c:pt>
                <c:pt idx="137">
                  <c:v>22.375</c:v>
                </c:pt>
                <c:pt idx="138">
                  <c:v>23.470909090909092</c:v>
                </c:pt>
                <c:pt idx="139">
                  <c:v>21.59238095238095</c:v>
                </c:pt>
                <c:pt idx="140">
                  <c:v>20.713809523809527</c:v>
                </c:pt>
                <c:pt idx="141">
                  <c:v>21.496363636363636</c:v>
                </c:pt>
                <c:pt idx="142">
                  <c:v>20.472000000000001</c:v>
                </c:pt>
                <c:pt idx="143">
                  <c:v>19.498181818181816</c:v>
                </c:pt>
                <c:pt idx="144">
                  <c:v>19.568000000000005</c:v>
                </c:pt>
                <c:pt idx="145">
                  <c:v>18.999473684210528</c:v>
                </c:pt>
                <c:pt idx="146">
                  <c:v>18.784347826086957</c:v>
                </c:pt>
                <c:pt idx="147">
                  <c:v>19.659523809523812</c:v>
                </c:pt>
                <c:pt idx="148">
                  <c:v>20.608499999999999</c:v>
                </c:pt>
                <c:pt idx="149">
                  <c:v>19.055909090909093</c:v>
                </c:pt>
                <c:pt idx="150">
                  <c:v>18.573333333333331</c:v>
                </c:pt>
                <c:pt idx="151">
                  <c:v>17.531818181818181</c:v>
                </c:pt>
                <c:pt idx="152">
                  <c:v>17.216190476190473</c:v>
                </c:pt>
                <c:pt idx="153">
                  <c:v>17.135238095238098</c:v>
                </c:pt>
                <c:pt idx="154">
                  <c:v>17.078499999999998</c:v>
                </c:pt>
                <c:pt idx="155">
                  <c:v>16.587476190476199</c:v>
                </c:pt>
                <c:pt idx="156">
                  <c:v>16.947142857142854</c:v>
                </c:pt>
                <c:pt idx="157">
                  <c:v>17.211578947368427</c:v>
                </c:pt>
                <c:pt idx="158">
                  <c:v>17.532608695652179</c:v>
                </c:pt>
                <c:pt idx="159">
                  <c:v>19.008500000000002</c:v>
                </c:pt>
                <c:pt idx="160">
                  <c:v>19.400952380952383</c:v>
                </c:pt>
                <c:pt idx="161">
                  <c:v>18.961818181818185</c:v>
                </c:pt>
                <c:pt idx="162">
                  <c:v>21.313499999999998</c:v>
                </c:pt>
                <c:pt idx="163">
                  <c:v>29.816956521739133</c:v>
                </c:pt>
                <c:pt idx="164">
                  <c:v>33.966666666666661</c:v>
                </c:pt>
                <c:pt idx="165">
                  <c:v>30.218095238095241</c:v>
                </c:pt>
                <c:pt idx="166">
                  <c:v>27.69380952380952</c:v>
                </c:pt>
                <c:pt idx="167">
                  <c:v>27.416666666666668</c:v>
                </c:pt>
                <c:pt idx="168">
                  <c:v>28.387142857142855</c:v>
                </c:pt>
                <c:pt idx="169">
                  <c:v>26.791999999999994</c:v>
                </c:pt>
                <c:pt idx="170">
                  <c:v>29.625</c:v>
                </c:pt>
                <c:pt idx="171">
                  <c:v>31.402000000000008</c:v>
                </c:pt>
                <c:pt idx="172">
                  <c:v>37.05590909090909</c:v>
                </c:pt>
                <c:pt idx="173">
                  <c:v>34.043333333333322</c:v>
                </c:pt>
                <c:pt idx="174">
                  <c:v>28.153809523809521</c:v>
                </c:pt>
                <c:pt idx="175">
                  <c:v>27.253043478260881</c:v>
                </c:pt>
                <c:pt idx="176">
                  <c:v>26.062631578947368</c:v>
                </c:pt>
                <c:pt idx="177">
                  <c:v>26.118695652173916</c:v>
                </c:pt>
                <c:pt idx="178">
                  <c:v>28.158095238095239</c:v>
                </c:pt>
                <c:pt idx="179">
                  <c:v>25.876999999999999</c:v>
                </c:pt>
                <c:pt idx="180">
                  <c:v>25.991363636363634</c:v>
                </c:pt>
                <c:pt idx="181">
                  <c:v>28.06421052631579</c:v>
                </c:pt>
                <c:pt idx="182">
                  <c:v>28.658571428571431</c:v>
                </c:pt>
                <c:pt idx="183">
                  <c:v>32.095714285714287</c:v>
                </c:pt>
                <c:pt idx="184">
                  <c:v>30.246818181818188</c:v>
                </c:pt>
                <c:pt idx="185">
                  <c:v>30.481999999999999</c:v>
                </c:pt>
                <c:pt idx="186">
                  <c:v>26.950909090909089</c:v>
                </c:pt>
                <c:pt idx="187">
                  <c:v>23.020454545454545</c:v>
                </c:pt>
                <c:pt idx="188">
                  <c:v>21.305999999999997</c:v>
                </c:pt>
                <c:pt idx="189">
                  <c:v>19.858260869565218</c:v>
                </c:pt>
                <c:pt idx="190">
                  <c:v>19.940000000000001</c:v>
                </c:pt>
                <c:pt idx="191">
                  <c:v>20.983809523809523</c:v>
                </c:pt>
                <c:pt idx="192">
                  <c:v>20.376363636363639</c:v>
                </c:pt>
                <c:pt idx="193">
                  <c:v>18.594736842105263</c:v>
                </c:pt>
                <c:pt idx="194">
                  <c:v>17.7315</c:v>
                </c:pt>
                <c:pt idx="195">
                  <c:v>17.649999999999999</c:v>
                </c:pt>
                <c:pt idx="196">
                  <c:v>17.974761904761905</c:v>
                </c:pt>
                <c:pt idx="197">
                  <c:v>16.862380952380956</c:v>
                </c:pt>
                <c:pt idx="198">
                  <c:v>16.353636363636369</c:v>
                </c:pt>
                <c:pt idx="199">
                  <c:v>14.418095238095237</c:v>
                </c:pt>
                <c:pt idx="200">
                  <c:v>13.759523809523809</c:v>
                </c:pt>
                <c:pt idx="201">
                  <c:v>14.916956521739129</c:v>
                </c:pt>
                <c:pt idx="202">
                  <c:v>15.134736842105264</c:v>
                </c:pt>
                <c:pt idx="203">
                  <c:v>15.305909090909092</c:v>
                </c:pt>
                <c:pt idx="204">
                  <c:v>16.190000000000001</c:v>
                </c:pt>
                <c:pt idx="205">
                  <c:v>15.82842105263158</c:v>
                </c:pt>
                <c:pt idx="206">
                  <c:v>15.77090909090909</c:v>
                </c:pt>
                <c:pt idx="207">
                  <c:v>15.687619047619048</c:v>
                </c:pt>
                <c:pt idx="208">
                  <c:v>16.897500000000001</c:v>
                </c:pt>
                <c:pt idx="209">
                  <c:v>16.635000000000002</c:v>
                </c:pt>
                <c:pt idx="210">
                  <c:v>16.172272727272727</c:v>
                </c:pt>
                <c:pt idx="211">
                  <c:v>15.844285714285714</c:v>
                </c:pt>
                <c:pt idx="212">
                  <c:v>16.144285714285711</c:v>
                </c:pt>
                <c:pt idx="213">
                  <c:v>17.593636363636364</c:v>
                </c:pt>
                <c:pt idx="214">
                  <c:v>17.7195</c:v>
                </c:pt>
                <c:pt idx="215">
                  <c:v>19.573181818181819</c:v>
                </c:pt>
                <c:pt idx="216">
                  <c:v>22.166500000000003</c:v>
                </c:pt>
                <c:pt idx="217">
                  <c:v>21.0975</c:v>
                </c:pt>
                <c:pt idx="218">
                  <c:v>20.64</c:v>
                </c:pt>
                <c:pt idx="219">
                  <c:v>22.060500000000005</c:v>
                </c:pt>
                <c:pt idx="220">
                  <c:v>24.138095238095243</c:v>
                </c:pt>
                <c:pt idx="221">
                  <c:v>27.900454545454547</c:v>
                </c:pt>
                <c:pt idx="222">
                  <c:v>29.456500000000005</c:v>
                </c:pt>
                <c:pt idx="223">
                  <c:v>26.970869565217388</c:v>
                </c:pt>
                <c:pt idx="224">
                  <c:v>25.565714285714286</c:v>
                </c:pt>
                <c:pt idx="225">
                  <c:v>24.052380952380954</c:v>
                </c:pt>
                <c:pt idx="226">
                  <c:v>22.231428571428573</c:v>
                </c:pt>
                <c:pt idx="227">
                  <c:v>23.13095238095238</c:v>
                </c:pt>
                <c:pt idx="228">
                  <c:v>22.204285714285714</c:v>
                </c:pt>
                <c:pt idx="229">
                  <c:v>22.157894736842103</c:v>
                </c:pt>
                <c:pt idx="230">
                  <c:v>23.354090909090907</c:v>
                </c:pt>
                <c:pt idx="231">
                  <c:v>22.631999999999998</c:v>
                </c:pt>
                <c:pt idx="232">
                  <c:v>22.934090909090909</c:v>
                </c:pt>
                <c:pt idx="233">
                  <c:v>20.759545454545457</c:v>
                </c:pt>
                <c:pt idx="234">
                  <c:v>19.743500000000001</c:v>
                </c:pt>
                <c:pt idx="235">
                  <c:v>18.227391304347826</c:v>
                </c:pt>
                <c:pt idx="236">
                  <c:v>18.9025</c:v>
                </c:pt>
                <c:pt idx="237">
                  <c:v>18.933636363636364</c:v>
                </c:pt>
                <c:pt idx="238">
                  <c:v>19.363809523809522</c:v>
                </c:pt>
                <c:pt idx="239">
                  <c:v>19.038999999999998</c:v>
                </c:pt>
                <c:pt idx="240">
                  <c:v>19.191818181818185</c:v>
                </c:pt>
                <c:pt idx="241">
                  <c:v>19.895789473684211</c:v>
                </c:pt>
                <c:pt idx="242">
                  <c:v>22.173636363636362</c:v>
                </c:pt>
                <c:pt idx="243">
                  <c:v>22.595999999999997</c:v>
                </c:pt>
                <c:pt idx="244">
                  <c:v>23.902727272727269</c:v>
                </c:pt>
                <c:pt idx="245">
                  <c:v>24.116666666666667</c:v>
                </c:pt>
                <c:pt idx="246">
                  <c:v>23.937619047619048</c:v>
                </c:pt>
                <c:pt idx="247">
                  <c:v>24.375652173913043</c:v>
                </c:pt>
                <c:pt idx="248">
                  <c:v>23.793684210526315</c:v>
                </c:pt>
                <c:pt idx="249">
                  <c:v>22.326086956521745</c:v>
                </c:pt>
                <c:pt idx="250">
                  <c:v>20.776666666666664</c:v>
                </c:pt>
                <c:pt idx="251">
                  <c:v>21.240500000000001</c:v>
                </c:pt>
                <c:pt idx="252">
                  <c:v>21.384545454545457</c:v>
                </c:pt>
                <c:pt idx="253">
                  <c:v>21.35052631578947</c:v>
                </c:pt>
                <c:pt idx="254">
                  <c:v>22.119499999999999</c:v>
                </c:pt>
                <c:pt idx="255">
                  <c:v>21.409090909090903</c:v>
                </c:pt>
                <c:pt idx="256">
                  <c:v>20.262272727272727</c:v>
                </c:pt>
                <c:pt idx="257">
                  <c:v>19.638500000000001</c:v>
                </c:pt>
                <c:pt idx="258">
                  <c:v>19.057272727272725</c:v>
                </c:pt>
                <c:pt idx="259">
                  <c:v>20.267727272727274</c:v>
                </c:pt>
                <c:pt idx="260">
                  <c:v>20.4895</c:v>
                </c:pt>
                <c:pt idx="261">
                  <c:v>19.762608695652176</c:v>
                </c:pt>
                <c:pt idx="262">
                  <c:v>18.978000000000002</c:v>
                </c:pt>
                <c:pt idx="263">
                  <c:v>19.179523809523811</c:v>
                </c:pt>
                <c:pt idx="264">
                  <c:v>19.199090909090906</c:v>
                </c:pt>
                <c:pt idx="265">
                  <c:v>19.252631578947366</c:v>
                </c:pt>
                <c:pt idx="266">
                  <c:v>20.37863636363636</c:v>
                </c:pt>
                <c:pt idx="267">
                  <c:v>19.508421052631583</c:v>
                </c:pt>
                <c:pt idx="268">
                  <c:v>20.744500000000006</c:v>
                </c:pt>
                <c:pt idx="269">
                  <c:v>21.205454545454543</c:v>
                </c:pt>
                <c:pt idx="270">
                  <c:v>19.334090909090911</c:v>
                </c:pt>
                <c:pt idx="271">
                  <c:v>18.42428571428572</c:v>
                </c:pt>
                <c:pt idx="272">
                  <c:v>18.820476190476192</c:v>
                </c:pt>
                <c:pt idx="273">
                  <c:v>18.88727272727273</c:v>
                </c:pt>
                <c:pt idx="274">
                  <c:v>20.16</c:v>
                </c:pt>
                <c:pt idx="275">
                  <c:v>20.598636363636366</c:v>
                </c:pt>
                <c:pt idx="276">
                  <c:v>21.3475</c:v>
                </c:pt>
                <c:pt idx="277">
                  <c:v>20.723157894736847</c:v>
                </c:pt>
                <c:pt idx="278">
                  <c:v>21.138695652173915</c:v>
                </c:pt>
                <c:pt idx="279">
                  <c:v>21.243809523809528</c:v>
                </c:pt>
                <c:pt idx="280">
                  <c:v>21.316499999999998</c:v>
                </c:pt>
                <c:pt idx="281">
                  <c:v>21.334545454545449</c:v>
                </c:pt>
                <c:pt idx="282">
                  <c:v>24.271904761904764</c:v>
                </c:pt>
                <c:pt idx="283">
                  <c:v>23.618636363636366</c:v>
                </c:pt>
                <c:pt idx="284">
                  <c:v>23.493333333333332</c:v>
                </c:pt>
                <c:pt idx="285">
                  <c:v>22.85</c:v>
                </c:pt>
                <c:pt idx="286">
                  <c:v>25.282380952380954</c:v>
                </c:pt>
                <c:pt idx="287">
                  <c:v>27.948095238095242</c:v>
                </c:pt>
                <c:pt idx="288">
                  <c:v>29.511904761904763</c:v>
                </c:pt>
                <c:pt idx="289">
                  <c:v>28.452631578947368</c:v>
                </c:pt>
                <c:pt idx="290">
                  <c:v>28.679130434782603</c:v>
                </c:pt>
                <c:pt idx="291">
                  <c:v>27.852105263157899</c:v>
                </c:pt>
                <c:pt idx="292">
                  <c:v>28.85047619047619</c:v>
                </c:pt>
                <c:pt idx="293">
                  <c:v>27.4</c:v>
                </c:pt>
                <c:pt idx="294">
                  <c:v>24.459000000000007</c:v>
                </c:pt>
                <c:pt idx="295">
                  <c:v>24.416086956521742</c:v>
                </c:pt>
                <c:pt idx="296">
                  <c:v>25.62</c:v>
                </c:pt>
                <c:pt idx="297">
                  <c:v>24.87952380952381</c:v>
                </c:pt>
                <c:pt idx="298">
                  <c:v>27.90904761904762</c:v>
                </c:pt>
                <c:pt idx="299">
                  <c:v>28.085714285714282</c:v>
                </c:pt>
                <c:pt idx="300">
                  <c:v>26.921904761904774</c:v>
                </c:pt>
                <c:pt idx="301">
                  <c:v>27.171052631578949</c:v>
                </c:pt>
                <c:pt idx="302">
                  <c:v>26.748260869565218</c:v>
                </c:pt>
                <c:pt idx="303">
                  <c:v>25.695789473684204</c:v>
                </c:pt>
                <c:pt idx="304">
                  <c:v>25.548636363636362</c:v>
                </c:pt>
                <c:pt idx="305">
                  <c:v>26.587454545454499</c:v>
                </c:pt>
                <c:pt idx="306">
                  <c:v>27.458499999999997</c:v>
                </c:pt>
                <c:pt idx="307">
                  <c:v>26.271304347826081</c:v>
                </c:pt>
                <c:pt idx="308">
                  <c:v>26.247499999999999</c:v>
                </c:pt>
                <c:pt idx="309">
                  <c:v>26.734999999999999</c:v>
                </c:pt>
                <c:pt idx="310">
                  <c:v>25.666190476190472</c:v>
                </c:pt>
                <c:pt idx="311">
                  <c:v>25.174500000000002</c:v>
                </c:pt>
                <c:pt idx="312">
                  <c:v>24.35</c:v>
                </c:pt>
                <c:pt idx="313">
                  <c:v>24.296500000000002</c:v>
                </c:pt>
                <c:pt idx="314">
                  <c:v>24.439047619047614</c:v>
                </c:pt>
                <c:pt idx="315">
                  <c:v>26.33190476190477</c:v>
                </c:pt>
                <c:pt idx="316">
                  <c:v>27.365454545454533</c:v>
                </c:pt>
                <c:pt idx="317">
                  <c:v>25.673000000000002</c:v>
                </c:pt>
                <c:pt idx="318">
                  <c:v>25.011363636363637</c:v>
                </c:pt>
                <c:pt idx="319">
                  <c:v>25.12318181818182</c:v>
                </c:pt>
                <c:pt idx="320">
                  <c:v>25.243000000000002</c:v>
                </c:pt>
                <c:pt idx="321">
                  <c:v>23.35478260869565</c:v>
                </c:pt>
                <c:pt idx="322">
                  <c:v>23.133000000000003</c:v>
                </c:pt>
                <c:pt idx="323">
                  <c:v>23.104761904761901</c:v>
                </c:pt>
                <c:pt idx="324">
                  <c:v>24.097727272727273</c:v>
                </c:pt>
                <c:pt idx="325">
                  <c:v>23.905263157894741</c:v>
                </c:pt>
                <c:pt idx="326">
                  <c:v>24.918499999999998</c:v>
                </c:pt>
                <c:pt idx="327">
                  <c:v>24.359545454545458</c:v>
                </c:pt>
                <c:pt idx="328">
                  <c:v>24.174285714285713</c:v>
                </c:pt>
                <c:pt idx="329">
                  <c:v>23.038095238095238</c:v>
                </c:pt>
                <c:pt idx="330">
                  <c:v>21.985454545454544</c:v>
                </c:pt>
                <c:pt idx="331">
                  <c:v>22.301904761904762</c:v>
                </c:pt>
                <c:pt idx="332">
                  <c:v>23.19</c:v>
                </c:pt>
                <c:pt idx="333">
                  <c:v>24.79304347826087</c:v>
                </c:pt>
                <c:pt idx="334">
                  <c:v>25.66</c:v>
                </c:pt>
                <c:pt idx="335">
                  <c:v>24.943636363636358</c:v>
                </c:pt>
                <c:pt idx="336">
                  <c:v>25.159500000000001</c:v>
                </c:pt>
                <c:pt idx="337">
                  <c:v>26.374210526315789</c:v>
                </c:pt>
                <c:pt idx="338">
                  <c:v>27.213636363636365</c:v>
                </c:pt>
                <c:pt idx="339">
                  <c:v>27.861904761904764</c:v>
                </c:pt>
                <c:pt idx="340">
                  <c:v>28.155499999999996</c:v>
                </c:pt>
                <c:pt idx="341">
                  <c:v>25.634545454545457</c:v>
                </c:pt>
                <c:pt idx="342">
                  <c:v>24.78863636363636</c:v>
                </c:pt>
                <c:pt idx="343">
                  <c:v>23.759523809523806</c:v>
                </c:pt>
                <c:pt idx="344">
                  <c:v>24.751904761904761</c:v>
                </c:pt>
                <c:pt idx="345">
                  <c:v>24.63045454545454</c:v>
                </c:pt>
                <c:pt idx="346">
                  <c:v>24.758000000000003</c:v>
                </c:pt>
                <c:pt idx="347">
                  <c:v>23.805</c:v>
                </c:pt>
                <c:pt idx="348">
                  <c:v>23.042631578947372</c:v>
                </c:pt>
                <c:pt idx="349">
                  <c:v>20.098421052631576</c:v>
                </c:pt>
                <c:pt idx="350">
                  <c:v>18.813913043478262</c:v>
                </c:pt>
                <c:pt idx="351">
                  <c:v>19.124285714285708</c:v>
                </c:pt>
                <c:pt idx="352">
                  <c:v>18.332999999999998</c:v>
                </c:pt>
                <c:pt idx="353">
                  <c:v>16.928636363636361</c:v>
                </c:pt>
                <c:pt idx="354">
                  <c:v>15.510952380952379</c:v>
                </c:pt>
                <c:pt idx="355">
                  <c:v>16.774090909090912</c:v>
                </c:pt>
                <c:pt idx="356">
                  <c:v>17.100952380952382</c:v>
                </c:pt>
                <c:pt idx="357">
                  <c:v>16.566190476190478</c:v>
                </c:pt>
                <c:pt idx="358">
                  <c:v>16.158571428571427</c:v>
                </c:pt>
                <c:pt idx="359">
                  <c:v>15.962380952380951</c:v>
                </c:pt>
                <c:pt idx="360">
                  <c:v>16.2805</c:v>
                </c:pt>
                <c:pt idx="361">
                  <c:v>15.740999999999996</c:v>
                </c:pt>
                <c:pt idx="362">
                  <c:v>16.990434782608698</c:v>
                </c:pt>
                <c:pt idx="363">
                  <c:v>18.167000000000002</c:v>
                </c:pt>
                <c:pt idx="364">
                  <c:v>17.446363636363639</c:v>
                </c:pt>
                <c:pt idx="365">
                  <c:v>16.290909090909093</c:v>
                </c:pt>
                <c:pt idx="366">
                  <c:v>15.524000000000004</c:v>
                </c:pt>
                <c:pt idx="367">
                  <c:v>15.328260869565218</c:v>
                </c:pt>
                <c:pt idx="368">
                  <c:v>15.497</c:v>
                </c:pt>
                <c:pt idx="369">
                  <c:v>15.06772727272727</c:v>
                </c:pt>
                <c:pt idx="370">
                  <c:v>14.992380952380953</c:v>
                </c:pt>
                <c:pt idx="371">
                  <c:v>14.991499999999997</c:v>
                </c:pt>
                <c:pt idx="372">
                  <c:v>14.708095238095238</c:v>
                </c:pt>
                <c:pt idx="373">
                  <c:v>14.755263157894738</c:v>
                </c:pt>
                <c:pt idx="374">
                  <c:v>16.095454545454547</c:v>
                </c:pt>
                <c:pt idx="375">
                  <c:v>15.147</c:v>
                </c:pt>
                <c:pt idx="376">
                  <c:v>14.784347826086956</c:v>
                </c:pt>
                <c:pt idx="377">
                  <c:v>15.079047619047618</c:v>
                </c:pt>
                <c:pt idx="378">
                  <c:v>17.443333333333335</c:v>
                </c:pt>
                <c:pt idx="379">
                  <c:v>18.075217391304346</c:v>
                </c:pt>
                <c:pt idx="380">
                  <c:v>16.281176470588235</c:v>
                </c:pt>
                <c:pt idx="381">
                  <c:v>15.238695652173913</c:v>
                </c:pt>
                <c:pt idx="382">
                  <c:v>16.008571428571425</c:v>
                </c:pt>
                <c:pt idx="383">
                  <c:v>15.902105263157894</c:v>
                </c:pt>
                <c:pt idx="384">
                  <c:v>15.64</c:v>
                </c:pt>
                <c:pt idx="385">
                  <c:v>15.51</c:v>
                </c:pt>
                <c:pt idx="386">
                  <c:v>16.3</c:v>
                </c:pt>
                <c:pt idx="387">
                  <c:v>16.559999999999999</c:v>
                </c:pt>
                <c:pt idx="388">
                  <c:v>17.16</c:v>
                </c:pt>
                <c:pt idx="389">
                  <c:v>18.100000000000001</c:v>
                </c:pt>
                <c:pt idx="390">
                  <c:v>19.21</c:v>
                </c:pt>
                <c:pt idx="391">
                  <c:v>20.58</c:v>
                </c:pt>
                <c:pt idx="392">
                  <c:v>20.100000000000001</c:v>
                </c:pt>
                <c:pt idx="393">
                  <c:v>20.22</c:v>
                </c:pt>
                <c:pt idx="394">
                  <c:v>22.26</c:v>
                </c:pt>
                <c:pt idx="395">
                  <c:v>21.73</c:v>
                </c:pt>
                <c:pt idx="396">
                  <c:v>20.63</c:v>
                </c:pt>
                <c:pt idx="397">
                  <c:v>20.46</c:v>
                </c:pt>
                <c:pt idx="398">
                  <c:v>20.94</c:v>
                </c:pt>
                <c:pt idx="399">
                  <c:v>21.84</c:v>
                </c:pt>
                <c:pt idx="400">
                  <c:v>22.52</c:v>
                </c:pt>
                <c:pt idx="401">
                  <c:v>22.14</c:v>
                </c:pt>
                <c:pt idx="402">
                  <c:v>21.01</c:v>
                </c:pt>
                <c:pt idx="403">
                  <c:v>19.79</c:v>
                </c:pt>
                <c:pt idx="404">
                  <c:v>22.47</c:v>
                </c:pt>
                <c:pt idx="405">
                  <c:v>26.01</c:v>
                </c:pt>
                <c:pt idx="406">
                  <c:v>26.37</c:v>
                </c:pt>
                <c:pt idx="407">
                  <c:v>27.89</c:v>
                </c:pt>
                <c:pt idx="408">
                  <c:v>29.16</c:v>
                </c:pt>
                <c:pt idx="409">
                  <c:v>31.97</c:v>
                </c:pt>
                <c:pt idx="410">
                  <c:v>33.44</c:v>
                </c:pt>
                <c:pt idx="411">
                  <c:v>32.630000000000003</c:v>
                </c:pt>
                <c:pt idx="412">
                  <c:v>30.54</c:v>
                </c:pt>
                <c:pt idx="413">
                  <c:v>28.34</c:v>
                </c:pt>
                <c:pt idx="414">
                  <c:v>25.82</c:v>
                </c:pt>
                <c:pt idx="415">
                  <c:v>23.36</c:v>
                </c:pt>
                <c:pt idx="416">
                  <c:v>22.85</c:v>
                </c:pt>
                <c:pt idx="417">
                  <c:v>20.84</c:v>
                </c:pt>
                <c:pt idx="418">
                  <c:v>20.91</c:v>
                </c:pt>
                <c:pt idx="419">
                  <c:v>20.49</c:v>
                </c:pt>
                <c:pt idx="420">
                  <c:v>19.77</c:v>
                </c:pt>
                <c:pt idx="421">
                  <c:v>20.11</c:v>
                </c:pt>
                <c:pt idx="422">
                  <c:v>23.31</c:v>
                </c:pt>
                <c:pt idx="423">
                  <c:v>22.62</c:v>
                </c:pt>
                <c:pt idx="424">
                  <c:v>22.79</c:v>
                </c:pt>
                <c:pt idx="425">
                  <c:v>24.03</c:v>
                </c:pt>
                <c:pt idx="426">
                  <c:v>24.83</c:v>
                </c:pt>
                <c:pt idx="427">
                  <c:v>22.92</c:v>
                </c:pt>
                <c:pt idx="428">
                  <c:v>22.58</c:v>
                </c:pt>
                <c:pt idx="429">
                  <c:v>23.84</c:v>
                </c:pt>
                <c:pt idx="430">
                  <c:v>22.26</c:v>
                </c:pt>
                <c:pt idx="431">
                  <c:v>21.25</c:v>
                </c:pt>
                <c:pt idx="432">
                  <c:v>22.05</c:v>
                </c:pt>
                <c:pt idx="433">
                  <c:v>22.57</c:v>
                </c:pt>
                <c:pt idx="434">
                  <c:v>23.55</c:v>
                </c:pt>
                <c:pt idx="435">
                  <c:v>23.52</c:v>
                </c:pt>
                <c:pt idx="436">
                  <c:v>25.44</c:v>
                </c:pt>
                <c:pt idx="437">
                  <c:v>24.95</c:v>
                </c:pt>
                <c:pt idx="438">
                  <c:v>26.66</c:v>
                </c:pt>
                <c:pt idx="439">
                  <c:v>25.58</c:v>
                </c:pt>
                <c:pt idx="440">
                  <c:v>24.31</c:v>
                </c:pt>
                <c:pt idx="441">
                  <c:v>25.51</c:v>
                </c:pt>
                <c:pt idx="442">
                  <c:v>28.29</c:v>
                </c:pt>
                <c:pt idx="443">
                  <c:v>28.69</c:v>
                </c:pt>
                <c:pt idx="444">
                  <c:v>28.93</c:v>
                </c:pt>
                <c:pt idx="445">
                  <c:v>30.16</c:v>
                </c:pt>
                <c:pt idx="446">
                  <c:v>31.01</c:v>
                </c:pt>
                <c:pt idx="447">
                  <c:v>32.39</c:v>
                </c:pt>
                <c:pt idx="448">
                  <c:v>34.479999999999997</c:v>
                </c:pt>
                <c:pt idx="449">
                  <c:v>35.51</c:v>
                </c:pt>
                <c:pt idx="450">
                  <c:v>37.24</c:v>
                </c:pt>
                <c:pt idx="451">
                  <c:v>36.24</c:v>
                </c:pt>
                <c:pt idx="452">
                  <c:v>38.74</c:v>
                </c:pt>
                <c:pt idx="453">
                  <c:v>40.14</c:v>
                </c:pt>
                <c:pt idx="454">
                  <c:v>44.81</c:v>
                </c:pt>
                <c:pt idx="455">
                  <c:v>46.78</c:v>
                </c:pt>
                <c:pt idx="456">
                  <c:v>52.07</c:v>
                </c:pt>
                <c:pt idx="457">
                  <c:v>59.32</c:v>
                </c:pt>
                <c:pt idx="458">
                  <c:v>60.47</c:v>
                </c:pt>
                <c:pt idx="459">
                  <c:v>58.61</c:v>
                </c:pt>
                <c:pt idx="460">
                  <c:v>60.6</c:v>
                </c:pt>
                <c:pt idx="461">
                  <c:v>64.16</c:v>
                </c:pt>
                <c:pt idx="462">
                  <c:v>62.32</c:v>
                </c:pt>
                <c:pt idx="463">
                  <c:v>52.91</c:v>
                </c:pt>
                <c:pt idx="464">
                  <c:v>47.36</c:v>
                </c:pt>
                <c:pt idx="465">
                  <c:v>36.86</c:v>
                </c:pt>
                <c:pt idx="466">
                  <c:v>33.049999999999997</c:v>
                </c:pt>
                <c:pt idx="467">
                  <c:v>31</c:v>
                </c:pt>
                <c:pt idx="468">
                  <c:v>34.340000000000003</c:v>
                </c:pt>
                <c:pt idx="469">
                  <c:v>31.92</c:v>
                </c:pt>
                <c:pt idx="470">
                  <c:v>31.56</c:v>
                </c:pt>
                <c:pt idx="471">
                  <c:v>35.71</c:v>
                </c:pt>
                <c:pt idx="472">
                  <c:v>38.49</c:v>
                </c:pt>
                <c:pt idx="473">
                  <c:v>37.729999999999997</c:v>
                </c:pt>
                <c:pt idx="474">
                  <c:v>34.1</c:v>
                </c:pt>
                <c:pt idx="475">
                  <c:v>36.78</c:v>
                </c:pt>
                <c:pt idx="476">
                  <c:v>34.07</c:v>
                </c:pt>
                <c:pt idx="477">
                  <c:v>36.31</c:v>
                </c:pt>
                <c:pt idx="478">
                  <c:v>38.75</c:v>
                </c:pt>
                <c:pt idx="479">
                  <c:v>39.5</c:v>
                </c:pt>
                <c:pt idx="480">
                  <c:v>38.229999999999997</c:v>
                </c:pt>
                <c:pt idx="481">
                  <c:v>38.119999999999997</c:v>
                </c:pt>
                <c:pt idx="482">
                  <c:v>39.590000000000003</c:v>
                </c:pt>
                <c:pt idx="483">
                  <c:v>39.369999999999997</c:v>
                </c:pt>
                <c:pt idx="484">
                  <c:v>37.92</c:v>
                </c:pt>
                <c:pt idx="485">
                  <c:v>37.24</c:v>
                </c:pt>
                <c:pt idx="486">
                  <c:v>38.01</c:v>
                </c:pt>
                <c:pt idx="487">
                  <c:v>40.700000000000003</c:v>
                </c:pt>
                <c:pt idx="488">
                  <c:v>42.22</c:v>
                </c:pt>
                <c:pt idx="489">
                  <c:v>47.13</c:v>
                </c:pt>
                <c:pt idx="490">
                  <c:v>50.95</c:v>
                </c:pt>
                <c:pt idx="491">
                  <c:v>54.98</c:v>
                </c:pt>
                <c:pt idx="492">
                  <c:v>57.27</c:v>
                </c:pt>
                <c:pt idx="493">
                  <c:v>57.53</c:v>
                </c:pt>
                <c:pt idx="494">
                  <c:v>56.67</c:v>
                </c:pt>
                <c:pt idx="495">
                  <c:v>58.02</c:v>
                </c:pt>
                <c:pt idx="496">
                  <c:v>57.12</c:v>
                </c:pt>
                <c:pt idx="497">
                  <c:v>56.7</c:v>
                </c:pt>
                <c:pt idx="498">
                  <c:v>56.38</c:v>
                </c:pt>
                <c:pt idx="499">
                  <c:v>55.6</c:v>
                </c:pt>
                <c:pt idx="500">
                  <c:v>55.45</c:v>
                </c:pt>
                <c:pt idx="501">
                  <c:v>51.23</c:v>
                </c:pt>
                <c:pt idx="502">
                  <c:v>50.66</c:v>
                </c:pt>
                <c:pt idx="503">
                  <c:v>50.16</c:v>
                </c:pt>
                <c:pt idx="504">
                  <c:v>51.45</c:v>
                </c:pt>
                <c:pt idx="505">
                  <c:v>53.1</c:v>
                </c:pt>
                <c:pt idx="506">
                  <c:v>54.44</c:v>
                </c:pt>
                <c:pt idx="507">
                  <c:v>55.82</c:v>
                </c:pt>
                <c:pt idx="508">
                  <c:v>51.57</c:v>
                </c:pt>
                <c:pt idx="509">
                  <c:v>49.8</c:v>
                </c:pt>
                <c:pt idx="510">
                  <c:v>53.32</c:v>
                </c:pt>
                <c:pt idx="511">
                  <c:v>53.991739130434702</c:v>
                </c:pt>
                <c:pt idx="512">
                  <c:v>55.122631578947299</c:v>
                </c:pt>
                <c:pt idx="513">
                  <c:v>51.004347826086899</c:v>
                </c:pt>
                <c:pt idx="514">
                  <c:v>48.6142857142857</c:v>
                </c:pt>
                <c:pt idx="515">
                  <c:v>49.58</c:v>
                </c:pt>
                <c:pt idx="516">
                  <c:v>51.073</c:v>
                </c:pt>
                <c:pt idx="517">
                  <c:v>51.359499999999997</c:v>
                </c:pt>
                <c:pt idx="518">
                  <c:v>50.124299999999998</c:v>
                </c:pt>
                <c:pt idx="519">
                  <c:v>49.2941</c:v>
                </c:pt>
                <c:pt idx="520">
                  <c:v>49.1768</c:v>
                </c:pt>
                <c:pt idx="521">
                  <c:v>48.017000000000003</c:v>
                </c:pt>
                <c:pt idx="522">
                  <c:v>45.387300000000003</c:v>
                </c:pt>
                <c:pt idx="523">
                  <c:v>42.8673</c:v>
                </c:pt>
                <c:pt idx="524">
                  <c:v>42.445500000000003</c:v>
                </c:pt>
                <c:pt idx="525">
                  <c:v>40.812199999999997</c:v>
                </c:pt>
                <c:pt idx="526">
                  <c:v>40.701500000000003</c:v>
                </c:pt>
                <c:pt idx="527">
                  <c:v>39.681399999999996</c:v>
                </c:pt>
                <c:pt idx="528">
                  <c:v>37.824300000000001</c:v>
                </c:pt>
                <c:pt idx="529">
                  <c:v>39.628399999999999</c:v>
                </c:pt>
                <c:pt idx="530">
                  <c:v>42.230499999999999</c:v>
                </c:pt>
                <c:pt idx="531">
                  <c:v>42.37</c:v>
                </c:pt>
                <c:pt idx="532">
                  <c:v>40.6248</c:v>
                </c:pt>
                <c:pt idx="533">
                  <c:v>39.533799999999999</c:v>
                </c:pt>
                <c:pt idx="534">
                  <c:v>36.954099999999997</c:v>
                </c:pt>
                <c:pt idx="535">
                  <c:v>33.855699999999999</c:v>
                </c:pt>
                <c:pt idx="536">
                  <c:v>32.299500000000002</c:v>
                </c:pt>
                <c:pt idx="537">
                  <c:v>32.794800000000002</c:v>
                </c:pt>
                <c:pt idx="538">
                  <c:v>32.722099999999998</c:v>
                </c:pt>
                <c:pt idx="539">
                  <c:v>32.059100000000001</c:v>
                </c:pt>
                <c:pt idx="540">
                  <c:v>32.186</c:v>
                </c:pt>
                <c:pt idx="541">
                  <c:v>31.657900000000001</c:v>
                </c:pt>
                <c:pt idx="542">
                  <c:v>31.072299999999998</c:v>
                </c:pt>
                <c:pt idx="543">
                  <c:v>31.373799999999999</c:v>
                </c:pt>
                <c:pt idx="544">
                  <c:v>32.587499999999999</c:v>
                </c:pt>
                <c:pt idx="545">
                  <c:v>33.476799999999997</c:v>
                </c:pt>
                <c:pt idx="546">
                  <c:v>31.6023</c:v>
                </c:pt>
                <c:pt idx="547">
                  <c:v>28.573799999999999</c:v>
                </c:pt>
                <c:pt idx="548">
                  <c:v>26.809000000000001</c:v>
                </c:pt>
                <c:pt idx="549">
                  <c:v>28.377700000000001</c:v>
                </c:pt>
                <c:pt idx="550">
                  <c:v>27.884</c:v>
                </c:pt>
                <c:pt idx="551">
                  <c:v>30.822700000000001</c:v>
                </c:pt>
                <c:pt idx="552">
                  <c:v>30.012599999999999</c:v>
                </c:pt>
                <c:pt idx="553">
                  <c:v>31.157499999999999</c:v>
                </c:pt>
                <c:pt idx="554">
                  <c:v>32.476399999999998</c:v>
                </c:pt>
                <c:pt idx="555">
                  <c:v>33.9529</c:v>
                </c:pt>
                <c:pt idx="556">
                  <c:v>32.2057</c:v>
                </c:pt>
                <c:pt idx="557">
                  <c:v>31.914999999999999</c:v>
                </c:pt>
                <c:pt idx="558">
                  <c:v>30.401499999999999</c:v>
                </c:pt>
                <c:pt idx="559">
                  <c:v>32.326999999999998</c:v>
                </c:pt>
                <c:pt idx="560">
                  <c:v>32.812899999999999</c:v>
                </c:pt>
                <c:pt idx="561">
                  <c:v>34.444800000000001</c:v>
                </c:pt>
                <c:pt idx="562">
                  <c:v>35.036200000000001</c:v>
                </c:pt>
                <c:pt idx="563">
                  <c:v>36.395699999999998</c:v>
                </c:pt>
                <c:pt idx="564">
                  <c:v>35.111499999999999</c:v>
                </c:pt>
                <c:pt idx="565">
                  <c:v>33.698399999999999</c:v>
                </c:pt>
                <c:pt idx="566">
                  <c:v>32.93</c:v>
                </c:pt>
                <c:pt idx="567">
                  <c:v>31.538399999999999</c:v>
                </c:pt>
                <c:pt idx="568">
                  <c:v>32.490900000000003</c:v>
                </c:pt>
                <c:pt idx="569">
                  <c:v>31.970500000000001</c:v>
                </c:pt>
                <c:pt idx="570">
                  <c:v>33.548499999999997</c:v>
                </c:pt>
                <c:pt idx="571">
                  <c:v>33.869999999999997</c:v>
                </c:pt>
                <c:pt idx="572">
                  <c:v>34.28</c:v>
                </c:pt>
                <c:pt idx="573">
                  <c:v>33.6</c:v>
                </c:pt>
                <c:pt idx="574">
                  <c:v>34.409999999999997</c:v>
                </c:pt>
                <c:pt idx="575">
                  <c:v>33.14</c:v>
                </c:pt>
                <c:pt idx="576">
                  <c:v>32.950000000000003</c:v>
                </c:pt>
                <c:pt idx="577">
                  <c:v>32.18</c:v>
                </c:pt>
                <c:pt idx="578">
                  <c:v>31.85</c:v>
                </c:pt>
                <c:pt idx="579">
                  <c:v>31.35</c:v>
                </c:pt>
                <c:pt idx="580">
                  <c:v>31</c:v>
                </c:pt>
                <c:pt idx="581">
                  <c:v>29.82</c:v>
                </c:pt>
                <c:pt idx="582">
                  <c:v>28.36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0-4D4B-9504-941FF007E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522120"/>
        <c:axId val="463521792"/>
      </c:lineChart>
      <c:catAx>
        <c:axId val="46352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63521792"/>
        <c:crosses val="autoZero"/>
        <c:auto val="1"/>
        <c:lblAlgn val="ctr"/>
        <c:lblOffset val="100"/>
        <c:noMultiLvlLbl val="1"/>
      </c:catAx>
      <c:valAx>
        <c:axId val="46352179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Cents</a:t>
                </a:r>
                <a:r>
                  <a:rPr lang="en-US" sz="16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 per Pound</a:t>
                </a:r>
                <a:endParaRPr lang="en-US" sz="1600">
                  <a:solidFill>
                    <a:sysClr val="windowText" lastClr="000000"/>
                  </a:solidFill>
                  <a:latin typeface="Bahnschrift SemiBold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2.9285713379800767E-3"/>
              <c:y val="0.385544442137789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3522120"/>
        <c:crosses val="autoZero"/>
        <c:crossBetween val="between"/>
      </c:valAx>
      <c:spPr>
        <a:noFill/>
        <a:ln w="15875">
          <a:solidFill>
            <a:srgbClr val="8E9A44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Average Monthly Soybean</a:t>
            </a:r>
            <a:r>
              <a:rPr lang="en-US" sz="2400" baseline="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 Oil Basis - </a:t>
            </a:r>
          </a:p>
          <a:p>
            <a:pPr>
              <a:defRPr sz="2400">
                <a:solidFill>
                  <a:sysClr val="windowText" lastClr="000000"/>
                </a:solidFill>
                <a:latin typeface="Bahnschrift SemiBold" panose="020B0502040204020203" pitchFamily="34" charset="0"/>
              </a:defRPr>
            </a:pPr>
            <a:r>
              <a:rPr lang="en-US" sz="1100" baseline="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Central Illinois (AMS)</a:t>
            </a:r>
            <a:endParaRPr lang="en-US" sz="1100">
              <a:solidFill>
                <a:sysClr val="windowText" lastClr="000000"/>
              </a:solidFill>
              <a:latin typeface="Bahnschrift SemiBold" panose="020B0502040204020203" pitchFamily="34" charset="0"/>
            </a:endParaRPr>
          </a:p>
        </c:rich>
      </c:tx>
      <c:layout>
        <c:manualLayout>
          <c:xMode val="edge"/>
          <c:yMode val="edge"/>
          <c:x val="0.25158030436618861"/>
          <c:y val="8.068880282436224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15948157830621E-2"/>
          <c:y val="0.1085466119994733"/>
          <c:w val="0.90797690948327903"/>
          <c:h val="0.8049983536625171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50449A"/>
              </a:solidFill>
              <a:round/>
            </a:ln>
            <a:effectLst/>
          </c:spPr>
          <c:marker>
            <c:symbol val="none"/>
          </c:marker>
          <c:cat>
            <c:numRef>
              <c:f>[1]Prices!$A$3:$A$598</c:f>
              <c:numCache>
                <c:formatCode>General</c:formatCode>
                <c:ptCount val="596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41852</c:v>
                </c:pt>
                <c:pt idx="536">
                  <c:v>41883</c:v>
                </c:pt>
                <c:pt idx="537">
                  <c:v>41913</c:v>
                </c:pt>
                <c:pt idx="538">
                  <c:v>41944</c:v>
                </c:pt>
                <c:pt idx="539">
                  <c:v>41974</c:v>
                </c:pt>
                <c:pt idx="540">
                  <c:v>42005</c:v>
                </c:pt>
                <c:pt idx="541">
                  <c:v>42036</c:v>
                </c:pt>
                <c:pt idx="542">
                  <c:v>42064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42217</c:v>
                </c:pt>
                <c:pt idx="548">
                  <c:v>42248</c:v>
                </c:pt>
                <c:pt idx="549">
                  <c:v>42278</c:v>
                </c:pt>
                <c:pt idx="550">
                  <c:v>42309</c:v>
                </c:pt>
                <c:pt idx="551">
                  <c:v>42339</c:v>
                </c:pt>
                <c:pt idx="552">
                  <c:v>42370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42491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42644</c:v>
                </c:pt>
                <c:pt idx="562">
                  <c:v>42675</c:v>
                </c:pt>
                <c:pt idx="563">
                  <c:v>42705</c:v>
                </c:pt>
                <c:pt idx="564">
                  <c:v>42736</c:v>
                </c:pt>
                <c:pt idx="565">
                  <c:v>42767</c:v>
                </c:pt>
                <c:pt idx="566">
                  <c:v>42795</c:v>
                </c:pt>
                <c:pt idx="567">
                  <c:v>42826</c:v>
                </c:pt>
                <c:pt idx="568">
                  <c:v>42856</c:v>
                </c:pt>
                <c:pt idx="569">
                  <c:v>42887</c:v>
                </c:pt>
                <c:pt idx="570">
                  <c:v>42917</c:v>
                </c:pt>
                <c:pt idx="571">
                  <c:v>42948</c:v>
                </c:pt>
                <c:pt idx="572">
                  <c:v>42979</c:v>
                </c:pt>
                <c:pt idx="573">
                  <c:v>43009</c:v>
                </c:pt>
                <c:pt idx="574">
                  <c:v>43040</c:v>
                </c:pt>
                <c:pt idx="575">
                  <c:v>43070</c:v>
                </c:pt>
                <c:pt idx="576">
                  <c:v>43101</c:v>
                </c:pt>
                <c:pt idx="577">
                  <c:v>43132</c:v>
                </c:pt>
                <c:pt idx="578">
                  <c:v>43160</c:v>
                </c:pt>
                <c:pt idx="579">
                  <c:v>43191</c:v>
                </c:pt>
                <c:pt idx="580">
                  <c:v>43221</c:v>
                </c:pt>
                <c:pt idx="581">
                  <c:v>43252</c:v>
                </c:pt>
                <c:pt idx="582">
                  <c:v>43282</c:v>
                </c:pt>
                <c:pt idx="583">
                  <c:v>43313</c:v>
                </c:pt>
                <c:pt idx="584">
                  <c:v>43344</c:v>
                </c:pt>
                <c:pt idx="585">
                  <c:v>43374</c:v>
                </c:pt>
                <c:pt idx="586">
                  <c:v>43405</c:v>
                </c:pt>
                <c:pt idx="587">
                  <c:v>43435</c:v>
                </c:pt>
                <c:pt idx="588">
                  <c:v>43466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43617</c:v>
                </c:pt>
                <c:pt idx="594">
                  <c:v>43647</c:v>
                </c:pt>
                <c:pt idx="595">
                  <c:v>43678</c:v>
                </c:pt>
              </c:numCache>
            </c:numRef>
          </c:cat>
          <c:val>
            <c:numRef>
              <c:f>[1]Prices!$Q$3:$Q$598</c:f>
              <c:numCache>
                <c:formatCode>General</c:formatCode>
                <c:ptCount val="596"/>
                <c:pt idx="0">
                  <c:v>0.34950000000000081</c:v>
                </c:pt>
                <c:pt idx="1">
                  <c:v>0.63210526315789473</c:v>
                </c:pt>
                <c:pt idx="2">
                  <c:v>0</c:v>
                </c:pt>
                <c:pt idx="3">
                  <c:v>0.51090909090908987</c:v>
                </c:pt>
                <c:pt idx="4">
                  <c:v>0.38899999999999935</c:v>
                </c:pt>
                <c:pt idx="5">
                  <c:v>0.24181818181818038</c:v>
                </c:pt>
                <c:pt idx="6">
                  <c:v>0.44636363636363541</c:v>
                </c:pt>
                <c:pt idx="7">
                  <c:v>0.74428571428571288</c:v>
                </c:pt>
                <c:pt idx="8">
                  <c:v>0.88999999999999879</c:v>
                </c:pt>
                <c:pt idx="9">
                  <c:v>1.4809090909090905</c:v>
                </c:pt>
                <c:pt idx="10">
                  <c:v>0.77052631578947661</c:v>
                </c:pt>
                <c:pt idx="11">
                  <c:v>0.49272727272727401</c:v>
                </c:pt>
                <c:pt idx="12">
                  <c:v>0.16300000000000203</c:v>
                </c:pt>
                <c:pt idx="13">
                  <c:v>0.14526315789473543</c:v>
                </c:pt>
                <c:pt idx="14">
                  <c:v>0.30999999999999872</c:v>
                </c:pt>
                <c:pt idx="15">
                  <c:v>0.27333333333333343</c:v>
                </c:pt>
                <c:pt idx="16">
                  <c:v>0.2134999999999998</c:v>
                </c:pt>
                <c:pt idx="17">
                  <c:v>0.15954545454545688</c:v>
                </c:pt>
                <c:pt idx="18">
                  <c:v>0.3180952380952391</c:v>
                </c:pt>
                <c:pt idx="19">
                  <c:v>0.54954545454545389</c:v>
                </c:pt>
                <c:pt idx="20">
                  <c:v>0.23761904761904873</c:v>
                </c:pt>
                <c:pt idx="21">
                  <c:v>0.38095238095238138</c:v>
                </c:pt>
                <c:pt idx="22">
                  <c:v>7.4285714285716509E-2</c:v>
                </c:pt>
                <c:pt idx="23">
                  <c:v>1.6190476190475422E-2</c:v>
                </c:pt>
                <c:pt idx="24">
                  <c:v>-0.10999999999999943</c:v>
                </c:pt>
                <c:pt idx="25">
                  <c:v>-7.4999999999999289E-2</c:v>
                </c:pt>
                <c:pt idx="26">
                  <c:v>-7.9090909090909989E-2</c:v>
                </c:pt>
                <c:pt idx="27">
                  <c:v>7.0000000000032259E-3</c:v>
                </c:pt>
                <c:pt idx="28">
                  <c:v>-0.15636363636363448</c:v>
                </c:pt>
                <c:pt idx="29">
                  <c:v>-2.3636363636365232E-2</c:v>
                </c:pt>
                <c:pt idx="30">
                  <c:v>6.5000000000026148E-3</c:v>
                </c:pt>
                <c:pt idx="31">
                  <c:v>-7.3478260869565659E-2</c:v>
                </c:pt>
                <c:pt idx="32">
                  <c:v>-4.6999999999997044E-2</c:v>
                </c:pt>
                <c:pt idx="33">
                  <c:v>-0.1236363636363631</c:v>
                </c:pt>
                <c:pt idx="34">
                  <c:v>-0.13949999999999996</c:v>
                </c:pt>
                <c:pt idx="35">
                  <c:v>-6.8421052631581603E-2</c:v>
                </c:pt>
                <c:pt idx="36">
                  <c:v>-9.5238095238098452E-2</c:v>
                </c:pt>
                <c:pt idx="37">
                  <c:v>-1.8421052631579116E-2</c:v>
                </c:pt>
                <c:pt idx="38">
                  <c:v>-0.10818181818181749</c:v>
                </c:pt>
                <c:pt idx="39">
                  <c:v>0.10799999999999876</c:v>
                </c:pt>
                <c:pt idx="40">
                  <c:v>0.39272727272727437</c:v>
                </c:pt>
                <c:pt idx="41">
                  <c:v>0.32210526315789778</c:v>
                </c:pt>
                <c:pt idx="42">
                  <c:v>1.3033333333333381</c:v>
                </c:pt>
                <c:pt idx="43">
                  <c:v>4.2991304347826187</c:v>
                </c:pt>
                <c:pt idx="44">
                  <c:v>3.7326315789473732</c:v>
                </c:pt>
                <c:pt idx="45">
                  <c:v>4.0200000000000031</c:v>
                </c:pt>
                <c:pt idx="46">
                  <c:v>1.6195238095238054</c:v>
                </c:pt>
                <c:pt idx="47">
                  <c:v>2.8442105263157842</c:v>
                </c:pt>
                <c:pt idx="48">
                  <c:v>3.8413636363636421</c:v>
                </c:pt>
                <c:pt idx="49">
                  <c:v>3.954444444444448</c:v>
                </c:pt>
                <c:pt idx="50">
                  <c:v>3.8738095238095234</c:v>
                </c:pt>
                <c:pt idx="51">
                  <c:v>1.9538095238095252</c:v>
                </c:pt>
                <c:pt idx="52">
                  <c:v>2.5954545454545404</c:v>
                </c:pt>
                <c:pt idx="53">
                  <c:v>1.8039999999999985</c:v>
                </c:pt>
                <c:pt idx="54">
                  <c:v>3.2459090909090946</c:v>
                </c:pt>
                <c:pt idx="55">
                  <c:v>2.9963636363636397</c:v>
                </c:pt>
                <c:pt idx="56">
                  <c:v>1.6795000000000044</c:v>
                </c:pt>
                <c:pt idx="57">
                  <c:v>2.1739130434774268E-2</c:v>
                </c:pt>
                <c:pt idx="58">
                  <c:v>0.19157894736841286</c:v>
                </c:pt>
                <c:pt idx="59">
                  <c:v>1.0180952380952348</c:v>
                </c:pt>
                <c:pt idx="60">
                  <c:v>0.83181818181817846</c:v>
                </c:pt>
                <c:pt idx="61">
                  <c:v>0.83421052631578974</c:v>
                </c:pt>
                <c:pt idx="62">
                  <c:v>2.1365000000000016</c:v>
                </c:pt>
                <c:pt idx="63">
                  <c:v>1.119545454545456</c:v>
                </c:pt>
                <c:pt idx="64">
                  <c:v>1.1485714285714259</c:v>
                </c:pt>
                <c:pt idx="65">
                  <c:v>1.4028571428571439</c:v>
                </c:pt>
                <c:pt idx="66">
                  <c:v>2.5909090909090793</c:v>
                </c:pt>
                <c:pt idx="67">
                  <c:v>1.8085714285714332</c:v>
                </c:pt>
                <c:pt idx="68">
                  <c:v>0.7619047619047592</c:v>
                </c:pt>
                <c:pt idx="69">
                  <c:v>0.61217391304348112</c:v>
                </c:pt>
                <c:pt idx="70">
                  <c:v>0.37947368421052019</c:v>
                </c:pt>
                <c:pt idx="71">
                  <c:v>0.21380952380952323</c:v>
                </c:pt>
                <c:pt idx="72">
                  <c:v>-0.19047619047619335</c:v>
                </c:pt>
                <c:pt idx="73">
                  <c:v>-0.21157894736841953</c:v>
                </c:pt>
                <c:pt idx="74">
                  <c:v>-0.13782608695652243</c:v>
                </c:pt>
                <c:pt idx="75">
                  <c:v>-5.7619047619052566E-2</c:v>
                </c:pt>
                <c:pt idx="76">
                  <c:v>-0.43100000000000094</c:v>
                </c:pt>
                <c:pt idx="77">
                  <c:v>-0.68681818181817889</c:v>
                </c:pt>
                <c:pt idx="78">
                  <c:v>-8.4285714285712743E-2</c:v>
                </c:pt>
                <c:pt idx="79">
                  <c:v>-0.18681818181817889</c:v>
                </c:pt>
                <c:pt idx="80">
                  <c:v>-0.14904761904761443</c:v>
                </c:pt>
                <c:pt idx="81">
                  <c:v>-0.4480952380952381</c:v>
                </c:pt>
                <c:pt idx="82">
                  <c:v>-0.17149999999999821</c:v>
                </c:pt>
                <c:pt idx="83">
                  <c:v>-0.27095238095237661</c:v>
                </c:pt>
                <c:pt idx="84">
                  <c:v>-0.53619047619048033</c:v>
                </c:pt>
                <c:pt idx="85">
                  <c:v>-0.48894736842104791</c:v>
                </c:pt>
                <c:pt idx="86">
                  <c:v>-0.30173913043477896</c:v>
                </c:pt>
                <c:pt idx="87">
                  <c:v>6.0500000000008214E-2</c:v>
                </c:pt>
                <c:pt idx="88">
                  <c:v>6.1500000000005883E-2</c:v>
                </c:pt>
                <c:pt idx="89">
                  <c:v>0.125</c:v>
                </c:pt>
                <c:pt idx="90">
                  <c:v>0.56149999999999878</c:v>
                </c:pt>
                <c:pt idx="91">
                  <c:v>0.91826086956521635</c:v>
                </c:pt>
                <c:pt idx="92">
                  <c:v>0.56571428571428939</c:v>
                </c:pt>
                <c:pt idx="93">
                  <c:v>0.45857142857143174</c:v>
                </c:pt>
                <c:pt idx="94">
                  <c:v>0.67714285714285793</c:v>
                </c:pt>
                <c:pt idx="95">
                  <c:v>0.70714285714285552</c:v>
                </c:pt>
                <c:pt idx="96">
                  <c:v>0.34238095238095312</c:v>
                </c:pt>
                <c:pt idx="97">
                  <c:v>0.52894736842105416</c:v>
                </c:pt>
                <c:pt idx="98">
                  <c:v>1.0050000000000026</c:v>
                </c:pt>
                <c:pt idx="99">
                  <c:v>0.36900000000000688</c:v>
                </c:pt>
                <c:pt idx="100">
                  <c:v>1.7259090909090915</c:v>
                </c:pt>
                <c:pt idx="101">
                  <c:v>0.95499999999999829</c:v>
                </c:pt>
                <c:pt idx="102">
                  <c:v>1.6894999999999953</c:v>
                </c:pt>
                <c:pt idx="103">
                  <c:v>1.7578260869565163</c:v>
                </c:pt>
                <c:pt idx="104">
                  <c:v>2.1930000000000014</c:v>
                </c:pt>
                <c:pt idx="105">
                  <c:v>1.3718181818181812</c:v>
                </c:pt>
                <c:pt idx="106">
                  <c:v>0.47250000000000014</c:v>
                </c:pt>
                <c:pt idx="107">
                  <c:v>0.91400000000000148</c:v>
                </c:pt>
                <c:pt idx="108">
                  <c:v>0.72500000000000142</c:v>
                </c:pt>
                <c:pt idx="109">
                  <c:v>0.60473684210526812</c:v>
                </c:pt>
                <c:pt idx="110">
                  <c:v>0.31863636363636161</c:v>
                </c:pt>
                <c:pt idx="111">
                  <c:v>0.26599999999999469</c:v>
                </c:pt>
                <c:pt idx="112">
                  <c:v>0.143636363636368</c:v>
                </c:pt>
                <c:pt idx="113">
                  <c:v>0.50380952380952593</c:v>
                </c:pt>
                <c:pt idx="114">
                  <c:v>0.85857142857142676</c:v>
                </c:pt>
                <c:pt idx="115">
                  <c:v>1.4439130434782612</c:v>
                </c:pt>
                <c:pt idx="116">
                  <c:v>2.0715789473684225</c:v>
                </c:pt>
                <c:pt idx="117">
                  <c:v>1.7952173913043481</c:v>
                </c:pt>
                <c:pt idx="118">
                  <c:v>1.3504761904761935</c:v>
                </c:pt>
                <c:pt idx="119">
                  <c:v>1.0784210526315796</c:v>
                </c:pt>
                <c:pt idx="120">
                  <c:v>-0.20049999999999812</c:v>
                </c:pt>
                <c:pt idx="121">
                  <c:v>-0.13150000000000261</c:v>
                </c:pt>
                <c:pt idx="122">
                  <c:v>-0.29809523809523597</c:v>
                </c:pt>
                <c:pt idx="123">
                  <c:v>-0.163333333333334</c:v>
                </c:pt>
                <c:pt idx="124">
                  <c:v>-0.50333333333333385</c:v>
                </c:pt>
                <c:pt idx="125">
                  <c:v>-0.39761904761905242</c:v>
                </c:pt>
                <c:pt idx="126">
                  <c:v>-0.28863636363636402</c:v>
                </c:pt>
                <c:pt idx="127">
                  <c:v>-0.55714285714286049</c:v>
                </c:pt>
                <c:pt idx="128">
                  <c:v>-0.81238095238095553</c:v>
                </c:pt>
                <c:pt idx="129">
                  <c:v>-1.2456521739130473</c:v>
                </c:pt>
                <c:pt idx="130">
                  <c:v>-1.2138888888888886</c:v>
                </c:pt>
                <c:pt idx="131">
                  <c:v>-1.3752380952380889</c:v>
                </c:pt>
                <c:pt idx="132">
                  <c:v>-2.5447619047618986</c:v>
                </c:pt>
                <c:pt idx="133">
                  <c:v>-1.8368421052631518</c:v>
                </c:pt>
                <c:pt idx="134">
                  <c:v>-1.3790909090909054</c:v>
                </c:pt>
                <c:pt idx="135">
                  <c:v>-1.0847619047619084</c:v>
                </c:pt>
                <c:pt idx="136">
                  <c:v>-2.1664999999999992</c:v>
                </c:pt>
                <c:pt idx="137">
                  <c:v>-1.0350000000000001</c:v>
                </c:pt>
                <c:pt idx="138">
                  <c:v>-0.65090909090909221</c:v>
                </c:pt>
                <c:pt idx="139">
                  <c:v>-0.82238095238094999</c:v>
                </c:pt>
                <c:pt idx="140">
                  <c:v>-1.3238095238095262</c:v>
                </c:pt>
                <c:pt idx="141">
                  <c:v>-1.8463636363636375</c:v>
                </c:pt>
                <c:pt idx="142">
                  <c:v>-0.62199999999999989</c:v>
                </c:pt>
                <c:pt idx="143">
                  <c:v>-0.64818181818181486</c:v>
                </c:pt>
                <c:pt idx="144">
                  <c:v>-1.1280000000000037</c:v>
                </c:pt>
                <c:pt idx="145">
                  <c:v>-0.80947368421052701</c:v>
                </c:pt>
                <c:pt idx="146">
                  <c:v>-0.26434782608695784</c:v>
                </c:pt>
                <c:pt idx="147">
                  <c:v>4.7619047618852051E-4</c:v>
                </c:pt>
                <c:pt idx="148">
                  <c:v>-5.8499999999998664E-2</c:v>
                </c:pt>
                <c:pt idx="149">
                  <c:v>0.29409090909090807</c:v>
                </c:pt>
                <c:pt idx="150">
                  <c:v>0.46666666666666856</c:v>
                </c:pt>
                <c:pt idx="151">
                  <c:v>0.32818181818181813</c:v>
                </c:pt>
                <c:pt idx="152">
                  <c:v>0.20380952380952877</c:v>
                </c:pt>
                <c:pt idx="153">
                  <c:v>0.23476190476190339</c:v>
                </c:pt>
                <c:pt idx="154">
                  <c:v>0.47150000000000247</c:v>
                </c:pt>
                <c:pt idx="155">
                  <c:v>1.2523809523802498E-2</c:v>
                </c:pt>
                <c:pt idx="156">
                  <c:v>-0.54714285714285538</c:v>
                </c:pt>
                <c:pt idx="157">
                  <c:v>3.842105263157336E-2</c:v>
                </c:pt>
                <c:pt idx="158">
                  <c:v>0.16739130434782012</c:v>
                </c:pt>
                <c:pt idx="159">
                  <c:v>0.34149999999999991</c:v>
                </c:pt>
                <c:pt idx="160">
                  <c:v>0.34904761904761727</c:v>
                </c:pt>
                <c:pt idx="161">
                  <c:v>0.43818181818181401</c:v>
                </c:pt>
                <c:pt idx="162">
                  <c:v>0.29650000000000176</c:v>
                </c:pt>
                <c:pt idx="163">
                  <c:v>0.34304347826086712</c:v>
                </c:pt>
                <c:pt idx="164">
                  <c:v>0.37333333333334195</c:v>
                </c:pt>
                <c:pt idx="165">
                  <c:v>0.48190476190475806</c:v>
                </c:pt>
                <c:pt idx="166">
                  <c:v>0.40619047619048132</c:v>
                </c:pt>
                <c:pt idx="167">
                  <c:v>-0.11666666666666714</c:v>
                </c:pt>
                <c:pt idx="168">
                  <c:v>-8.7142857142854524E-2</c:v>
                </c:pt>
                <c:pt idx="169">
                  <c:v>0.4080000000000048</c:v>
                </c:pt>
                <c:pt idx="170">
                  <c:v>0.47500000000000142</c:v>
                </c:pt>
                <c:pt idx="171">
                  <c:v>0.69799999999999329</c:v>
                </c:pt>
                <c:pt idx="172">
                  <c:v>1.9440909090909102</c:v>
                </c:pt>
                <c:pt idx="173">
                  <c:v>1.8566666666666762</c:v>
                </c:pt>
                <c:pt idx="174">
                  <c:v>2.7461904761904776</c:v>
                </c:pt>
                <c:pt idx="175">
                  <c:v>1.7469565217391185</c:v>
                </c:pt>
                <c:pt idx="176">
                  <c:v>1.8373684210526307</c:v>
                </c:pt>
                <c:pt idx="177">
                  <c:v>4.3813043478260845</c:v>
                </c:pt>
                <c:pt idx="178">
                  <c:v>3.5419047619047603</c:v>
                </c:pt>
                <c:pt idx="179">
                  <c:v>2.5229999999999997</c:v>
                </c:pt>
                <c:pt idx="180">
                  <c:v>2.0086363636363664</c:v>
                </c:pt>
                <c:pt idx="181">
                  <c:v>1.5357894736842113</c:v>
                </c:pt>
                <c:pt idx="182">
                  <c:v>2.6414285714285697</c:v>
                </c:pt>
                <c:pt idx="183">
                  <c:v>1.5042857142857144</c:v>
                </c:pt>
                <c:pt idx="184">
                  <c:v>2.2531818181818117</c:v>
                </c:pt>
                <c:pt idx="185">
                  <c:v>2.0180000000000007</c:v>
                </c:pt>
                <c:pt idx="186">
                  <c:v>2.149090909090912</c:v>
                </c:pt>
                <c:pt idx="187">
                  <c:v>1.0795454545454568</c:v>
                </c:pt>
                <c:pt idx="188">
                  <c:v>1.1940000000000026</c:v>
                </c:pt>
                <c:pt idx="189">
                  <c:v>0.84173913043478166</c:v>
                </c:pt>
                <c:pt idx="190">
                  <c:v>0.66000000000000014</c:v>
                </c:pt>
                <c:pt idx="191">
                  <c:v>0.41619047619047578</c:v>
                </c:pt>
                <c:pt idx="192">
                  <c:v>0.22363636363636274</c:v>
                </c:pt>
                <c:pt idx="193">
                  <c:v>5.2631578947384128E-3</c:v>
                </c:pt>
                <c:pt idx="194">
                  <c:v>-0.13149999999999906</c:v>
                </c:pt>
                <c:pt idx="195">
                  <c:v>5.0000000000000711E-2</c:v>
                </c:pt>
                <c:pt idx="196">
                  <c:v>-0.17476190476190467</c:v>
                </c:pt>
                <c:pt idx="197">
                  <c:v>-6.2380952380955534E-2</c:v>
                </c:pt>
                <c:pt idx="198">
                  <c:v>-0.15363636363636957</c:v>
                </c:pt>
                <c:pt idx="199">
                  <c:v>-0.11809523809523625</c:v>
                </c:pt>
                <c:pt idx="200">
                  <c:v>0.18047619047619001</c:v>
                </c:pt>
                <c:pt idx="201">
                  <c:v>-0.28695652173912833</c:v>
                </c:pt>
                <c:pt idx="202">
                  <c:v>-0.25473684210526315</c:v>
                </c:pt>
                <c:pt idx="203">
                  <c:v>-0.36590909090909207</c:v>
                </c:pt>
                <c:pt idx="204">
                  <c:v>-0.59000000000000163</c:v>
                </c:pt>
                <c:pt idx="205">
                  <c:v>-0.42842105263157926</c:v>
                </c:pt>
                <c:pt idx="206">
                  <c:v>-0.5609090909090888</c:v>
                </c:pt>
                <c:pt idx="207">
                  <c:v>-0.37761904761904752</c:v>
                </c:pt>
                <c:pt idx="208">
                  <c:v>-0.67750000000000199</c:v>
                </c:pt>
                <c:pt idx="209">
                  <c:v>-0.67500000000000071</c:v>
                </c:pt>
                <c:pt idx="210">
                  <c:v>-0.76227272727272677</c:v>
                </c:pt>
                <c:pt idx="211">
                  <c:v>-0.68428571428571416</c:v>
                </c:pt>
                <c:pt idx="212">
                  <c:v>-0.56428571428571139</c:v>
                </c:pt>
                <c:pt idx="213">
                  <c:v>-0.5636363636363626</c:v>
                </c:pt>
                <c:pt idx="214">
                  <c:v>-0.16949999999999932</c:v>
                </c:pt>
                <c:pt idx="215">
                  <c:v>-0.57318181818181912</c:v>
                </c:pt>
                <c:pt idx="216">
                  <c:v>-0.18650000000000233</c:v>
                </c:pt>
                <c:pt idx="217">
                  <c:v>-0.15749999999999886</c:v>
                </c:pt>
                <c:pt idx="218">
                  <c:v>-0.42000000000000171</c:v>
                </c:pt>
                <c:pt idx="219">
                  <c:v>-0.39050000000000296</c:v>
                </c:pt>
                <c:pt idx="220">
                  <c:v>2.4119047619047578</c:v>
                </c:pt>
                <c:pt idx="221">
                  <c:v>-0.22045454545454746</c:v>
                </c:pt>
                <c:pt idx="222">
                  <c:v>0.19349999999999312</c:v>
                </c:pt>
                <c:pt idx="223">
                  <c:v>0.18913043478261216</c:v>
                </c:pt>
                <c:pt idx="224">
                  <c:v>3.4285714285715585E-2</c:v>
                </c:pt>
                <c:pt idx="225">
                  <c:v>-0.65238095238095539</c:v>
                </c:pt>
                <c:pt idx="226">
                  <c:v>-0.63142857142857167</c:v>
                </c:pt>
                <c:pt idx="227">
                  <c:v>-0.93095238095238031</c:v>
                </c:pt>
                <c:pt idx="228">
                  <c:v>-1.1042857142857123</c:v>
                </c:pt>
                <c:pt idx="229">
                  <c:v>-0.95789473684210336</c:v>
                </c:pt>
                <c:pt idx="230">
                  <c:v>-1.2540909090909054</c:v>
                </c:pt>
                <c:pt idx="231">
                  <c:v>-0.6319999999999979</c:v>
                </c:pt>
                <c:pt idx="232">
                  <c:v>-0.73409090909090935</c:v>
                </c:pt>
                <c:pt idx="233">
                  <c:v>4.0454545454544188E-2</c:v>
                </c:pt>
                <c:pt idx="234">
                  <c:v>-4.3500000000001648E-2</c:v>
                </c:pt>
                <c:pt idx="235">
                  <c:v>-0.12739130434782453</c:v>
                </c:pt>
                <c:pt idx="236">
                  <c:v>-0.13250000000000028</c:v>
                </c:pt>
                <c:pt idx="237">
                  <c:v>8.6363636363635976E-2</c:v>
                </c:pt>
                <c:pt idx="238">
                  <c:v>-0.68380952380952209</c:v>
                </c:pt>
                <c:pt idx="239">
                  <c:v>-0.92899999999999849</c:v>
                </c:pt>
                <c:pt idx="240">
                  <c:v>0.1381818181818133</c:v>
                </c:pt>
                <c:pt idx="241">
                  <c:v>-0.63578947368420913</c:v>
                </c:pt>
                <c:pt idx="242">
                  <c:v>-0.38363636363636289</c:v>
                </c:pt>
                <c:pt idx="243">
                  <c:v>-0.3559999999999981</c:v>
                </c:pt>
                <c:pt idx="244">
                  <c:v>-0.25272727272727025</c:v>
                </c:pt>
                <c:pt idx="245">
                  <c:v>-0.586666666666666</c:v>
                </c:pt>
                <c:pt idx="246">
                  <c:v>-0.40761904761904688</c:v>
                </c:pt>
                <c:pt idx="247">
                  <c:v>0.63434782608695883</c:v>
                </c:pt>
                <c:pt idx="248">
                  <c:v>0.65631578947368396</c:v>
                </c:pt>
                <c:pt idx="249">
                  <c:v>0.26391304347825439</c:v>
                </c:pt>
                <c:pt idx="250">
                  <c:v>0.27333333333333698</c:v>
                </c:pt>
                <c:pt idx="251">
                  <c:v>0.30949999999999989</c:v>
                </c:pt>
                <c:pt idx="252">
                  <c:v>0.1754545454545422</c:v>
                </c:pt>
                <c:pt idx="253">
                  <c:v>0.30947368421053056</c:v>
                </c:pt>
                <c:pt idx="254">
                  <c:v>9.0500000000002245E-2</c:v>
                </c:pt>
                <c:pt idx="255">
                  <c:v>9.0909090909097046E-2</c:v>
                </c:pt>
                <c:pt idx="256">
                  <c:v>-3.2272727272726343E-2</c:v>
                </c:pt>
                <c:pt idx="257">
                  <c:v>1.1499999999998067E-2</c:v>
                </c:pt>
                <c:pt idx="258">
                  <c:v>-7.2727272727242109E-3</c:v>
                </c:pt>
                <c:pt idx="259">
                  <c:v>-3.7727272727273942E-2</c:v>
                </c:pt>
                <c:pt idx="260">
                  <c:v>-2.9499999999998749E-2</c:v>
                </c:pt>
                <c:pt idx="261">
                  <c:v>-0.19260869565217575</c:v>
                </c:pt>
                <c:pt idx="262">
                  <c:v>-0.1980000000000004</c:v>
                </c:pt>
                <c:pt idx="263">
                  <c:v>-0.18952380952381276</c:v>
                </c:pt>
                <c:pt idx="264">
                  <c:v>-0.42909090909090608</c:v>
                </c:pt>
                <c:pt idx="265">
                  <c:v>-0.37263157894736665</c:v>
                </c:pt>
                <c:pt idx="266">
                  <c:v>-0.63863636363636189</c:v>
                </c:pt>
                <c:pt idx="267">
                  <c:v>-0.50842105263158288</c:v>
                </c:pt>
                <c:pt idx="268">
                  <c:v>-0.59450000000000713</c:v>
                </c:pt>
                <c:pt idx="269">
                  <c:v>-0.49545454545454248</c:v>
                </c:pt>
                <c:pt idx="270">
                  <c:v>-0.51409090909091049</c:v>
                </c:pt>
                <c:pt idx="271">
                  <c:v>-0.55428571428571871</c:v>
                </c:pt>
                <c:pt idx="272">
                  <c:v>-0.54047619047619122</c:v>
                </c:pt>
                <c:pt idx="273">
                  <c:v>-0.52727272727273089</c:v>
                </c:pt>
                <c:pt idx="274">
                  <c:v>-5.9999999999998721E-2</c:v>
                </c:pt>
                <c:pt idx="275">
                  <c:v>-7.8636363636366724E-2</c:v>
                </c:pt>
                <c:pt idx="276">
                  <c:v>-0.11749999999999972</c:v>
                </c:pt>
                <c:pt idx="277">
                  <c:v>-3.1578947368480215E-3</c:v>
                </c:pt>
                <c:pt idx="278">
                  <c:v>-0.13869565217391511</c:v>
                </c:pt>
                <c:pt idx="279">
                  <c:v>-3.8095238095294803E-3</c:v>
                </c:pt>
                <c:pt idx="280">
                  <c:v>-0.1664999999999992</c:v>
                </c:pt>
                <c:pt idx="281">
                  <c:v>-3.4545454545447996E-2</c:v>
                </c:pt>
                <c:pt idx="282">
                  <c:v>-0.14190476190476531</c:v>
                </c:pt>
                <c:pt idx="283">
                  <c:v>-0.14863636363636701</c:v>
                </c:pt>
                <c:pt idx="284">
                  <c:v>0.11666666666666714</c:v>
                </c:pt>
                <c:pt idx="285">
                  <c:v>0.12999999999999901</c:v>
                </c:pt>
                <c:pt idx="286">
                  <c:v>8.7619047619046597E-2</c:v>
                </c:pt>
                <c:pt idx="287">
                  <c:v>0.1419047619047582</c:v>
                </c:pt>
                <c:pt idx="288">
                  <c:v>0.39809523809523739</c:v>
                </c:pt>
                <c:pt idx="289">
                  <c:v>0.38736842105263136</c:v>
                </c:pt>
                <c:pt idx="290">
                  <c:v>0.35086956521739765</c:v>
                </c:pt>
                <c:pt idx="291">
                  <c:v>8.7894736842102361E-2</c:v>
                </c:pt>
                <c:pt idx="292">
                  <c:v>0.24952380952381148</c:v>
                </c:pt>
                <c:pt idx="293">
                  <c:v>0.20000000000000284</c:v>
                </c:pt>
                <c:pt idx="294">
                  <c:v>7.0999999999994401E-2</c:v>
                </c:pt>
                <c:pt idx="295">
                  <c:v>9.3913043478259794E-2</c:v>
                </c:pt>
                <c:pt idx="296">
                  <c:v>0.48999999999999844</c:v>
                </c:pt>
                <c:pt idx="297">
                  <c:v>2.1804761904761882</c:v>
                </c:pt>
                <c:pt idx="298">
                  <c:v>1.9309523809523803</c:v>
                </c:pt>
                <c:pt idx="299">
                  <c:v>2.5242857142857176</c:v>
                </c:pt>
                <c:pt idx="300">
                  <c:v>2.1180952380952256</c:v>
                </c:pt>
                <c:pt idx="301">
                  <c:v>0.9789473684210499</c:v>
                </c:pt>
                <c:pt idx="302">
                  <c:v>1.5817391304347801</c:v>
                </c:pt>
                <c:pt idx="303">
                  <c:v>0.60421052631579641</c:v>
                </c:pt>
                <c:pt idx="304">
                  <c:v>0.45136363636363797</c:v>
                </c:pt>
                <c:pt idx="305">
                  <c:v>0.19254545454550254</c:v>
                </c:pt>
                <c:pt idx="306">
                  <c:v>0.14150000000000418</c:v>
                </c:pt>
                <c:pt idx="307">
                  <c:v>0.28869565217391724</c:v>
                </c:pt>
                <c:pt idx="308">
                  <c:v>-4.7499999999999432E-2</c:v>
                </c:pt>
                <c:pt idx="309">
                  <c:v>-0.16499999999999915</c:v>
                </c:pt>
                <c:pt idx="310">
                  <c:v>-0.24619047619047052</c:v>
                </c:pt>
                <c:pt idx="311">
                  <c:v>-0.41450000000000031</c:v>
                </c:pt>
                <c:pt idx="312">
                  <c:v>-0.83000000000000185</c:v>
                </c:pt>
                <c:pt idx="313">
                  <c:v>-0.80650000000000333</c:v>
                </c:pt>
                <c:pt idx="314">
                  <c:v>-0.94904761904761514</c:v>
                </c:pt>
                <c:pt idx="315">
                  <c:v>-0.63190476190477085</c:v>
                </c:pt>
                <c:pt idx="316">
                  <c:v>-0.86545454545453282</c:v>
                </c:pt>
                <c:pt idx="317">
                  <c:v>-0.72300000000000253</c:v>
                </c:pt>
                <c:pt idx="318">
                  <c:v>-0.92136363636363683</c:v>
                </c:pt>
                <c:pt idx="319">
                  <c:v>-1.1331818181818214</c:v>
                </c:pt>
                <c:pt idx="320">
                  <c:v>-1.3230000000000004</c:v>
                </c:pt>
                <c:pt idx="321">
                  <c:v>-1.4047826086956512</c:v>
                </c:pt>
                <c:pt idx="322">
                  <c:v>-1.323000000000004</c:v>
                </c:pt>
                <c:pt idx="323">
                  <c:v>-1.4947619047619014</c:v>
                </c:pt>
                <c:pt idx="324">
                  <c:v>-1.6477272727272734</c:v>
                </c:pt>
                <c:pt idx="325">
                  <c:v>-1.4952631578947404</c:v>
                </c:pt>
                <c:pt idx="326">
                  <c:v>-1.6284999999999989</c:v>
                </c:pt>
                <c:pt idx="327">
                  <c:v>-1.1895454545454562</c:v>
                </c:pt>
                <c:pt idx="328">
                  <c:v>-0.49428571428571288</c:v>
                </c:pt>
                <c:pt idx="329">
                  <c:v>-6.8095238095239097E-2</c:v>
                </c:pt>
                <c:pt idx="330">
                  <c:v>-9.5454545454543904E-2</c:v>
                </c:pt>
                <c:pt idx="331">
                  <c:v>-0.23190476190476161</c:v>
                </c:pt>
                <c:pt idx="332">
                  <c:v>-0.31000000000000227</c:v>
                </c:pt>
                <c:pt idx="333">
                  <c:v>-0.47304347826086968</c:v>
                </c:pt>
                <c:pt idx="334">
                  <c:v>7.0000000000000284E-2</c:v>
                </c:pt>
                <c:pt idx="335">
                  <c:v>0.13636363636364024</c:v>
                </c:pt>
                <c:pt idx="336">
                  <c:v>-5.9499999999999886E-2</c:v>
                </c:pt>
                <c:pt idx="337">
                  <c:v>0.13578947368421268</c:v>
                </c:pt>
                <c:pt idx="338">
                  <c:v>-0.12363636363636488</c:v>
                </c:pt>
                <c:pt idx="339">
                  <c:v>0.22809523809523569</c:v>
                </c:pt>
                <c:pt idx="340">
                  <c:v>0.12450000000000472</c:v>
                </c:pt>
                <c:pt idx="341">
                  <c:v>0.19545454545454177</c:v>
                </c:pt>
                <c:pt idx="342">
                  <c:v>9.1363636363638534E-2</c:v>
                </c:pt>
                <c:pt idx="343">
                  <c:v>0.24047619047619406</c:v>
                </c:pt>
                <c:pt idx="344">
                  <c:v>0.38809523809523938</c:v>
                </c:pt>
                <c:pt idx="345">
                  <c:v>0.57954545454546036</c:v>
                </c:pt>
                <c:pt idx="346">
                  <c:v>0.45199999999999818</c:v>
                </c:pt>
                <c:pt idx="347">
                  <c:v>0.18499999999999872</c:v>
                </c:pt>
                <c:pt idx="348">
                  <c:v>-0.1626315789473729</c:v>
                </c:pt>
                <c:pt idx="349">
                  <c:v>-0.13842105263157478</c:v>
                </c:pt>
                <c:pt idx="350">
                  <c:v>-0.27391304347826306</c:v>
                </c:pt>
                <c:pt idx="351">
                  <c:v>-0.3442857142857072</c:v>
                </c:pt>
                <c:pt idx="352">
                  <c:v>-0.48299999999999699</c:v>
                </c:pt>
                <c:pt idx="353">
                  <c:v>-0.42863636363636104</c:v>
                </c:pt>
                <c:pt idx="354">
                  <c:v>-0.22095238095237946</c:v>
                </c:pt>
                <c:pt idx="355">
                  <c:v>-0.27409090909091205</c:v>
                </c:pt>
                <c:pt idx="356">
                  <c:v>-0.31095238095238287</c:v>
                </c:pt>
                <c:pt idx="357">
                  <c:v>-0.48619047619047961</c:v>
                </c:pt>
                <c:pt idx="358">
                  <c:v>-0.52857142857142669</c:v>
                </c:pt>
                <c:pt idx="359">
                  <c:v>-0.63238095238095049</c:v>
                </c:pt>
                <c:pt idx="360">
                  <c:v>-0.72049999999999947</c:v>
                </c:pt>
                <c:pt idx="361">
                  <c:v>-0.65099999999999625</c:v>
                </c:pt>
                <c:pt idx="362">
                  <c:v>-0.77043478260869946</c:v>
                </c:pt>
                <c:pt idx="363">
                  <c:v>-0.64700000000000202</c:v>
                </c:pt>
                <c:pt idx="364">
                  <c:v>-0.69636363636363896</c:v>
                </c:pt>
                <c:pt idx="365">
                  <c:v>-0.64090909090909243</c:v>
                </c:pt>
                <c:pt idx="366">
                  <c:v>-0.82400000000000517</c:v>
                </c:pt>
                <c:pt idx="367">
                  <c:v>-0.98826086956521841</c:v>
                </c:pt>
                <c:pt idx="368">
                  <c:v>-1.2569999999999997</c:v>
                </c:pt>
                <c:pt idx="369">
                  <c:v>-1.55772727272727</c:v>
                </c:pt>
                <c:pt idx="370">
                  <c:v>-1.6223809523809543</c:v>
                </c:pt>
                <c:pt idx="371">
                  <c:v>-1.8714999999999975</c:v>
                </c:pt>
                <c:pt idx="372">
                  <c:v>-2.1680952380952387</c:v>
                </c:pt>
                <c:pt idx="373">
                  <c:v>-2.3752631578947376</c:v>
                </c:pt>
                <c:pt idx="374">
                  <c:v>-2.1854545454545473</c:v>
                </c:pt>
                <c:pt idx="375">
                  <c:v>-1.6170000000000009</c:v>
                </c:pt>
                <c:pt idx="376">
                  <c:v>-1.2543478260869563</c:v>
                </c:pt>
                <c:pt idx="377">
                  <c:v>-0.86904761904761685</c:v>
                </c:pt>
                <c:pt idx="378">
                  <c:v>-0.9533333333333367</c:v>
                </c:pt>
                <c:pt idx="379">
                  <c:v>-0.99521739130434739</c:v>
                </c:pt>
                <c:pt idx="380">
                  <c:v>-0.82117647058823451</c:v>
                </c:pt>
                <c:pt idx="381">
                  <c:v>-0.85869565217391219</c:v>
                </c:pt>
                <c:pt idx="382">
                  <c:v>-0.77857142857142492</c:v>
                </c:pt>
                <c:pt idx="383">
                  <c:v>-0.80210526315789465</c:v>
                </c:pt>
                <c:pt idx="384">
                  <c:v>-0.82000000000000028</c:v>
                </c:pt>
                <c:pt idx="385">
                  <c:v>-1.3599999999999994</c:v>
                </c:pt>
                <c:pt idx="386">
                  <c:v>-1.5500000000000007</c:v>
                </c:pt>
                <c:pt idx="387">
                  <c:v>-1.2499999999999982</c:v>
                </c:pt>
                <c:pt idx="388">
                  <c:v>-1.17</c:v>
                </c:pt>
                <c:pt idx="389">
                  <c:v>-0.41000000000000014</c:v>
                </c:pt>
                <c:pt idx="390">
                  <c:v>-8.9999999999999858E-2</c:v>
                </c:pt>
                <c:pt idx="391">
                  <c:v>3.0000000000001137E-2</c:v>
                </c:pt>
                <c:pt idx="392">
                  <c:v>0.21999999999999886</c:v>
                </c:pt>
                <c:pt idx="393">
                  <c:v>0.53000000000000114</c:v>
                </c:pt>
                <c:pt idx="394">
                  <c:v>0.75999999999999801</c:v>
                </c:pt>
                <c:pt idx="395">
                  <c:v>0.87000000000000099</c:v>
                </c:pt>
                <c:pt idx="396">
                  <c:v>0.85999999999999943</c:v>
                </c:pt>
                <c:pt idx="397">
                  <c:v>0.71000000000000085</c:v>
                </c:pt>
                <c:pt idx="398">
                  <c:v>0.61999999999999744</c:v>
                </c:pt>
                <c:pt idx="399">
                  <c:v>0.55999999999999872</c:v>
                </c:pt>
                <c:pt idx="400">
                  <c:v>0.65000000000000213</c:v>
                </c:pt>
                <c:pt idx="401">
                  <c:v>0.75</c:v>
                </c:pt>
                <c:pt idx="402">
                  <c:v>0.78999999999999915</c:v>
                </c:pt>
                <c:pt idx="403">
                  <c:v>0.65000000000000213</c:v>
                </c:pt>
                <c:pt idx="404">
                  <c:v>0.75</c:v>
                </c:pt>
                <c:pt idx="405">
                  <c:v>1.3599999999999994</c:v>
                </c:pt>
                <c:pt idx="406">
                  <c:v>1.3900000000000006</c:v>
                </c:pt>
                <c:pt idx="407">
                  <c:v>1.6499999999999986</c:v>
                </c:pt>
                <c:pt idx="408">
                  <c:v>1.1799999999999997</c:v>
                </c:pt>
                <c:pt idx="409">
                  <c:v>1.0799999999999983</c:v>
                </c:pt>
                <c:pt idx="410">
                  <c:v>1.2199999999999989</c:v>
                </c:pt>
                <c:pt idx="411">
                  <c:v>1.5599999999999952</c:v>
                </c:pt>
                <c:pt idx="412">
                  <c:v>2.1400000000000006</c:v>
                </c:pt>
                <c:pt idx="413">
                  <c:v>1.7399999999999984</c:v>
                </c:pt>
                <c:pt idx="414">
                  <c:v>2.2300000000000004</c:v>
                </c:pt>
                <c:pt idx="415">
                  <c:v>2.620000000000001</c:v>
                </c:pt>
                <c:pt idx="416">
                  <c:v>3.0199999999999996</c:v>
                </c:pt>
                <c:pt idx="417">
                  <c:v>2.3900000000000006</c:v>
                </c:pt>
                <c:pt idx="418">
                  <c:v>2.0399999999999991</c:v>
                </c:pt>
                <c:pt idx="419">
                  <c:v>1.3000000000000007</c:v>
                </c:pt>
                <c:pt idx="420">
                  <c:v>0.69999999999999929</c:v>
                </c:pt>
                <c:pt idx="421">
                  <c:v>0.58999999999999986</c:v>
                </c:pt>
                <c:pt idx="422">
                  <c:v>0.2900000000000027</c:v>
                </c:pt>
                <c:pt idx="423">
                  <c:v>0.46999999999999886</c:v>
                </c:pt>
                <c:pt idx="424">
                  <c:v>0.58999999999999986</c:v>
                </c:pt>
                <c:pt idx="425">
                  <c:v>0.67999999999999972</c:v>
                </c:pt>
                <c:pt idx="426">
                  <c:v>0.63000000000000256</c:v>
                </c:pt>
                <c:pt idx="427">
                  <c:v>0.67999999999999972</c:v>
                </c:pt>
                <c:pt idx="428">
                  <c:v>0.61000000000000298</c:v>
                </c:pt>
                <c:pt idx="429">
                  <c:v>0.37000000000000099</c:v>
                </c:pt>
                <c:pt idx="430">
                  <c:v>0.25999999999999801</c:v>
                </c:pt>
                <c:pt idx="431">
                  <c:v>-0.25</c:v>
                </c:pt>
                <c:pt idx="432">
                  <c:v>-0.42000000000000171</c:v>
                </c:pt>
                <c:pt idx="433">
                  <c:v>-0.35999999999999943</c:v>
                </c:pt>
                <c:pt idx="434">
                  <c:v>-0.33999999999999986</c:v>
                </c:pt>
                <c:pt idx="435">
                  <c:v>-0.53999999999999915</c:v>
                </c:pt>
                <c:pt idx="436">
                  <c:v>-0.67999999999999972</c:v>
                </c:pt>
                <c:pt idx="437">
                  <c:v>-0.75</c:v>
                </c:pt>
                <c:pt idx="438">
                  <c:v>-0.80000000000000071</c:v>
                </c:pt>
                <c:pt idx="439">
                  <c:v>-0.77999999999999758</c:v>
                </c:pt>
                <c:pt idx="440">
                  <c:v>-0.76999999999999957</c:v>
                </c:pt>
                <c:pt idx="441">
                  <c:v>-0.72000000000000242</c:v>
                </c:pt>
                <c:pt idx="442">
                  <c:v>-0.64999999999999858</c:v>
                </c:pt>
                <c:pt idx="443">
                  <c:v>-1.0300000000000011</c:v>
                </c:pt>
                <c:pt idx="444">
                  <c:v>-0.91000000000000014</c:v>
                </c:pt>
                <c:pt idx="445">
                  <c:v>-1.2199999999999989</c:v>
                </c:pt>
                <c:pt idx="446">
                  <c:v>-1.2700000000000031</c:v>
                </c:pt>
                <c:pt idx="447">
                  <c:v>-1.3300000000000018</c:v>
                </c:pt>
                <c:pt idx="448">
                  <c:v>-1.5799999999999983</c:v>
                </c:pt>
                <c:pt idx="449">
                  <c:v>-1.5</c:v>
                </c:pt>
                <c:pt idx="450">
                  <c:v>-1.5</c:v>
                </c:pt>
                <c:pt idx="451">
                  <c:v>-1.3700000000000045</c:v>
                </c:pt>
                <c:pt idx="452">
                  <c:v>-1.8500000000000014</c:v>
                </c:pt>
                <c:pt idx="453">
                  <c:v>-2.0399999999999991</c:v>
                </c:pt>
                <c:pt idx="454">
                  <c:v>-2.1300000000000026</c:v>
                </c:pt>
                <c:pt idx="455">
                  <c:v>-1.6200000000000045</c:v>
                </c:pt>
                <c:pt idx="456">
                  <c:v>-2.2999999999999972</c:v>
                </c:pt>
                <c:pt idx="457">
                  <c:v>-2.6400000000000006</c:v>
                </c:pt>
                <c:pt idx="458">
                  <c:v>-3.1999999999999957</c:v>
                </c:pt>
                <c:pt idx="459">
                  <c:v>-2.0300000000000011</c:v>
                </c:pt>
                <c:pt idx="460">
                  <c:v>-2.3299999999999983</c:v>
                </c:pt>
                <c:pt idx="461">
                  <c:v>-1.7299999999999969</c:v>
                </c:pt>
                <c:pt idx="462">
                  <c:v>-1.7800000000000011</c:v>
                </c:pt>
                <c:pt idx="463">
                  <c:v>-2.1299999999999955</c:v>
                </c:pt>
                <c:pt idx="464">
                  <c:v>-1.269999999999996</c:v>
                </c:pt>
                <c:pt idx="465">
                  <c:v>-1.3599999999999994</c:v>
                </c:pt>
                <c:pt idx="466">
                  <c:v>-1.4999999999999964</c:v>
                </c:pt>
                <c:pt idx="467">
                  <c:v>-1.6999999999999993</c:v>
                </c:pt>
                <c:pt idx="468">
                  <c:v>-2.1800000000000068</c:v>
                </c:pt>
                <c:pt idx="469">
                  <c:v>-2.990000000000002</c:v>
                </c:pt>
                <c:pt idx="470">
                  <c:v>-3.3299999999999983</c:v>
                </c:pt>
                <c:pt idx="471">
                  <c:v>-2.9500000000000028</c:v>
                </c:pt>
                <c:pt idx="472">
                  <c:v>-2.4299999999999997</c:v>
                </c:pt>
                <c:pt idx="473">
                  <c:v>-2.0700000000000003</c:v>
                </c:pt>
                <c:pt idx="474">
                  <c:v>-3.0200000000000031</c:v>
                </c:pt>
                <c:pt idx="475">
                  <c:v>-3.0900000000000034</c:v>
                </c:pt>
                <c:pt idx="476">
                  <c:v>-3.1099999999999994</c:v>
                </c:pt>
                <c:pt idx="477">
                  <c:v>-3.1600000000000037</c:v>
                </c:pt>
                <c:pt idx="478">
                  <c:v>-2.1599999999999966</c:v>
                </c:pt>
                <c:pt idx="479">
                  <c:v>-2.6899999999999977</c:v>
                </c:pt>
                <c:pt idx="480">
                  <c:v>-3.3499999999999943</c:v>
                </c:pt>
                <c:pt idx="481">
                  <c:v>-3.4299999999999997</c:v>
                </c:pt>
                <c:pt idx="482">
                  <c:v>-3.2000000000000028</c:v>
                </c:pt>
                <c:pt idx="483">
                  <c:v>-2.259999999999998</c:v>
                </c:pt>
                <c:pt idx="484">
                  <c:v>-2.5100000000000051</c:v>
                </c:pt>
                <c:pt idx="485">
                  <c:v>-2.7700000000000031</c:v>
                </c:pt>
                <c:pt idx="486">
                  <c:v>-2.9399999999999977</c:v>
                </c:pt>
                <c:pt idx="487">
                  <c:v>-3.1300000000000026</c:v>
                </c:pt>
                <c:pt idx="488">
                  <c:v>-3.009999999999998</c:v>
                </c:pt>
                <c:pt idx="489">
                  <c:v>-3.1099999999999994</c:v>
                </c:pt>
                <c:pt idx="490">
                  <c:v>-3.3300000000000054</c:v>
                </c:pt>
                <c:pt idx="491">
                  <c:v>-3.4699999999999989</c:v>
                </c:pt>
                <c:pt idx="492">
                  <c:v>-3.4299999999999997</c:v>
                </c:pt>
                <c:pt idx="493">
                  <c:v>-3.3200000000000003</c:v>
                </c:pt>
                <c:pt idx="494">
                  <c:v>-2.6000000000000014</c:v>
                </c:pt>
                <c:pt idx="495">
                  <c:v>-1.3700000000000045</c:v>
                </c:pt>
                <c:pt idx="496">
                  <c:v>-1.029999999999994</c:v>
                </c:pt>
                <c:pt idx="497">
                  <c:v>-1.0200000000000031</c:v>
                </c:pt>
                <c:pt idx="498">
                  <c:v>-1.220000000000006</c:v>
                </c:pt>
                <c:pt idx="499">
                  <c:v>-1.2100000000000009</c:v>
                </c:pt>
                <c:pt idx="500">
                  <c:v>-0.32000000000000028</c:v>
                </c:pt>
                <c:pt idx="501">
                  <c:v>0.5</c:v>
                </c:pt>
                <c:pt idx="502">
                  <c:v>0.78000000000000114</c:v>
                </c:pt>
                <c:pt idx="503">
                  <c:v>1.0000000000005116E-2</c:v>
                </c:pt>
                <c:pt idx="504">
                  <c:v>-0.46000000000000085</c:v>
                </c:pt>
                <c:pt idx="505">
                  <c:v>-0.74000000000000199</c:v>
                </c:pt>
                <c:pt idx="506">
                  <c:v>-1.009999999999998</c:v>
                </c:pt>
                <c:pt idx="507">
                  <c:v>-0.85999999999999943</c:v>
                </c:pt>
                <c:pt idx="508">
                  <c:v>-0.88000000000000256</c:v>
                </c:pt>
                <c:pt idx="509">
                  <c:v>-1.1499999999999986</c:v>
                </c:pt>
                <c:pt idx="510">
                  <c:v>-1.3599999999999994</c:v>
                </c:pt>
                <c:pt idx="511">
                  <c:v>-1.3417391304347035</c:v>
                </c:pt>
                <c:pt idx="512">
                  <c:v>-1.3126315789472969</c:v>
                </c:pt>
                <c:pt idx="513">
                  <c:v>-1.6943478260868972</c:v>
                </c:pt>
                <c:pt idx="514">
                  <c:v>-2.3442857142856965</c:v>
                </c:pt>
                <c:pt idx="515">
                  <c:v>-2.4200000000000017</c:v>
                </c:pt>
                <c:pt idx="516">
                  <c:v>-2.222999999999999</c:v>
                </c:pt>
                <c:pt idx="517">
                  <c:v>-2.0294999999999987</c:v>
                </c:pt>
                <c:pt idx="518">
                  <c:v>-1.5043000000000006</c:v>
                </c:pt>
                <c:pt idx="519">
                  <c:v>-1.4099999999999113E-2</c:v>
                </c:pt>
                <c:pt idx="520">
                  <c:v>0.13320000000000221</c:v>
                </c:pt>
                <c:pt idx="521">
                  <c:v>-0.1769999999999996</c:v>
                </c:pt>
                <c:pt idx="522">
                  <c:v>-0.19730000000000558</c:v>
                </c:pt>
                <c:pt idx="523">
                  <c:v>-0.53730000000000189</c:v>
                </c:pt>
                <c:pt idx="524">
                  <c:v>-0.32550000000000523</c:v>
                </c:pt>
                <c:pt idx="525">
                  <c:v>-1.1522000000000006</c:v>
                </c:pt>
                <c:pt idx="526">
                  <c:v>-1.1215000000000046</c:v>
                </c:pt>
                <c:pt idx="527">
                  <c:v>-2.0513999999999939</c:v>
                </c:pt>
                <c:pt idx="528">
                  <c:v>-2.8742999999999981</c:v>
                </c:pt>
                <c:pt idx="529">
                  <c:v>-2.5183999999999997</c:v>
                </c:pt>
                <c:pt idx="530">
                  <c:v>-1.410499999999999</c:v>
                </c:pt>
                <c:pt idx="531">
                  <c:v>-0.5</c:v>
                </c:pt>
                <c:pt idx="532">
                  <c:v>5.519999999999925E-2</c:v>
                </c:pt>
                <c:pt idx="533">
                  <c:v>0.30620000000000402</c:v>
                </c:pt>
                <c:pt idx="534">
                  <c:v>0.64590000000000458</c:v>
                </c:pt>
                <c:pt idx="535">
                  <c:v>1.1843000000000004</c:v>
                </c:pt>
                <c:pt idx="536">
                  <c:v>1.6905000000000001</c:v>
                </c:pt>
                <c:pt idx="537">
                  <c:v>1.3051999999999992</c:v>
                </c:pt>
                <c:pt idx="538">
                  <c:v>0.72790000000000532</c:v>
                </c:pt>
                <c:pt idx="539">
                  <c:v>0.50090000000000146</c:v>
                </c:pt>
                <c:pt idx="540">
                  <c:v>0.14399999999999835</c:v>
                </c:pt>
                <c:pt idx="541">
                  <c:v>-8.7900000000001199E-2</c:v>
                </c:pt>
                <c:pt idx="542">
                  <c:v>-0.18229999999999791</c:v>
                </c:pt>
                <c:pt idx="543">
                  <c:v>-0.24380000000000024</c:v>
                </c:pt>
                <c:pt idx="544">
                  <c:v>6.25E-2</c:v>
                </c:pt>
                <c:pt idx="545">
                  <c:v>0.25319999999999965</c:v>
                </c:pt>
                <c:pt idx="546">
                  <c:v>-6.2300000000000466E-2</c:v>
                </c:pt>
                <c:pt idx="547">
                  <c:v>0.29620000000000246</c:v>
                </c:pt>
                <c:pt idx="548">
                  <c:v>-0.37900000000000134</c:v>
                </c:pt>
                <c:pt idx="549">
                  <c:v>-1.2377000000000002</c:v>
                </c:pt>
                <c:pt idx="550">
                  <c:v>-1.4639999999999986</c:v>
                </c:pt>
                <c:pt idx="551">
                  <c:v>-1.1027000000000022</c:v>
                </c:pt>
                <c:pt idx="552">
                  <c:v>-1.1225999999999985</c:v>
                </c:pt>
                <c:pt idx="553">
                  <c:v>-1.3674999999999997</c:v>
                </c:pt>
                <c:pt idx="554">
                  <c:v>-1.6163999999999987</c:v>
                </c:pt>
                <c:pt idx="555">
                  <c:v>-1.5028999999999968</c:v>
                </c:pt>
                <c:pt idx="556">
                  <c:v>-1.4456999999999987</c:v>
                </c:pt>
                <c:pt idx="557">
                  <c:v>-1.5649999999999977</c:v>
                </c:pt>
                <c:pt idx="558">
                  <c:v>-1.6514999999999986</c:v>
                </c:pt>
                <c:pt idx="559">
                  <c:v>-1.1169999999999973</c:v>
                </c:pt>
                <c:pt idx="560">
                  <c:v>-0.82290000000000063</c:v>
                </c:pt>
                <c:pt idx="561">
                  <c:v>-0.58480000000000132</c:v>
                </c:pt>
                <c:pt idx="562">
                  <c:v>-0.51619999999999777</c:v>
                </c:pt>
                <c:pt idx="563">
                  <c:v>-0.82569999999999766</c:v>
                </c:pt>
                <c:pt idx="564">
                  <c:v>-1.5315000000000012</c:v>
                </c:pt>
                <c:pt idx="565">
                  <c:v>-1.6983999999999995</c:v>
                </c:pt>
                <c:pt idx="566">
                  <c:v>-2.0700000000000003</c:v>
                </c:pt>
                <c:pt idx="567">
                  <c:v>-1.968399999999999</c:v>
                </c:pt>
                <c:pt idx="568">
                  <c:v>-1.890900000000002</c:v>
                </c:pt>
                <c:pt idx="569">
                  <c:v>-1.2305000000000028</c:v>
                </c:pt>
                <c:pt idx="570">
                  <c:v>-0.72849999999999682</c:v>
                </c:pt>
                <c:pt idx="571">
                  <c:v>-0.69999999999999574</c:v>
                </c:pt>
                <c:pt idx="572">
                  <c:v>-1</c:v>
                </c:pt>
                <c:pt idx="573">
                  <c:v>-1.25</c:v>
                </c:pt>
                <c:pt idx="574">
                  <c:v>-0.97999999999999687</c:v>
                </c:pt>
                <c:pt idx="575">
                  <c:v>-0.86999999999999744</c:v>
                </c:pt>
                <c:pt idx="576">
                  <c:v>-1.3400000000000034</c:v>
                </c:pt>
                <c:pt idx="577">
                  <c:v>-1.5500000000000007</c:v>
                </c:pt>
                <c:pt idx="578">
                  <c:v>-1.5700000000000003</c:v>
                </c:pt>
                <c:pt idx="579">
                  <c:v>-1.6500000000000021</c:v>
                </c:pt>
                <c:pt idx="580">
                  <c:v>-1.6000000000000014</c:v>
                </c:pt>
                <c:pt idx="581">
                  <c:v>-1.5199999999999996</c:v>
                </c:pt>
                <c:pt idx="582">
                  <c:v>-1.1499999999999986</c:v>
                </c:pt>
                <c:pt idx="583">
                  <c:v>-0.72999999999999687</c:v>
                </c:pt>
                <c:pt idx="584">
                  <c:v>-0.53000000000000114</c:v>
                </c:pt>
                <c:pt idx="585">
                  <c:v>-0.16173913043477484</c:v>
                </c:pt>
                <c:pt idx="586">
                  <c:v>-0.20000000000000284</c:v>
                </c:pt>
                <c:pt idx="587">
                  <c:v>-0.17999999999999972</c:v>
                </c:pt>
                <c:pt idx="588">
                  <c:v>-0.56095238095237221</c:v>
                </c:pt>
                <c:pt idx="589">
                  <c:v>-0.65000000000000213</c:v>
                </c:pt>
                <c:pt idx="590">
                  <c:v>-0.75999999999999801</c:v>
                </c:pt>
                <c:pt idx="591">
                  <c:v>-0.69666666666666899</c:v>
                </c:pt>
                <c:pt idx="592">
                  <c:v>-0.3004545454545493</c:v>
                </c:pt>
                <c:pt idx="593">
                  <c:v>0.38999999999999702</c:v>
                </c:pt>
                <c:pt idx="594">
                  <c:v>-0.37499999999999645</c:v>
                </c:pt>
                <c:pt idx="595">
                  <c:v>-0.15999999999999659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1-41E2-B7C1-DC755806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278936"/>
        <c:axId val="819277296"/>
      </c:lineChart>
      <c:catAx>
        <c:axId val="81927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22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19277296"/>
        <c:crosses val="autoZero"/>
        <c:auto val="1"/>
        <c:lblAlgn val="ctr"/>
        <c:lblOffset val="100"/>
        <c:noMultiLvlLbl val="1"/>
      </c:catAx>
      <c:valAx>
        <c:axId val="81927729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Cents</a:t>
                </a:r>
                <a:r>
                  <a:rPr lang="en-US" sz="16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 per Pound</a:t>
                </a:r>
                <a:endParaRPr lang="en-US" sz="1600">
                  <a:solidFill>
                    <a:sysClr val="windowText" lastClr="000000"/>
                  </a:solidFill>
                  <a:latin typeface="Bahnschrift SemiBold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1.4642856689900383E-3"/>
              <c:y val="0.39683579177396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9278936"/>
        <c:crosses val="autoZero"/>
        <c:crossBetween val="between"/>
      </c:valAx>
      <c:spPr>
        <a:noFill/>
        <a:ln w="15875">
          <a:solidFill>
            <a:srgbClr val="8E9A44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rgbClr val="32323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Soybean Futures Trading</a:t>
            </a:r>
            <a:r>
              <a:rPr lang="en-US" sz="2800" b="1" baseline="0">
                <a:solidFill>
                  <a:srgbClr val="32323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Range Forecast</a:t>
            </a:r>
            <a:endParaRPr lang="en-US" sz="28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2965211280814"/>
          <c:y val="0.10589214261304201"/>
          <c:w val="0.83874231315852399"/>
          <c:h val="0.779308678235514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12.420489999999997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838-4150-A917-4F4BB1CE9191}"/>
            </c:ext>
          </c:extLst>
        </c:ser>
        <c:ser>
          <c:idx val="1"/>
          <c:order val="1"/>
          <c:tx>
            <c:v>The Jacobsen Forecast High/Low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11.280503488822855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E838-4150-A917-4F4BB1CE9191}"/>
            </c:ext>
          </c:extLst>
        </c:ser>
        <c:ser>
          <c:idx val="3"/>
          <c:order val="2"/>
          <c:tx>
            <c:v>Jacobsen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11.8746875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E838-4150-A917-4F4BB1CE9191}"/>
            </c:ext>
          </c:extLst>
        </c:ser>
        <c:ser>
          <c:idx val="2"/>
          <c:order val="3"/>
          <c:tx>
            <c:v>Current Futures Prices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</c:marker>
          <c:val>
            <c:numRef>
              <c:f>Forecasts!#REF!</c:f>
              <c:numCache>
                <c:formatCode>_(* #,##0.0000_);_(* \(#,##0.0000\);_(* "-"??_);_(@_)</c:formatCode>
                <c:ptCount val="1"/>
                <c:pt idx="0">
                  <c:v>11.66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E838-4150-A917-4F4BB1CE9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666880"/>
        <c:axId val="765667208"/>
      </c:lineChart>
      <c:catAx>
        <c:axId val="76566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Reference Contract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7208"/>
        <c:crosses val="autoZero"/>
        <c:auto val="0"/>
        <c:lblAlgn val="ctr"/>
        <c:lblOffset val="100"/>
        <c:noMultiLvlLbl val="0"/>
      </c:catAx>
      <c:valAx>
        <c:axId val="765667208"/>
        <c:scaling>
          <c:orientation val="minMax"/>
          <c:max val="15"/>
          <c:min val="9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Average</a:t>
                </a:r>
                <a:r>
                  <a:rPr lang="en-US" sz="1200" b="1" baseline="0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Price While Reference Contract is Nearby Contract ($ per bushel)</a:t>
                </a:r>
                <a:endParaRPr lang="en-US" sz="1200" b="1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6880"/>
        <c:crosses val="autoZero"/>
        <c:crossBetween val="midCat"/>
        <c:majorUnit val="0.5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49373263645625148"/>
          <c:y val="0.14884437716692653"/>
          <c:w val="0.38584852089208982"/>
          <c:h val="0.17125046949880873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Soybean Meal Futures Trading</a:t>
            </a:r>
            <a:r>
              <a:rPr lang="en-US" sz="2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Range Forecast</a:t>
            </a:r>
            <a:endParaRPr lang="en-US" sz="2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9349464331054"/>
          <c:y val="9.9045412882693848E-2"/>
          <c:w val="0.84959665482144198"/>
          <c:h val="0.79560584461138151"/>
        </c:manualLayout>
      </c:layout>
      <c:lineChart>
        <c:grouping val="standard"/>
        <c:varyColors val="0"/>
        <c:ser>
          <c:idx val="0"/>
          <c:order val="0"/>
          <c:tx>
            <c:v>The Jacobsen Forecast High/Low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477.04545454545467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44835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5C2-4333-9D88-746996151392}"/>
            </c:ext>
          </c:extLst>
        </c:ser>
        <c:ser>
          <c:idx val="1"/>
          <c:order val="1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417.04545454545467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44835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5C2-4333-9D88-746996151392}"/>
            </c:ext>
          </c:extLst>
        </c:ser>
        <c:ser>
          <c:idx val="3"/>
          <c:order val="2"/>
          <c:tx>
            <c:v>Jacobsen Forecast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9525">
                <a:solidFill>
                  <a:srgbClr val="323232"/>
                </a:solidFill>
              </a:ln>
              <a:effectLst/>
            </c:spPr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447.04545454545467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44835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05C2-4333-9D88-746996151392}"/>
            </c:ext>
          </c:extLst>
        </c:ser>
        <c:ser>
          <c:idx val="2"/>
          <c:order val="3"/>
          <c:tx>
            <c:v>Current Futures Prices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420.5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44835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05C2-4333-9D88-746996151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666880"/>
        <c:axId val="765667208"/>
      </c:lineChart>
      <c:catAx>
        <c:axId val="76566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Reference</a:t>
                </a:r>
                <a:r>
                  <a:rPr lang="en-US" sz="1200" b="1" baseline="0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Contract</a:t>
                </a:r>
                <a:endParaRPr lang="en-US" sz="1200" b="1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7208"/>
        <c:crosses val="autoZero"/>
        <c:auto val="0"/>
        <c:lblAlgn val="ctr"/>
        <c:lblOffset val="100"/>
        <c:noMultiLvlLbl val="0"/>
      </c:catAx>
      <c:valAx>
        <c:axId val="765667208"/>
        <c:scaling>
          <c:orientation val="minMax"/>
          <c:max val="400"/>
          <c:min val="20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Average</a:t>
                </a:r>
                <a:r>
                  <a:rPr lang="en-US" sz="1200" b="1" baseline="0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Price While the Reference Contract is the Nearby Contract ($ per ton)</a:t>
                </a:r>
                <a:endParaRPr lang="en-US" sz="1200" b="1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6880"/>
        <c:crosses val="autoZero"/>
        <c:crossBetween val="midCat"/>
        <c:majorUnit val="25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11775757719352282"/>
          <c:y val="0.73707142359417466"/>
          <c:w val="0.81471458996411816"/>
          <c:h val="0.10194244303532855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rgbClr val="323232"/>
                </a:solidFill>
              </a:rPr>
              <a:t>Soybean Oil Futures 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66384916776147"/>
          <c:y val="0.10557812023001766"/>
          <c:w val="0.84737675505458876"/>
          <c:h val="0.78157194619278558"/>
        </c:manualLayout>
      </c:layout>
      <c:lineChart>
        <c:grouping val="standard"/>
        <c:varyColors val="0"/>
        <c:ser>
          <c:idx val="0"/>
          <c:order val="0"/>
          <c:tx>
            <c:v>The Jacobsen Forecast High/Low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[1]Forecasts!$A$31:$A$34</c:f>
              <c:numCache>
                <c:formatCode>General</c:formatCode>
                <c:ptCount val="4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</c:numCache>
            </c:numRef>
          </c:cat>
          <c:val>
            <c:numRef>
              <c:f>[1]Forecasts!$C$31:$C$34</c:f>
              <c:numCache>
                <c:formatCode>General</c:formatCode>
                <c:ptCount val="4"/>
                <c:pt idx="0">
                  <c:v>39.75</c:v>
                </c:pt>
                <c:pt idx="1">
                  <c:v>41.5</c:v>
                </c:pt>
                <c:pt idx="2">
                  <c:v>42.75</c:v>
                </c:pt>
                <c:pt idx="3">
                  <c:v>41.75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C-4DCB-981E-09744EDC798C}"/>
            </c:ext>
          </c:extLst>
        </c:ser>
        <c:ser>
          <c:idx val="1"/>
          <c:order val="1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[1]Forecasts!$A$31:$A$34</c:f>
              <c:numCache>
                <c:formatCode>General</c:formatCode>
                <c:ptCount val="4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</c:numCache>
            </c:numRef>
          </c:cat>
          <c:val>
            <c:numRef>
              <c:f>[1]Forecasts!$D$31:$D$34</c:f>
              <c:numCache>
                <c:formatCode>General</c:formatCode>
                <c:ptCount val="4"/>
                <c:pt idx="0">
                  <c:v>46</c:v>
                </c:pt>
                <c:pt idx="1">
                  <c:v>47.75</c:v>
                </c:pt>
                <c:pt idx="2">
                  <c:v>47.25</c:v>
                </c:pt>
                <c:pt idx="3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C-4DCB-981E-09744EDC798C}"/>
            </c:ext>
          </c:extLst>
        </c:ser>
        <c:ser>
          <c:idx val="3"/>
          <c:order val="2"/>
          <c:tx>
            <c:v>Jacobsen Forecast</c:v>
          </c:tx>
          <c:spPr>
            <a:ln w="28575" cap="rnd">
              <a:solidFill>
                <a:srgbClr val="323232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9525">
                <a:solidFill>
                  <a:srgbClr val="323232"/>
                </a:solidFill>
              </a:ln>
              <a:effectLst/>
            </c:spPr>
          </c:marker>
          <c:cat>
            <c:numRef>
              <c:f>[1]Forecasts!$A$31:$A$34</c:f>
              <c:numCache>
                <c:formatCode>General</c:formatCode>
                <c:ptCount val="4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</c:numCache>
            </c:numRef>
          </c:cat>
          <c:val>
            <c:numRef>
              <c:f>[1]Forecasts!$B$31:$B$34</c:f>
              <c:numCache>
                <c:formatCode>General</c:formatCode>
                <c:ptCount val="4"/>
                <c:pt idx="0">
                  <c:v>42.5</c:v>
                </c:pt>
                <c:pt idx="1">
                  <c:v>44.5</c:v>
                </c:pt>
                <c:pt idx="2">
                  <c:v>44.75</c:v>
                </c:pt>
                <c:pt idx="3">
                  <c:v>43.75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7C-4DCB-981E-09744EDC798C}"/>
            </c:ext>
          </c:extLst>
        </c:ser>
        <c:ser>
          <c:idx val="2"/>
          <c:order val="3"/>
          <c:tx>
            <c:v>Current Futures Prices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numRef>
              <c:f>[1]Forecasts!$A$31:$A$34</c:f>
              <c:numCache>
                <c:formatCode>General</c:formatCode>
                <c:ptCount val="4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</c:numCache>
            </c:numRef>
          </c:cat>
          <c:val>
            <c:numRef>
              <c:f>[1]Forecasts!$F$31:$F$34</c:f>
              <c:numCache>
                <c:formatCode>General</c:formatCode>
                <c:ptCount val="4"/>
                <c:pt idx="0">
                  <c:v>42.71</c:v>
                </c:pt>
                <c:pt idx="1">
                  <c:v>43.2</c:v>
                </c:pt>
                <c:pt idx="2">
                  <c:v>43.26</c:v>
                </c:pt>
                <c:pt idx="3">
                  <c:v>43.2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7C-4DCB-981E-09744EDC7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666880"/>
        <c:axId val="765667208"/>
      </c:lineChart>
      <c:catAx>
        <c:axId val="76566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rgbClr val="323232"/>
                    </a:solidFill>
                  </a:rPr>
                  <a:t>Reference Contract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7208"/>
        <c:crosses val="autoZero"/>
        <c:auto val="0"/>
        <c:lblAlgn val="ctr"/>
        <c:lblOffset val="100"/>
        <c:noMultiLvlLbl val="0"/>
      </c:catAx>
      <c:valAx>
        <c:axId val="765667208"/>
        <c:scaling>
          <c:orientation val="minMax"/>
          <c:max val="65"/>
          <c:min val="3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rgbClr val="323232"/>
                    </a:solidFill>
                  </a:rPr>
                  <a:t>Average Price While Reference Contract is the Nearby Contract (cents per pound)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6880"/>
        <c:crosses val="autoZero"/>
        <c:crossBetween val="midCat"/>
      </c:valAx>
      <c:spPr>
        <a:noFill/>
        <a:ln w="15875">
          <a:solidFill>
            <a:sysClr val="windowText" lastClr="000000"/>
          </a:solidFill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11512395454078769"/>
          <c:y val="0.12348296285973101"/>
          <c:w val="0.40335086763725164"/>
          <c:h val="0.1641626420146694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Palm Oil Futures 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270016340299646E-2"/>
          <c:y val="0.10557812023001766"/>
          <c:w val="0.86477058788205075"/>
          <c:h val="0.72959454464243023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0B-45AB-922A-2A1E864475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0B-45AB-922A-2A1E864475C2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0B-45AB-922A-2A1E864475C2}"/>
            </c:ext>
          </c:extLst>
        </c:ser>
        <c:ser>
          <c:idx val="3"/>
          <c:order val="3"/>
          <c:tx>
            <c:v>Current Futures Price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0B-45AB-922A-2A1E86447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666880"/>
        <c:axId val="765667208"/>
      </c:lineChart>
      <c:catAx>
        <c:axId val="76566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Reference Contract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7208"/>
        <c:crosses val="autoZero"/>
        <c:auto val="0"/>
        <c:lblAlgn val="ctr"/>
        <c:lblOffset val="100"/>
        <c:noMultiLvlLbl val="0"/>
      </c:catAx>
      <c:valAx>
        <c:axId val="765667208"/>
        <c:scaling>
          <c:orientation val="minMax"/>
          <c:min val="350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ringgit 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6880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27285624434384376"/>
          <c:y val="0.13230611303726802"/>
          <c:w val="0.66386770994545863"/>
          <c:h val="5.0757402268439653E-2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Los Angeles Canola Oil 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21964902595587E-2"/>
          <c:y val="0.10557812023001766"/>
          <c:w val="0.8594186393197546"/>
          <c:h val="0.78157194619278558"/>
        </c:manualLayout>
      </c:layout>
      <c:lineChart>
        <c:grouping val="standard"/>
        <c:varyColors val="0"/>
        <c:ser>
          <c:idx val="0"/>
          <c:order val="0"/>
          <c:tx>
            <c:v>The Jacobsen Forecast High/Low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[1]Forecasts!$A$158:$A$170</c:f>
              <c:numCache>
                <c:formatCode>General</c:formatCode>
                <c:ptCount val="13"/>
              </c:numCache>
            </c:numRef>
          </c:cat>
          <c:val>
            <c:numRef>
              <c:f>[1]Forecasts!$C$158:$C$170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5-4D47-B766-B6AFB39AEE86}"/>
            </c:ext>
          </c:extLst>
        </c:ser>
        <c:ser>
          <c:idx val="1"/>
          <c:order val="1"/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[1]Forecasts!$A$158:$A$170</c:f>
              <c:numCache>
                <c:formatCode>General</c:formatCode>
                <c:ptCount val="13"/>
              </c:numCache>
            </c:numRef>
          </c:cat>
          <c:val>
            <c:numRef>
              <c:f>[1]Forecasts!$D$158:$D$170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5-4D47-B766-B6AFB39AEE86}"/>
            </c:ext>
          </c:extLst>
        </c:ser>
        <c:ser>
          <c:idx val="2"/>
          <c:order val="2"/>
          <c:tx>
            <c:v>Forecast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[1]Forecasts!$A$158:$A$170</c:f>
              <c:numCache>
                <c:formatCode>General</c:formatCode>
                <c:ptCount val="13"/>
              </c:numCache>
            </c:numRef>
          </c:cat>
          <c:val>
            <c:numRef>
              <c:f>[1]Forecasts!$B$158:$B$170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5-4D47-B766-B6AFB39AE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666880"/>
        <c:axId val="765667208"/>
      </c:lineChart>
      <c:catAx>
        <c:axId val="76566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7208"/>
        <c:crosses val="autoZero"/>
        <c:auto val="0"/>
        <c:lblAlgn val="ctr"/>
        <c:lblOffset val="100"/>
        <c:noMultiLvlLbl val="0"/>
      </c:catAx>
      <c:valAx>
        <c:axId val="765667208"/>
        <c:scaling>
          <c:orientation val="minMax"/>
          <c:min val="9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(cents</a:t>
                </a:r>
                <a:r>
                  <a:rPr lang="en-US" sz="1200" baseline="0"/>
                  <a:t> per pound)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6880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40397898412009436"/>
          <c:y val="0.66153056518634012"/>
          <c:w val="0.37614874624283728"/>
          <c:h val="0.16326112988899644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November Soybean Futures Price Forecast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597981219717504E-2"/>
          <c:y val="0.15669121609818631"/>
          <c:w val="0.87928079503828016"/>
          <c:h val="0.75329969994863655"/>
        </c:manualLayout>
      </c:layout>
      <c:lineChart>
        <c:grouping val="standard"/>
        <c:varyColors val="0"/>
        <c:ser>
          <c:idx val="0"/>
          <c:order val="1"/>
          <c:tx>
            <c:v>The Jacobsen</c:v>
          </c:tx>
          <c:spPr>
            <a:ln w="28575" cap="rnd">
              <a:solidFill>
                <a:srgbClr val="C4722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722E"/>
              </a:solidFill>
              <a:ln w="15875">
                <a:solidFill>
                  <a:srgbClr val="C4722E"/>
                </a:solidFill>
              </a:ln>
              <a:effectLst/>
            </c:spPr>
          </c:marker>
          <c:cat>
            <c:numRef>
              <c:f>'PDF Data'!$A$49:$A$63</c:f>
              <c:numCache>
                <c:formatCode>0.00</c:formatCode>
                <c:ptCount val="15"/>
                <c:pt idx="0">
                  <c:v>9.1999999999999993</c:v>
                </c:pt>
                <c:pt idx="1">
                  <c:v>9.3999999999999986</c:v>
                </c:pt>
                <c:pt idx="2">
                  <c:v>9.5999999999999979</c:v>
                </c:pt>
                <c:pt idx="3">
                  <c:v>9.7999999999999972</c:v>
                </c:pt>
                <c:pt idx="4">
                  <c:v>9.9999999999999964</c:v>
                </c:pt>
                <c:pt idx="5">
                  <c:v>10.199999999999996</c:v>
                </c:pt>
                <c:pt idx="6">
                  <c:v>10.399999999999995</c:v>
                </c:pt>
                <c:pt idx="7">
                  <c:v>10.599999999999994</c:v>
                </c:pt>
                <c:pt idx="8">
                  <c:v>10.799999999999994</c:v>
                </c:pt>
                <c:pt idx="9">
                  <c:v>10.999999999999993</c:v>
                </c:pt>
                <c:pt idx="10">
                  <c:v>11.199999999999992</c:v>
                </c:pt>
                <c:pt idx="11">
                  <c:v>11.399999999999991</c:v>
                </c:pt>
                <c:pt idx="12">
                  <c:v>11.599999999999991</c:v>
                </c:pt>
                <c:pt idx="13">
                  <c:v>11.79999999999999</c:v>
                </c:pt>
                <c:pt idx="14">
                  <c:v>11.999999999999989</c:v>
                </c:pt>
              </c:numCache>
            </c:numRef>
          </c:cat>
          <c:val>
            <c:numRef>
              <c:f>'PDF Data'!$E$49:$E$63</c:f>
              <c:numCache>
                <c:formatCode>0%</c:formatCode>
                <c:ptCount val="15"/>
                <c:pt idx="0">
                  <c:v>5.0000000000000001E-3</c:v>
                </c:pt>
                <c:pt idx="1">
                  <c:v>7.4999999999999997E-3</c:v>
                </c:pt>
                <c:pt idx="2">
                  <c:v>1.2500000000000001E-2</c:v>
                </c:pt>
                <c:pt idx="3">
                  <c:v>0.03</c:v>
                </c:pt>
                <c:pt idx="4">
                  <c:v>0.04</c:v>
                </c:pt>
                <c:pt idx="5">
                  <c:v>0.08</c:v>
                </c:pt>
                <c:pt idx="6">
                  <c:v>0.14000000000000001</c:v>
                </c:pt>
                <c:pt idx="7">
                  <c:v>0.2</c:v>
                </c:pt>
                <c:pt idx="8">
                  <c:v>0.15</c:v>
                </c:pt>
                <c:pt idx="9">
                  <c:v>0.125</c:v>
                </c:pt>
                <c:pt idx="10">
                  <c:v>0.1</c:v>
                </c:pt>
                <c:pt idx="11">
                  <c:v>0.05</c:v>
                </c:pt>
                <c:pt idx="12">
                  <c:v>0.03</c:v>
                </c:pt>
                <c:pt idx="13">
                  <c:v>0.02</c:v>
                </c:pt>
                <c:pt idx="14">
                  <c:v>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F4-443C-8D23-BF5E63C37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015144"/>
        <c:axId val="94701842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Options Market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C00000"/>
                    </a:solidFill>
                    <a:ln w="15875">
                      <a:solidFill>
                        <a:schemeClr val="tx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'PDF Data'!$A$49:$A$63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9.1999999999999993</c:v>
                      </c:pt>
                      <c:pt idx="1">
                        <c:v>9.3999999999999986</c:v>
                      </c:pt>
                      <c:pt idx="2">
                        <c:v>9.5999999999999979</c:v>
                      </c:pt>
                      <c:pt idx="3">
                        <c:v>9.7999999999999972</c:v>
                      </c:pt>
                      <c:pt idx="4">
                        <c:v>9.9999999999999964</c:v>
                      </c:pt>
                      <c:pt idx="5">
                        <c:v>10.199999999999996</c:v>
                      </c:pt>
                      <c:pt idx="6">
                        <c:v>10.399999999999995</c:v>
                      </c:pt>
                      <c:pt idx="7">
                        <c:v>10.599999999999994</c:v>
                      </c:pt>
                      <c:pt idx="8">
                        <c:v>10.799999999999994</c:v>
                      </c:pt>
                      <c:pt idx="9">
                        <c:v>10.999999999999993</c:v>
                      </c:pt>
                      <c:pt idx="10">
                        <c:v>11.199999999999992</c:v>
                      </c:pt>
                      <c:pt idx="11">
                        <c:v>11.399999999999991</c:v>
                      </c:pt>
                      <c:pt idx="12">
                        <c:v>11.599999999999991</c:v>
                      </c:pt>
                      <c:pt idx="13">
                        <c:v>11.79999999999999</c:v>
                      </c:pt>
                      <c:pt idx="14">
                        <c:v>11.999999999999989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'PDF Data'!$D$49:$D$63</c15:sqref>
                        </c15:formulaRef>
                      </c:ext>
                    </c:extLst>
                    <c:numCache>
                      <c:formatCode>0.0%</c:formatCode>
                      <c:ptCount val="15"/>
                      <c:pt idx="0">
                        <c:v>9.199999999999986E-3</c:v>
                      </c:pt>
                      <c:pt idx="1">
                        <c:v>1.3600000000000056E-2</c:v>
                      </c:pt>
                      <c:pt idx="2">
                        <c:v>2.0499999999999963E-2</c:v>
                      </c:pt>
                      <c:pt idx="3">
                        <c:v>9.5681214925248392E-3</c:v>
                      </c:pt>
                      <c:pt idx="4">
                        <c:v>3.8034124297482652E-2</c:v>
                      </c:pt>
                      <c:pt idx="5">
                        <c:v>6.4446170550152782E-2</c:v>
                      </c:pt>
                      <c:pt idx="6">
                        <c:v>6.3951583659839772E-2</c:v>
                      </c:pt>
                      <c:pt idx="7">
                        <c:v>4.882334429251356E-2</c:v>
                      </c:pt>
                      <c:pt idx="8">
                        <c:v>8.1407244532475609E-2</c:v>
                      </c:pt>
                      <c:pt idx="9">
                        <c:v>7.8800247961584358E-2</c:v>
                      </c:pt>
                      <c:pt idx="10">
                        <c:v>7.5152342143140372E-2</c:v>
                      </c:pt>
                      <c:pt idx="11">
                        <c:v>6.7228814395955683E-2</c:v>
                      </c:pt>
                      <c:pt idx="12">
                        <c:v>6.0430159087446145E-2</c:v>
                      </c:pt>
                      <c:pt idx="13">
                        <c:v>6.3449908254727239E-2</c:v>
                      </c:pt>
                      <c:pt idx="14">
                        <c:v>4.0694628216646711E-2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1-80F4-443C-8D23-BF5E63C37CE4}"/>
                  </c:ext>
                </c:extLst>
              </c15:ser>
            </c15:filteredLineSeries>
          </c:ext>
        </c:extLst>
      </c:lineChart>
      <c:catAx>
        <c:axId val="947015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Strike Prices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7018424"/>
        <c:crosses val="autoZero"/>
        <c:auto val="1"/>
        <c:lblAlgn val="ctr"/>
        <c:lblOffset val="100"/>
        <c:noMultiLvlLbl val="0"/>
      </c:catAx>
      <c:valAx>
        <c:axId val="94701842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7015144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Probability</a:t>
            </a:r>
            <a:r>
              <a:rPr lang="en-US" sz="1800" baseline="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 Density Functions for March Contract</a:t>
            </a:r>
            <a:endParaRPr lang="en-US" sz="1800">
              <a:solidFill>
                <a:sysClr val="windowText" lastClr="000000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68835329603129E-2"/>
          <c:y val="8.5328567822989101E-2"/>
          <c:w val="0.90827940121388095"/>
          <c:h val="0.82682856182399378"/>
        </c:manualLayout>
      </c:layout>
      <c:lineChart>
        <c:grouping val="standard"/>
        <c:varyColors val="0"/>
        <c:ser>
          <c:idx val="0"/>
          <c:order val="0"/>
          <c:tx>
            <c:strRef>
              <c:f>'PDF Data'!$H$28</c:f>
              <c:strCache>
                <c:ptCount val="1"/>
                <c:pt idx="0">
                  <c:v>Options Market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15875">
                <a:solidFill>
                  <a:schemeClr val="tx2"/>
                </a:solidFill>
              </a:ln>
              <a:effectLst/>
            </c:spPr>
          </c:marker>
          <c:cat>
            <c:numRef>
              <c:f>'PDF Data'!$G$30:$G$51</c:f>
              <c:numCache>
                <c:formatCode>0.00</c:formatCode>
                <c:ptCount val="22"/>
                <c:pt idx="0">
                  <c:v>8.4</c:v>
                </c:pt>
                <c:pt idx="1">
                  <c:v>8.5</c:v>
                </c:pt>
                <c:pt idx="2">
                  <c:v>8.6</c:v>
                </c:pt>
                <c:pt idx="3">
                  <c:v>8.6999999999999993</c:v>
                </c:pt>
                <c:pt idx="4">
                  <c:v>8.8000000000000007</c:v>
                </c:pt>
                <c:pt idx="5">
                  <c:v>8.9</c:v>
                </c:pt>
                <c:pt idx="6">
                  <c:v>9</c:v>
                </c:pt>
                <c:pt idx="7">
                  <c:v>9.1</c:v>
                </c:pt>
                <c:pt idx="8">
                  <c:v>9.1999999999999993</c:v>
                </c:pt>
                <c:pt idx="9">
                  <c:v>9.3000000000000007</c:v>
                </c:pt>
                <c:pt idx="10">
                  <c:v>9.4</c:v>
                </c:pt>
                <c:pt idx="11">
                  <c:v>9.5</c:v>
                </c:pt>
                <c:pt idx="12">
                  <c:v>9.6</c:v>
                </c:pt>
                <c:pt idx="13">
                  <c:v>9.6999999999999993</c:v>
                </c:pt>
                <c:pt idx="14">
                  <c:v>9.8000000000000007</c:v>
                </c:pt>
                <c:pt idx="15">
                  <c:v>9.9</c:v>
                </c:pt>
                <c:pt idx="16">
                  <c:v>10</c:v>
                </c:pt>
                <c:pt idx="17">
                  <c:v>10.1</c:v>
                </c:pt>
                <c:pt idx="18">
                  <c:v>10.199999999999999</c:v>
                </c:pt>
                <c:pt idx="19">
                  <c:v>10.3</c:v>
                </c:pt>
                <c:pt idx="20">
                  <c:v>10.4</c:v>
                </c:pt>
                <c:pt idx="21">
                  <c:v>10.5</c:v>
                </c:pt>
              </c:numCache>
            </c:numRef>
          </c:cat>
          <c:val>
            <c:numRef>
              <c:f>'PDF Data'!$H$30:$H$51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5B-498D-B27C-A068ADB175CC}"/>
            </c:ext>
          </c:extLst>
        </c:ser>
        <c:ser>
          <c:idx val="1"/>
          <c:order val="1"/>
          <c:tx>
            <c:strRef>
              <c:f>'PDF Data'!$K$28</c:f>
              <c:strCache>
                <c:ptCount val="1"/>
                <c:pt idx="0">
                  <c:v>The Jacobsen</c:v>
                </c:pt>
              </c:strCache>
            </c:strRef>
          </c:tx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numRef>
              <c:f>'PDF Data'!$G$30:$G$51</c:f>
              <c:numCache>
                <c:formatCode>0.00</c:formatCode>
                <c:ptCount val="22"/>
                <c:pt idx="0">
                  <c:v>8.4</c:v>
                </c:pt>
                <c:pt idx="1">
                  <c:v>8.5</c:v>
                </c:pt>
                <c:pt idx="2">
                  <c:v>8.6</c:v>
                </c:pt>
                <c:pt idx="3">
                  <c:v>8.6999999999999993</c:v>
                </c:pt>
                <c:pt idx="4">
                  <c:v>8.8000000000000007</c:v>
                </c:pt>
                <c:pt idx="5">
                  <c:v>8.9</c:v>
                </c:pt>
                <c:pt idx="6">
                  <c:v>9</c:v>
                </c:pt>
                <c:pt idx="7">
                  <c:v>9.1</c:v>
                </c:pt>
                <c:pt idx="8">
                  <c:v>9.1999999999999993</c:v>
                </c:pt>
                <c:pt idx="9">
                  <c:v>9.3000000000000007</c:v>
                </c:pt>
                <c:pt idx="10">
                  <c:v>9.4</c:v>
                </c:pt>
                <c:pt idx="11">
                  <c:v>9.5</c:v>
                </c:pt>
                <c:pt idx="12">
                  <c:v>9.6</c:v>
                </c:pt>
                <c:pt idx="13">
                  <c:v>9.6999999999999993</c:v>
                </c:pt>
                <c:pt idx="14">
                  <c:v>9.8000000000000007</c:v>
                </c:pt>
                <c:pt idx="15">
                  <c:v>9.9</c:v>
                </c:pt>
                <c:pt idx="16">
                  <c:v>10</c:v>
                </c:pt>
                <c:pt idx="17">
                  <c:v>10.1</c:v>
                </c:pt>
                <c:pt idx="18">
                  <c:v>10.199999999999999</c:v>
                </c:pt>
                <c:pt idx="19">
                  <c:v>10.3</c:v>
                </c:pt>
                <c:pt idx="20">
                  <c:v>10.4</c:v>
                </c:pt>
                <c:pt idx="21">
                  <c:v>10.5</c:v>
                </c:pt>
              </c:numCache>
            </c:numRef>
          </c:cat>
          <c:val>
            <c:numRef>
              <c:f>'PDF Data'!$K$30:$K$51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2.5</c:v>
                </c:pt>
                <c:pt idx="8">
                  <c:v>7.5</c:v>
                </c:pt>
                <c:pt idx="9">
                  <c:v>15</c:v>
                </c:pt>
                <c:pt idx="10">
                  <c:v>25</c:v>
                </c:pt>
                <c:pt idx="11">
                  <c:v>25</c:v>
                </c:pt>
                <c:pt idx="12">
                  <c:v>15</c:v>
                </c:pt>
                <c:pt idx="13">
                  <c:v>7.5</c:v>
                </c:pt>
                <c:pt idx="14">
                  <c:v>1.25</c:v>
                </c:pt>
                <c:pt idx="15">
                  <c:v>1.25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5B-498D-B27C-A068ADB17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767000"/>
        <c:axId val="997769624"/>
      </c:lineChart>
      <c:catAx>
        <c:axId val="997767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Strike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 Price</a:t>
                </a:r>
                <a:endParaRPr lang="en-US" sz="1400" b="1">
                  <a:solidFill>
                    <a:sysClr val="windowText" lastClr="000000"/>
                  </a:solidFill>
                  <a:latin typeface="Bahnschrift SemiBold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47525824176647735"/>
              <c:y val="0.95465241630403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997769624"/>
        <c:crosses val="autoZero"/>
        <c:auto val="1"/>
        <c:lblAlgn val="ctr"/>
        <c:lblOffset val="100"/>
        <c:noMultiLvlLbl val="0"/>
      </c:catAx>
      <c:valAx>
        <c:axId val="997769624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997767000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r"/>
      <c:layout>
        <c:manualLayout>
          <c:xMode val="edge"/>
          <c:yMode val="edge"/>
          <c:x val="0.12382900449353172"/>
          <c:y val="0.33871902064364884"/>
          <c:w val="0.16477149861526116"/>
          <c:h val="0.10674165546273581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2000" b="1" baseline="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Probability Density Function for May Contract</a:t>
            </a:r>
            <a:endParaRPr lang="en-US" sz="2000" b="1">
              <a:solidFill>
                <a:sysClr val="windowText" lastClr="000000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6092445429615E-2"/>
          <c:y val="7.8066575568796495E-2"/>
          <c:w val="0.90191785180370143"/>
          <c:h val="0.83224042771992712"/>
        </c:manualLayout>
      </c:layout>
      <c:lineChart>
        <c:grouping val="standard"/>
        <c:varyColors val="0"/>
        <c:ser>
          <c:idx val="0"/>
          <c:order val="0"/>
          <c:tx>
            <c:strRef>
              <c:f>'PDF Data'!$N$28</c:f>
              <c:strCache>
                <c:ptCount val="1"/>
                <c:pt idx="0">
                  <c:v>Options Market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15875">
                <a:solidFill>
                  <a:schemeClr val="tx2"/>
                </a:solidFill>
              </a:ln>
              <a:effectLst/>
            </c:spPr>
          </c:marker>
          <c:cat>
            <c:numRef>
              <c:f>'PDF Data'!$M$30:$M$47</c:f>
              <c:numCache>
                <c:formatCode>0.00</c:formatCode>
                <c:ptCount val="18"/>
                <c:pt idx="0">
                  <c:v>8.1999999999999993</c:v>
                </c:pt>
                <c:pt idx="1">
                  <c:v>8.4</c:v>
                </c:pt>
                <c:pt idx="2">
                  <c:v>8.6</c:v>
                </c:pt>
                <c:pt idx="3">
                  <c:v>8.8000000000000007</c:v>
                </c:pt>
                <c:pt idx="4">
                  <c:v>9</c:v>
                </c:pt>
                <c:pt idx="5">
                  <c:v>9.1999999999999993</c:v>
                </c:pt>
                <c:pt idx="6">
                  <c:v>9.4</c:v>
                </c:pt>
                <c:pt idx="7">
                  <c:v>9.6</c:v>
                </c:pt>
                <c:pt idx="8">
                  <c:v>9.8000000000000007</c:v>
                </c:pt>
                <c:pt idx="9">
                  <c:v>10</c:v>
                </c:pt>
                <c:pt idx="10">
                  <c:v>10.199999999999999</c:v>
                </c:pt>
                <c:pt idx="11">
                  <c:v>10.4</c:v>
                </c:pt>
                <c:pt idx="12">
                  <c:v>10.6</c:v>
                </c:pt>
                <c:pt idx="13">
                  <c:v>10.8</c:v>
                </c:pt>
                <c:pt idx="14">
                  <c:v>11</c:v>
                </c:pt>
                <c:pt idx="15">
                  <c:v>11.2</c:v>
                </c:pt>
                <c:pt idx="16">
                  <c:v>11.4</c:v>
                </c:pt>
                <c:pt idx="17">
                  <c:v>11.6</c:v>
                </c:pt>
              </c:numCache>
            </c:numRef>
          </c:cat>
          <c:val>
            <c:numRef>
              <c:f>'PDF Data'!$N$30:$N$47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8F-4A2F-9BFB-365E1ACA0DA8}"/>
            </c:ext>
          </c:extLst>
        </c:ser>
        <c:ser>
          <c:idx val="1"/>
          <c:order val="1"/>
          <c:tx>
            <c:strRef>
              <c:f>'PDF Data'!$Q$28</c:f>
              <c:strCache>
                <c:ptCount val="1"/>
                <c:pt idx="0">
                  <c:v>The Jacobsen</c:v>
                </c:pt>
              </c:strCache>
            </c:strRef>
          </c:tx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rgbClr val="8E9A44"/>
                </a:solidFill>
              </a:ln>
              <a:effectLst/>
            </c:spPr>
          </c:marker>
          <c:val>
            <c:numRef>
              <c:f>'PDF Data'!$Q$30:$Q$47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1.25</c:v>
                </c:pt>
                <c:pt idx="3">
                  <c:v>7.5</c:v>
                </c:pt>
                <c:pt idx="4">
                  <c:v>12.5</c:v>
                </c:pt>
                <c:pt idx="5">
                  <c:v>22.5</c:v>
                </c:pt>
                <c:pt idx="6">
                  <c:v>25.5</c:v>
                </c:pt>
                <c:pt idx="7">
                  <c:v>22.5</c:v>
                </c:pt>
                <c:pt idx="8">
                  <c:v>7.5</c:v>
                </c:pt>
                <c:pt idx="9">
                  <c:v>0.75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8F-4A2F-9BFB-365E1ACA0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823608"/>
        <c:axId val="816825248"/>
      </c:lineChart>
      <c:catAx>
        <c:axId val="816823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Strike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6825248"/>
        <c:crosses val="autoZero"/>
        <c:auto val="1"/>
        <c:lblAlgn val="ctr"/>
        <c:lblOffset val="100"/>
        <c:noMultiLvlLbl val="0"/>
      </c:catAx>
      <c:valAx>
        <c:axId val="816825248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6823608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r"/>
      <c:layout>
        <c:manualLayout>
          <c:xMode val="edge"/>
          <c:yMode val="edge"/>
          <c:x val="0.76650437509251412"/>
          <c:y val="0.21184836350176281"/>
          <c:w val="0.16477149861526116"/>
          <c:h val="0.10674165546273581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Probability Density Functions for July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31674791163388E-2"/>
          <c:y val="8.5675851011213944E-2"/>
          <c:w val="0.90541969074586992"/>
          <c:h val="0.82285995634320785"/>
        </c:manualLayout>
      </c:layout>
      <c:lineChart>
        <c:grouping val="standard"/>
        <c:varyColors val="0"/>
        <c:ser>
          <c:idx val="0"/>
          <c:order val="0"/>
          <c:tx>
            <c:strRef>
              <c:f>'PDF Data'!$T$28</c:f>
              <c:strCache>
                <c:ptCount val="1"/>
                <c:pt idx="0">
                  <c:v>Options Market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15875">
                <a:solidFill>
                  <a:schemeClr val="tx2"/>
                </a:solidFill>
              </a:ln>
              <a:effectLst/>
            </c:spPr>
          </c:marker>
          <c:cat>
            <c:numRef>
              <c:f>'PDF Data'!$S$30:$S$50</c:f>
              <c:numCache>
                <c:formatCode>0.00</c:formatCode>
                <c:ptCount val="21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  <c:pt idx="14">
                  <c:v>10.8</c:v>
                </c:pt>
                <c:pt idx="15">
                  <c:v>11</c:v>
                </c:pt>
                <c:pt idx="16">
                  <c:v>11.2</c:v>
                </c:pt>
                <c:pt idx="17">
                  <c:v>11.4</c:v>
                </c:pt>
                <c:pt idx="18">
                  <c:v>11.6</c:v>
                </c:pt>
                <c:pt idx="19">
                  <c:v>11.8</c:v>
                </c:pt>
                <c:pt idx="20">
                  <c:v>12</c:v>
                </c:pt>
              </c:numCache>
            </c:numRef>
          </c:cat>
          <c:val>
            <c:numRef>
              <c:f>'PDF Data'!$T$30:$T$50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DB-4A1C-9AE2-51DE3C973E27}"/>
            </c:ext>
          </c:extLst>
        </c:ser>
        <c:ser>
          <c:idx val="1"/>
          <c:order val="1"/>
          <c:tx>
            <c:strRef>
              <c:f>'PDF Data'!$W$28</c:f>
              <c:strCache>
                <c:ptCount val="1"/>
                <c:pt idx="0">
                  <c:v>The Jacobsen</c:v>
                </c:pt>
              </c:strCache>
            </c:strRef>
          </c:tx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numRef>
              <c:f>'PDF Data'!$S$30:$S$50</c:f>
              <c:numCache>
                <c:formatCode>0.00</c:formatCode>
                <c:ptCount val="21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  <c:pt idx="14">
                  <c:v>10.8</c:v>
                </c:pt>
                <c:pt idx="15">
                  <c:v>11</c:v>
                </c:pt>
                <c:pt idx="16">
                  <c:v>11.2</c:v>
                </c:pt>
                <c:pt idx="17">
                  <c:v>11.4</c:v>
                </c:pt>
                <c:pt idx="18">
                  <c:v>11.6</c:v>
                </c:pt>
                <c:pt idx="19">
                  <c:v>11.8</c:v>
                </c:pt>
                <c:pt idx="20">
                  <c:v>12</c:v>
                </c:pt>
              </c:numCache>
            </c:numRef>
          </c:cat>
          <c:val>
            <c:numRef>
              <c:f>'PDF Data'!$W$30:$W$50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3.75</c:v>
                </c:pt>
                <c:pt idx="3">
                  <c:v>5</c:v>
                </c:pt>
                <c:pt idx="4">
                  <c:v>15</c:v>
                </c:pt>
                <c:pt idx="5">
                  <c:v>25</c:v>
                </c:pt>
                <c:pt idx="6">
                  <c:v>25</c:v>
                </c:pt>
                <c:pt idx="7">
                  <c:v>15</c:v>
                </c:pt>
                <c:pt idx="8">
                  <c:v>5</c:v>
                </c:pt>
                <c:pt idx="9">
                  <c:v>3.75</c:v>
                </c:pt>
                <c:pt idx="10">
                  <c:v>2.5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3DB-4A1C-9AE2-51DE3C973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821968"/>
        <c:axId val="816824592"/>
      </c:lineChart>
      <c:catAx>
        <c:axId val="81682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Strike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6824592"/>
        <c:crosses val="autoZero"/>
        <c:auto val="1"/>
        <c:lblAlgn val="ctr"/>
        <c:lblOffset val="100"/>
        <c:noMultiLvlLbl val="0"/>
      </c:catAx>
      <c:valAx>
        <c:axId val="816824592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6821968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b"/>
      <c:layout>
        <c:manualLayout>
          <c:xMode val="edge"/>
          <c:yMode val="edge"/>
          <c:x val="0.62942780673873489"/>
          <c:y val="0.23169106735243677"/>
          <c:w val="0.20560415561966897"/>
          <c:h val="9.4056936115911052E-2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Soybean Futures Trading</a:t>
            </a:r>
            <a:r>
              <a:rPr lang="en-US" sz="2000" b="1" baseline="0">
                <a:solidFill>
                  <a:sysClr val="windowText" lastClr="000000"/>
                </a:solidFill>
                <a:latin typeface="Helvetica" panose="020B0604020202030204" pitchFamily="34" charset="0"/>
              </a:rPr>
              <a:t> Range Forecast</a:t>
            </a:r>
            <a:endParaRPr lang="en-US" sz="2000" b="1">
              <a:solidFill>
                <a:sysClr val="windowText" lastClr="000000"/>
              </a:solidFill>
              <a:latin typeface="Helvetica" panose="020B0604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46D-480B-BCD2-AAC649C61BB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46D-480B-BCD2-AAC649C61BB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46D-480B-BCD2-AAC649C6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666880"/>
        <c:axId val="765667208"/>
      </c:lineChart>
      <c:catAx>
        <c:axId val="76566688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765667208"/>
        <c:crosses val="autoZero"/>
        <c:auto val="0"/>
        <c:lblAlgn val="ctr"/>
        <c:lblOffset val="100"/>
        <c:noMultiLvlLbl val="0"/>
      </c:catAx>
      <c:valAx>
        <c:axId val="76566720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6880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Soybean Meal Futures Trading</a:t>
            </a:r>
            <a:r>
              <a:rPr lang="en-US" sz="2000" b="1" baseline="0">
                <a:solidFill>
                  <a:sysClr val="windowText" lastClr="000000"/>
                </a:solidFill>
                <a:latin typeface="Helvetica" panose="020B0604020202030204" pitchFamily="34" charset="0"/>
              </a:rPr>
              <a:t> Range Forecast</a:t>
            </a:r>
            <a:endParaRPr lang="en-US" sz="2000" b="1">
              <a:solidFill>
                <a:sysClr val="windowText" lastClr="000000"/>
              </a:solidFill>
              <a:latin typeface="Helvetica" panose="020B0604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A20-4F22-BF74-143D8841CB5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A20-4F22-BF74-143D8841CB5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A20-4F22-BF74-143D8841C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666880"/>
        <c:axId val="765667208"/>
      </c:lineChart>
      <c:catAx>
        <c:axId val="76566688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765667208"/>
        <c:crosses val="autoZero"/>
        <c:auto val="0"/>
        <c:lblAlgn val="ctr"/>
        <c:lblOffset val="100"/>
        <c:noMultiLvlLbl val="0"/>
      </c:catAx>
      <c:valAx>
        <c:axId val="765667208"/>
        <c:scaling>
          <c:orientation val="minMax"/>
          <c:min val="30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6880"/>
        <c:crosses val="autoZero"/>
        <c:crossBetween val="midCat"/>
        <c:majorUnit val="10"/>
      </c:valAx>
      <c:spPr>
        <a:noFill/>
        <a:ln w="15875">
          <a:solidFill>
            <a:srgbClr val="8E9A44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Helvetica" panose="020B0604020202030204" pitchFamily="34" charset="0"/>
              </a:rPr>
              <a:t>Soybean Oil Futures Trading</a:t>
            </a:r>
            <a:r>
              <a:rPr lang="en-US" sz="2000" b="1" baseline="0">
                <a:solidFill>
                  <a:sysClr val="windowText" lastClr="000000"/>
                </a:solidFill>
                <a:latin typeface="Helvetica" panose="020B0604020202030204" pitchFamily="34" charset="0"/>
              </a:rPr>
              <a:t> Range Forecast</a:t>
            </a:r>
            <a:endParaRPr lang="en-US" sz="2000" b="1">
              <a:solidFill>
                <a:sysClr val="windowText" lastClr="000000"/>
              </a:solidFill>
              <a:latin typeface="Helvetica" panose="020B0604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Helvetica" panose="020B0604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8A-4963-8EFD-BF852D55E08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8A-4963-8EFD-BF852D55E08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8A-4963-8EFD-BF852D55E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666880"/>
        <c:axId val="765667208"/>
      </c:lineChart>
      <c:catAx>
        <c:axId val="76566688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765667208"/>
        <c:crosses val="autoZero"/>
        <c:auto val="0"/>
        <c:lblAlgn val="ctr"/>
        <c:lblOffset val="100"/>
        <c:noMultiLvlLbl val="0"/>
      </c:catAx>
      <c:valAx>
        <c:axId val="765667208"/>
        <c:scaling>
          <c:orientation val="minMax"/>
          <c:min val="3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666880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Probability Density</a:t>
            </a:r>
            <a:r>
              <a:rPr lang="en-US" sz="1400" b="1" baseline="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 Functions for February Options</a:t>
            </a:r>
            <a:endParaRPr lang="en-US" sz="1400" b="1">
              <a:solidFill>
                <a:sysClr val="windowText" lastClr="000000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941017789442981E-2"/>
          <c:y val="9.5461404144565609E-2"/>
          <c:w val="0.88610509623797029"/>
          <c:h val="0.80694253176511932"/>
        </c:manualLayout>
      </c:layout>
      <c:lineChart>
        <c:grouping val="standard"/>
        <c:varyColors val="0"/>
        <c:ser>
          <c:idx val="1"/>
          <c:order val="0"/>
          <c:tx>
            <c:v>Options Market</c:v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15875">
                <a:solidFill>
                  <a:schemeClr val="tx2"/>
                </a:solidFill>
              </a:ln>
              <a:effectLst/>
            </c:spPr>
          </c:marker>
          <c:cat>
            <c:numRef>
              <c:f>'PDF Data'!$A$22:$A$36</c:f>
              <c:numCache>
                <c:formatCode>0.00</c:formatCode>
                <c:ptCount val="15"/>
                <c:pt idx="0">
                  <c:v>9</c:v>
                </c:pt>
                <c:pt idx="1">
                  <c:v>9.1</c:v>
                </c:pt>
                <c:pt idx="2">
                  <c:v>9.1999999999999993</c:v>
                </c:pt>
                <c:pt idx="3">
                  <c:v>9.2999999999999989</c:v>
                </c:pt>
                <c:pt idx="4">
                  <c:v>9.3999999999999986</c:v>
                </c:pt>
                <c:pt idx="5">
                  <c:v>9.4999999999999982</c:v>
                </c:pt>
                <c:pt idx="6">
                  <c:v>9.5999999999999979</c:v>
                </c:pt>
                <c:pt idx="7">
                  <c:v>9.6999999999999975</c:v>
                </c:pt>
                <c:pt idx="8">
                  <c:v>9.7999999999999972</c:v>
                </c:pt>
                <c:pt idx="9">
                  <c:v>9.8999999999999968</c:v>
                </c:pt>
                <c:pt idx="10">
                  <c:v>9.9999999999999964</c:v>
                </c:pt>
                <c:pt idx="11">
                  <c:v>10.099999999999996</c:v>
                </c:pt>
                <c:pt idx="12">
                  <c:v>10.199999999999996</c:v>
                </c:pt>
                <c:pt idx="13">
                  <c:v>10.299999999999995</c:v>
                </c:pt>
                <c:pt idx="14">
                  <c:v>10.399999999999995</c:v>
                </c:pt>
              </c:numCache>
            </c:numRef>
          </c:cat>
          <c:val>
            <c:numRef>
              <c:f>'PDF Data'!$B$22:$B$36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77-4EFC-BF39-091129A15387}"/>
            </c:ext>
          </c:extLst>
        </c:ser>
        <c:ser>
          <c:idx val="0"/>
          <c:order val="1"/>
          <c:tx>
            <c:v>The Jacobsen</c:v>
          </c:tx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75000"/>
                </a:schemeClr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numRef>
              <c:f>'PDF Data'!$A$22:$A$36</c:f>
              <c:numCache>
                <c:formatCode>0.00</c:formatCode>
                <c:ptCount val="15"/>
                <c:pt idx="0">
                  <c:v>9</c:v>
                </c:pt>
                <c:pt idx="1">
                  <c:v>9.1</c:v>
                </c:pt>
                <c:pt idx="2">
                  <c:v>9.1999999999999993</c:v>
                </c:pt>
                <c:pt idx="3">
                  <c:v>9.2999999999999989</c:v>
                </c:pt>
                <c:pt idx="4">
                  <c:v>9.3999999999999986</c:v>
                </c:pt>
                <c:pt idx="5">
                  <c:v>9.4999999999999982</c:v>
                </c:pt>
                <c:pt idx="6">
                  <c:v>9.5999999999999979</c:v>
                </c:pt>
                <c:pt idx="7">
                  <c:v>9.6999999999999975</c:v>
                </c:pt>
                <c:pt idx="8">
                  <c:v>9.7999999999999972</c:v>
                </c:pt>
                <c:pt idx="9">
                  <c:v>9.8999999999999968</c:v>
                </c:pt>
                <c:pt idx="10">
                  <c:v>9.9999999999999964</c:v>
                </c:pt>
                <c:pt idx="11">
                  <c:v>10.099999999999996</c:v>
                </c:pt>
                <c:pt idx="12">
                  <c:v>10.199999999999996</c:v>
                </c:pt>
                <c:pt idx="13">
                  <c:v>10.299999999999995</c:v>
                </c:pt>
                <c:pt idx="14">
                  <c:v>10.399999999999995</c:v>
                </c:pt>
              </c:numCache>
            </c:numRef>
          </c:cat>
          <c:val>
            <c:numRef>
              <c:f>'PDF Data'!$E$22:$E$36</c:f>
              <c:numCache>
                <c:formatCode>General</c:formatCode>
                <c:ptCount val="15"/>
                <c:pt idx="0">
                  <c:v>1.25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25</c:v>
                </c:pt>
                <c:pt idx="5">
                  <c:v>30</c:v>
                </c:pt>
                <c:pt idx="6">
                  <c:v>25</c:v>
                </c:pt>
                <c:pt idx="7">
                  <c:v>2.5</c:v>
                </c:pt>
                <c:pt idx="8">
                  <c:v>1.25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77-4EFC-BF39-091129A15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015144"/>
        <c:axId val="947018424"/>
      </c:lineChart>
      <c:catAx>
        <c:axId val="947015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Strike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947018424"/>
        <c:crosses val="autoZero"/>
        <c:auto val="1"/>
        <c:lblAlgn val="ctr"/>
        <c:lblOffset val="100"/>
        <c:noMultiLvlLbl val="0"/>
      </c:catAx>
      <c:valAx>
        <c:axId val="947018424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947015144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r"/>
      <c:layout>
        <c:manualLayout>
          <c:xMode val="edge"/>
          <c:yMode val="edge"/>
          <c:x val="0.42421405657626132"/>
          <c:y val="0.11798130882175292"/>
          <c:w val="0.52055701370662011"/>
          <c:h val="6.7740915230784432E-2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Probability</a:t>
            </a:r>
            <a:r>
              <a:rPr lang="en-US" sz="1400" baseline="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 Density Functions for March Options</a:t>
            </a:r>
            <a:endParaRPr lang="en-US" sz="1400">
              <a:solidFill>
                <a:sysClr val="windowText" lastClr="000000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597392613618274E-2"/>
          <c:y val="8.5328567822989101E-2"/>
          <c:w val="0.87651796558359152"/>
          <c:h val="0.82682856182399378"/>
        </c:manualLayout>
      </c:layout>
      <c:lineChart>
        <c:grouping val="standard"/>
        <c:varyColors val="0"/>
        <c:ser>
          <c:idx val="0"/>
          <c:order val="0"/>
          <c:tx>
            <c:strRef>
              <c:f>'PDF Data'!$H$28</c:f>
              <c:strCache>
                <c:ptCount val="1"/>
                <c:pt idx="0">
                  <c:v>Options Market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15875">
                <a:solidFill>
                  <a:schemeClr val="tx2"/>
                </a:solidFill>
              </a:ln>
              <a:effectLst/>
            </c:spPr>
          </c:marker>
          <c:cat>
            <c:numRef>
              <c:f>'PDF Data'!$G$30:$G$51</c:f>
              <c:numCache>
                <c:formatCode>0.00</c:formatCode>
                <c:ptCount val="22"/>
                <c:pt idx="0">
                  <c:v>8.4</c:v>
                </c:pt>
                <c:pt idx="1">
                  <c:v>8.5</c:v>
                </c:pt>
                <c:pt idx="2">
                  <c:v>8.6</c:v>
                </c:pt>
                <c:pt idx="3">
                  <c:v>8.6999999999999993</c:v>
                </c:pt>
                <c:pt idx="4">
                  <c:v>8.8000000000000007</c:v>
                </c:pt>
                <c:pt idx="5">
                  <c:v>8.9</c:v>
                </c:pt>
                <c:pt idx="6">
                  <c:v>9</c:v>
                </c:pt>
                <c:pt idx="7">
                  <c:v>9.1</c:v>
                </c:pt>
                <c:pt idx="8">
                  <c:v>9.1999999999999993</c:v>
                </c:pt>
                <c:pt idx="9">
                  <c:v>9.3000000000000007</c:v>
                </c:pt>
                <c:pt idx="10">
                  <c:v>9.4</c:v>
                </c:pt>
                <c:pt idx="11">
                  <c:v>9.5</c:v>
                </c:pt>
                <c:pt idx="12">
                  <c:v>9.6</c:v>
                </c:pt>
                <c:pt idx="13">
                  <c:v>9.6999999999999993</c:v>
                </c:pt>
                <c:pt idx="14">
                  <c:v>9.8000000000000007</c:v>
                </c:pt>
                <c:pt idx="15">
                  <c:v>9.9</c:v>
                </c:pt>
                <c:pt idx="16">
                  <c:v>10</c:v>
                </c:pt>
                <c:pt idx="17">
                  <c:v>10.1</c:v>
                </c:pt>
                <c:pt idx="18">
                  <c:v>10.199999999999999</c:v>
                </c:pt>
                <c:pt idx="19">
                  <c:v>10.3</c:v>
                </c:pt>
                <c:pt idx="20">
                  <c:v>10.4</c:v>
                </c:pt>
                <c:pt idx="21">
                  <c:v>10.5</c:v>
                </c:pt>
              </c:numCache>
            </c:numRef>
          </c:cat>
          <c:val>
            <c:numRef>
              <c:f>'PDF Data'!$H$30:$H$51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E4-476F-A082-386DE17639A4}"/>
            </c:ext>
          </c:extLst>
        </c:ser>
        <c:ser>
          <c:idx val="1"/>
          <c:order val="1"/>
          <c:tx>
            <c:strRef>
              <c:f>'PDF Data'!$K$28</c:f>
              <c:strCache>
                <c:ptCount val="1"/>
                <c:pt idx="0">
                  <c:v>The Jacobsen</c:v>
                </c:pt>
              </c:strCache>
            </c:strRef>
          </c:tx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numRef>
              <c:f>'PDF Data'!$G$30:$G$51</c:f>
              <c:numCache>
                <c:formatCode>0.00</c:formatCode>
                <c:ptCount val="22"/>
                <c:pt idx="0">
                  <c:v>8.4</c:v>
                </c:pt>
                <c:pt idx="1">
                  <c:v>8.5</c:v>
                </c:pt>
                <c:pt idx="2">
                  <c:v>8.6</c:v>
                </c:pt>
                <c:pt idx="3">
                  <c:v>8.6999999999999993</c:v>
                </c:pt>
                <c:pt idx="4">
                  <c:v>8.8000000000000007</c:v>
                </c:pt>
                <c:pt idx="5">
                  <c:v>8.9</c:v>
                </c:pt>
                <c:pt idx="6">
                  <c:v>9</c:v>
                </c:pt>
                <c:pt idx="7">
                  <c:v>9.1</c:v>
                </c:pt>
                <c:pt idx="8">
                  <c:v>9.1999999999999993</c:v>
                </c:pt>
                <c:pt idx="9">
                  <c:v>9.3000000000000007</c:v>
                </c:pt>
                <c:pt idx="10">
                  <c:v>9.4</c:v>
                </c:pt>
                <c:pt idx="11">
                  <c:v>9.5</c:v>
                </c:pt>
                <c:pt idx="12">
                  <c:v>9.6</c:v>
                </c:pt>
                <c:pt idx="13">
                  <c:v>9.6999999999999993</c:v>
                </c:pt>
                <c:pt idx="14">
                  <c:v>9.8000000000000007</c:v>
                </c:pt>
                <c:pt idx="15">
                  <c:v>9.9</c:v>
                </c:pt>
                <c:pt idx="16">
                  <c:v>10</c:v>
                </c:pt>
                <c:pt idx="17">
                  <c:v>10.1</c:v>
                </c:pt>
                <c:pt idx="18">
                  <c:v>10.199999999999999</c:v>
                </c:pt>
                <c:pt idx="19">
                  <c:v>10.3</c:v>
                </c:pt>
                <c:pt idx="20">
                  <c:v>10.4</c:v>
                </c:pt>
                <c:pt idx="21">
                  <c:v>10.5</c:v>
                </c:pt>
              </c:numCache>
            </c:numRef>
          </c:cat>
          <c:val>
            <c:numRef>
              <c:f>'PDF Data'!$K$30:$K$51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2.5</c:v>
                </c:pt>
                <c:pt idx="8">
                  <c:v>7.5</c:v>
                </c:pt>
                <c:pt idx="9">
                  <c:v>15</c:v>
                </c:pt>
                <c:pt idx="10">
                  <c:v>25</c:v>
                </c:pt>
                <c:pt idx="11">
                  <c:v>25</c:v>
                </c:pt>
                <c:pt idx="12">
                  <c:v>15</c:v>
                </c:pt>
                <c:pt idx="13">
                  <c:v>7.5</c:v>
                </c:pt>
                <c:pt idx="14">
                  <c:v>1.25</c:v>
                </c:pt>
                <c:pt idx="15">
                  <c:v>1.25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E4-476F-A082-386DE1763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767000"/>
        <c:axId val="997769624"/>
      </c:lineChart>
      <c:catAx>
        <c:axId val="997767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Strike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 Price</a:t>
                </a:r>
                <a:endParaRPr lang="en-US" sz="1200" b="1">
                  <a:solidFill>
                    <a:sysClr val="windowText" lastClr="000000"/>
                  </a:solidFill>
                  <a:latin typeface="Bahnschrift SemiBold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47525824176647735"/>
              <c:y val="0.95465241630403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997769624"/>
        <c:crosses val="autoZero"/>
        <c:auto val="1"/>
        <c:lblAlgn val="ctr"/>
        <c:lblOffset val="100"/>
        <c:noMultiLvlLbl val="0"/>
      </c:catAx>
      <c:valAx>
        <c:axId val="997769624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997767000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r"/>
      <c:layout>
        <c:manualLayout>
          <c:xMode val="edge"/>
          <c:yMode val="edge"/>
          <c:x val="0.10534259474064875"/>
          <c:y val="9.9914962858942011E-2"/>
          <c:w val="0.54374322793706242"/>
          <c:h val="7.3477717572205753E-2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Probability Density Function for May Options</a:t>
            </a:r>
            <a:endParaRPr lang="en-US" sz="1400" b="1">
              <a:solidFill>
                <a:sysClr val="windowText" lastClr="000000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255966920945968E-2"/>
          <c:y val="7.8066575568796495E-2"/>
          <c:w val="0.88574225448855293"/>
          <c:h val="0.83224042771992712"/>
        </c:manualLayout>
      </c:layout>
      <c:lineChart>
        <c:grouping val="standard"/>
        <c:varyColors val="0"/>
        <c:ser>
          <c:idx val="0"/>
          <c:order val="0"/>
          <c:tx>
            <c:strRef>
              <c:f>'PDF Data'!$N$28</c:f>
              <c:strCache>
                <c:ptCount val="1"/>
                <c:pt idx="0">
                  <c:v>Options Market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15875">
                <a:solidFill>
                  <a:schemeClr val="tx2"/>
                </a:solidFill>
              </a:ln>
              <a:effectLst/>
            </c:spPr>
          </c:marker>
          <c:cat>
            <c:numRef>
              <c:f>'PDF Data'!$M$30:$M$47</c:f>
              <c:numCache>
                <c:formatCode>0.00</c:formatCode>
                <c:ptCount val="18"/>
                <c:pt idx="0">
                  <c:v>8.1999999999999993</c:v>
                </c:pt>
                <c:pt idx="1">
                  <c:v>8.4</c:v>
                </c:pt>
                <c:pt idx="2">
                  <c:v>8.6</c:v>
                </c:pt>
                <c:pt idx="3">
                  <c:v>8.8000000000000007</c:v>
                </c:pt>
                <c:pt idx="4">
                  <c:v>9</c:v>
                </c:pt>
                <c:pt idx="5">
                  <c:v>9.1999999999999993</c:v>
                </c:pt>
                <c:pt idx="6">
                  <c:v>9.4</c:v>
                </c:pt>
                <c:pt idx="7">
                  <c:v>9.6</c:v>
                </c:pt>
                <c:pt idx="8">
                  <c:v>9.8000000000000007</c:v>
                </c:pt>
                <c:pt idx="9">
                  <c:v>10</c:v>
                </c:pt>
                <c:pt idx="10">
                  <c:v>10.199999999999999</c:v>
                </c:pt>
                <c:pt idx="11">
                  <c:v>10.4</c:v>
                </c:pt>
                <c:pt idx="12">
                  <c:v>10.6</c:v>
                </c:pt>
                <c:pt idx="13">
                  <c:v>10.8</c:v>
                </c:pt>
                <c:pt idx="14">
                  <c:v>11</c:v>
                </c:pt>
                <c:pt idx="15">
                  <c:v>11.2</c:v>
                </c:pt>
                <c:pt idx="16">
                  <c:v>11.4</c:v>
                </c:pt>
                <c:pt idx="17">
                  <c:v>11.6</c:v>
                </c:pt>
              </c:numCache>
            </c:numRef>
          </c:cat>
          <c:val>
            <c:numRef>
              <c:f>'PDF Data'!$N$30:$N$47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64-4695-B80D-F968A70E45D6}"/>
            </c:ext>
          </c:extLst>
        </c:ser>
        <c:ser>
          <c:idx val="1"/>
          <c:order val="1"/>
          <c:tx>
            <c:strRef>
              <c:f>'PDF Data'!$Q$28</c:f>
              <c:strCache>
                <c:ptCount val="1"/>
                <c:pt idx="0">
                  <c:v>The Jacobsen</c:v>
                </c:pt>
              </c:strCache>
            </c:strRef>
          </c:tx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rgbClr val="8E9A44"/>
                </a:solidFill>
              </a:ln>
              <a:effectLst/>
            </c:spPr>
          </c:marker>
          <c:val>
            <c:numRef>
              <c:f>'PDF Data'!$Q$30:$Q$47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1.25</c:v>
                </c:pt>
                <c:pt idx="3">
                  <c:v>7.5</c:v>
                </c:pt>
                <c:pt idx="4">
                  <c:v>12.5</c:v>
                </c:pt>
                <c:pt idx="5">
                  <c:v>22.5</c:v>
                </c:pt>
                <c:pt idx="6">
                  <c:v>25.5</c:v>
                </c:pt>
                <c:pt idx="7">
                  <c:v>22.5</c:v>
                </c:pt>
                <c:pt idx="8">
                  <c:v>7.5</c:v>
                </c:pt>
                <c:pt idx="9">
                  <c:v>0.75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64-4695-B80D-F968A70E4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823608"/>
        <c:axId val="816825248"/>
      </c:lineChart>
      <c:catAx>
        <c:axId val="816823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Strike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6825248"/>
        <c:crosses val="autoZero"/>
        <c:auto val="1"/>
        <c:lblAlgn val="ctr"/>
        <c:lblOffset val="100"/>
        <c:noMultiLvlLbl val="0"/>
      </c:catAx>
      <c:valAx>
        <c:axId val="816825248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6823608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r"/>
      <c:layout>
        <c:manualLayout>
          <c:xMode val="edge"/>
          <c:yMode val="edge"/>
          <c:x val="0.42912721698349232"/>
          <c:y val="0.12634402663594907"/>
          <c:w val="0.51601359188853557"/>
          <c:h val="8.5365481619406811E-2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Probability Density Functions for July Options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87088248916978E-2"/>
          <c:y val="8.5675851011213944E-2"/>
          <c:w val="0.88465847478407755"/>
          <c:h val="0.82285995634320785"/>
        </c:manualLayout>
      </c:layout>
      <c:lineChart>
        <c:grouping val="standard"/>
        <c:varyColors val="0"/>
        <c:ser>
          <c:idx val="0"/>
          <c:order val="0"/>
          <c:tx>
            <c:strRef>
              <c:f>'PDF Data'!$T$28</c:f>
              <c:strCache>
                <c:ptCount val="1"/>
                <c:pt idx="0">
                  <c:v>Options Market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15875">
                <a:solidFill>
                  <a:schemeClr val="tx2"/>
                </a:solidFill>
              </a:ln>
              <a:effectLst/>
            </c:spPr>
          </c:marker>
          <c:cat>
            <c:numRef>
              <c:f>'PDF Data'!$S$30:$S$50</c:f>
              <c:numCache>
                <c:formatCode>0.00</c:formatCode>
                <c:ptCount val="21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  <c:pt idx="14">
                  <c:v>10.8</c:v>
                </c:pt>
                <c:pt idx="15">
                  <c:v>11</c:v>
                </c:pt>
                <c:pt idx="16">
                  <c:v>11.2</c:v>
                </c:pt>
                <c:pt idx="17">
                  <c:v>11.4</c:v>
                </c:pt>
                <c:pt idx="18">
                  <c:v>11.6</c:v>
                </c:pt>
                <c:pt idx="19">
                  <c:v>11.8</c:v>
                </c:pt>
                <c:pt idx="20">
                  <c:v>12</c:v>
                </c:pt>
              </c:numCache>
            </c:numRef>
          </c:cat>
          <c:val>
            <c:numRef>
              <c:f>'PDF Data'!$T$30:$T$50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87-4D69-BF05-5DAD15535E21}"/>
            </c:ext>
          </c:extLst>
        </c:ser>
        <c:ser>
          <c:idx val="1"/>
          <c:order val="1"/>
          <c:tx>
            <c:strRef>
              <c:f>'PDF Data'!$W$28</c:f>
              <c:strCache>
                <c:ptCount val="1"/>
                <c:pt idx="0">
                  <c:v>The Jacobsen</c:v>
                </c:pt>
              </c:strCache>
            </c:strRef>
          </c:tx>
          <c:spPr>
            <a:ln w="2222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numRef>
              <c:f>'PDF Data'!$S$30:$S$50</c:f>
              <c:numCache>
                <c:formatCode>0.00</c:formatCode>
                <c:ptCount val="21"/>
                <c:pt idx="0">
                  <c:v>8</c:v>
                </c:pt>
                <c:pt idx="1">
                  <c:v>8.1999999999999993</c:v>
                </c:pt>
                <c:pt idx="2">
                  <c:v>8.4</c:v>
                </c:pt>
                <c:pt idx="3">
                  <c:v>8.6</c:v>
                </c:pt>
                <c:pt idx="4">
                  <c:v>8.8000000000000007</c:v>
                </c:pt>
                <c:pt idx="5">
                  <c:v>9</c:v>
                </c:pt>
                <c:pt idx="6">
                  <c:v>9.1999999999999993</c:v>
                </c:pt>
                <c:pt idx="7">
                  <c:v>9.4</c:v>
                </c:pt>
                <c:pt idx="8">
                  <c:v>9.6</c:v>
                </c:pt>
                <c:pt idx="9">
                  <c:v>9.8000000000000007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  <c:pt idx="14">
                  <c:v>10.8</c:v>
                </c:pt>
                <c:pt idx="15">
                  <c:v>11</c:v>
                </c:pt>
                <c:pt idx="16">
                  <c:v>11.2</c:v>
                </c:pt>
                <c:pt idx="17">
                  <c:v>11.4</c:v>
                </c:pt>
                <c:pt idx="18">
                  <c:v>11.6</c:v>
                </c:pt>
                <c:pt idx="19">
                  <c:v>11.8</c:v>
                </c:pt>
                <c:pt idx="20">
                  <c:v>12</c:v>
                </c:pt>
              </c:numCache>
            </c:numRef>
          </c:cat>
          <c:val>
            <c:numRef>
              <c:f>'PDF Data'!$W$30:$W$50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3.75</c:v>
                </c:pt>
                <c:pt idx="3">
                  <c:v>5</c:v>
                </c:pt>
                <c:pt idx="4">
                  <c:v>15</c:v>
                </c:pt>
                <c:pt idx="5">
                  <c:v>25</c:v>
                </c:pt>
                <c:pt idx="6">
                  <c:v>25</c:v>
                </c:pt>
                <c:pt idx="7">
                  <c:v>15</c:v>
                </c:pt>
                <c:pt idx="8">
                  <c:v>5</c:v>
                </c:pt>
                <c:pt idx="9">
                  <c:v>3.75</c:v>
                </c:pt>
                <c:pt idx="10">
                  <c:v>2.5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87-4D69-BF05-5DAD15535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821968"/>
        <c:axId val="816824592"/>
      </c:lineChart>
      <c:catAx>
        <c:axId val="81682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Strike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6824592"/>
        <c:crosses val="autoZero"/>
        <c:auto val="1"/>
        <c:lblAlgn val="ctr"/>
        <c:lblOffset val="100"/>
        <c:noMultiLvlLbl val="0"/>
      </c:catAx>
      <c:valAx>
        <c:axId val="816824592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Helvetica" panose="020B0604020202030204" pitchFamily="34" charset="0"/>
                <a:ea typeface="+mn-ea"/>
                <a:cs typeface="+mn-cs"/>
              </a:defRPr>
            </a:pPr>
            <a:endParaRPr lang="en-US"/>
          </a:p>
        </c:txPr>
        <c:crossAx val="816821968"/>
        <c:crosses val="autoZero"/>
        <c:crossBetween val="midCat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b"/>
      <c:layout>
        <c:manualLayout>
          <c:xMode val="edge"/>
          <c:yMode val="edge"/>
          <c:x val="0.46795139361905019"/>
          <c:y val="0.11969112860892389"/>
          <c:w val="0.48011388714818953"/>
          <c:h val="7.0056902887139103E-2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&amp;L&amp;"Arial,Regular"&amp;10&amp;D&amp;C&amp;"Arial,Regular"&amp;10 17&amp;R&amp;"Arial,Regular"&amp;10© 2017 The Jacobsen Publishing Company</c:oddFooter>
    </c:headerFooter>
    <c:pageMargins b="0.75" l="0.7" r="0.7" t="0.75" header="0.3" footer="0.3"/>
    <c:pageSetup orientation="landscape"/>
  </c:printSettings>
  <c:userShapes r:id="rId4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clusteredColumn" uniqueId="{C9EADDC4-AD31-4F83-8BB4-CE590A834402}">
          <cx:spPr>
            <a:solidFill>
              <a:srgbClr val="ECECEC"/>
            </a:solidFill>
            <a:ln>
              <a:solidFill>
                <a:srgbClr val="CF3C5F"/>
              </a:solidFill>
            </a:ln>
          </cx:spPr>
          <cx:dataId val="0"/>
          <cx:layoutPr>
            <cx:binning intervalClosed="r">
              <cx:binCount val="200"/>
            </cx:binning>
          </cx:layoutPr>
        </cx:series>
      </cx:plotAreaRegion>
      <cx:axis id="0">
        <cx:catScaling gapWidth="4"/>
        <cx:tickLabels/>
        <cx:spPr>
          <a:ln>
            <a:noFill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majorGridlines>
          <cx:spPr>
            <a:ln>
              <a:solidFill>
                <a:schemeClr val="bg1">
                  <a:lumMod val="65000"/>
                </a:schemeClr>
              </a:solidFill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4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6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8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D5C9A7-7E8C-4524-B67D-9A9626829413}">
  <sheetPr/>
  <sheetViews>
    <sheetView tabSelected="1"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D20074-6D8F-4406-9267-7EB5CCAD3B59}">
  <sheetPr/>
  <sheetViews>
    <sheetView zoomScale="5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11765C-CC86-4634-9558-667BB0C52FA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601B19-E220-49A5-B172-39717B2F312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6D167D-239A-46FC-8CF5-6934A0F3A6B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36CA77-DBEF-4403-9BF0-1F8330BBF2EE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5614B3-5868-4AEE-B6ED-FB4F6283AD9C}">
  <sheetPr/>
  <sheetViews>
    <sheetView zoomScale="60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4D80F7-9A7D-4AB5-851E-1EF0F010042E}">
  <sheetPr/>
  <sheetViews>
    <sheetView zoomScale="60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E5DCF3-2F65-408F-8AA8-B2E9CE9F67E3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287250-F7C1-41C1-BE2B-E5D49E707698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C734D9-A73B-4A1A-A8FE-BD1DB32012FB}">
  <sheetPr/>
  <sheetViews>
    <sheetView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CABAB5-3536-422D-8EB6-E0A114154F06}">
  <sheetPr/>
  <sheetViews>
    <sheetView workbookViewId="0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0C0EAB-2513-434C-B04F-6FCDC1A6CB76}">
  <sheetPr/>
  <sheetViews>
    <sheetView zoomScale="55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3C7136-BBE2-4EE6-BA4B-F24511B40E0F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6EEBF9-D1AE-456E-9C32-2E04D7F33B22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3211D4-8741-480F-8EDA-DABF682C7866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34BDD2-7FAB-4711-B542-2FDDB21F6D92}">
  <sheetPr/>
  <sheetViews>
    <sheetView zoomScale="40" workbookViewId="0"/>
  </sheetViews>
  <pageMargins left="0.25" right="0.25" top="1.25" bottom="1.25" header="0.3" footer="0.3"/>
  <pageSetup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D1C895-3399-4DB2-9F5E-07A6C72C7B77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059582-CDB6-4AB3-A9F3-7D4FC1A4FD40}">
  <sheetPr/>
  <sheetViews>
    <sheetView zoomScale="55" workbookViewId="0"/>
  </sheetViews>
  <pageMargins left="0.25" right="0.25" top="1.25" bottom="1.25" header="0.3" footer="0.3"/>
  <pageSetup orientation="landscape" r:id="rId1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99A2CB-DD67-4538-99CC-C3E117623751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B3DC7E-4A88-43A6-B5F4-1D4B935A316E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microsoft.com/office/2014/relationships/chartEx" Target="../charts/chartEx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DBA72-4CB4-5A05-3CBE-31A2F6C7BA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0.01711</cdr:x>
      <cdr:y>0.95109</cdr:y>
    </cdr:from>
    <cdr:to>
      <cdr:x>0.53522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ADAA64-D330-87AF-B620-66378AA84D0F}"/>
            </a:ext>
          </a:extLst>
        </cdr:cNvPr>
        <cdr:cNvSpPr txBox="1"/>
      </cdr:nvSpPr>
      <cdr:spPr>
        <a:xfrm xmlns:a="http://schemas.openxmlformats.org/drawingml/2006/main">
          <a:off x="159031" y="5771029"/>
          <a:ext cx="4816192" cy="296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0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0364" cy="53686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33A39-214F-275F-77C9-86829A9A36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0.95398</cdr:y>
    </cdr:from>
    <cdr:to>
      <cdr:x>0.14142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C0A6BE-5089-0C46-7D52-CEBD2BCEEDC7}"/>
            </a:ext>
          </a:extLst>
        </cdr:cNvPr>
        <cdr:cNvSpPr txBox="1"/>
      </cdr:nvSpPr>
      <cdr:spPr>
        <a:xfrm xmlns:a="http://schemas.openxmlformats.org/drawingml/2006/main">
          <a:off x="0" y="5133975"/>
          <a:ext cx="13430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CME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A5DA6-9DD9-4F85-39F7-A1A2A4F517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0.9469</cdr:y>
    </cdr:from>
    <cdr:to>
      <cdr:x>0.34002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EB984A-7AFA-DA63-5CA7-02D468D5D27C}"/>
            </a:ext>
          </a:extLst>
        </cdr:cNvPr>
        <cdr:cNvSpPr txBox="1"/>
      </cdr:nvSpPr>
      <cdr:spPr>
        <a:xfrm xmlns:a="http://schemas.openxmlformats.org/drawingml/2006/main">
          <a:off x="0" y="5095875"/>
          <a:ext cx="322897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Fastmarkets' Daily Price Assessments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A65CC-6831-B7F5-4417-1BBB93CCE4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6327913" cy="35836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BE4D0-0F66-2004-F0CF-E19C0937BB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0.58551</cdr:x>
      <cdr:y>0.48074</cdr:y>
    </cdr:from>
    <cdr:to>
      <cdr:x>0.60384</cdr:x>
      <cdr:y>0.51926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63B572BC-59F0-1B47-7ADE-A850DDF03737}"/>
            </a:ext>
          </a:extLst>
        </cdr:cNvPr>
        <cdr:cNvCxnSpPr/>
      </cdr:nvCxnSpPr>
      <cdr:spPr>
        <a:xfrm xmlns:a="http://schemas.openxmlformats.org/drawingml/2006/main" flipH="1">
          <a:off x="5557630" y="2584174"/>
          <a:ext cx="173935" cy="207065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0.95532</cdr:y>
    </cdr:from>
    <cdr:to>
      <cdr:x>0.39267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35A5C0F-6BBD-85C9-6530-AFED5F9437B1}"/>
            </a:ext>
          </a:extLst>
        </cdr:cNvPr>
        <cdr:cNvSpPr txBox="1"/>
      </cdr:nvSpPr>
      <cdr:spPr>
        <a:xfrm xmlns:a="http://schemas.openxmlformats.org/drawingml/2006/main">
          <a:off x="0" y="5135217"/>
          <a:ext cx="3727174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 kern="1200">
              <a:latin typeface="Arial" panose="020B0604020202020204" pitchFamily="34" charset="0"/>
              <a:cs typeface="Arial" panose="020B0604020202020204" pitchFamily="34" charset="0"/>
            </a:rPr>
            <a:t>Source: CME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BDA1C-23EC-9A7D-BD07-5DA1F48BB1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0.95225</cdr:y>
    </cdr:from>
    <cdr:to>
      <cdr:x>0.46953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FF8573C-2AF9-ADEA-3C9F-E584B15EA1B6}"/>
            </a:ext>
          </a:extLst>
        </cdr:cNvPr>
        <cdr:cNvSpPr txBox="1"/>
      </cdr:nvSpPr>
      <cdr:spPr>
        <a:xfrm xmlns:a="http://schemas.openxmlformats.org/drawingml/2006/main">
          <a:off x="0" y="5120032"/>
          <a:ext cx="4456044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Chicago Mercantile Exchange, Bursa Malaysia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493250" cy="5381625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603348-342F-EFF2-43D2-02F59E736CA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5041DA4-8C42-DD44-9BF0-E00D01724B3C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93250" cy="538162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49325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60423-C161-695C-07E5-2931858993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2201E-31FC-876C-0C29-6D1475469E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3880A-91FF-FF90-6280-BB31340CB7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BDB6A-410D-1AE4-EB9A-294961968F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43269-B2FC-ACC9-F05A-11866DE532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490364" cy="53686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C9E2F-E873-6C58-D5DD-01314317C5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FABB7-AA45-7CDD-7FB9-E9281EA643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7BA17-A89E-0C16-9B10-09C94CB75B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71B5A-B30A-1E93-ABD5-E464894460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0.95378</cdr:y>
    </cdr:from>
    <cdr:to>
      <cdr:x>0.38394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AF2C5A-CE4A-4199-BD1F-DFEDAB80C194}"/>
            </a:ext>
          </a:extLst>
        </cdr:cNvPr>
        <cdr:cNvSpPr txBox="1"/>
      </cdr:nvSpPr>
      <cdr:spPr>
        <a:xfrm xmlns:a="http://schemas.openxmlformats.org/drawingml/2006/main">
          <a:off x="0" y="5126952"/>
          <a:ext cx="3644309" cy="2484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Bursa Malaysia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501187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FC9F1B-3ADC-1686-444E-7A81489F33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0.02618</cdr:x>
      <cdr:y>0.93837</cdr:y>
    </cdr:from>
    <cdr:to>
      <cdr:x>0.41012</cdr:x>
      <cdr:y>0.99538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AF2C5A-CE4A-4199-BD1F-DFEDAB80C194}"/>
            </a:ext>
          </a:extLst>
        </cdr:cNvPr>
        <cdr:cNvSpPr txBox="1"/>
      </cdr:nvSpPr>
      <cdr:spPr>
        <a:xfrm xmlns:a="http://schemas.openxmlformats.org/drawingml/2006/main">
          <a:off x="248477" y="5044109"/>
          <a:ext cx="3644349" cy="306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The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Jacobsen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D0CFC-DEA8-2E71-FFC2-7D4AEF2D1B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1.05353E-7</cdr:x>
      <cdr:y>0.13888</cdr:y>
    </cdr:from>
    <cdr:to>
      <cdr:x>0.04358</cdr:x>
      <cdr:y>0.84965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5C85388-C6CB-45F0-9DA1-A52429702AF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1703512" y="2450052"/>
          <a:ext cx="3820682" cy="413656"/>
        </a:xfrm>
        <a:prstGeom xmlns:a="http://schemas.openxmlformats.org/drawingml/2006/main" prst="rect">
          <a:avLst/>
        </a:prstGeom>
      </cdr:spPr>
    </cdr:pic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490364" cy="53686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4C0C3-EDBC-10D8-C9EF-DE2BAD7EA6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0.11621</cdr:y>
    </cdr:from>
    <cdr:to>
      <cdr:x>0.04358</cdr:x>
      <cdr:y>0.82698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35F9CB2-FCF5-45C3-8ABC-9D0B9D324AF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2048433" y="2780060"/>
          <a:ext cx="4474852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55EF7-2FB7-9E97-536D-95D6D83324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1.05353E-7</cdr:x>
      <cdr:y>0.14967</cdr:y>
    </cdr:from>
    <cdr:to>
      <cdr:x>0.04358</cdr:x>
      <cdr:y>0.86044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DA2D423-B16D-4F83-9FB3-96875C6538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1703512" y="2508031"/>
          <a:ext cx="3820682" cy="413656"/>
        </a:xfrm>
        <a:prstGeom xmlns:a="http://schemas.openxmlformats.org/drawingml/2006/main" prst="rect">
          <a:avLst/>
        </a:prstGeom>
      </cdr:spPr>
    </cdr:pic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E267C-E983-0A27-7419-6D5DA870FD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1.05353E-7</cdr:x>
      <cdr:y>0.1435</cdr:y>
    </cdr:from>
    <cdr:to>
      <cdr:x>0.04358</cdr:x>
      <cdr:y>0.85427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DA2D423-B16D-4F83-9FB3-96875C6538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1703512" y="2474900"/>
          <a:ext cx="3820682" cy="413656"/>
        </a:xfrm>
        <a:prstGeom xmlns:a="http://schemas.openxmlformats.org/drawingml/2006/main" prst="rect">
          <a:avLst/>
        </a:prstGeom>
      </cdr:spPr>
    </cdr:pic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12192000" cy="7048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D5576-2862-48D9-A22B-2070A28D33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0" y="7048500"/>
    <xdr:ext cx="12182474" cy="70389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7EC41-ECAB-4038-94A4-4342FA7577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0" y="14097000"/>
    <xdr:ext cx="12192000" cy="70389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CF1752-7417-4F91-8A51-71909235FE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123825" y="200026"/>
    <xdr:ext cx="5486400" cy="44672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5904B-D195-4AD0-9619-5D439F69AF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5600700" y="190500"/>
    <xdr:ext cx="5495925" cy="44862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A0099-26B4-4C77-8AE1-0E0038BB78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14300" y="4676776"/>
    <xdr:ext cx="5495925" cy="4648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E2F97-4AF0-483E-B8DC-B0667E5BB1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5600700" y="4686300"/>
    <xdr:ext cx="5505450" cy="46386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C5B60F-1EEB-442B-A6E8-7923C1D293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0.1326</cdr:y>
    </cdr:from>
    <cdr:to>
      <cdr:x>0.04358</cdr:x>
      <cdr:y>0.84337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5C85388-C6CB-45F0-9DA1-A52429702AF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1498502" y="2102241"/>
          <a:ext cx="3236100" cy="239096"/>
        </a:xfrm>
        <a:prstGeom xmlns:a="http://schemas.openxmlformats.org/drawingml/2006/main" prst="rect">
          <a:avLst/>
        </a:prstGeom>
      </cdr:spPr>
    </cdr:pic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</cdr:x>
      <cdr:y>0.11621</cdr:y>
    </cdr:from>
    <cdr:to>
      <cdr:x>0.04358</cdr:x>
      <cdr:y>0.82698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35F9CB2-FCF5-45C3-8ABC-9D0B9D324AF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2048433" y="2780060"/>
          <a:ext cx="4474852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3.63906E-7</cdr:x>
      <cdr:y>0.13965</cdr:y>
    </cdr:from>
    <cdr:to>
      <cdr:x>0.04358</cdr:x>
      <cdr:y>0.85042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DA2D423-B16D-4F83-9FB3-96875C6538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1569378" y="2233134"/>
          <a:ext cx="3378272" cy="239511"/>
        </a:xfrm>
        <a:prstGeom xmlns:a="http://schemas.openxmlformats.org/drawingml/2006/main" prst="rect">
          <a:avLst/>
        </a:prstGeom>
      </cdr:spPr>
    </cdr:pic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1.05353E-7</cdr:x>
      <cdr:y>0.1435</cdr:y>
    </cdr:from>
    <cdr:to>
      <cdr:x>0.04358</cdr:x>
      <cdr:y>0.85427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FDA2D423-B16D-4F83-9FB3-96875C6538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1703512" y="2474900"/>
          <a:ext cx="3820682" cy="413656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oypricescharts%20-%20HOBO.xlsx" TargetMode="External"/><Relationship Id="rId1" Type="http://schemas.openxmlformats.org/officeDocument/2006/relationships/externalLinkPath" Target="/Users/torem/Dropbox/FM%20Files/HOBO/Biofuel%20Model/soypricescharts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JWNLYO763DVDJFFAQRKSQ7NEE">
      <xxl21:absoluteUrl r:id="rId2"/>
    </xxl21:alternateUrls>
    <sheetNames>
      <sheetName val="Futures Price Forecasts"/>
      <sheetName val="Forecasts"/>
      <sheetName val="Sheet1"/>
      <sheetName val="Prices"/>
      <sheetName val="Chart1"/>
      <sheetName val="Chart2"/>
      <sheetName val="Chart3"/>
      <sheetName val="Chart4"/>
      <sheetName val="Chart5"/>
      <sheetName val="Monthly Oil Share Change (2)"/>
      <sheetName val="Monthly Oil Share Change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</sheetNames>
    <sheetDataSet>
      <sheetData sheetId="0"/>
      <sheetData sheetId="1">
        <row r="31">
          <cell r="A31">
            <v>45778</v>
          </cell>
          <cell r="B31">
            <v>42.5</v>
          </cell>
          <cell r="C31">
            <v>39.75</v>
          </cell>
          <cell r="D31">
            <v>46</v>
          </cell>
          <cell r="F31">
            <v>42.71</v>
          </cell>
        </row>
        <row r="32">
          <cell r="A32">
            <v>45839</v>
          </cell>
          <cell r="B32">
            <v>44.5</v>
          </cell>
          <cell r="C32">
            <v>41.5</v>
          </cell>
          <cell r="D32">
            <v>47.75</v>
          </cell>
          <cell r="F32">
            <v>43.2</v>
          </cell>
        </row>
        <row r="33">
          <cell r="A33">
            <v>45870</v>
          </cell>
          <cell r="B33">
            <v>44.75</v>
          </cell>
          <cell r="C33">
            <v>42.75</v>
          </cell>
          <cell r="D33">
            <v>47.25</v>
          </cell>
          <cell r="F33">
            <v>43.26</v>
          </cell>
        </row>
        <row r="34">
          <cell r="A34">
            <v>45901</v>
          </cell>
          <cell r="B34">
            <v>43.75</v>
          </cell>
          <cell r="C34">
            <v>41.75</v>
          </cell>
          <cell r="D34">
            <v>45.5</v>
          </cell>
          <cell r="F34">
            <v>43.2</v>
          </cell>
        </row>
        <row r="106">
          <cell r="M106">
            <v>1.6371249999999993</v>
          </cell>
          <cell r="P106">
            <v>45712</v>
          </cell>
          <cell r="R106" t="str">
            <v xml:space="preserve">-- </v>
          </cell>
        </row>
        <row r="107">
          <cell r="M107">
            <v>1.6420999999999992</v>
          </cell>
          <cell r="P107">
            <v>45713</v>
          </cell>
          <cell r="R107" t="str">
            <v xml:space="preserve">-- </v>
          </cell>
        </row>
        <row r="108">
          <cell r="M108">
            <v>1.6521550000000005</v>
          </cell>
          <cell r="P108">
            <v>45714</v>
          </cell>
          <cell r="R108" t="str">
            <v xml:space="preserve">-- </v>
          </cell>
        </row>
        <row r="109">
          <cell r="M109">
            <v>1.612899999999998</v>
          </cell>
          <cell r="P109">
            <v>45715</v>
          </cell>
          <cell r="R109" t="str">
            <v xml:space="preserve">-- </v>
          </cell>
        </row>
        <row r="110">
          <cell r="M110">
            <v>1.5839899999999982</v>
          </cell>
          <cell r="P110">
            <v>45716</v>
          </cell>
          <cell r="R110" t="str">
            <v xml:space="preserve">-- </v>
          </cell>
        </row>
        <row r="111">
          <cell r="M111">
            <v>1.6038300000000003</v>
          </cell>
          <cell r="P111">
            <v>45719</v>
          </cell>
          <cell r="R111">
            <v>2.2134999999999998</v>
          </cell>
        </row>
        <row r="112">
          <cell r="M112">
            <v>1.5526549999999997</v>
          </cell>
          <cell r="P112">
            <v>45720</v>
          </cell>
          <cell r="R112">
            <v>2.2258</v>
          </cell>
        </row>
        <row r="113">
          <cell r="M113">
            <v>1.5828799999999994</v>
          </cell>
          <cell r="P113">
            <v>45721</v>
          </cell>
          <cell r="R113">
            <v>2.1844000000000001</v>
          </cell>
        </row>
        <row r="114">
          <cell r="M114">
            <v>1.5624149999999979</v>
          </cell>
          <cell r="P114">
            <v>45722</v>
          </cell>
          <cell r="R114">
            <v>2.1753999999999998</v>
          </cell>
        </row>
        <row r="115">
          <cell r="M115">
            <v>1.60304</v>
          </cell>
          <cell r="P115">
            <v>45723</v>
          </cell>
          <cell r="R115">
            <v>2.181</v>
          </cell>
        </row>
        <row r="116">
          <cell r="M116">
            <v>1.5305949999999982</v>
          </cell>
          <cell r="P116">
            <v>45726</v>
          </cell>
          <cell r="R116">
            <v>2.1480000000000001</v>
          </cell>
        </row>
        <row r="117">
          <cell r="M117">
            <v>1.5083599999999997</v>
          </cell>
          <cell r="P117">
            <v>45727</v>
          </cell>
          <cell r="R117">
            <v>2.1610999999999998</v>
          </cell>
        </row>
        <row r="118">
          <cell r="M118">
            <v>1.551009999999998</v>
          </cell>
          <cell r="P118">
            <v>45728</v>
          </cell>
          <cell r="R118">
            <v>2.1787999999999998</v>
          </cell>
        </row>
        <row r="119">
          <cell r="M119">
            <v>1.5552350000000015</v>
          </cell>
          <cell r="P119">
            <v>45729</v>
          </cell>
          <cell r="R119">
            <v>2.1343999999999999</v>
          </cell>
        </row>
        <row r="120">
          <cell r="M120">
            <v>1.5123049999999978</v>
          </cell>
          <cell r="P120">
            <v>45730</v>
          </cell>
          <cell r="R120">
            <v>2.1347999999999998</v>
          </cell>
        </row>
        <row r="121">
          <cell r="M121">
            <v>1.5413750000000004</v>
          </cell>
          <cell r="P121">
            <v>45733</v>
          </cell>
          <cell r="R121">
            <v>2.1661999999999999</v>
          </cell>
        </row>
        <row r="122">
          <cell r="M122">
            <v>1.522454999999999</v>
          </cell>
          <cell r="P122">
            <v>45734</v>
          </cell>
          <cell r="R122">
            <v>2.1570999999999998</v>
          </cell>
        </row>
        <row r="123">
          <cell r="M123">
            <v>1.497444999999999</v>
          </cell>
          <cell r="P123">
            <v>45735</v>
          </cell>
          <cell r="R123">
            <v>2.1869999999999998</v>
          </cell>
        </row>
        <row r="124">
          <cell r="M124">
            <v>1.477545000000001</v>
          </cell>
          <cell r="P124">
            <v>45736</v>
          </cell>
          <cell r="R124">
            <v>2.2069000000000001</v>
          </cell>
        </row>
        <row r="158">
          <cell r="A158"/>
          <cell r="B158"/>
          <cell r="C158"/>
          <cell r="D158"/>
        </row>
        <row r="159">
          <cell r="A159"/>
          <cell r="B159"/>
          <cell r="C159"/>
          <cell r="D159"/>
        </row>
        <row r="160">
          <cell r="A160"/>
          <cell r="B160"/>
          <cell r="C160"/>
          <cell r="D160"/>
        </row>
        <row r="161">
          <cell r="A161"/>
          <cell r="B161"/>
          <cell r="C161"/>
          <cell r="D161"/>
        </row>
        <row r="162">
          <cell r="A162"/>
          <cell r="B162"/>
          <cell r="C162"/>
          <cell r="D162"/>
        </row>
        <row r="163">
          <cell r="A163"/>
          <cell r="B163"/>
          <cell r="C163"/>
          <cell r="D163"/>
        </row>
        <row r="164">
          <cell r="A164"/>
          <cell r="B164"/>
          <cell r="C164"/>
          <cell r="D164"/>
        </row>
        <row r="165">
          <cell r="A165"/>
          <cell r="B165"/>
          <cell r="C165"/>
          <cell r="D165"/>
        </row>
        <row r="166">
          <cell r="A166"/>
          <cell r="B166"/>
          <cell r="C166"/>
          <cell r="D166"/>
        </row>
        <row r="167">
          <cell r="A167"/>
          <cell r="B167"/>
          <cell r="C167"/>
          <cell r="D167"/>
        </row>
        <row r="168">
          <cell r="A168"/>
          <cell r="B168"/>
          <cell r="C168"/>
          <cell r="D168"/>
        </row>
        <row r="169">
          <cell r="A169"/>
          <cell r="B169"/>
          <cell r="C169"/>
          <cell r="D169"/>
        </row>
        <row r="170">
          <cell r="A170"/>
          <cell r="B170"/>
          <cell r="C170"/>
          <cell r="D170"/>
        </row>
      </sheetData>
      <sheetData sheetId="2"/>
      <sheetData sheetId="3">
        <row r="3">
          <cell r="A3">
            <v>25569</v>
          </cell>
          <cell r="B3">
            <v>2.5391249999999999</v>
          </cell>
          <cell r="D3">
            <v>9.2504999999999988</v>
          </cell>
          <cell r="Q3">
            <v>0.34950000000000081</v>
          </cell>
        </row>
        <row r="4">
          <cell r="A4">
            <v>25600</v>
          </cell>
          <cell r="B4">
            <v>2.5550000000000002</v>
          </cell>
          <cell r="D4">
            <v>10.867894736842105</v>
          </cell>
          <cell r="G4">
            <v>2.5958857423485082E-2</v>
          </cell>
          <cell r="Q4">
            <v>0.63210526315789473</v>
          </cell>
        </row>
        <row r="5">
          <cell r="A5">
            <v>25628</v>
          </cell>
          <cell r="B5" t="str">
            <v>Mid</v>
          </cell>
          <cell r="D5" t="str">
            <v>Mid</v>
          </cell>
          <cell r="G5" t="e">
            <v>#VALUE!</v>
          </cell>
          <cell r="Q5" t="e">
            <v>#VALUE!</v>
          </cell>
        </row>
        <row r="6">
          <cell r="A6">
            <v>25659</v>
          </cell>
          <cell r="B6">
            <v>2.6313068181818182</v>
          </cell>
          <cell r="D6">
            <v>11.689090909090909</v>
          </cell>
          <cell r="G6" t="e">
            <v>#VALUE!</v>
          </cell>
          <cell r="Q6">
            <v>0.51090909090908987</v>
          </cell>
        </row>
        <row r="7">
          <cell r="A7">
            <v>25689</v>
          </cell>
          <cell r="B7">
            <v>2.6906249999999998</v>
          </cell>
          <cell r="D7">
            <v>10.911000000000001</v>
          </cell>
          <cell r="G7">
            <v>-1.518122901878316E-2</v>
          </cell>
          <cell r="Q7">
            <v>0.38899999999999935</v>
          </cell>
        </row>
        <row r="8">
          <cell r="A8">
            <v>25720</v>
          </cell>
          <cell r="B8">
            <v>2.7913068181818179</v>
          </cell>
          <cell r="D8">
            <v>10.858181818181819</v>
          </cell>
          <cell r="G8">
            <v>-1.2244812843991371E-2</v>
          </cell>
          <cell r="Q8">
            <v>0.24181818181818038</v>
          </cell>
        </row>
        <row r="9">
          <cell r="A9">
            <v>25750</v>
          </cell>
          <cell r="B9">
            <v>2.9084659090909089</v>
          </cell>
          <cell r="D9">
            <v>11.053636363636365</v>
          </cell>
          <cell r="G9">
            <v>-1.2655792144510902E-2</v>
          </cell>
          <cell r="Q9">
            <v>0.44636363636363541</v>
          </cell>
        </row>
        <row r="10">
          <cell r="A10">
            <v>25781</v>
          </cell>
          <cell r="B10">
            <v>2.8142261904761905</v>
          </cell>
          <cell r="D10">
            <v>10.855714285714287</v>
          </cell>
          <cell r="G10">
            <v>-2.8895169479460359E-3</v>
          </cell>
          <cell r="Q10">
            <v>0.74428571428571288</v>
          </cell>
        </row>
        <row r="11">
          <cell r="A11">
            <v>25812</v>
          </cell>
          <cell r="B11">
            <v>2.8457142857142856</v>
          </cell>
          <cell r="D11">
            <v>11.21</v>
          </cell>
          <cell r="G11">
            <v>1.1359366542305072E-2</v>
          </cell>
          <cell r="Q11">
            <v>0.88999999999999879</v>
          </cell>
        </row>
        <row r="12">
          <cell r="A12">
            <v>25842</v>
          </cell>
          <cell r="B12">
            <v>2.9805681818181822</v>
          </cell>
          <cell r="D12">
            <v>12.519090909090909</v>
          </cell>
          <cell r="G12">
            <v>3.2402954423142116E-2</v>
          </cell>
          <cell r="Q12">
            <v>1.4809090909090905</v>
          </cell>
        </row>
        <row r="13">
          <cell r="A13">
            <v>25873</v>
          </cell>
          <cell r="B13">
            <v>3.0588815789473682</v>
          </cell>
          <cell r="D13">
            <v>13.129473684210524</v>
          </cell>
          <cell r="G13">
            <v>6.7767347986815718E-3</v>
          </cell>
          <cell r="Q13">
            <v>0.77052631578947661</v>
          </cell>
        </row>
        <row r="14">
          <cell r="A14">
            <v>25903</v>
          </cell>
          <cell r="B14">
            <v>2.9548295454545452</v>
          </cell>
          <cell r="D14">
            <v>11.907272727272726</v>
          </cell>
          <cell r="G14">
            <v>-2.649906304339672E-2</v>
          </cell>
          <cell r="Q14">
            <v>0.49272727272727401</v>
          </cell>
        </row>
        <row r="15">
          <cell r="A15">
            <v>25934</v>
          </cell>
          <cell r="B15">
            <v>3.058875</v>
          </cell>
          <cell r="D15">
            <v>12.136999999999999</v>
          </cell>
          <cell r="G15">
            <v>9.2427682769576913E-3</v>
          </cell>
          <cell r="Q15">
            <v>0.16300000000000203</v>
          </cell>
        </row>
        <row r="16">
          <cell r="A16">
            <v>25965</v>
          </cell>
          <cell r="B16">
            <v>3.0553289473684218</v>
          </cell>
          <cell r="D16">
            <v>11.954736842105264</v>
          </cell>
          <cell r="G16">
            <v>1.3909109447942658E-3</v>
          </cell>
          <cell r="Q16">
            <v>0.14526315789473543</v>
          </cell>
        </row>
        <row r="17">
          <cell r="A17">
            <v>25993</v>
          </cell>
          <cell r="B17">
            <v>3.0514130434782611</v>
          </cell>
          <cell r="D17">
            <v>11.89</v>
          </cell>
          <cell r="G17">
            <v>-1.7957568741495678E-3</v>
          </cell>
          <cell r="Q17">
            <v>0.30999999999999872</v>
          </cell>
        </row>
        <row r="18">
          <cell r="A18">
            <v>26024</v>
          </cell>
          <cell r="B18">
            <v>2.9189880952380949</v>
          </cell>
          <cell r="D18">
            <v>10.926666666666666</v>
          </cell>
          <cell r="G18">
            <v>-1.6424539399871541E-2</v>
          </cell>
          <cell r="Q18">
            <v>0.27333333333333343</v>
          </cell>
        </row>
        <row r="19">
          <cell r="A19">
            <v>26054</v>
          </cell>
          <cell r="B19">
            <v>3.0216249999999998</v>
          </cell>
          <cell r="D19">
            <v>11.186500000000001</v>
          </cell>
          <cell r="G19">
            <v>-4.740509837285134E-3</v>
          </cell>
          <cell r="Q19">
            <v>0.2134999999999998</v>
          </cell>
        </row>
        <row r="20">
          <cell r="A20">
            <v>26085</v>
          </cell>
          <cell r="B20">
            <v>3.1956818181818178</v>
          </cell>
          <cell r="D20">
            <v>12.640454545454544</v>
          </cell>
          <cell r="G20">
            <v>2.0118024497269016E-2</v>
          </cell>
          <cell r="Q20">
            <v>0.15954545454545688</v>
          </cell>
        </row>
        <row r="21">
          <cell r="A21">
            <v>26115</v>
          </cell>
          <cell r="B21">
            <v>3.3709523809523811</v>
          </cell>
          <cell r="D21">
            <v>14.181904761904761</v>
          </cell>
          <cell r="G21">
            <v>1.8481651299631585E-2</v>
          </cell>
          <cell r="Q21">
            <v>0.3180952380952391</v>
          </cell>
        </row>
        <row r="22">
          <cell r="A22">
            <v>26146</v>
          </cell>
          <cell r="B22">
            <v>3.2588068181818177</v>
          </cell>
          <cell r="D22">
            <v>13.950454545454546</v>
          </cell>
          <cell r="G22">
            <v>1.1159958108136969E-2</v>
          </cell>
          <cell r="Q22">
            <v>0.54954545454545389</v>
          </cell>
        </row>
        <row r="23">
          <cell r="A23">
            <v>26177</v>
          </cell>
          <cell r="B23">
            <v>3.1420833333333329</v>
          </cell>
          <cell r="D23">
            <v>12.562380952380952</v>
          </cell>
          <cell r="G23">
            <v>-1.7997698492681846E-2</v>
          </cell>
          <cell r="Q23">
            <v>0.23761904761904873</v>
          </cell>
        </row>
        <row r="24">
          <cell r="A24">
            <v>26207</v>
          </cell>
          <cell r="B24">
            <v>3.1839880952380959</v>
          </cell>
          <cell r="D24">
            <v>12.819047619047618</v>
          </cell>
          <cell r="G24">
            <v>-3.5704845076038327E-3</v>
          </cell>
          <cell r="Q24">
            <v>0.38095238095238138</v>
          </cell>
        </row>
        <row r="25">
          <cell r="A25">
            <v>26238</v>
          </cell>
          <cell r="B25">
            <v>3.1372023809523815</v>
          </cell>
          <cell r="D25">
            <v>12.425714285714283</v>
          </cell>
          <cell r="G25">
            <v>-4.8738174053469252E-3</v>
          </cell>
          <cell r="Q25">
            <v>7.4285714285716509E-2</v>
          </cell>
        </row>
        <row r="26">
          <cell r="A26">
            <v>26268</v>
          </cell>
          <cell r="B26">
            <v>3.1327976190476199</v>
          </cell>
          <cell r="D26">
            <v>11.683809523809524</v>
          </cell>
          <cell r="G26">
            <v>-2.2872820906374158E-2</v>
          </cell>
          <cell r="Q26">
            <v>1.6190476190475422E-2</v>
          </cell>
        </row>
        <row r="27">
          <cell r="A27">
            <v>26299</v>
          </cell>
          <cell r="B27">
            <v>3.1316071428571424</v>
          </cell>
          <cell r="D27">
            <v>11.01</v>
          </cell>
          <cell r="G27">
            <v>-1.8119592090228787E-2</v>
          </cell>
          <cell r="Q27">
            <v>-0.10999999999999943</v>
          </cell>
        </row>
        <row r="28">
          <cell r="A28">
            <v>26330</v>
          </cell>
          <cell r="B28">
            <v>3.1957500000000003</v>
          </cell>
          <cell r="D28">
            <v>11.074999999999999</v>
          </cell>
          <cell r="G28">
            <v>-1.6015304448168677E-3</v>
          </cell>
          <cell r="Q28">
            <v>-7.4999999999999289E-2</v>
          </cell>
        </row>
        <row r="29">
          <cell r="A29">
            <v>26359</v>
          </cell>
          <cell r="B29">
            <v>3.4182386363636357</v>
          </cell>
          <cell r="D29">
            <v>11.779090909090909</v>
          </cell>
          <cell r="G29">
            <v>-4.3263864881702419E-3</v>
          </cell>
          <cell r="Q29">
            <v>-7.9090909090909989E-2</v>
          </cell>
        </row>
        <row r="30">
          <cell r="A30">
            <v>26390</v>
          </cell>
          <cell r="B30">
            <v>3.5213124999999996</v>
          </cell>
          <cell r="D30">
            <v>11.892999999999997</v>
          </cell>
          <cell r="G30">
            <v>-7.9998743711941489E-3</v>
          </cell>
          <cell r="Q30">
            <v>7.0000000000032259E-3</v>
          </cell>
        </row>
        <row r="31">
          <cell r="A31">
            <v>26420</v>
          </cell>
          <cell r="B31">
            <v>3.5352840909090899</v>
          </cell>
          <cell r="D31">
            <v>11.556363636363635</v>
          </cell>
          <cell r="G31">
            <v>-1.070130524313273E-2</v>
          </cell>
          <cell r="Q31">
            <v>-0.15636363636363448</v>
          </cell>
        </row>
        <row r="32">
          <cell r="A32">
            <v>26451</v>
          </cell>
          <cell r="B32">
            <v>3.4788068181818175</v>
          </cell>
          <cell r="D32">
            <v>10.723636363636365</v>
          </cell>
          <cell r="G32">
            <v>-2.0384451352007449E-2</v>
          </cell>
          <cell r="Q32">
            <v>-2.3636363636365232E-2</v>
          </cell>
        </row>
        <row r="33">
          <cell r="A33">
            <v>26481</v>
          </cell>
          <cell r="B33">
            <v>3.5073125000000003</v>
          </cell>
          <cell r="D33">
            <v>10.293499999999998</v>
          </cell>
          <cell r="G33">
            <v>-1.6646463631141639E-2</v>
          </cell>
          <cell r="Q33">
            <v>6.5000000000026148E-3</v>
          </cell>
        </row>
        <row r="34">
          <cell r="A34">
            <v>26512</v>
          </cell>
          <cell r="B34">
            <v>3.4402717391304347</v>
          </cell>
          <cell r="D34">
            <v>10.173478260869565</v>
          </cell>
          <cell r="G34">
            <v>1.2563164137537886E-3</v>
          </cell>
          <cell r="Q34">
            <v>-7.3478260869565659E-2</v>
          </cell>
        </row>
        <row r="35">
          <cell r="A35">
            <v>26543</v>
          </cell>
          <cell r="B35">
            <v>3.3945625000000006</v>
          </cell>
          <cell r="D35">
            <v>9.8469999999999978</v>
          </cell>
          <cell r="G35">
            <v>-1.2037886148175858E-2</v>
          </cell>
          <cell r="Q35">
            <v>-4.6999999999997044E-2</v>
          </cell>
        </row>
        <row r="36">
          <cell r="A36">
            <v>26573</v>
          </cell>
          <cell r="B36">
            <v>3.4064204545454544</v>
          </cell>
          <cell r="D36">
            <v>9.7236363636363627</v>
          </cell>
          <cell r="G36">
            <v>-2.8213402042454039E-3</v>
          </cell>
          <cell r="Q36">
            <v>-0.1236363636363631</v>
          </cell>
        </row>
        <row r="37">
          <cell r="A37">
            <v>26604</v>
          </cell>
          <cell r="B37">
            <v>3.6826250000000003</v>
          </cell>
          <cell r="D37">
            <v>9.7394999999999996</v>
          </cell>
          <cell r="G37">
            <v>-2.6836886706023133E-2</v>
          </cell>
          <cell r="Q37">
            <v>-0.13949999999999996</v>
          </cell>
        </row>
        <row r="38">
          <cell r="A38">
            <v>26634</v>
          </cell>
          <cell r="B38">
            <v>4.1737500000000001</v>
          </cell>
          <cell r="D38">
            <v>9.7684210526315809</v>
          </cell>
          <cell r="G38">
            <v>-4.5094761457947358E-2</v>
          </cell>
          <cell r="Q38">
            <v>-6.8421052631581603E-2</v>
          </cell>
        </row>
        <row r="39">
          <cell r="A39">
            <v>26665</v>
          </cell>
          <cell r="B39">
            <v>4.5280952380952391</v>
          </cell>
          <cell r="D39">
            <v>10.195238095238098</v>
          </cell>
          <cell r="G39">
            <v>-1.6502502003369612E-3</v>
          </cell>
          <cell r="Q39">
            <v>-9.5238095238098452E-2</v>
          </cell>
        </row>
        <row r="40">
          <cell r="A40">
            <v>26696</v>
          </cell>
          <cell r="B40">
            <v>5.839802631578948</v>
          </cell>
          <cell r="D40">
            <v>13.018421052631579</v>
          </cell>
          <cell r="G40">
            <v>3.150027535059996E-3</v>
          </cell>
          <cell r="Q40">
            <v>-1.8421052631579116E-2</v>
          </cell>
        </row>
        <row r="41">
          <cell r="A41">
            <v>26724</v>
          </cell>
          <cell r="B41">
            <v>6.0246590909090916</v>
          </cell>
          <cell r="D41">
            <v>14.008181818181818</v>
          </cell>
          <cell r="G41">
            <v>2.3273464398994914E-2</v>
          </cell>
          <cell r="Q41">
            <v>-0.10818181818181749</v>
          </cell>
        </row>
        <row r="42">
          <cell r="A42">
            <v>26755</v>
          </cell>
          <cell r="B42">
            <v>6.3385000000000016</v>
          </cell>
          <cell r="D42">
            <v>14.892000000000001</v>
          </cell>
          <cell r="G42">
            <v>2.7909612413252738E-3</v>
          </cell>
          <cell r="Q42">
            <v>0.10799999999999876</v>
          </cell>
        </row>
        <row r="43">
          <cell r="A43">
            <v>26785</v>
          </cell>
          <cell r="B43">
            <v>8.381931818181819</v>
          </cell>
          <cell r="D43">
            <v>16.707272727272727</v>
          </cell>
          <cell r="G43">
            <v>-4.3310131525964551E-2</v>
          </cell>
          <cell r="Q43">
            <v>0.39272727272727437</v>
          </cell>
        </row>
        <row r="44">
          <cell r="A44">
            <v>26816</v>
          </cell>
          <cell r="B44">
            <v>10.982763157894736</v>
          </cell>
          <cell r="D44">
            <v>18.977894736842103</v>
          </cell>
          <cell r="G44">
            <v>-2.1233456636007758E-2</v>
          </cell>
          <cell r="Q44">
            <v>0.32210526315789778</v>
          </cell>
        </row>
        <row r="45">
          <cell r="A45">
            <v>26846</v>
          </cell>
          <cell r="B45">
            <v>9.4023809523809518</v>
          </cell>
          <cell r="D45">
            <v>21.09666666666666</v>
          </cell>
          <cell r="G45">
            <v>5.7619680679675989E-2</v>
          </cell>
          <cell r="Q45">
            <v>1.3033333333333381</v>
          </cell>
        </row>
        <row r="46">
          <cell r="A46">
            <v>26877</v>
          </cell>
          <cell r="B46">
            <v>8.2434782608695674</v>
          </cell>
          <cell r="D46">
            <v>29.200869565217381</v>
          </cell>
          <cell r="G46">
            <v>8.1114202722512518E-2</v>
          </cell>
          <cell r="Q46">
            <v>4.2991304347826187</v>
          </cell>
        </row>
        <row r="47">
          <cell r="A47">
            <v>26908</v>
          </cell>
          <cell r="B47">
            <v>6.4431578947368413</v>
          </cell>
          <cell r="D47">
            <v>20.567368421052628</v>
          </cell>
          <cell r="G47">
            <v>-2.0496040767563062E-3</v>
          </cell>
          <cell r="Q47">
            <v>3.7326315789473732</v>
          </cell>
        </row>
        <row r="48">
          <cell r="A48">
            <v>26938</v>
          </cell>
          <cell r="B48">
            <v>5.8456818181818173</v>
          </cell>
          <cell r="D48">
            <v>19.079999999999998</v>
          </cell>
          <cell r="G48">
            <v>2.071944428757827E-2</v>
          </cell>
          <cell r="Q48">
            <v>4.0200000000000031</v>
          </cell>
        </row>
        <row r="49">
          <cell r="A49">
            <v>26969</v>
          </cell>
          <cell r="B49">
            <v>5.6776190476190482</v>
          </cell>
          <cell r="D49">
            <v>18.780476190476193</v>
          </cell>
          <cell r="G49">
            <v>-1.0116590739607023E-2</v>
          </cell>
          <cell r="Q49">
            <v>1.6195238095238054</v>
          </cell>
        </row>
        <row r="50">
          <cell r="A50">
            <v>26999</v>
          </cell>
          <cell r="B50">
            <v>6.0081578947368426</v>
          </cell>
          <cell r="D50">
            <v>23.155789473684216</v>
          </cell>
          <cell r="G50">
            <v>2.9831336621766291E-2</v>
          </cell>
          <cell r="Q50">
            <v>2.8442105263157842</v>
          </cell>
        </row>
        <row r="51">
          <cell r="A51">
            <v>27030</v>
          </cell>
          <cell r="B51">
            <v>6.2625000000000002</v>
          </cell>
          <cell r="D51">
            <v>24.758636363636359</v>
          </cell>
          <cell r="G51">
            <v>3.4206224531164009E-2</v>
          </cell>
          <cell r="Q51">
            <v>3.8413636363636421</v>
          </cell>
        </row>
        <row r="52">
          <cell r="A52">
            <v>27061</v>
          </cell>
          <cell r="B52">
            <v>6.439861111111111</v>
          </cell>
          <cell r="D52">
            <v>32.445555555555551</v>
          </cell>
          <cell r="G52">
            <v>8.3068921786277949E-2</v>
          </cell>
          <cell r="Q52">
            <v>3.954444444444448</v>
          </cell>
        </row>
        <row r="53">
          <cell r="A53">
            <v>27089</v>
          </cell>
          <cell r="B53">
            <v>6.3177380952380942</v>
          </cell>
          <cell r="D53">
            <v>26.326190476190476</v>
          </cell>
          <cell r="G53">
            <v>-4.6157354764367942E-2</v>
          </cell>
          <cell r="Q53">
            <v>3.8738095238095234</v>
          </cell>
        </row>
        <row r="54">
          <cell r="A54">
            <v>27120</v>
          </cell>
          <cell r="B54">
            <v>5.5975000000000001</v>
          </cell>
          <cell r="D54">
            <v>26.246190476190474</v>
          </cell>
          <cell r="G54">
            <v>5.6281109971545784E-2</v>
          </cell>
          <cell r="Q54">
            <v>1.9538095238095252</v>
          </cell>
        </row>
        <row r="55">
          <cell r="A55">
            <v>27150</v>
          </cell>
          <cell r="B55">
            <v>5.4727272727272727</v>
          </cell>
          <cell r="D55">
            <v>26.804545454545458</v>
          </cell>
          <cell r="G55">
            <v>1.9043774153996662E-2</v>
          </cell>
          <cell r="Q55">
            <v>2.5954545454545404</v>
          </cell>
        </row>
        <row r="56">
          <cell r="A56">
            <v>27181</v>
          </cell>
          <cell r="B56">
            <v>5.5226249999999997</v>
          </cell>
          <cell r="D56">
            <v>29.796000000000003</v>
          </cell>
          <cell r="G56">
            <v>5.1622176607504122E-2</v>
          </cell>
          <cell r="Q56">
            <v>1.8039999999999985</v>
          </cell>
        </row>
        <row r="57">
          <cell r="A57">
            <v>27211</v>
          </cell>
          <cell r="B57">
            <v>7.0996590909090918</v>
          </cell>
          <cell r="D57">
            <v>37.254090909090905</v>
          </cell>
          <cell r="G57">
            <v>-2.3343098998944933E-2</v>
          </cell>
          <cell r="Q57">
            <v>3.2459090909090946</v>
          </cell>
        </row>
        <row r="58">
          <cell r="A58">
            <v>27242</v>
          </cell>
          <cell r="B58">
            <v>7.8138636363636378</v>
          </cell>
          <cell r="D58">
            <v>40.303636363636357</v>
          </cell>
          <cell r="G58">
            <v>8.7970745040899523E-4</v>
          </cell>
          <cell r="Q58">
            <v>2.9963636363636397</v>
          </cell>
        </row>
        <row r="59">
          <cell r="A59">
            <v>27273</v>
          </cell>
          <cell r="B59">
            <v>7.6815000000000015</v>
          </cell>
          <cell r="D59">
            <v>39.020499999999998</v>
          </cell>
          <cell r="G59">
            <v>-2.8850782406898423E-3</v>
          </cell>
          <cell r="Q59">
            <v>1.6795000000000044</v>
          </cell>
        </row>
        <row r="60">
          <cell r="A60">
            <v>27303</v>
          </cell>
          <cell r="B60">
            <v>8.5882608695652181</v>
          </cell>
          <cell r="D60">
            <v>42.278260869565223</v>
          </cell>
          <cell r="G60">
            <v>-1.8717453779264592E-2</v>
          </cell>
          <cell r="Q60">
            <v>2.1739130434774268E-2</v>
          </cell>
        </row>
        <row r="61">
          <cell r="A61">
            <v>27334</v>
          </cell>
          <cell r="B61">
            <v>7.9194736842105264</v>
          </cell>
          <cell r="D61">
            <v>40.208421052631586</v>
          </cell>
          <cell r="G61">
            <v>2.5911453888014191E-2</v>
          </cell>
          <cell r="Q61">
            <v>0.19157894736841286</v>
          </cell>
        </row>
        <row r="62">
          <cell r="A62">
            <v>27364</v>
          </cell>
          <cell r="B62">
            <v>7.3689285714285706</v>
          </cell>
          <cell r="D62">
            <v>36.981904761904765</v>
          </cell>
          <cell r="G62">
            <v>-2.0535726972336965E-2</v>
          </cell>
          <cell r="Q62">
            <v>1.0180952380952348</v>
          </cell>
        </row>
        <row r="63">
          <cell r="A63">
            <v>27395</v>
          </cell>
          <cell r="B63">
            <v>6.4853409090909091</v>
          </cell>
          <cell r="D63">
            <v>32.768181818181823</v>
          </cell>
          <cell r="G63">
            <v>9.0076944880657095E-3</v>
          </cell>
          <cell r="Q63">
            <v>0.83181818181817846</v>
          </cell>
        </row>
        <row r="64">
          <cell r="A64">
            <v>27426</v>
          </cell>
          <cell r="B64">
            <v>5.6819736842105257</v>
          </cell>
          <cell r="D64">
            <v>28.565789473684209</v>
          </cell>
          <cell r="G64">
            <v>-7.8836848094313572E-3</v>
          </cell>
          <cell r="Q64">
            <v>0.83421052631578974</v>
          </cell>
        </row>
        <row r="65">
          <cell r="A65">
            <v>27454</v>
          </cell>
          <cell r="B65">
            <v>5.5987499999999999</v>
          </cell>
          <cell r="D65">
            <v>26.9635</v>
          </cell>
          <cell r="G65">
            <v>-2.284348186914642E-2</v>
          </cell>
          <cell r="Q65">
            <v>2.1365000000000016</v>
          </cell>
        </row>
        <row r="66">
          <cell r="A66">
            <v>27485</v>
          </cell>
          <cell r="B66">
            <v>5.7267045454545444</v>
          </cell>
          <cell r="D66">
            <v>27.080454545454543</v>
          </cell>
          <cell r="G66">
            <v>-4.3129250873763514E-3</v>
          </cell>
          <cell r="Q66">
            <v>1.119545454545456</v>
          </cell>
        </row>
        <row r="67">
          <cell r="A67">
            <v>27515</v>
          </cell>
          <cell r="B67">
            <v>5.107857142857144</v>
          </cell>
          <cell r="D67">
            <v>22.451428571428576</v>
          </cell>
          <cell r="G67">
            <v>-3.8495259411224225E-2</v>
          </cell>
          <cell r="Q67">
            <v>1.1485714285714259</v>
          </cell>
        </row>
        <row r="68">
          <cell r="A68">
            <v>27546</v>
          </cell>
          <cell r="B68">
            <v>5.0881547619047627</v>
          </cell>
          <cell r="D68">
            <v>21.897142857142857</v>
          </cell>
          <cell r="G68">
            <v>-1.031968180167997E-2</v>
          </cell>
          <cell r="Q68">
            <v>1.4028571428571439</v>
          </cell>
        </row>
        <row r="69">
          <cell r="A69">
            <v>27576</v>
          </cell>
          <cell r="B69">
            <v>5.5544318181818175</v>
          </cell>
          <cell r="D69">
            <v>24.909090909090921</v>
          </cell>
          <cell r="G69">
            <v>1.9929058752697182E-2</v>
          </cell>
          <cell r="Q69">
            <v>2.5909090909090793</v>
          </cell>
        </row>
        <row r="70">
          <cell r="A70">
            <v>27607</v>
          </cell>
          <cell r="B70">
            <v>6.055595238095238</v>
          </cell>
          <cell r="D70">
            <v>26.691428571428567</v>
          </cell>
          <cell r="G70">
            <v>-7.7190950849584383E-3</v>
          </cell>
          <cell r="Q70">
            <v>1.8085714285714332</v>
          </cell>
        </row>
        <row r="71">
          <cell r="A71">
            <v>27638</v>
          </cell>
          <cell r="B71">
            <v>5.7344047619047629</v>
          </cell>
          <cell r="D71">
            <v>23.538095238095242</v>
          </cell>
          <cell r="G71">
            <v>-2.6752447777806942E-2</v>
          </cell>
          <cell r="Q71">
            <v>0.7619047619047592</v>
          </cell>
        </row>
        <row r="72">
          <cell r="A72">
            <v>27668</v>
          </cell>
          <cell r="B72">
            <v>5.2458765217391301</v>
          </cell>
          <cell r="D72">
            <v>20.787826086956517</v>
          </cell>
          <cell r="G72">
            <v>-2.1816408394673414E-2</v>
          </cell>
          <cell r="Q72">
            <v>0.61217391304348112</v>
          </cell>
        </row>
        <row r="73">
          <cell r="A73">
            <v>27699</v>
          </cell>
          <cell r="B73">
            <v>4.8606578947368417</v>
          </cell>
          <cell r="D73">
            <v>18.520526315789478</v>
          </cell>
          <cell r="G73">
            <v>-1.7372754921831213E-2</v>
          </cell>
          <cell r="Q73">
            <v>0.37947368421052019</v>
          </cell>
        </row>
        <row r="74">
          <cell r="A74">
            <v>27729</v>
          </cell>
          <cell r="B74">
            <v>4.6353571428571438</v>
          </cell>
          <cell r="D74">
            <v>16.586190476190477</v>
          </cell>
          <cell r="G74">
            <v>-2.7155015990418918E-2</v>
          </cell>
          <cell r="Q74">
            <v>0.21380952380952323</v>
          </cell>
        </row>
        <row r="75">
          <cell r="A75">
            <v>27760</v>
          </cell>
          <cell r="B75">
            <v>4.753273809523809</v>
          </cell>
          <cell r="D75">
            <v>16.390476190476193</v>
          </cell>
          <cell r="G75">
            <v>-1.1090471036105443E-2</v>
          </cell>
          <cell r="Q75">
            <v>-0.19047619047619335</v>
          </cell>
        </row>
        <row r="76">
          <cell r="A76">
            <v>27791</v>
          </cell>
          <cell r="B76">
            <v>4.7967105263157892</v>
          </cell>
          <cell r="D76">
            <v>16.51157894736842</v>
          </cell>
          <cell r="G76">
            <v>-1.9457415474152251E-3</v>
          </cell>
          <cell r="Q76">
            <v>-0.21157894736841953</v>
          </cell>
        </row>
        <row r="77">
          <cell r="A77">
            <v>27820</v>
          </cell>
          <cell r="B77">
            <v>4.80375</v>
          </cell>
          <cell r="D77">
            <v>16.737826086956524</v>
          </cell>
          <cell r="G77">
            <v>1.0200405642147581E-2</v>
          </cell>
          <cell r="Q77">
            <v>-0.13782608695652243</v>
          </cell>
        </row>
        <row r="78">
          <cell r="A78">
            <v>27851</v>
          </cell>
          <cell r="B78">
            <v>4.8030952380952385</v>
          </cell>
          <cell r="D78">
            <v>16.357619047619053</v>
          </cell>
          <cell r="G78">
            <v>-4.9158379379624084E-3</v>
          </cell>
          <cell r="Q78">
            <v>-5.7619047619052566E-2</v>
          </cell>
        </row>
        <row r="79">
          <cell r="A79">
            <v>27881</v>
          </cell>
          <cell r="B79">
            <v>5.3135625000000006</v>
          </cell>
          <cell r="D79">
            <v>16.231000000000002</v>
          </cell>
          <cell r="G79">
            <v>-4.0208781096810475E-2</v>
          </cell>
          <cell r="Q79">
            <v>-0.43100000000000094</v>
          </cell>
        </row>
        <row r="80">
          <cell r="A80">
            <v>27912</v>
          </cell>
          <cell r="B80">
            <v>6.3502272727272722</v>
          </cell>
          <cell r="D80">
            <v>18.28681818181818</v>
          </cell>
          <cell r="G80">
            <v>-1.7073169808987987E-2</v>
          </cell>
          <cell r="Q80">
            <v>-0.68681818181817889</v>
          </cell>
        </row>
        <row r="81">
          <cell r="A81">
            <v>27942</v>
          </cell>
          <cell r="B81">
            <v>6.8269642857142845</v>
          </cell>
          <cell r="D81">
            <v>20.984285714285711</v>
          </cell>
          <cell r="G81">
            <v>2.2487485266630414E-2</v>
          </cell>
          <cell r="Q81">
            <v>-8.4285714285712743E-2</v>
          </cell>
        </row>
        <row r="82">
          <cell r="A82">
            <v>27973</v>
          </cell>
          <cell r="B82">
            <v>6.4123863636363634</v>
          </cell>
          <cell r="D82">
            <v>20.586818181818177</v>
          </cell>
          <cell r="G82">
            <v>1.4419082639026748E-2</v>
          </cell>
          <cell r="Q82">
            <v>-0.18681818181817889</v>
          </cell>
        </row>
        <row r="83">
          <cell r="A83">
            <v>28004</v>
          </cell>
          <cell r="B83">
            <v>6.810238095238093</v>
          </cell>
          <cell r="D83">
            <v>22.649047619047614</v>
          </cell>
          <cell r="G83">
            <v>1.6728960540442372E-2</v>
          </cell>
          <cell r="Q83">
            <v>-0.14904761904761443</v>
          </cell>
        </row>
        <row r="84">
          <cell r="A84">
            <v>28034</v>
          </cell>
          <cell r="B84">
            <v>6.4124999999999996</v>
          </cell>
          <cell r="D84">
            <v>21.148095238095237</v>
          </cell>
          <cell r="G84">
            <v>-9.8454349930931495E-3</v>
          </cell>
          <cell r="Q84">
            <v>-0.4480952380952381</v>
          </cell>
        </row>
        <row r="85">
          <cell r="A85">
            <v>28065</v>
          </cell>
          <cell r="B85">
            <v>6.6831250000000004</v>
          </cell>
          <cell r="D85">
            <v>21.971499999999999</v>
          </cell>
          <cell r="G85">
            <v>3.836134609076669E-3</v>
          </cell>
          <cell r="Q85">
            <v>-0.17149999999999821</v>
          </cell>
        </row>
        <row r="86">
          <cell r="A86">
            <v>28095</v>
          </cell>
          <cell r="B86">
            <v>6.9278571428571434</v>
          </cell>
          <cell r="D86">
            <v>21.270952380952377</v>
          </cell>
          <cell r="G86">
            <v>-2.265286784743753E-2</v>
          </cell>
          <cell r="Q86">
            <v>-0.27095238095237661</v>
          </cell>
        </row>
        <row r="87">
          <cell r="A87">
            <v>28126</v>
          </cell>
          <cell r="B87">
            <v>7.2075595238095262</v>
          </cell>
          <cell r="D87">
            <v>21.436190476190479</v>
          </cell>
          <cell r="G87">
            <v>-1.1618959884471924E-2</v>
          </cell>
          <cell r="Q87">
            <v>-0.53619047619048033</v>
          </cell>
        </row>
        <row r="88">
          <cell r="A88">
            <v>28157</v>
          </cell>
          <cell r="B88">
            <v>7.3990789473684204</v>
          </cell>
          <cell r="D88">
            <v>22.888947368421046</v>
          </cell>
          <cell r="G88">
            <v>1.3934287804367118E-2</v>
          </cell>
          <cell r="Q88">
            <v>-0.48894736842104791</v>
          </cell>
        </row>
        <row r="89">
          <cell r="A89">
            <v>28185</v>
          </cell>
          <cell r="B89">
            <v>8.459021739130435</v>
          </cell>
          <cell r="D89">
            <v>26.801739130434779</v>
          </cell>
          <cell r="G89">
            <v>1.0101286894545203E-2</v>
          </cell>
          <cell r="Q89">
            <v>-0.30173913043477896</v>
          </cell>
        </row>
        <row r="90">
          <cell r="A90">
            <v>28216</v>
          </cell>
          <cell r="B90">
            <v>9.8885000000000005</v>
          </cell>
          <cell r="D90">
            <v>29.539499999999993</v>
          </cell>
          <cell r="G90">
            <v>-1.6225452219074565E-2</v>
          </cell>
          <cell r="Q90">
            <v>6.0500000000008214E-2</v>
          </cell>
        </row>
        <row r="91">
          <cell r="A91">
            <v>28246</v>
          </cell>
          <cell r="B91">
            <v>9.5449999999999999</v>
          </cell>
          <cell r="D91">
            <v>31.238499999999995</v>
          </cell>
          <cell r="G91">
            <v>2.751069914004084E-2</v>
          </cell>
          <cell r="Q91">
            <v>6.1500000000005883E-2</v>
          </cell>
        </row>
        <row r="92">
          <cell r="A92">
            <v>28277</v>
          </cell>
          <cell r="B92">
            <v>8.2791477272727274</v>
          </cell>
          <cell r="D92">
            <v>28.175000000000001</v>
          </cell>
          <cell r="G92">
            <v>1.3663797634127062E-2</v>
          </cell>
          <cell r="Q92">
            <v>0.125</v>
          </cell>
        </row>
        <row r="93">
          <cell r="A93">
            <v>28307</v>
          </cell>
          <cell r="B93">
            <v>6.3572500000000005</v>
          </cell>
          <cell r="D93">
            <v>23.238500000000002</v>
          </cell>
          <cell r="G93">
            <v>2.4503370308108618E-2</v>
          </cell>
          <cell r="Q93">
            <v>0.56149999999999878</v>
          </cell>
        </row>
        <row r="94">
          <cell r="A94">
            <v>28338</v>
          </cell>
          <cell r="B94">
            <v>5.3902173913043478</v>
          </cell>
          <cell r="D94">
            <v>20.181739130434785</v>
          </cell>
          <cell r="G94">
            <v>4.4384515239114797E-3</v>
          </cell>
          <cell r="Q94">
            <v>0.91826086956521635</v>
          </cell>
        </row>
        <row r="95">
          <cell r="A95">
            <v>28369</v>
          </cell>
          <cell r="B95">
            <v>5.263928571428572</v>
          </cell>
          <cell r="D95">
            <v>18.63428571428571</v>
          </cell>
          <cell r="G95">
            <v>-1.2380353768585872E-2</v>
          </cell>
          <cell r="Q95">
            <v>0.56571428571428939</v>
          </cell>
        </row>
        <row r="96">
          <cell r="A96">
            <v>28399</v>
          </cell>
          <cell r="B96">
            <v>5.3108333333333331</v>
          </cell>
          <cell r="D96">
            <v>18.341428571428569</v>
          </cell>
          <cell r="G96">
            <v>-1.312727532836977E-2</v>
          </cell>
          <cell r="Q96">
            <v>0.45857142857143174</v>
          </cell>
        </row>
        <row r="97">
          <cell r="A97">
            <v>28430</v>
          </cell>
          <cell r="B97">
            <v>5.9813095238095242</v>
          </cell>
          <cell r="D97">
            <v>20.322857142857142</v>
          </cell>
          <cell r="G97">
            <v>-6.6467514456329257E-3</v>
          </cell>
          <cell r="Q97">
            <v>0.67714285714285793</v>
          </cell>
        </row>
        <row r="98">
          <cell r="A98">
            <v>28460</v>
          </cell>
          <cell r="B98">
            <v>5.958333333333333</v>
          </cell>
          <cell r="D98">
            <v>21.892857142857146</v>
          </cell>
          <cell r="G98">
            <v>2.456079378964382E-2</v>
          </cell>
          <cell r="Q98">
            <v>0.70714285714285552</v>
          </cell>
        </row>
        <row r="99">
          <cell r="A99">
            <v>28491</v>
          </cell>
          <cell r="B99">
            <v>5.8259523809523825</v>
          </cell>
          <cell r="D99">
            <v>20.557619047619045</v>
          </cell>
          <cell r="G99">
            <v>-1.2436039561978141E-2</v>
          </cell>
          <cell r="Q99">
            <v>0.34238095238095312</v>
          </cell>
        </row>
        <row r="100">
          <cell r="A100">
            <v>28522</v>
          </cell>
          <cell r="B100">
            <v>5.7094736842105265</v>
          </cell>
          <cell r="D100">
            <v>21.071052631578947</v>
          </cell>
          <cell r="G100">
            <v>1.6751810116164945E-2</v>
          </cell>
          <cell r="Q100">
            <v>0.52894736842105416</v>
          </cell>
        </row>
        <row r="101">
          <cell r="A101">
            <v>28550</v>
          </cell>
          <cell r="B101">
            <v>6.7692045454545458</v>
          </cell>
          <cell r="D101">
            <v>25.594999999999999</v>
          </cell>
          <cell r="G101">
            <v>8.5889839482499175E-3</v>
          </cell>
          <cell r="Q101">
            <v>1.0050000000000026</v>
          </cell>
        </row>
        <row r="102">
          <cell r="A102">
            <v>28581</v>
          </cell>
          <cell r="B102">
            <v>7.0382499999999997</v>
          </cell>
          <cell r="D102">
            <v>26.430999999999994</v>
          </cell>
          <cell r="G102">
            <v>5.8217308014879565E-3</v>
          </cell>
          <cell r="Q102">
            <v>0.36900000000000688</v>
          </cell>
        </row>
        <row r="103">
          <cell r="A103">
            <v>28611</v>
          </cell>
          <cell r="B103">
            <v>7.14</v>
          </cell>
          <cell r="D103">
            <v>27.074090909090909</v>
          </cell>
          <cell r="G103">
            <v>2.6549654597183281E-3</v>
          </cell>
          <cell r="Q103">
            <v>1.7259090909090915</v>
          </cell>
        </row>
        <row r="104">
          <cell r="A104">
            <v>28642</v>
          </cell>
          <cell r="B104">
            <v>6.8694318181818197</v>
          </cell>
          <cell r="D104">
            <v>25.945</v>
          </cell>
          <cell r="G104">
            <v>-1.9449238286370907E-3</v>
          </cell>
          <cell r="Q104">
            <v>0.95499999999999829</v>
          </cell>
        </row>
        <row r="105">
          <cell r="A105">
            <v>28672</v>
          </cell>
          <cell r="B105">
            <v>6.5045000000000002</v>
          </cell>
          <cell r="D105">
            <v>24.210500000000003</v>
          </cell>
          <cell r="G105">
            <v>-9.0724120752125881E-3</v>
          </cell>
          <cell r="Q105">
            <v>1.6894999999999953</v>
          </cell>
        </row>
        <row r="106">
          <cell r="A106">
            <v>28703</v>
          </cell>
          <cell r="B106">
            <v>6.3347826086956527</v>
          </cell>
          <cell r="D106">
            <v>24.542173913043484</v>
          </cell>
          <cell r="G106">
            <v>7.7781860176337481E-3</v>
          </cell>
          <cell r="Q106">
            <v>1.7578260869565163</v>
          </cell>
        </row>
        <row r="107">
          <cell r="A107">
            <v>28734</v>
          </cell>
          <cell r="B107">
            <v>6.5096249999999998</v>
          </cell>
          <cell r="D107">
            <v>25.606999999999999</v>
          </cell>
          <cell r="G107">
            <v>3.3728424806412916E-3</v>
          </cell>
          <cell r="Q107">
            <v>2.1930000000000014</v>
          </cell>
        </row>
        <row r="108">
          <cell r="A108">
            <v>28764</v>
          </cell>
          <cell r="B108">
            <v>6.8381249999999998</v>
          </cell>
          <cell r="D108">
            <v>25.828181818181818</v>
          </cell>
          <cell r="G108">
            <v>-1.8054948347416444E-2</v>
          </cell>
          <cell r="Q108">
            <v>1.3718181818181812</v>
          </cell>
        </row>
        <row r="109">
          <cell r="A109">
            <v>28795</v>
          </cell>
          <cell r="B109">
            <v>6.7987500000000001</v>
          </cell>
          <cell r="D109">
            <v>24.427499999999998</v>
          </cell>
          <cell r="G109">
            <v>-1.4296723493459063E-2</v>
          </cell>
          <cell r="Q109">
            <v>0.47250000000000014</v>
          </cell>
        </row>
        <row r="110">
          <cell r="A110">
            <v>28825</v>
          </cell>
          <cell r="B110">
            <v>6.8382500000000004</v>
          </cell>
          <cell r="D110">
            <v>24.885999999999999</v>
          </cell>
          <cell r="G110">
            <v>-2.8544817414391521E-3</v>
          </cell>
          <cell r="Q110">
            <v>0.91400000000000148</v>
          </cell>
        </row>
        <row r="111">
          <cell r="A111">
            <v>28856</v>
          </cell>
          <cell r="B111">
            <v>6.9894318181818171</v>
          </cell>
          <cell r="D111">
            <v>25.074999999999999</v>
          </cell>
          <cell r="G111">
            <v>4.2264193658498872E-3</v>
          </cell>
          <cell r="Q111">
            <v>0.72500000000000142</v>
          </cell>
        </row>
        <row r="112">
          <cell r="A112">
            <v>28887</v>
          </cell>
          <cell r="B112">
            <v>7.454078947368421</v>
          </cell>
          <cell r="D112">
            <v>27.29526315789473</v>
          </cell>
          <cell r="G112">
            <v>1.1300874559071195E-2</v>
          </cell>
          <cell r="Q112">
            <v>0.60473684210526812</v>
          </cell>
        </row>
        <row r="113">
          <cell r="A113">
            <v>28915</v>
          </cell>
          <cell r="B113">
            <v>7.651136363636363</v>
          </cell>
          <cell r="D113">
            <v>27.481363636363639</v>
          </cell>
          <cell r="G113">
            <v>-2.4893526018259227E-3</v>
          </cell>
          <cell r="Q113">
            <v>0.31863636363636161</v>
          </cell>
        </row>
        <row r="114">
          <cell r="A114">
            <v>28946</v>
          </cell>
          <cell r="B114">
            <v>7.4043749999999999</v>
          </cell>
          <cell r="D114">
            <v>26.434000000000005</v>
          </cell>
          <cell r="G114">
            <v>-2.2360418459063669E-3</v>
          </cell>
          <cell r="Q114">
            <v>0.26599999999999469</v>
          </cell>
        </row>
        <row r="115">
          <cell r="A115">
            <v>28976</v>
          </cell>
          <cell r="B115">
            <v>7.3698863636363621</v>
          </cell>
          <cell r="D115">
            <v>26.156363636363633</v>
          </cell>
          <cell r="G115">
            <v>-2.8949609893628714E-3</v>
          </cell>
          <cell r="Q115">
            <v>0.143636363636368</v>
          </cell>
        </row>
        <row r="116">
          <cell r="A116">
            <v>29007</v>
          </cell>
          <cell r="B116">
            <v>7.8071428571428569</v>
          </cell>
          <cell r="D116">
            <v>27.096190476190475</v>
          </cell>
          <cell r="G116">
            <v>-1.0612861252318417E-2</v>
          </cell>
          <cell r="Q116">
            <v>0.50380952380952593</v>
          </cell>
        </row>
        <row r="117">
          <cell r="A117">
            <v>29037</v>
          </cell>
          <cell r="B117">
            <v>7.638571428571427</v>
          </cell>
          <cell r="D117">
            <v>28.241428571428575</v>
          </cell>
          <cell r="G117">
            <v>1.8241425926826982E-2</v>
          </cell>
          <cell r="Q117">
            <v>0.85857142857142676</v>
          </cell>
        </row>
        <row r="118">
          <cell r="A118">
            <v>29068</v>
          </cell>
          <cell r="B118">
            <v>7.1752173913043462</v>
          </cell>
          <cell r="D118">
            <v>27.756086956521738</v>
          </cell>
          <cell r="G118">
            <v>1.0743701924256055E-2</v>
          </cell>
          <cell r="Q118">
            <v>1.4439130434782612</v>
          </cell>
        </row>
        <row r="119">
          <cell r="A119">
            <v>29099</v>
          </cell>
          <cell r="B119">
            <v>7.131842105263158</v>
          </cell>
          <cell r="D119">
            <v>27.928421052631577</v>
          </cell>
          <cell r="G119">
            <v>3.4000079673736638E-3</v>
          </cell>
          <cell r="Q119">
            <v>2.0715789473684225</v>
          </cell>
        </row>
        <row r="120">
          <cell r="A120">
            <v>29129</v>
          </cell>
          <cell r="B120">
            <v>6.7183695652173903</v>
          </cell>
          <cell r="D120">
            <v>26.10478260869565</v>
          </cell>
          <cell r="G120">
            <v>-1.303480620618902E-2</v>
          </cell>
          <cell r="Q120">
            <v>1.7952173913043481</v>
          </cell>
        </row>
        <row r="121">
          <cell r="A121">
            <v>29160</v>
          </cell>
          <cell r="B121">
            <v>6.7734523809523823</v>
          </cell>
          <cell r="D121">
            <v>26.449523809523807</v>
          </cell>
          <cell r="G121">
            <v>-8.6286664132684265E-4</v>
          </cell>
          <cell r="Q121">
            <v>1.3504761904761935</v>
          </cell>
        </row>
        <row r="122">
          <cell r="A122">
            <v>29190</v>
          </cell>
          <cell r="B122">
            <v>6.6360526315789468</v>
          </cell>
          <cell r="D122">
            <v>25.12157894736842</v>
          </cell>
          <cell r="G122">
            <v>-1.109093958503693E-2</v>
          </cell>
          <cell r="Q122">
            <v>1.0784210526315796</v>
          </cell>
        </row>
        <row r="123">
          <cell r="A123">
            <v>29221</v>
          </cell>
          <cell r="B123">
            <v>6.6204999999999998</v>
          </cell>
          <cell r="D123">
            <v>23.8005</v>
          </cell>
          <cell r="G123">
            <v>-6.828627465960746E-3</v>
          </cell>
          <cell r="Q123">
            <v>-0.20049999999999812</v>
          </cell>
        </row>
        <row r="124">
          <cell r="A124">
            <v>29252</v>
          </cell>
          <cell r="B124">
            <v>6.5683750000000005</v>
          </cell>
          <cell r="D124">
            <v>23.531500000000001</v>
          </cell>
          <cell r="G124">
            <v>4.1074995757400812E-3</v>
          </cell>
          <cell r="Q124">
            <v>-0.13150000000000261</v>
          </cell>
        </row>
        <row r="125">
          <cell r="A125">
            <v>29281</v>
          </cell>
          <cell r="B125">
            <v>6.3165476190476193</v>
          </cell>
          <cell r="D125">
            <v>22.398095238095237</v>
          </cell>
          <cell r="G125">
            <v>-2.9273695411319856E-3</v>
          </cell>
          <cell r="Q125">
            <v>-0.29809523809523597</v>
          </cell>
        </row>
        <row r="126">
          <cell r="A126">
            <v>29312</v>
          </cell>
          <cell r="B126">
            <v>5.9378571428571423</v>
          </cell>
          <cell r="D126">
            <v>20.463333333333335</v>
          </cell>
          <cell r="G126">
            <v>-8.6480405552460948E-3</v>
          </cell>
          <cell r="Q126">
            <v>-0.163333333333334</v>
          </cell>
        </row>
        <row r="127">
          <cell r="A127">
            <v>29342</v>
          </cell>
          <cell r="B127">
            <v>6.2483333333333322</v>
          </cell>
          <cell r="D127">
            <v>21.303333333333335</v>
          </cell>
          <cell r="G127">
            <v>-3.4363919941725607E-3</v>
          </cell>
          <cell r="Q127">
            <v>-0.50333333333333385</v>
          </cell>
        </row>
        <row r="128">
          <cell r="A128">
            <v>29373</v>
          </cell>
          <cell r="B128">
            <v>6.3308333333333344</v>
          </cell>
          <cell r="D128">
            <v>21.997619047619054</v>
          </cell>
          <cell r="G128">
            <v>9.1293884098035405E-3</v>
          </cell>
          <cell r="Q128">
            <v>-0.39761904761905242</v>
          </cell>
        </row>
        <row r="129">
          <cell r="A129">
            <v>29403</v>
          </cell>
          <cell r="B129">
            <v>7.4721590909090914</v>
          </cell>
          <cell r="D129">
            <v>26.488636363636363</v>
          </cell>
          <cell r="G129">
            <v>5.560436352009257E-3</v>
          </cell>
          <cell r="Q129">
            <v>-0.28863636363636402</v>
          </cell>
        </row>
        <row r="130">
          <cell r="A130">
            <v>29434</v>
          </cell>
          <cell r="B130">
            <v>7.6452380952380947</v>
          </cell>
          <cell r="D130">
            <v>26.457142857142859</v>
          </cell>
          <cell r="G130">
            <v>-1.3257991428476334E-2</v>
          </cell>
          <cell r="Q130">
            <v>-0.55714285714286049</v>
          </cell>
        </row>
        <row r="131">
          <cell r="A131">
            <v>29465</v>
          </cell>
          <cell r="B131">
            <v>8.3860714285714302</v>
          </cell>
          <cell r="D131">
            <v>26.912380952380957</v>
          </cell>
          <cell r="G131">
            <v>-2.2050109268167362E-2</v>
          </cell>
          <cell r="Q131">
            <v>-0.81238095238095553</v>
          </cell>
        </row>
        <row r="132">
          <cell r="A132">
            <v>29495</v>
          </cell>
          <cell r="B132">
            <v>8.5722826086956516</v>
          </cell>
          <cell r="D132">
            <v>26.295652173913048</v>
          </cell>
          <cell r="G132">
            <v>-2.3496912870709485E-2</v>
          </cell>
          <cell r="Q132">
            <v>-1.2456521739130473</v>
          </cell>
        </row>
        <row r="133">
          <cell r="A133">
            <v>29526</v>
          </cell>
          <cell r="B133">
            <v>9.254305555555554</v>
          </cell>
          <cell r="D133">
            <v>27.90388888888889</v>
          </cell>
          <cell r="G133">
            <v>2.0338360389091092E-3</v>
          </cell>
          <cell r="Q133">
            <v>-1.2138888888888886</v>
          </cell>
        </row>
        <row r="134">
          <cell r="A134">
            <v>29556</v>
          </cell>
          <cell r="B134">
            <v>7.9809523809523792</v>
          </cell>
          <cell r="D134">
            <v>25.045238095238091</v>
          </cell>
          <cell r="G134">
            <v>9.5358443796927372E-3</v>
          </cell>
          <cell r="Q134">
            <v>-1.3752380952380889</v>
          </cell>
        </row>
        <row r="135">
          <cell r="A135">
            <v>29587</v>
          </cell>
          <cell r="B135">
            <v>7.8611904761904752</v>
          </cell>
          <cell r="D135">
            <v>24.524761904761899</v>
          </cell>
          <cell r="G135">
            <v>1.0033429074371991E-3</v>
          </cell>
          <cell r="Q135">
            <v>-2.5447619047618986</v>
          </cell>
        </row>
        <row r="136">
          <cell r="A136">
            <v>29618</v>
          </cell>
          <cell r="B136">
            <v>7.5018421052631581</v>
          </cell>
          <cell r="D136">
            <v>23.816842105263152</v>
          </cell>
          <cell r="G136">
            <v>7.6434459317114012E-3</v>
          </cell>
          <cell r="Q136">
            <v>-1.8368421052631518</v>
          </cell>
        </row>
        <row r="137">
          <cell r="A137">
            <v>29646</v>
          </cell>
          <cell r="B137">
            <v>7.5554545454545456</v>
          </cell>
          <cell r="D137">
            <v>24.479090909090907</v>
          </cell>
          <cell r="G137">
            <v>7.2590944030277438E-3</v>
          </cell>
          <cell r="Q137">
            <v>-1.3790909090909054</v>
          </cell>
        </row>
        <row r="138">
          <cell r="A138">
            <v>29677</v>
          </cell>
          <cell r="B138">
            <v>7.8446428571428566</v>
          </cell>
          <cell r="D138">
            <v>24.484761904761907</v>
          </cell>
          <cell r="G138">
            <v>-9.9382458570009824E-3</v>
          </cell>
          <cell r="Q138">
            <v>-1.0847619047619084</v>
          </cell>
        </row>
        <row r="139">
          <cell r="A139">
            <v>29707</v>
          </cell>
          <cell r="B139">
            <v>7.7051250000000007</v>
          </cell>
          <cell r="D139">
            <v>23.736499999999999</v>
          </cell>
          <cell r="G139">
            <v>-4.5577716934287471E-3</v>
          </cell>
          <cell r="Q139">
            <v>-2.1664999999999992</v>
          </cell>
        </row>
        <row r="140">
          <cell r="A140">
            <v>29738</v>
          </cell>
          <cell r="B140">
            <v>7.2107954545454556</v>
          </cell>
          <cell r="D140">
            <v>22.375</v>
          </cell>
          <cell r="G140">
            <v>3.5868458640001544E-3</v>
          </cell>
          <cell r="Q140">
            <v>-1.0350000000000001</v>
          </cell>
        </row>
        <row r="141">
          <cell r="A141">
            <v>29768</v>
          </cell>
          <cell r="B141">
            <v>7.3395454545454548</v>
          </cell>
          <cell r="D141">
            <v>23.470909090909092</v>
          </cell>
          <cell r="G141">
            <v>9.3465290577827709E-3</v>
          </cell>
          <cell r="Q141">
            <v>-0.65090909090909221</v>
          </cell>
        </row>
        <row r="142">
          <cell r="A142">
            <v>29799</v>
          </cell>
          <cell r="B142">
            <v>6.915</v>
          </cell>
          <cell r="D142">
            <v>21.59238095238095</v>
          </cell>
          <cell r="G142">
            <v>-7.041395789461613E-3</v>
          </cell>
          <cell r="Q142">
            <v>-0.82238095238094999</v>
          </cell>
        </row>
        <row r="143">
          <cell r="A143">
            <v>29830</v>
          </cell>
          <cell r="B143">
            <v>6.6398809523809526</v>
          </cell>
          <cell r="D143">
            <v>20.713809523809527</v>
          </cell>
          <cell r="G143">
            <v>1.3555392850017611E-3</v>
          </cell>
          <cell r="Q143">
            <v>-1.3238095238095262</v>
          </cell>
        </row>
        <row r="144">
          <cell r="A144">
            <v>29860</v>
          </cell>
          <cell r="B144">
            <v>6.5647727272727261</v>
          </cell>
          <cell r="D144">
            <v>21.496363636363636</v>
          </cell>
          <cell r="G144">
            <v>5.2898259792428237E-3</v>
          </cell>
          <cell r="Q144">
            <v>-1.8463636363636375</v>
          </cell>
        </row>
        <row r="145">
          <cell r="A145">
            <v>29891</v>
          </cell>
          <cell r="B145">
            <v>6.5448750000000002</v>
          </cell>
          <cell r="D145">
            <v>20.472000000000001</v>
          </cell>
          <cell r="G145">
            <v>-7.3497026642619923E-3</v>
          </cell>
          <cell r="Q145">
            <v>-0.62199999999999989</v>
          </cell>
        </row>
        <row r="146">
          <cell r="A146">
            <v>29921</v>
          </cell>
          <cell r="B146">
            <v>6.2864772727272715</v>
          </cell>
          <cell r="D146">
            <v>19.498181818181816</v>
          </cell>
          <cell r="G146">
            <v>-1.0380394691865802E-2</v>
          </cell>
          <cell r="Q146">
            <v>-0.64818181818181486</v>
          </cell>
        </row>
        <row r="147">
          <cell r="A147">
            <v>29952</v>
          </cell>
          <cell r="B147">
            <v>6.4226249999999991</v>
          </cell>
          <cell r="D147">
            <v>19.568000000000005</v>
          </cell>
          <cell r="G147">
            <v>-3.5004283054380081E-3</v>
          </cell>
          <cell r="Q147">
            <v>-1.1280000000000037</v>
          </cell>
        </row>
        <row r="148">
          <cell r="A148">
            <v>29983</v>
          </cell>
          <cell r="B148">
            <v>6.2947368421052632</v>
          </cell>
          <cell r="D148">
            <v>18.999473684210528</v>
          </cell>
          <cell r="G148">
            <v>-3.1904152191257751E-3</v>
          </cell>
          <cell r="Q148">
            <v>-0.80947368421052701</v>
          </cell>
        </row>
        <row r="149">
          <cell r="A149">
            <v>30011</v>
          </cell>
          <cell r="B149">
            <v>6.272608695652174</v>
          </cell>
          <cell r="D149">
            <v>18.784347826086957</v>
          </cell>
          <cell r="G149">
            <v>2.1730489400240693E-3</v>
          </cell>
          <cell r="Q149">
            <v>-0.26434782608695784</v>
          </cell>
        </row>
        <row r="150">
          <cell r="A150">
            <v>30042</v>
          </cell>
          <cell r="B150">
            <v>6.5332142857142852</v>
          </cell>
          <cell r="D150">
            <v>19.659523809523812</v>
          </cell>
          <cell r="G150">
            <v>2.8398809527213631E-3</v>
          </cell>
          <cell r="Q150">
            <v>4.7619047618852051E-4</v>
          </cell>
        </row>
        <row r="151">
          <cell r="A151">
            <v>30072</v>
          </cell>
          <cell r="B151">
            <v>6.6353750000000007</v>
          </cell>
          <cell r="D151">
            <v>20.608499999999999</v>
          </cell>
          <cell r="G151">
            <v>9.8399745560155405E-3</v>
          </cell>
          <cell r="Q151">
            <v>-5.8499999999998664E-2</v>
          </cell>
        </row>
        <row r="152">
          <cell r="A152">
            <v>30103</v>
          </cell>
          <cell r="B152">
            <v>6.2869318181818166</v>
          </cell>
          <cell r="D152">
            <v>19.055909090909093</v>
          </cell>
          <cell r="G152">
            <v>-8.0666442690042195E-3</v>
          </cell>
          <cell r="Q152">
            <v>0.29409090909090807</v>
          </cell>
        </row>
        <row r="153">
          <cell r="A153">
            <v>30133</v>
          </cell>
          <cell r="B153">
            <v>6.1611904761904768</v>
          </cell>
          <cell r="D153">
            <v>18.573333333333331</v>
          </cell>
          <cell r="G153">
            <v>-9.9429600631828485E-4</v>
          </cell>
          <cell r="Q153">
            <v>0.46666666666666856</v>
          </cell>
        </row>
        <row r="154">
          <cell r="A154">
            <v>30164</v>
          </cell>
          <cell r="B154">
            <v>5.7127272727272711</v>
          </cell>
          <cell r="D154">
            <v>17.531818181818181</v>
          </cell>
          <cell r="G154">
            <v>3.2913504573998664E-3</v>
          </cell>
          <cell r="Q154">
            <v>0.32818181818181813</v>
          </cell>
        </row>
        <row r="155">
          <cell r="A155">
            <v>30195</v>
          </cell>
          <cell r="B155">
            <v>5.4840476190476179</v>
          </cell>
          <cell r="D155">
            <v>17.216190476190473</v>
          </cell>
          <cell r="G155">
            <v>8.7188463055469234E-3</v>
          </cell>
          <cell r="Q155">
            <v>0.20380952380952877</v>
          </cell>
        </row>
        <row r="156">
          <cell r="A156">
            <v>30225</v>
          </cell>
          <cell r="B156">
            <v>5.3245238095238099</v>
          </cell>
          <cell r="D156">
            <v>17.135238095238098</v>
          </cell>
          <cell r="G156">
            <v>-2.3658180358199221E-3</v>
          </cell>
          <cell r="Q156">
            <v>0.23476190476190339</v>
          </cell>
        </row>
        <row r="157">
          <cell r="A157">
            <v>30256</v>
          </cell>
          <cell r="B157">
            <v>5.7306249999999999</v>
          </cell>
          <cell r="D157">
            <v>17.078499999999998</v>
          </cell>
          <cell r="G157">
            <v>-1.997576047908467E-2</v>
          </cell>
          <cell r="Q157">
            <v>0.47150000000000247</v>
          </cell>
        </row>
        <row r="158">
          <cell r="A158">
            <v>30286</v>
          </cell>
          <cell r="B158">
            <v>5.671666666666666</v>
          </cell>
          <cell r="D158">
            <v>16.587476190476199</v>
          </cell>
          <cell r="G158">
            <v>-7.691944832898312E-3</v>
          </cell>
          <cell r="Q158">
            <v>1.2523809523802498E-2</v>
          </cell>
        </row>
        <row r="159">
          <cell r="A159">
            <v>30317</v>
          </cell>
          <cell r="B159">
            <v>5.8970238095238088</v>
          </cell>
          <cell r="D159">
            <v>16.947142857142854</v>
          </cell>
          <cell r="G159">
            <v>-2.2453208467162478E-3</v>
          </cell>
          <cell r="Q159">
            <v>-0.54714285714285538</v>
          </cell>
        </row>
        <row r="160">
          <cell r="A160">
            <v>30348</v>
          </cell>
          <cell r="B160">
            <v>5.9036842105263148</v>
          </cell>
          <cell r="D160">
            <v>17.211578947368427</v>
          </cell>
          <cell r="G160">
            <v>5.9510491547153377E-3</v>
          </cell>
          <cell r="Q160">
            <v>3.842105263157336E-2</v>
          </cell>
        </row>
        <row r="161">
          <cell r="A161">
            <v>30376</v>
          </cell>
          <cell r="B161">
            <v>6.053369565217392</v>
          </cell>
          <cell r="D161">
            <v>17.532608695652179</v>
          </cell>
          <cell r="G161">
            <v>-4.025628280164284E-4</v>
          </cell>
          <cell r="Q161">
            <v>0.16739130434782012</v>
          </cell>
        </row>
        <row r="162">
          <cell r="A162">
            <v>30407</v>
          </cell>
          <cell r="B162">
            <v>6.3621249999999998</v>
          </cell>
          <cell r="D162">
            <v>19.008500000000002</v>
          </cell>
          <cell r="G162">
            <v>8.0006657075539778E-3</v>
          </cell>
          <cell r="Q162">
            <v>0.34149999999999991</v>
          </cell>
        </row>
        <row r="163">
          <cell r="A163">
            <v>30437</v>
          </cell>
          <cell r="B163">
            <v>6.3085714285714296</v>
          </cell>
          <cell r="D163">
            <v>19.400952380952383</v>
          </cell>
          <cell r="G163">
            <v>9.8685827772423407E-3</v>
          </cell>
          <cell r="Q163">
            <v>0.34904761904761727</v>
          </cell>
        </row>
        <row r="164">
          <cell r="A164">
            <v>30468</v>
          </cell>
          <cell r="B164">
            <v>6.0225</v>
          </cell>
          <cell r="D164">
            <v>18.961818181818185</v>
          </cell>
          <cell r="G164">
            <v>6.4179801366121558E-3</v>
          </cell>
          <cell r="Q164">
            <v>0.43818181818181401</v>
          </cell>
        </row>
        <row r="165">
          <cell r="A165">
            <v>30498</v>
          </cell>
          <cell r="B165">
            <v>6.6191249999999995</v>
          </cell>
          <cell r="D165">
            <v>21.313499999999998</v>
          </cell>
          <cell r="G165">
            <v>7.4813858998261651E-3</v>
          </cell>
          <cell r="Q165">
            <v>0.29650000000000176</v>
          </cell>
        </row>
        <row r="166">
          <cell r="A166">
            <v>30529</v>
          </cell>
          <cell r="B166">
            <v>8.5006521739130445</v>
          </cell>
          <cell r="D166">
            <v>29.816956521739133</v>
          </cell>
          <cell r="G166">
            <v>2.6468180459141066E-2</v>
          </cell>
          <cell r="Q166">
            <v>0.34304347826086712</v>
          </cell>
        </row>
        <row r="167">
          <cell r="A167">
            <v>30560</v>
          </cell>
          <cell r="B167">
            <v>9.0104761904761901</v>
          </cell>
          <cell r="D167">
            <v>33.966666666666661</v>
          </cell>
          <cell r="G167">
            <v>3.0508315669537434E-2</v>
          </cell>
          <cell r="Q167">
            <v>0.37333333333334195</v>
          </cell>
        </row>
        <row r="168">
          <cell r="A168">
            <v>30590</v>
          </cell>
          <cell r="B168">
            <v>8.4288095238095231</v>
          </cell>
          <cell r="D168">
            <v>30.218095238095241</v>
          </cell>
          <cell r="G168">
            <v>-2.5240547844085248E-2</v>
          </cell>
          <cell r="Q168">
            <v>0.48190476190475806</v>
          </cell>
        </row>
        <row r="169">
          <cell r="A169">
            <v>30621</v>
          </cell>
          <cell r="B169">
            <v>8.2702380952380956</v>
          </cell>
          <cell r="D169">
            <v>27.69380952380952</v>
          </cell>
          <cell r="G169">
            <v>-1.7745341682692761E-2</v>
          </cell>
          <cell r="Q169">
            <v>0.40619047619048132</v>
          </cell>
        </row>
        <row r="170">
          <cell r="A170">
            <v>30651</v>
          </cell>
          <cell r="B170">
            <v>7.8719047619047604</v>
          </cell>
          <cell r="D170">
            <v>27.416666666666668</v>
          </cell>
          <cell r="G170">
            <v>1.0294591382995488E-2</v>
          </cell>
          <cell r="Q170">
            <v>-0.11666666666666714</v>
          </cell>
        </row>
        <row r="171">
          <cell r="A171">
            <v>30682</v>
          </cell>
          <cell r="B171">
            <v>7.6113095238095241</v>
          </cell>
          <cell r="D171">
            <v>28.387142857142855</v>
          </cell>
          <cell r="G171">
            <v>2.7817794689272812E-2</v>
          </cell>
          <cell r="Q171">
            <v>-8.7142857142854524E-2</v>
          </cell>
        </row>
        <row r="172">
          <cell r="A172">
            <v>30713</v>
          </cell>
          <cell r="B172">
            <v>7.224750000000002</v>
          </cell>
          <cell r="D172">
            <v>26.791999999999994</v>
          </cell>
          <cell r="G172">
            <v>1.6273157541601968E-4</v>
          </cell>
          <cell r="Q172">
            <v>0.4080000000000048</v>
          </cell>
        </row>
        <row r="173">
          <cell r="A173">
            <v>30742</v>
          </cell>
          <cell r="B173">
            <v>7.8906818181818181</v>
          </cell>
          <cell r="D173">
            <v>29.625</v>
          </cell>
          <cell r="G173">
            <v>6.6151069857784406E-3</v>
          </cell>
          <cell r="Q173">
            <v>0.47500000000000142</v>
          </cell>
        </row>
        <row r="174">
          <cell r="A174">
            <v>30773</v>
          </cell>
          <cell r="B174">
            <v>7.8737500000000002</v>
          </cell>
          <cell r="D174">
            <v>31.402000000000008</v>
          </cell>
          <cell r="G174">
            <v>2.5674595675042822E-2</v>
          </cell>
          <cell r="Q174">
            <v>0.69799999999999329</v>
          </cell>
        </row>
        <row r="175">
          <cell r="A175">
            <v>30803</v>
          </cell>
          <cell r="B175">
            <v>8.5365909090909078</v>
          </cell>
          <cell r="D175">
            <v>37.05590909090909</v>
          </cell>
          <cell r="G175">
            <v>3.7957178442641182E-2</v>
          </cell>
          <cell r="Q175">
            <v>1.9440909090909102</v>
          </cell>
        </row>
        <row r="176">
          <cell r="A176">
            <v>30834</v>
          </cell>
          <cell r="B176">
            <v>7.8202380952380945</v>
          </cell>
          <cell r="D176">
            <v>34.043333333333322</v>
          </cell>
          <cell r="G176">
            <v>-3.2972695752668257E-3</v>
          </cell>
          <cell r="Q176">
            <v>1.8566666666666762</v>
          </cell>
        </row>
        <row r="177">
          <cell r="A177">
            <v>30864</v>
          </cell>
          <cell r="B177">
            <v>6.6502380952380955</v>
          </cell>
          <cell r="D177">
            <v>28.153809523809521</v>
          </cell>
          <cell r="G177">
            <v>-2.0741097953590248E-2</v>
          </cell>
          <cell r="Q177">
            <v>2.7461904761904776</v>
          </cell>
        </row>
        <row r="178">
          <cell r="A178">
            <v>30895</v>
          </cell>
          <cell r="B178">
            <v>6.3757608695652168</v>
          </cell>
          <cell r="D178">
            <v>27.253043478260881</v>
          </cell>
          <cell r="G178">
            <v>5.293749071754561E-3</v>
          </cell>
          <cell r="Q178">
            <v>1.7469565217391185</v>
          </cell>
        </row>
        <row r="179">
          <cell r="A179">
            <v>30926</v>
          </cell>
          <cell r="B179">
            <v>6.1057894736842098</v>
          </cell>
          <cell r="D179">
            <v>26.062631578947368</v>
          </cell>
          <cell r="G179">
            <v>1.4947588240887821E-3</v>
          </cell>
          <cell r="Q179">
            <v>1.8373684210526307</v>
          </cell>
        </row>
        <row r="180">
          <cell r="A180">
            <v>30956</v>
          </cell>
          <cell r="B180">
            <v>6.1383695652173902</v>
          </cell>
          <cell r="D180">
            <v>26.118695652173916</v>
          </cell>
          <cell r="G180">
            <v>-7.6211341671595934E-3</v>
          </cell>
          <cell r="Q180">
            <v>4.3813043478260845</v>
          </cell>
        </row>
        <row r="181">
          <cell r="A181">
            <v>30987</v>
          </cell>
          <cell r="B181">
            <v>6.2233333333333336</v>
          </cell>
          <cell r="D181">
            <v>28.158095238095239</v>
          </cell>
          <cell r="G181">
            <v>2.1251189814870564E-2</v>
          </cell>
          <cell r="Q181">
            <v>3.5419047619047603</v>
          </cell>
        </row>
        <row r="182">
          <cell r="A182">
            <v>31017</v>
          </cell>
          <cell r="B182">
            <v>5.9067500000000006</v>
          </cell>
          <cell r="D182">
            <v>25.876999999999999</v>
          </cell>
          <cell r="G182">
            <v>-1.1036770119896122E-2</v>
          </cell>
          <cell r="Q182">
            <v>2.5229999999999997</v>
          </cell>
        </row>
        <row r="183">
          <cell r="A183">
            <v>31048</v>
          </cell>
          <cell r="B183">
            <v>5.9395454545454553</v>
          </cell>
          <cell r="D183">
            <v>25.991363636363634</v>
          </cell>
          <cell r="G183">
            <v>4.653402124168704E-3</v>
          </cell>
          <cell r="Q183">
            <v>2.0086363636363664</v>
          </cell>
        </row>
        <row r="184">
          <cell r="A184">
            <v>31079</v>
          </cell>
          <cell r="B184">
            <v>5.8198684210526315</v>
          </cell>
          <cell r="D184">
            <v>28.06421052631579</v>
          </cell>
          <cell r="G184">
            <v>4.0692063892237451E-2</v>
          </cell>
          <cell r="Q184">
            <v>1.5357894736842113</v>
          </cell>
        </row>
        <row r="185">
          <cell r="A185">
            <v>31107</v>
          </cell>
          <cell r="B185">
            <v>5.939761904761907</v>
          </cell>
          <cell r="D185">
            <v>28.658571428571431</v>
          </cell>
          <cell r="G185">
            <v>-8.7416061316786253E-4</v>
          </cell>
          <cell r="Q185">
            <v>2.6414285714285697</v>
          </cell>
        </row>
        <row r="186">
          <cell r="A186">
            <v>31138</v>
          </cell>
          <cell r="B186">
            <v>5.9850000000000003</v>
          </cell>
          <cell r="D186">
            <v>32.095714285714287</v>
          </cell>
          <cell r="G186">
            <v>4.1966590770417256E-2</v>
          </cell>
          <cell r="Q186">
            <v>1.5042857142857144</v>
          </cell>
        </row>
        <row r="187">
          <cell r="A187">
            <v>31168</v>
          </cell>
          <cell r="B187">
            <v>5.7646590909090909</v>
          </cell>
          <cell r="D187">
            <v>30.246818181818188</v>
          </cell>
          <cell r="G187">
            <v>-6.8223250217182008E-3</v>
          </cell>
          <cell r="Q187">
            <v>2.2531818181818117</v>
          </cell>
        </row>
        <row r="188">
          <cell r="A188">
            <v>31199</v>
          </cell>
          <cell r="B188">
            <v>5.766</v>
          </cell>
          <cell r="D188">
            <v>30.481999999999999</v>
          </cell>
          <cell r="G188">
            <v>7.1699700401939293E-3</v>
          </cell>
          <cell r="Q188">
            <v>2.0180000000000007</v>
          </cell>
        </row>
        <row r="189">
          <cell r="A189">
            <v>31229</v>
          </cell>
          <cell r="B189">
            <v>5.5181818181818167</v>
          </cell>
          <cell r="D189">
            <v>26.950909090909089</v>
          </cell>
          <cell r="G189">
            <v>-3.8704104136744688E-2</v>
          </cell>
          <cell r="Q189">
            <v>2.149090909090912</v>
          </cell>
        </row>
        <row r="190">
          <cell r="A190">
            <v>31260</v>
          </cell>
          <cell r="B190">
            <v>5.1398863636363643</v>
          </cell>
          <cell r="D190">
            <v>23.020454545454545</v>
          </cell>
          <cell r="G190">
            <v>-3.635371765307277E-2</v>
          </cell>
          <cell r="Q190">
            <v>1.0795454545454568</v>
          </cell>
        </row>
        <row r="191">
          <cell r="A191">
            <v>31291</v>
          </cell>
          <cell r="B191">
            <v>5.1236249999999997</v>
          </cell>
          <cell r="D191">
            <v>21.305999999999997</v>
          </cell>
          <cell r="G191">
            <v>-3.0329682497115817E-2</v>
          </cell>
          <cell r="Q191">
            <v>1.1940000000000026</v>
          </cell>
        </row>
        <row r="192">
          <cell r="A192">
            <v>31321</v>
          </cell>
          <cell r="B192">
            <v>5.0489130434782608</v>
          </cell>
          <cell r="D192">
            <v>19.858260869565218</v>
          </cell>
          <cell r="G192">
            <v>-3.7197862226727385E-2</v>
          </cell>
          <cell r="Q192">
            <v>0.84173913043478166</v>
          </cell>
        </row>
        <row r="193">
          <cell r="A193">
            <v>31352</v>
          </cell>
          <cell r="B193">
            <v>5.1094999999999997</v>
          </cell>
          <cell r="D193">
            <v>19.940000000000001</v>
          </cell>
          <cell r="G193">
            <v>-2.8466903374567698E-3</v>
          </cell>
          <cell r="Q193">
            <v>0.66000000000000014</v>
          </cell>
        </row>
        <row r="194">
          <cell r="A194">
            <v>31382</v>
          </cell>
          <cell r="B194">
            <v>5.2169047619047619</v>
          </cell>
          <cell r="D194">
            <v>20.983809523809523</v>
          </cell>
          <cell r="G194">
            <v>9.7321179970880634E-3</v>
          </cell>
          <cell r="Q194">
            <v>0.41619047619047578</v>
          </cell>
        </row>
        <row r="195">
          <cell r="A195">
            <v>31413</v>
          </cell>
          <cell r="B195">
            <v>5.4209090909090909</v>
          </cell>
          <cell r="D195">
            <v>20.376363636363639</v>
          </cell>
          <cell r="G195">
            <v>-2.1842013100092039E-2</v>
          </cell>
          <cell r="Q195">
            <v>0.22363636363636274</v>
          </cell>
        </row>
        <row r="196">
          <cell r="A196">
            <v>31444</v>
          </cell>
          <cell r="B196">
            <v>5.2601315789473677</v>
          </cell>
          <cell r="D196">
            <v>18.594736842105263</v>
          </cell>
          <cell r="G196">
            <v>-1.9319212096647054E-2</v>
          </cell>
          <cell r="Q196">
            <v>5.2631578947384128E-3</v>
          </cell>
        </row>
        <row r="197">
          <cell r="A197">
            <v>31472</v>
          </cell>
          <cell r="B197">
            <v>5.3580000000000005</v>
          </cell>
          <cell r="D197">
            <v>17.7315</v>
          </cell>
          <cell r="G197">
            <v>-2.0576565588120599E-2</v>
          </cell>
          <cell r="Q197">
            <v>-0.13149999999999906</v>
          </cell>
        </row>
        <row r="198">
          <cell r="A198">
            <v>31503</v>
          </cell>
          <cell r="B198">
            <v>5.2813636363636354</v>
          </cell>
          <cell r="D198">
            <v>17.649999999999999</v>
          </cell>
          <cell r="G198">
            <v>8.3227833296619091E-3</v>
          </cell>
          <cell r="Q198">
            <v>5.0000000000000711E-2</v>
          </cell>
        </row>
        <row r="199">
          <cell r="A199">
            <v>31533</v>
          </cell>
          <cell r="B199">
            <v>5.3389285714285721</v>
          </cell>
          <cell r="D199">
            <v>17.974761904761905</v>
          </cell>
          <cell r="G199">
            <v>7.4905882335118967E-3</v>
          </cell>
          <cell r="Q199">
            <v>-0.17476190476190467</v>
          </cell>
        </row>
        <row r="200">
          <cell r="A200">
            <v>31564</v>
          </cell>
          <cell r="B200">
            <v>5.2816666666666663</v>
          </cell>
          <cell r="D200">
            <v>16.862380952380956</v>
          </cell>
          <cell r="G200">
            <v>-1.098992650943742E-2</v>
          </cell>
          <cell r="Q200">
            <v>-6.2380952380955534E-2</v>
          </cell>
        </row>
        <row r="201">
          <cell r="A201">
            <v>31594</v>
          </cell>
          <cell r="B201">
            <v>5.1485227272727281</v>
          </cell>
          <cell r="D201">
            <v>16.353636363636369</v>
          </cell>
          <cell r="G201">
            <v>-5.0528955764914119E-3</v>
          </cell>
          <cell r="Q201">
            <v>-0.15363636363636957</v>
          </cell>
        </row>
        <row r="202">
          <cell r="A202">
            <v>31625</v>
          </cell>
          <cell r="B202">
            <v>4.8053571428571429</v>
          </cell>
          <cell r="D202">
            <v>14.418095238095237</v>
          </cell>
          <cell r="G202">
            <v>-2.9259388569621014E-2</v>
          </cell>
          <cell r="Q202">
            <v>-0.11809523809523625</v>
          </cell>
        </row>
        <row r="203">
          <cell r="A203">
            <v>31656</v>
          </cell>
          <cell r="B203">
            <v>4.7952380952380951</v>
          </cell>
          <cell r="D203">
            <v>13.759523809523809</v>
          </cell>
          <cell r="G203">
            <v>-1.2322349138375432E-2</v>
          </cell>
          <cell r="Q203">
            <v>0.18047619047619001</v>
          </cell>
        </row>
        <row r="204">
          <cell r="A204">
            <v>31686</v>
          </cell>
          <cell r="B204">
            <v>4.8168478260869572</v>
          </cell>
          <cell r="D204">
            <v>14.916956521739129</v>
          </cell>
          <cell r="G204">
            <v>2.003988772643911E-2</v>
          </cell>
          <cell r="Q204">
            <v>-0.28695652173912833</v>
          </cell>
        </row>
        <row r="205">
          <cell r="A205">
            <v>31717</v>
          </cell>
          <cell r="B205">
            <v>5.0030263157894739</v>
          </cell>
          <cell r="D205">
            <v>15.134736842105264</v>
          </cell>
          <cell r="G205">
            <v>1.1875320520739474E-3</v>
          </cell>
          <cell r="Q205">
            <v>-0.25473684210526315</v>
          </cell>
        </row>
        <row r="206">
          <cell r="A206">
            <v>31747</v>
          </cell>
          <cell r="B206">
            <v>4.9186363636363648</v>
          </cell>
          <cell r="D206">
            <v>15.305909090909092</v>
          </cell>
          <cell r="G206">
            <v>1.1518320409870442E-2</v>
          </cell>
          <cell r="Q206">
            <v>-0.36590909090909207</v>
          </cell>
        </row>
        <row r="207">
          <cell r="A207">
            <v>31778</v>
          </cell>
          <cell r="B207">
            <v>4.9664285714285716</v>
          </cell>
          <cell r="D207">
            <v>16.190000000000001</v>
          </cell>
          <cell r="G207">
            <v>1.2986166101940033E-2</v>
          </cell>
          <cell r="Q207">
            <v>-0.59000000000000163</v>
          </cell>
        </row>
        <row r="208">
          <cell r="A208">
            <v>31809</v>
          </cell>
          <cell r="B208">
            <v>4.8951315789473684</v>
          </cell>
          <cell r="D208">
            <v>15.82842105263158</v>
          </cell>
          <cell r="G208">
            <v>-6.1453386997762371E-3</v>
          </cell>
          <cell r="Q208">
            <v>-0.42842105263157926</v>
          </cell>
        </row>
        <row r="209">
          <cell r="A209">
            <v>31837</v>
          </cell>
          <cell r="B209">
            <v>4.9074999999999998</v>
          </cell>
          <cell r="D209">
            <v>15.77090909090909</v>
          </cell>
          <cell r="G209">
            <v>6.55430595005424E-3</v>
          </cell>
          <cell r="Q209">
            <v>-0.5609090909090888</v>
          </cell>
        </row>
        <row r="210">
          <cell r="A210">
            <v>31868</v>
          </cell>
          <cell r="B210">
            <v>5.1315476190476188</v>
          </cell>
          <cell r="D210">
            <v>15.687619047619048</v>
          </cell>
          <cell r="G210">
            <v>-1.8116751279074139E-2</v>
          </cell>
          <cell r="Q210">
            <v>-0.37761904761904752</v>
          </cell>
        </row>
        <row r="211">
          <cell r="A211">
            <v>31898</v>
          </cell>
          <cell r="B211">
            <v>5.5656249999999998</v>
          </cell>
          <cell r="D211">
            <v>16.897500000000001</v>
          </cell>
          <cell r="G211">
            <v>-5.1124826768224607E-3</v>
          </cell>
          <cell r="Q211">
            <v>-0.67750000000000199</v>
          </cell>
        </row>
        <row r="212">
          <cell r="A212">
            <v>31929</v>
          </cell>
          <cell r="B212">
            <v>5.6007954545454552</v>
          </cell>
          <cell r="D212">
            <v>16.635000000000002</v>
          </cell>
          <cell r="G212">
            <v>-1.6197973049218883E-2</v>
          </cell>
          <cell r="Q212">
            <v>-0.67500000000000071</v>
          </cell>
        </row>
        <row r="213">
          <cell r="A213">
            <v>31959</v>
          </cell>
          <cell r="B213">
            <v>5.3525</v>
          </cell>
          <cell r="D213">
            <v>16.172272727272727</v>
          </cell>
          <cell r="G213">
            <v>6.9851648089965246E-3</v>
          </cell>
          <cell r="Q213">
            <v>-0.76227272727272677</v>
          </cell>
        </row>
        <row r="214">
          <cell r="A214">
            <v>31990</v>
          </cell>
          <cell r="B214">
            <v>5.0779761904761909</v>
          </cell>
          <cell r="D214">
            <v>15.844285714285714</v>
          </cell>
          <cell r="G214">
            <v>6.3210401447874043E-3</v>
          </cell>
          <cell r="Q214">
            <v>-0.68428571428571416</v>
          </cell>
        </row>
        <row r="215">
          <cell r="A215">
            <v>32021</v>
          </cell>
          <cell r="B215">
            <v>5.2472619047619045</v>
          </cell>
          <cell r="D215">
            <v>16.144285714285711</v>
          </cell>
          <cell r="G215">
            <v>-1.0375944454308283E-2</v>
          </cell>
          <cell r="Q215">
            <v>-0.56428571428571139</v>
          </cell>
        </row>
        <row r="216">
          <cell r="A216">
            <v>32051</v>
          </cell>
          <cell r="B216">
            <v>5.38375</v>
          </cell>
          <cell r="D216">
            <v>17.593636363636364</v>
          </cell>
          <cell r="G216">
            <v>1.0913625947082173E-2</v>
          </cell>
          <cell r="Q216">
            <v>-0.5636363636363626</v>
          </cell>
        </row>
        <row r="217">
          <cell r="A217">
            <v>32082</v>
          </cell>
          <cell r="B217">
            <v>5.6911249999999995</v>
          </cell>
          <cell r="D217">
            <v>17.7195</v>
          </cell>
          <cell r="G217">
            <v>-2.4723383365545248E-2</v>
          </cell>
          <cell r="Q217">
            <v>-0.16949999999999932</v>
          </cell>
        </row>
        <row r="218">
          <cell r="A218">
            <v>32112</v>
          </cell>
          <cell r="B218">
            <v>5.9577272727272721</v>
          </cell>
          <cell r="D218">
            <v>19.573181818181819</v>
          </cell>
          <cell r="G218">
            <v>1.828137246212086E-2</v>
          </cell>
          <cell r="Q218">
            <v>-0.57318181818181912</v>
          </cell>
        </row>
        <row r="219">
          <cell r="A219">
            <v>32143</v>
          </cell>
          <cell r="B219">
            <v>6.235125</v>
          </cell>
          <cell r="D219">
            <v>22.166500000000003</v>
          </cell>
          <cell r="G219">
            <v>4.674739372120873E-2</v>
          </cell>
          <cell r="Q219">
            <v>-0.18650000000000233</v>
          </cell>
        </row>
        <row r="220">
          <cell r="A220">
            <v>32174</v>
          </cell>
          <cell r="B220">
            <v>6.1867499999999982</v>
          </cell>
          <cell r="D220">
            <v>21.0975</v>
          </cell>
          <cell r="G220">
            <v>-1.0021715158247402E-2</v>
          </cell>
          <cell r="Q220">
            <v>-0.15749999999999886</v>
          </cell>
        </row>
        <row r="221">
          <cell r="A221">
            <v>32203</v>
          </cell>
          <cell r="B221">
            <v>6.3321739130434791</v>
          </cell>
          <cell r="D221">
            <v>20.64</v>
          </cell>
          <cell r="G221">
            <v>-1.1249678017885512E-2</v>
          </cell>
          <cell r="Q221">
            <v>-0.42000000000000171</v>
          </cell>
        </row>
        <row r="222">
          <cell r="A222">
            <v>32234</v>
          </cell>
          <cell r="B222">
            <v>6.719875</v>
          </cell>
          <cell r="D222">
            <v>22.060500000000005</v>
          </cell>
          <cell r="G222">
            <v>2.8736724673691927E-3</v>
          </cell>
          <cell r="Q222">
            <v>-0.39050000000000296</v>
          </cell>
        </row>
        <row r="223">
          <cell r="A223">
            <v>32264</v>
          </cell>
          <cell r="B223">
            <v>7.3980952380952374</v>
          </cell>
          <cell r="D223">
            <v>24.138095238095243</v>
          </cell>
          <cell r="G223">
            <v>-3.4158519593359138E-3</v>
          </cell>
          <cell r="Q223">
            <v>2.4119047619047578</v>
          </cell>
        </row>
        <row r="224">
          <cell r="A224">
            <v>32295</v>
          </cell>
          <cell r="B224">
            <v>9.3712499999999999</v>
          </cell>
          <cell r="D224">
            <v>27.900454545454547</v>
          </cell>
          <cell r="G224">
            <v>-2.8682611157698823E-2</v>
          </cell>
          <cell r="Q224">
            <v>-0.22045454545454746</v>
          </cell>
        </row>
        <row r="225">
          <cell r="A225">
            <v>32325</v>
          </cell>
          <cell r="B225">
            <v>8.8247499999999981</v>
          </cell>
          <cell r="D225">
            <v>29.456500000000005</v>
          </cell>
          <cell r="G225">
            <v>3.3724170718257895E-2</v>
          </cell>
          <cell r="Q225">
            <v>0.19349999999999312</v>
          </cell>
        </row>
        <row r="226">
          <cell r="A226">
            <v>32356</v>
          </cell>
          <cell r="B226">
            <v>8.5211956521739118</v>
          </cell>
          <cell r="D226">
            <v>26.970869565217388</v>
          </cell>
          <cell r="G226">
            <v>-2.0659032367530805E-2</v>
          </cell>
          <cell r="Q226">
            <v>0.18913043478261216</v>
          </cell>
        </row>
        <row r="227">
          <cell r="A227">
            <v>32387</v>
          </cell>
          <cell r="B227">
            <v>8.5691666666666659</v>
          </cell>
          <cell r="D227">
            <v>25.565714285714286</v>
          </cell>
          <cell r="G227">
            <v>-1.3622312028074846E-2</v>
          </cell>
          <cell r="Q227">
            <v>3.4285714285715585E-2</v>
          </cell>
        </row>
        <row r="228">
          <cell r="A228">
            <v>32417</v>
          </cell>
          <cell r="B228">
            <v>7.925595238095239</v>
          </cell>
          <cell r="D228">
            <v>24.052380952380954</v>
          </cell>
          <cell r="G228">
            <v>-4.3185677787767052E-3</v>
          </cell>
          <cell r="Q228">
            <v>-0.65238095238095539</v>
          </cell>
        </row>
        <row r="229">
          <cell r="A229">
            <v>32448</v>
          </cell>
          <cell r="B229">
            <v>7.7217857142857138</v>
          </cell>
          <cell r="D229">
            <v>22.231428571428573</v>
          </cell>
          <cell r="G229">
            <v>-1.2598212398562791E-2</v>
          </cell>
          <cell r="Q229">
            <v>-0.63142857142857167</v>
          </cell>
        </row>
        <row r="230">
          <cell r="A230">
            <v>32478</v>
          </cell>
          <cell r="B230">
            <v>7.8049999999999997</v>
          </cell>
          <cell r="D230">
            <v>23.13095238095238</v>
          </cell>
          <cell r="G230">
            <v>8.6939274276282563E-3</v>
          </cell>
          <cell r="Q230">
            <v>-0.93095238095238031</v>
          </cell>
        </row>
        <row r="231">
          <cell r="A231">
            <v>32509</v>
          </cell>
          <cell r="B231">
            <v>7.8674999999999997</v>
          </cell>
          <cell r="D231">
            <v>22.204285714285714</v>
          </cell>
          <cell r="G231">
            <v>-1.1169553817469424E-2</v>
          </cell>
          <cell r="Q231">
            <v>-1.1042857142857123</v>
          </cell>
        </row>
        <row r="232">
          <cell r="A232">
            <v>32540</v>
          </cell>
          <cell r="B232">
            <v>7.5010526315789479</v>
          </cell>
          <cell r="D232">
            <v>22.157894736842103</v>
          </cell>
          <cell r="G232">
            <v>1.2777549600201665E-2</v>
          </cell>
          <cell r="Q232">
            <v>-0.95789473684210336</v>
          </cell>
        </row>
        <row r="233">
          <cell r="A233">
            <v>32568</v>
          </cell>
          <cell r="B233">
            <v>7.7357954545454541</v>
          </cell>
          <cell r="D233">
            <v>23.354090909090907</v>
          </cell>
          <cell r="G233">
            <v>1.1515907114034996E-2</v>
          </cell>
          <cell r="Q233">
            <v>-1.2540909090909054</v>
          </cell>
        </row>
        <row r="234">
          <cell r="A234">
            <v>32599</v>
          </cell>
          <cell r="B234">
            <v>7.3051249999999985</v>
          </cell>
          <cell r="D234">
            <v>22.631999999999998</v>
          </cell>
          <cell r="G234">
            <v>6.1329168074529816E-3</v>
          </cell>
          <cell r="Q234">
            <v>-0.6319999999999979</v>
          </cell>
        </row>
        <row r="235">
          <cell r="A235">
            <v>32629</v>
          </cell>
          <cell r="B235">
            <v>7.2817045454545442</v>
          </cell>
          <cell r="D235">
            <v>22.934090909090909</v>
          </cell>
          <cell r="G235">
            <v>1.08612645001816E-2</v>
          </cell>
          <cell r="Q235">
            <v>-0.73409090909090935</v>
          </cell>
        </row>
        <row r="236">
          <cell r="A236">
            <v>32660</v>
          </cell>
          <cell r="B236">
            <v>7.2202272727272714</v>
          </cell>
          <cell r="D236">
            <v>20.759545454545457</v>
          </cell>
          <cell r="G236">
            <v>-1.7082200649606916E-2</v>
          </cell>
          <cell r="Q236">
            <v>4.0454545454544188E-2</v>
          </cell>
        </row>
        <row r="237">
          <cell r="A237">
            <v>32690</v>
          </cell>
          <cell r="B237">
            <v>6.8305000000000007</v>
          </cell>
          <cell r="D237">
            <v>19.743500000000001</v>
          </cell>
          <cell r="G237">
            <v>-7.8803696759865427E-3</v>
          </cell>
          <cell r="Q237">
            <v>-4.3500000000001648E-2</v>
          </cell>
        </row>
        <row r="238">
          <cell r="A238">
            <v>32721</v>
          </cell>
          <cell r="B238">
            <v>5.8452173913043479</v>
          </cell>
          <cell r="D238">
            <v>18.227391304347826</v>
          </cell>
          <cell r="G238">
            <v>4.9575560143334529E-3</v>
          </cell>
          <cell r="Q238">
            <v>-0.12739130434782453</v>
          </cell>
        </row>
        <row r="239">
          <cell r="A239">
            <v>32752</v>
          </cell>
          <cell r="B239">
            <v>5.7684999999999986</v>
          </cell>
          <cell r="D239">
            <v>18.9025</v>
          </cell>
          <cell r="G239">
            <v>8.5278909726791974E-3</v>
          </cell>
          <cell r="Q239">
            <v>-0.13250000000000028</v>
          </cell>
        </row>
        <row r="240">
          <cell r="A240">
            <v>32782</v>
          </cell>
          <cell r="B240">
            <v>5.6169318181818175</v>
          </cell>
          <cell r="D240">
            <v>18.933636363636364</v>
          </cell>
          <cell r="G240">
            <v>5.9746256646625029E-3</v>
          </cell>
          <cell r="Q240">
            <v>8.6363636363635976E-2</v>
          </cell>
        </row>
        <row r="241">
          <cell r="A241">
            <v>32813</v>
          </cell>
          <cell r="B241">
            <v>5.8436904761904778</v>
          </cell>
          <cell r="D241">
            <v>19.363809523809522</v>
          </cell>
          <cell r="G241">
            <v>3.144815032377013E-3</v>
          </cell>
          <cell r="Q241">
            <v>-0.68380952380952209</v>
          </cell>
        </row>
        <row r="242">
          <cell r="A242">
            <v>32843</v>
          </cell>
          <cell r="B242">
            <v>5.7544999999999984</v>
          </cell>
          <cell r="D242">
            <v>19.038999999999998</v>
          </cell>
          <cell r="G242">
            <v>2.9401986257177049E-4</v>
          </cell>
          <cell r="Q242">
            <v>-0.92899999999999849</v>
          </cell>
        </row>
        <row r="243">
          <cell r="A243">
            <v>32874</v>
          </cell>
          <cell r="B243">
            <v>5.7102272727272725</v>
          </cell>
          <cell r="D243">
            <v>19.191818181818185</v>
          </cell>
          <cell r="G243">
            <v>1.0350386691987734E-2</v>
          </cell>
          <cell r="Q243">
            <v>0.1381818181818133</v>
          </cell>
        </row>
        <row r="244">
          <cell r="A244">
            <v>32905</v>
          </cell>
          <cell r="B244">
            <v>5.6511842105263161</v>
          </cell>
          <cell r="D244">
            <v>19.895789473684211</v>
          </cell>
          <cell r="G244">
            <v>2.0398990423938335E-2</v>
          </cell>
          <cell r="Q244">
            <v>-0.63578947368420913</v>
          </cell>
        </row>
        <row r="245">
          <cell r="A245">
            <v>32933</v>
          </cell>
          <cell r="B245">
            <v>5.94</v>
          </cell>
          <cell r="D245">
            <v>22.173636363636362</v>
          </cell>
          <cell r="G245">
            <v>1.8773082482033465E-2</v>
          </cell>
          <cell r="Q245">
            <v>-0.38363636363636289</v>
          </cell>
        </row>
        <row r="246">
          <cell r="A246">
            <v>32964</v>
          </cell>
          <cell r="B246">
            <v>6.0052499999999993</v>
          </cell>
          <cell r="D246">
            <v>22.595999999999997</v>
          </cell>
          <cell r="G246">
            <v>-2.1225838967864341E-4</v>
          </cell>
          <cell r="Q246">
            <v>-0.3559999999999981</v>
          </cell>
        </row>
        <row r="247">
          <cell r="A247">
            <v>32994</v>
          </cell>
          <cell r="B247">
            <v>6.2998863636363645</v>
          </cell>
          <cell r="D247">
            <v>23.902727272727269</v>
          </cell>
          <cell r="G247">
            <v>-3.8283019237778104E-4</v>
          </cell>
          <cell r="Q247">
            <v>-0.25272727272727025</v>
          </cell>
        </row>
        <row r="248">
          <cell r="A248">
            <v>33025</v>
          </cell>
          <cell r="B248">
            <v>6.0154761904761909</v>
          </cell>
          <cell r="D248">
            <v>24.116666666666667</v>
          </cell>
          <cell r="G248">
            <v>1.3992453217206935E-2</v>
          </cell>
          <cell r="Q248">
            <v>-0.586666666666666</v>
          </cell>
        </row>
        <row r="249">
          <cell r="A249">
            <v>33055</v>
          </cell>
          <cell r="B249">
            <v>6.0769047619047614</v>
          </cell>
          <cell r="D249">
            <v>23.937619047619048</v>
          </cell>
          <cell r="G249">
            <v>-4.4625141449504135E-3</v>
          </cell>
          <cell r="Q249">
            <v>-0.40761904761904688</v>
          </cell>
        </row>
        <row r="250">
          <cell r="A250">
            <v>33086</v>
          </cell>
          <cell r="B250">
            <v>6.086847826086955</v>
          </cell>
          <cell r="D250">
            <v>24.375652173913043</v>
          </cell>
          <cell r="G250">
            <v>5.6048537271883858E-3</v>
          </cell>
          <cell r="Q250">
            <v>0.63434782608695883</v>
          </cell>
        </row>
        <row r="251">
          <cell r="A251">
            <v>33117</v>
          </cell>
          <cell r="B251">
            <v>6.2523684210526307</v>
          </cell>
          <cell r="D251">
            <v>23.793684210526315</v>
          </cell>
          <cell r="G251">
            <v>-1.2269545702765172E-2</v>
          </cell>
          <cell r="Q251">
            <v>0.65631578947368396</v>
          </cell>
        </row>
        <row r="252">
          <cell r="A252">
            <v>33147</v>
          </cell>
          <cell r="B252">
            <v>6.1172826086956515</v>
          </cell>
          <cell r="D252">
            <v>22.326086956521745</v>
          </cell>
          <cell r="G252">
            <v>-2.0399712851013274E-2</v>
          </cell>
          <cell r="Q252">
            <v>0.26391304347825439</v>
          </cell>
        </row>
        <row r="253">
          <cell r="A253">
            <v>33178</v>
          </cell>
          <cell r="B253">
            <v>5.8567857142857136</v>
          </cell>
          <cell r="D253">
            <v>20.776666666666664</v>
          </cell>
          <cell r="G253">
            <v>-2.6448902421650766E-3</v>
          </cell>
          <cell r="Q253">
            <v>0.27333333333333698</v>
          </cell>
        </row>
        <row r="254">
          <cell r="A254">
            <v>33208</v>
          </cell>
          <cell r="B254">
            <v>5.82</v>
          </cell>
          <cell r="D254">
            <v>21.240500000000001</v>
          </cell>
          <cell r="G254">
            <v>6.7737377720876735E-3</v>
          </cell>
          <cell r="Q254">
            <v>0.30949999999999989</v>
          </cell>
        </row>
        <row r="255">
          <cell r="A255">
            <v>33239</v>
          </cell>
          <cell r="B255">
            <v>5.7093181818181824</v>
          </cell>
          <cell r="D255">
            <v>21.384545454545457</v>
          </cell>
          <cell r="G255">
            <v>1.0274501973985495E-2</v>
          </cell>
          <cell r="Q255">
            <v>0.1754545454545422</v>
          </cell>
        </row>
        <row r="256">
          <cell r="A256">
            <v>33270</v>
          </cell>
          <cell r="B256">
            <v>5.7180263157894728</v>
          </cell>
          <cell r="D256">
            <v>21.35052631578947</v>
          </cell>
          <cell r="G256">
            <v>-3.1095227703220596E-4</v>
          </cell>
          <cell r="Q256">
            <v>0.30947368421053056</v>
          </cell>
        </row>
        <row r="257">
          <cell r="A257">
            <v>33298</v>
          </cell>
          <cell r="B257">
            <v>5.8636249999999999</v>
          </cell>
          <cell r="D257">
            <v>22.119499999999999</v>
          </cell>
          <cell r="G257">
            <v>5.0427445279023209E-3</v>
          </cell>
          <cell r="Q257">
            <v>9.0500000000002245E-2</v>
          </cell>
        </row>
        <row r="258">
          <cell r="A258">
            <v>33329</v>
          </cell>
          <cell r="B258">
            <v>5.875</v>
          </cell>
          <cell r="D258">
            <v>21.409090909090903</v>
          </cell>
          <cell r="G258">
            <v>-1.2920976402124584E-2</v>
          </cell>
          <cell r="Q258">
            <v>9.0909090909097046E-2</v>
          </cell>
        </row>
        <row r="259">
          <cell r="A259">
            <v>33359</v>
          </cell>
          <cell r="B259">
            <v>5.7918181818181802</v>
          </cell>
          <cell r="D259">
            <v>20.262272727272727</v>
          </cell>
          <cell r="G259">
            <v>-1.344517216679969E-2</v>
          </cell>
          <cell r="Q259">
            <v>-3.2272727272726343E-2</v>
          </cell>
        </row>
        <row r="260">
          <cell r="A260">
            <v>33390</v>
          </cell>
          <cell r="B260">
            <v>5.6837499999999999</v>
          </cell>
          <cell r="D260">
            <v>19.638500000000001</v>
          </cell>
          <cell r="G260">
            <v>-5.901011148469415E-3</v>
          </cell>
          <cell r="Q260">
            <v>1.1499999999998067E-2</v>
          </cell>
        </row>
        <row r="261">
          <cell r="A261">
            <v>33420</v>
          </cell>
          <cell r="B261">
            <v>5.3996590909090907</v>
          </cell>
          <cell r="D261">
            <v>19.057272727272725</v>
          </cell>
          <cell r="G261">
            <v>-1.0803925721515895E-3</v>
          </cell>
          <cell r="Q261">
            <v>-7.2727272727242109E-3</v>
          </cell>
        </row>
        <row r="262">
          <cell r="A262">
            <v>33451</v>
          </cell>
          <cell r="B262">
            <v>5.693068181818183</v>
          </cell>
          <cell r="D262">
            <v>20.267727272727274</v>
          </cell>
          <cell r="G262">
            <v>-1.1543813603334674E-3</v>
          </cell>
          <cell r="Q262">
            <v>-3.7727272727273942E-2</v>
          </cell>
        </row>
        <row r="263">
          <cell r="A263">
            <v>33482</v>
          </cell>
          <cell r="B263">
            <v>5.9398749999999998</v>
          </cell>
          <cell r="D263">
            <v>20.4895</v>
          </cell>
          <cell r="G263">
            <v>-1.1724708671509043E-2</v>
          </cell>
          <cell r="Q263">
            <v>-2.9499999999998749E-2</v>
          </cell>
        </row>
        <row r="264">
          <cell r="A264">
            <v>33512</v>
          </cell>
          <cell r="B264">
            <v>5.5985869565217383</v>
          </cell>
          <cell r="D264">
            <v>19.762608695652176</v>
          </cell>
          <cell r="G264">
            <v>2.3284830232463971E-3</v>
          </cell>
          <cell r="Q264">
            <v>-0.19260869565217575</v>
          </cell>
        </row>
        <row r="265">
          <cell r="A265">
            <v>33543</v>
          </cell>
          <cell r="B265">
            <v>5.6109999999999998</v>
          </cell>
          <cell r="D265">
            <v>18.978000000000002</v>
          </cell>
          <cell r="G265">
            <v>-5.8296780804817927E-3</v>
          </cell>
          <cell r="Q265">
            <v>-0.1980000000000004</v>
          </cell>
        </row>
        <row r="266">
          <cell r="A266">
            <v>33573</v>
          </cell>
          <cell r="B266">
            <v>5.5558333333333341</v>
          </cell>
          <cell r="D266">
            <v>19.179523809523811</v>
          </cell>
          <cell r="G266">
            <v>1.2339183411576748E-2</v>
          </cell>
          <cell r="Q266">
            <v>-0.18952380952381276</v>
          </cell>
        </row>
        <row r="267">
          <cell r="A267">
            <v>33604</v>
          </cell>
          <cell r="B267">
            <v>5.6934090909090918</v>
          </cell>
          <cell r="D267">
            <v>19.199090909090906</v>
          </cell>
          <cell r="G267">
            <v>-3.1391666479885783E-3</v>
          </cell>
          <cell r="Q267">
            <v>-0.42909090909090608</v>
          </cell>
        </row>
        <row r="268">
          <cell r="A268">
            <v>33635</v>
          </cell>
          <cell r="B268">
            <v>5.7460526315789471</v>
          </cell>
          <cell r="D268">
            <v>19.252631578947366</v>
          </cell>
          <cell r="G268">
            <v>8.9377366501153244E-4</v>
          </cell>
          <cell r="Q268">
            <v>-0.37263157894736665</v>
          </cell>
        </row>
        <row r="269">
          <cell r="A269">
            <v>33664</v>
          </cell>
          <cell r="B269">
            <v>5.9261363636363633</v>
          </cell>
          <cell r="D269">
            <v>20.37863636363636</v>
          </cell>
          <cell r="G269">
            <v>8.402799762960822E-3</v>
          </cell>
          <cell r="Q269">
            <v>-0.63863636363636189</v>
          </cell>
        </row>
        <row r="270">
          <cell r="A270">
            <v>33695</v>
          </cell>
          <cell r="B270">
            <v>5.7502631578947367</v>
          </cell>
          <cell r="D270">
            <v>19.508421052631583</v>
          </cell>
          <cell r="G270">
            <v>-5.1158810248059239E-3</v>
          </cell>
          <cell r="Q270">
            <v>-0.50842105263158288</v>
          </cell>
        </row>
        <row r="271">
          <cell r="A271">
            <v>33725</v>
          </cell>
          <cell r="B271">
            <v>6.032375</v>
          </cell>
          <cell r="D271">
            <v>20.744500000000006</v>
          </cell>
          <cell r="G271">
            <v>4.1618684336787171E-3</v>
          </cell>
          <cell r="Q271">
            <v>-0.59450000000000713</v>
          </cell>
        </row>
        <row r="272">
          <cell r="A272">
            <v>33756</v>
          </cell>
          <cell r="B272">
            <v>6.1064772727272718</v>
          </cell>
          <cell r="D272">
            <v>21.205454545454543</v>
          </cell>
          <cell r="G272">
            <v>4.2948655285162118E-3</v>
          </cell>
          <cell r="Q272">
            <v>-0.49545454545454248</v>
          </cell>
        </row>
        <row r="273">
          <cell r="A273">
            <v>33786</v>
          </cell>
          <cell r="B273">
            <v>5.6812500000000004</v>
          </cell>
          <cell r="D273">
            <v>19.334090909090911</v>
          </cell>
          <cell r="G273">
            <v>-1.1498207303491881E-2</v>
          </cell>
          <cell r="Q273">
            <v>-0.51409090909091049</v>
          </cell>
        </row>
        <row r="274">
          <cell r="A274">
            <v>33817</v>
          </cell>
          <cell r="B274">
            <v>5.5001190476190471</v>
          </cell>
          <cell r="D274">
            <v>18.42428571428572</v>
          </cell>
          <cell r="G274">
            <v>-7.8888536499042705E-3</v>
          </cell>
          <cell r="Q274">
            <v>-0.55428571428571871</v>
          </cell>
        </row>
        <row r="275">
          <cell r="A275">
            <v>33848</v>
          </cell>
          <cell r="B275">
            <v>5.4748809523809534</v>
          </cell>
          <cell r="D275">
            <v>18.820476190476192</v>
          </cell>
          <cell r="G275">
            <v>4.8101352262502894E-3</v>
          </cell>
          <cell r="Q275">
            <v>-0.54047619047619122</v>
          </cell>
        </row>
        <row r="276">
          <cell r="A276">
            <v>33878</v>
          </cell>
          <cell r="B276">
            <v>5.3793181818181832</v>
          </cell>
          <cell r="D276">
            <v>18.88727272727273</v>
          </cell>
          <cell r="G276">
            <v>8.383009243035755E-3</v>
          </cell>
          <cell r="Q276">
            <v>-0.52727272727273089</v>
          </cell>
        </row>
        <row r="277">
          <cell r="A277">
            <v>33909</v>
          </cell>
          <cell r="B277">
            <v>5.5970000000000004</v>
          </cell>
          <cell r="D277">
            <v>20.16</v>
          </cell>
          <cell r="G277">
            <v>1.7002256213469735E-2</v>
          </cell>
          <cell r="Q277">
            <v>-5.9999999999998721E-2</v>
          </cell>
        </row>
        <row r="278">
          <cell r="A278">
            <v>33939</v>
          </cell>
          <cell r="B278">
            <v>5.6848863636363625</v>
          </cell>
          <cell r="D278">
            <v>20.598636363636366</v>
          </cell>
          <cell r="G278">
            <v>-4.6590068863927581E-4</v>
          </cell>
          <cell r="Q278">
            <v>-7.8636363636366724E-2</v>
          </cell>
        </row>
        <row r="279">
          <cell r="A279">
            <v>33970</v>
          </cell>
          <cell r="B279">
            <v>5.7885000000000009</v>
          </cell>
          <cell r="D279">
            <v>21.3475</v>
          </cell>
          <cell r="G279">
            <v>1.0124072821976082E-2</v>
          </cell>
          <cell r="Q279">
            <v>-0.11749999999999972</v>
          </cell>
        </row>
        <row r="280">
          <cell r="A280">
            <v>34001</v>
          </cell>
          <cell r="B280">
            <v>5.7153947368421054</v>
          </cell>
          <cell r="D280">
            <v>20.723157894736847</v>
          </cell>
          <cell r="G280">
            <v>4.0546077125364066E-4</v>
          </cell>
          <cell r="Q280">
            <v>-3.1578947368480215E-3</v>
          </cell>
        </row>
        <row r="281">
          <cell r="A281">
            <v>34029</v>
          </cell>
          <cell r="B281">
            <v>5.8428260869565225</v>
          </cell>
          <cell r="D281">
            <v>21.138695652173915</v>
          </cell>
          <cell r="G281">
            <v>-8.2750902974687568E-4</v>
          </cell>
          <cell r="Q281">
            <v>-0.13869565217391511</v>
          </cell>
        </row>
        <row r="282">
          <cell r="A282">
            <v>34060</v>
          </cell>
          <cell r="B282">
            <v>5.9240476190476201</v>
          </cell>
          <cell r="D282">
            <v>21.243809523809528</v>
          </cell>
          <cell r="G282">
            <v>-3.035703972556314E-3</v>
          </cell>
          <cell r="Q282">
            <v>-3.8095238095294803E-3</v>
          </cell>
        </row>
        <row r="283">
          <cell r="A283">
            <v>34090</v>
          </cell>
          <cell r="B283">
            <v>6.0283749999999996</v>
          </cell>
          <cell r="D283">
            <v>21.316499999999998</v>
          </cell>
          <cell r="G283">
            <v>-6.3954091839044658E-3</v>
          </cell>
          <cell r="Q283">
            <v>-0.1664999999999992</v>
          </cell>
        </row>
        <row r="284">
          <cell r="A284">
            <v>34121</v>
          </cell>
          <cell r="B284">
            <v>6.0390909090909082</v>
          </cell>
          <cell r="D284">
            <v>21.334545454545449</v>
          </cell>
          <cell r="G284">
            <v>4.1545407383525301E-4</v>
          </cell>
          <cell r="Q284">
            <v>-3.4545454545447996E-2</v>
          </cell>
        </row>
        <row r="285">
          <cell r="A285">
            <v>34151</v>
          </cell>
          <cell r="B285">
            <v>7.0463095238095246</v>
          </cell>
          <cell r="D285">
            <v>24.271904761904764</v>
          </cell>
          <cell r="G285">
            <v>-8.2460978932062945E-3</v>
          </cell>
          <cell r="Q285">
            <v>-0.14190476190476531</v>
          </cell>
        </row>
        <row r="286">
          <cell r="A286">
            <v>34182</v>
          </cell>
          <cell r="B286">
            <v>6.713181818181817</v>
          </cell>
          <cell r="D286">
            <v>23.618636363636366</v>
          </cell>
          <cell r="G286">
            <v>4.2928481208395763E-3</v>
          </cell>
          <cell r="Q286">
            <v>-0.14863636363636701</v>
          </cell>
        </row>
        <row r="287">
          <cell r="A287">
            <v>34213</v>
          </cell>
          <cell r="B287">
            <v>6.3884523809523808</v>
          </cell>
          <cell r="D287">
            <v>23.493333333333332</v>
          </cell>
          <cell r="G287">
            <v>1.7703595559576013E-2</v>
          </cell>
          <cell r="Q287">
            <v>0.11666666666666714</v>
          </cell>
        </row>
        <row r="288">
          <cell r="A288">
            <v>34243</v>
          </cell>
          <cell r="B288">
            <v>6.152619047619047</v>
          </cell>
          <cell r="D288">
            <v>22.85</v>
          </cell>
          <cell r="G288">
            <v>1.904150059224119E-3</v>
          </cell>
          <cell r="Q288">
            <v>0.12999999999999901</v>
          </cell>
        </row>
        <row r="289">
          <cell r="A289">
            <v>34274</v>
          </cell>
          <cell r="B289">
            <v>6.6815476190476177</v>
          </cell>
          <cell r="D289">
            <v>25.282380952380954</v>
          </cell>
          <cell r="G289">
            <v>5.553405475144324E-3</v>
          </cell>
          <cell r="Q289">
            <v>8.7619047619046597E-2</v>
          </cell>
        </row>
        <row r="290">
          <cell r="A290">
            <v>34304</v>
          </cell>
          <cell r="B290">
            <v>6.8715476190476181</v>
          </cell>
          <cell r="D290">
            <v>27.948095238095242</v>
          </cell>
          <cell r="G290">
            <v>2.9276858389599703E-2</v>
          </cell>
          <cell r="Q290">
            <v>0.1419047619047582</v>
          </cell>
        </row>
        <row r="291">
          <cell r="A291">
            <v>34335</v>
          </cell>
          <cell r="B291">
            <v>7.0071428571428571</v>
          </cell>
          <cell r="D291">
            <v>29.511904761904763</v>
          </cell>
          <cell r="G291">
            <v>1.8595210392420847E-2</v>
          </cell>
          <cell r="Q291">
            <v>0.39809523809523739</v>
          </cell>
        </row>
        <row r="292">
          <cell r="A292">
            <v>34366</v>
          </cell>
          <cell r="B292">
            <v>6.793815789473685</v>
          </cell>
          <cell r="D292">
            <v>28.452631578947368</v>
          </cell>
          <cell r="G292">
            <v>-5.9776574681823513E-3</v>
          </cell>
          <cell r="Q292">
            <v>0.38736842105263136</v>
          </cell>
        </row>
        <row r="293">
          <cell r="A293">
            <v>34394</v>
          </cell>
          <cell r="B293">
            <v>6.8385869565217385</v>
          </cell>
          <cell r="D293">
            <v>28.679130434782603</v>
          </cell>
          <cell r="G293">
            <v>3.0351430897656573E-3</v>
          </cell>
          <cell r="Q293">
            <v>0.35086956521739765</v>
          </cell>
        </row>
        <row r="294">
          <cell r="A294">
            <v>34425</v>
          </cell>
          <cell r="B294">
            <v>6.6057894736842107</v>
          </cell>
          <cell r="D294">
            <v>27.852105263157899</v>
          </cell>
          <cell r="G294">
            <v>6.8946271899278377E-4</v>
          </cell>
          <cell r="Q294">
            <v>8.7894736842102361E-2</v>
          </cell>
        </row>
        <row r="295">
          <cell r="A295">
            <v>34455</v>
          </cell>
          <cell r="B295">
            <v>6.7905952380952392</v>
          </cell>
          <cell r="D295">
            <v>28.85047619047619</v>
          </cell>
          <cell r="G295">
            <v>3.9410400934939971E-3</v>
          </cell>
          <cell r="Q295">
            <v>0.24952380952381148</v>
          </cell>
        </row>
        <row r="296">
          <cell r="A296">
            <v>34486</v>
          </cell>
          <cell r="B296">
            <v>6.7920454545454536</v>
          </cell>
          <cell r="D296">
            <v>27.4</v>
          </cell>
          <cell r="G296">
            <v>-1.8770581643609063E-2</v>
          </cell>
          <cell r="Q296">
            <v>0.20000000000000284</v>
          </cell>
        </row>
        <row r="297">
          <cell r="A297">
            <v>34516</v>
          </cell>
          <cell r="B297">
            <v>6.0398749999999994</v>
          </cell>
          <cell r="D297">
            <v>24.459000000000007</v>
          </cell>
          <cell r="G297">
            <v>-7.0485021462749486E-3</v>
          </cell>
          <cell r="Q297">
            <v>7.0999999999994401E-2</v>
          </cell>
        </row>
        <row r="298">
          <cell r="A298">
            <v>34547</v>
          </cell>
          <cell r="B298">
            <v>5.7247826086956533</v>
          </cell>
          <cell r="D298">
            <v>24.416086956521742</v>
          </cell>
          <cell r="G298">
            <v>9.5100664478688368E-3</v>
          </cell>
          <cell r="Q298">
            <v>9.3913043478259794E-2</v>
          </cell>
        </row>
        <row r="299">
          <cell r="A299">
            <v>34578</v>
          </cell>
          <cell r="B299">
            <v>5.6220238095238102</v>
          </cell>
          <cell r="D299">
            <v>25.62</v>
          </cell>
          <cell r="G299">
            <v>2.0650494257411056E-2</v>
          </cell>
          <cell r="Q299">
            <v>0.48999999999999844</v>
          </cell>
        </row>
        <row r="300">
          <cell r="A300">
            <v>34608</v>
          </cell>
          <cell r="B300">
            <v>5.4071428571428575</v>
          </cell>
          <cell r="D300">
            <v>24.87952380952381</v>
          </cell>
          <cell r="G300">
            <v>-1.9496588815165472E-4</v>
          </cell>
          <cell r="Q300">
            <v>2.1804761904761882</v>
          </cell>
        </row>
        <row r="301">
          <cell r="A301">
            <v>34639</v>
          </cell>
          <cell r="B301">
            <v>5.6553571428571434</v>
          </cell>
          <cell r="D301">
            <v>27.90904761904762</v>
          </cell>
          <cell r="G301">
            <v>3.3862538062385039E-2</v>
          </cell>
          <cell r="Q301">
            <v>1.9309523809523803</v>
          </cell>
        </row>
        <row r="302">
          <cell r="A302">
            <v>34669</v>
          </cell>
          <cell r="B302">
            <v>5.616190476190476</v>
          </cell>
          <cell r="D302">
            <v>28.085714285714282</v>
          </cell>
          <cell r="G302">
            <v>3.0582858487797626E-3</v>
          </cell>
          <cell r="Q302">
            <v>2.5242857142857176</v>
          </cell>
        </row>
        <row r="303">
          <cell r="A303">
            <v>34700</v>
          </cell>
          <cell r="B303">
            <v>5.5533333333333319</v>
          </cell>
          <cell r="D303">
            <v>26.921904761904774</v>
          </cell>
          <cell r="G303">
            <v>-1.0714591914765037E-2</v>
          </cell>
          <cell r="Q303">
            <v>2.1180952380952256</v>
          </cell>
        </row>
        <row r="304">
          <cell r="A304">
            <v>34731</v>
          </cell>
          <cell r="B304">
            <v>5.5419736842105261</v>
          </cell>
          <cell r="D304">
            <v>27.171052631578949</v>
          </cell>
          <cell r="G304">
            <v>8.4343141277512523E-3</v>
          </cell>
          <cell r="Q304">
            <v>0.9789473684210499</v>
          </cell>
        </row>
        <row r="305">
          <cell r="A305">
            <v>34759</v>
          </cell>
          <cell r="B305">
            <v>5.765434782608696</v>
          </cell>
          <cell r="D305">
            <v>26.748260869565218</v>
          </cell>
          <cell r="G305">
            <v>-1.7840467563472517E-2</v>
          </cell>
          <cell r="Q305">
            <v>1.5817391304347801</v>
          </cell>
        </row>
        <row r="306">
          <cell r="A306">
            <v>34790</v>
          </cell>
          <cell r="B306">
            <v>5.7493421052631577</v>
          </cell>
          <cell r="D306">
            <v>25.695789473684204</v>
          </cell>
          <cell r="G306">
            <v>-1.5255293788057622E-2</v>
          </cell>
          <cell r="Q306">
            <v>0.60421052631579641</v>
          </cell>
        </row>
        <row r="307">
          <cell r="A307">
            <v>34820</v>
          </cell>
          <cell r="B307">
            <v>5.8271590909090909</v>
          </cell>
          <cell r="D307">
            <v>25.548636363636362</v>
          </cell>
          <cell r="G307">
            <v>-7.4114938603899727E-3</v>
          </cell>
          <cell r="Q307">
            <v>0.45136363636363797</v>
          </cell>
        </row>
        <row r="308">
          <cell r="A308">
            <v>34851</v>
          </cell>
          <cell r="B308">
            <v>5.8954545454545464</v>
          </cell>
          <cell r="D308">
            <v>26.587454545454499</v>
          </cell>
          <cell r="G308">
            <v>8.1984985252367415E-3</v>
          </cell>
          <cell r="Q308">
            <v>0.19254545454550254</v>
          </cell>
        </row>
        <row r="309">
          <cell r="A309">
            <v>34881</v>
          </cell>
          <cell r="B309">
            <v>6.1847499999999993</v>
          </cell>
          <cell r="D309">
            <v>27.458499999999997</v>
          </cell>
          <cell r="G309">
            <v>-5.2512566727215271E-3</v>
          </cell>
          <cell r="Q309">
            <v>0.14150000000000418</v>
          </cell>
        </row>
        <row r="310">
          <cell r="A310">
            <v>34912</v>
          </cell>
          <cell r="B310">
            <v>5.9790217391304354</v>
          </cell>
          <cell r="D310">
            <v>26.271304347826081</v>
          </cell>
          <cell r="G310">
            <v>-5.2352271423681263E-3</v>
          </cell>
          <cell r="Q310">
            <v>0.28869565217391724</v>
          </cell>
        </row>
        <row r="311">
          <cell r="A311">
            <v>34943</v>
          </cell>
          <cell r="B311">
            <v>6.3830000000000009</v>
          </cell>
          <cell r="D311">
            <v>26.247499999999999</v>
          </cell>
          <cell r="G311">
            <v>-1.8020362288431235E-2</v>
          </cell>
          <cell r="Q311">
            <v>-4.7499999999999432E-2</v>
          </cell>
        </row>
        <row r="312">
          <cell r="A312">
            <v>34973</v>
          </cell>
          <cell r="B312">
            <v>6.5580681818181805</v>
          </cell>
          <cell r="D312">
            <v>26.734999999999999</v>
          </cell>
          <cell r="G312">
            <v>-7.7593005842080953E-3</v>
          </cell>
          <cell r="Q312">
            <v>-0.16499999999999915</v>
          </cell>
        </row>
        <row r="313">
          <cell r="A313">
            <v>35004</v>
          </cell>
          <cell r="B313">
            <v>6.8342857142857163</v>
          </cell>
          <cell r="D313">
            <v>25.666190476190472</v>
          </cell>
          <cell r="G313">
            <v>-1.9077524416905356E-2</v>
          </cell>
          <cell r="Q313">
            <v>-0.24619047619047052</v>
          </cell>
        </row>
        <row r="314">
          <cell r="A314">
            <v>35034</v>
          </cell>
          <cell r="B314">
            <v>7.1829999999999998</v>
          </cell>
          <cell r="D314">
            <v>25.174500000000002</v>
          </cell>
          <cell r="G314">
            <v>-2.405617366780699E-2</v>
          </cell>
          <cell r="Q314">
            <v>-0.41450000000000031</v>
          </cell>
        </row>
        <row r="315">
          <cell r="A315">
            <v>35065</v>
          </cell>
          <cell r="B315">
            <v>7.4074999999999998</v>
          </cell>
          <cell r="D315">
            <v>24.35</v>
          </cell>
          <cell r="G315">
            <v>-1.6466921064353268E-2</v>
          </cell>
          <cell r="Q315">
            <v>-0.83000000000000185</v>
          </cell>
        </row>
        <row r="316">
          <cell r="A316">
            <v>35096</v>
          </cell>
          <cell r="B316">
            <v>7.300250000000001</v>
          </cell>
          <cell r="D316">
            <v>24.296500000000002</v>
          </cell>
          <cell r="G316">
            <v>5.7199687798509813E-3</v>
          </cell>
          <cell r="Q316">
            <v>-0.80650000000000333</v>
          </cell>
        </row>
        <row r="317">
          <cell r="A317">
            <v>35125</v>
          </cell>
          <cell r="B317">
            <v>7.2971428571428563</v>
          </cell>
          <cell r="D317">
            <v>24.439047619047614</v>
          </cell>
          <cell r="G317">
            <v>7.3257141370952628E-4</v>
          </cell>
          <cell r="Q317">
            <v>-0.94904761904761514</v>
          </cell>
        </row>
        <row r="318">
          <cell r="A318">
            <v>35156</v>
          </cell>
          <cell r="B318">
            <v>7.9028571428571448</v>
          </cell>
          <cell r="D318">
            <v>26.33190476190477</v>
          </cell>
          <cell r="G318">
            <v>-2.6712734592243548E-4</v>
          </cell>
          <cell r="Q318">
            <v>-0.63190476190477085</v>
          </cell>
        </row>
        <row r="319">
          <cell r="A319">
            <v>35186</v>
          </cell>
          <cell r="B319">
            <v>8.0888636363636355</v>
          </cell>
          <cell r="D319">
            <v>27.365454545454533</v>
          </cell>
          <cell r="G319">
            <v>8.9807678649301281E-3</v>
          </cell>
          <cell r="Q319">
            <v>-0.86545454545453282</v>
          </cell>
        </row>
        <row r="320">
          <cell r="A320">
            <v>35217</v>
          </cell>
          <cell r="B320">
            <v>7.7447499999999989</v>
          </cell>
          <cell r="D320">
            <v>25.673000000000002</v>
          </cell>
          <cell r="G320">
            <v>-6.1804361430523591E-3</v>
          </cell>
          <cell r="Q320">
            <v>-0.72300000000000253</v>
          </cell>
        </row>
        <row r="321">
          <cell r="A321">
            <v>35247</v>
          </cell>
          <cell r="B321">
            <v>7.83590909090909</v>
          </cell>
          <cell r="D321">
            <v>25.011363636363637</v>
          </cell>
          <cell r="G321">
            <v>-1.1692111849923581E-2</v>
          </cell>
          <cell r="Q321">
            <v>-0.92136363636363683</v>
          </cell>
        </row>
        <row r="322">
          <cell r="A322">
            <v>35278</v>
          </cell>
          <cell r="B322">
            <v>7.9053409090909099</v>
          </cell>
          <cell r="D322">
            <v>25.12318181818182</v>
          </cell>
          <cell r="G322">
            <v>-4.3780236904553127E-3</v>
          </cell>
          <cell r="Q322">
            <v>-1.1331818181818214</v>
          </cell>
        </row>
        <row r="323">
          <cell r="A323">
            <v>35309</v>
          </cell>
          <cell r="B323">
            <v>7.9395000000000007</v>
          </cell>
          <cell r="D323">
            <v>25.243000000000002</v>
          </cell>
          <cell r="G323">
            <v>-5.9520031568838783E-3</v>
          </cell>
          <cell r="Q323">
            <v>-1.3230000000000004</v>
          </cell>
        </row>
        <row r="324">
          <cell r="A324">
            <v>35339</v>
          </cell>
          <cell r="B324">
            <v>7.07</v>
          </cell>
          <cell r="D324">
            <v>23.35478260869565</v>
          </cell>
          <cell r="G324">
            <v>6.9701029775816603E-3</v>
          </cell>
          <cell r="Q324">
            <v>-1.4047826086956512</v>
          </cell>
        </row>
        <row r="325">
          <cell r="A325">
            <v>35370</v>
          </cell>
          <cell r="B325">
            <v>6.9361249999999997</v>
          </cell>
          <cell r="D325">
            <v>23.133000000000003</v>
          </cell>
          <cell r="G325">
            <v>-8.3163818313897186E-4</v>
          </cell>
          <cell r="Q325">
            <v>-1.323000000000004</v>
          </cell>
        </row>
        <row r="326">
          <cell r="A326">
            <v>35400</v>
          </cell>
          <cell r="B326">
            <v>6.9983333333333331</v>
          </cell>
          <cell r="D326">
            <v>23.104761904761901</v>
          </cell>
          <cell r="G326">
            <v>4.5218252810269588E-3</v>
          </cell>
          <cell r="Q326">
            <v>-1.4947619047619014</v>
          </cell>
        </row>
        <row r="327">
          <cell r="A327">
            <v>35431</v>
          </cell>
          <cell r="B327">
            <v>7.3085227272727256</v>
          </cell>
          <cell r="D327">
            <v>24.097727272727273</v>
          </cell>
          <cell r="G327">
            <v>4.6148012620558787E-3</v>
          </cell>
          <cell r="Q327">
            <v>-1.6477272727272734</v>
          </cell>
        </row>
        <row r="328">
          <cell r="A328">
            <v>35462</v>
          </cell>
          <cell r="B328">
            <v>7.6346052631578951</v>
          </cell>
          <cell r="D328">
            <v>23.905263157894741</v>
          </cell>
          <cell r="G328">
            <v>-1.6837138111624683E-2</v>
          </cell>
          <cell r="Q328">
            <v>-1.4952631578947404</v>
          </cell>
        </row>
        <row r="329">
          <cell r="A329">
            <v>35490</v>
          </cell>
          <cell r="B329">
            <v>8.3558750000000011</v>
          </cell>
          <cell r="D329">
            <v>24.918499999999998</v>
          </cell>
          <cell r="G329">
            <v>-1.0253316714533722E-2</v>
          </cell>
          <cell r="Q329">
            <v>-1.6284999999999989</v>
          </cell>
        </row>
        <row r="330">
          <cell r="A330">
            <v>35521</v>
          </cell>
          <cell r="B330">
            <v>8.5272727272727291</v>
          </cell>
          <cell r="D330">
            <v>24.359545454545458</v>
          </cell>
          <cell r="G330">
            <v>-1.2233599219680646E-2</v>
          </cell>
          <cell r="Q330">
            <v>-1.1895454545454562</v>
          </cell>
        </row>
        <row r="331">
          <cell r="A331">
            <v>35551</v>
          </cell>
          <cell r="B331">
            <v>8.6713095238095246</v>
          </cell>
          <cell r="D331">
            <v>24.174285714285713</v>
          </cell>
          <cell r="G331">
            <v>-6.6511687436903721E-3</v>
          </cell>
          <cell r="Q331">
            <v>-0.49428571428571288</v>
          </cell>
        </row>
        <row r="332">
          <cell r="A332">
            <v>35582</v>
          </cell>
          <cell r="B332">
            <v>8.2939285714285713</v>
          </cell>
          <cell r="D332">
            <v>23.038095238095238</v>
          </cell>
          <cell r="G332">
            <v>9.1128667103029803E-4</v>
          </cell>
          <cell r="Q332">
            <v>-6.8095238095239097E-2</v>
          </cell>
        </row>
        <row r="333">
          <cell r="A333">
            <v>35612</v>
          </cell>
          <cell r="B333">
            <v>7.3855681818181802</v>
          </cell>
          <cell r="D333">
            <v>21.985454545454544</v>
          </cell>
          <cell r="G333">
            <v>1.4153839217526609E-2</v>
          </cell>
          <cell r="Q333">
            <v>-9.5454545454543904E-2</v>
          </cell>
        </row>
        <row r="334">
          <cell r="A334">
            <v>35643</v>
          </cell>
          <cell r="B334">
            <v>6.6173809523809508</v>
          </cell>
          <cell r="D334">
            <v>22.301904761904762</v>
          </cell>
          <cell r="G334">
            <v>1.0559757485500088E-2</v>
          </cell>
          <cell r="Q334">
            <v>-0.23190476190476161</v>
          </cell>
        </row>
        <row r="335">
          <cell r="A335">
            <v>35674</v>
          </cell>
          <cell r="B335">
            <v>6.3688095238095226</v>
          </cell>
          <cell r="D335">
            <v>23.19</v>
          </cell>
          <cell r="G335">
            <v>1.8325237621092838E-2</v>
          </cell>
          <cell r="Q335">
            <v>-0.31000000000000227</v>
          </cell>
        </row>
        <row r="336">
          <cell r="A336">
            <v>35704</v>
          </cell>
          <cell r="B336">
            <v>6.8239130434782593</v>
          </cell>
          <cell r="D336">
            <v>24.79304347826087</v>
          </cell>
          <cell r="G336">
            <v>2.1142709956701811E-2</v>
          </cell>
          <cell r="Q336">
            <v>-0.47304347826086968</v>
          </cell>
        </row>
        <row r="337">
          <cell r="A337">
            <v>35735</v>
          </cell>
          <cell r="B337">
            <v>7.2193421052631592</v>
          </cell>
          <cell r="D337">
            <v>25.66</v>
          </cell>
          <cell r="G337">
            <v>-8.5232591296689475E-3</v>
          </cell>
          <cell r="Q337">
            <v>7.0000000000000284E-2</v>
          </cell>
        </row>
        <row r="338">
          <cell r="A338">
            <v>35765</v>
          </cell>
          <cell r="B338">
            <v>6.9281818181818204</v>
          </cell>
          <cell r="D338">
            <v>24.943636363636358</v>
          </cell>
          <cell r="G338">
            <v>1.4955801620278375E-2</v>
          </cell>
          <cell r="Q338">
            <v>0.13636363636364024</v>
          </cell>
        </row>
        <row r="339">
          <cell r="A339">
            <v>35796</v>
          </cell>
          <cell r="B339">
            <v>6.7143750000000004</v>
          </cell>
          <cell r="D339">
            <v>25.159500000000001</v>
          </cell>
          <cell r="G339">
            <v>2.3538810400686616E-2</v>
          </cell>
          <cell r="Q339">
            <v>-5.9499999999999886E-2</v>
          </cell>
        </row>
        <row r="340">
          <cell r="A340">
            <v>35827</v>
          </cell>
          <cell r="B340">
            <v>6.7332894736842119</v>
          </cell>
          <cell r="D340">
            <v>26.374210526315789</v>
          </cell>
          <cell r="G340">
            <v>2.1319579745856854E-2</v>
          </cell>
          <cell r="Q340">
            <v>0.13578947368421268</v>
          </cell>
        </row>
        <row r="341">
          <cell r="A341">
            <v>35855</v>
          </cell>
          <cell r="B341">
            <v>6.5572727272727267</v>
          </cell>
          <cell r="D341">
            <v>27.213636363636365</v>
          </cell>
          <cell r="G341">
            <v>2.7983616095926755E-2</v>
          </cell>
          <cell r="Q341">
            <v>-0.12363636363636488</v>
          </cell>
        </row>
        <row r="342">
          <cell r="A342">
            <v>35886</v>
          </cell>
          <cell r="B342">
            <v>6.397261904761903</v>
          </cell>
          <cell r="D342">
            <v>27.861904761904764</v>
          </cell>
          <cell r="G342">
            <v>2.4890976862577796E-2</v>
          </cell>
          <cell r="Q342">
            <v>0.22809523809523569</v>
          </cell>
        </row>
        <row r="343">
          <cell r="A343">
            <v>35916</v>
          </cell>
          <cell r="B343">
            <v>6.388374999999999</v>
          </cell>
          <cell r="D343">
            <v>28.155499999999996</v>
          </cell>
          <cell r="G343">
            <v>5.8970298539161581E-3</v>
          </cell>
          <cell r="Q343">
            <v>0.12450000000000472</v>
          </cell>
        </row>
        <row r="344">
          <cell r="A344">
            <v>35947</v>
          </cell>
          <cell r="B344">
            <v>6.2896590909090913</v>
          </cell>
          <cell r="D344">
            <v>25.634545454545457</v>
          </cell>
          <cell r="G344">
            <v>-2.9250991754727562E-2</v>
          </cell>
          <cell r="Q344">
            <v>0.19545454545454177</v>
          </cell>
        </row>
        <row r="345">
          <cell r="A345">
            <v>35977</v>
          </cell>
          <cell r="B345">
            <v>6.1977272727272741</v>
          </cell>
          <cell r="D345">
            <v>24.78863636363636</v>
          </cell>
          <cell r="G345">
            <v>-9.1466993709656275E-3</v>
          </cell>
          <cell r="Q345">
            <v>9.1363636363638534E-2</v>
          </cell>
        </row>
        <row r="346">
          <cell r="A346">
            <v>36008</v>
          </cell>
          <cell r="B346">
            <v>5.3634523809523795</v>
          </cell>
          <cell r="D346">
            <v>23.759523809523806</v>
          </cell>
          <cell r="G346">
            <v>3.1189772558409934E-2</v>
          </cell>
          <cell r="Q346">
            <v>0.24047619047619406</v>
          </cell>
        </row>
        <row r="347">
          <cell r="A347">
            <v>36039</v>
          </cell>
          <cell r="B347">
            <v>5.2504761904761903</v>
          </cell>
          <cell r="D347">
            <v>24.751904761904761</v>
          </cell>
          <cell r="G347">
            <v>2.60586296940023E-2</v>
          </cell>
          <cell r="Q347">
            <v>0.38809523809523938</v>
          </cell>
        </row>
        <row r="348">
          <cell r="A348">
            <v>36069</v>
          </cell>
          <cell r="B348">
            <v>5.4632954545454551</v>
          </cell>
          <cell r="D348">
            <v>24.63045454545454</v>
          </cell>
          <cell r="G348">
            <v>-2.0279977823736917E-2</v>
          </cell>
          <cell r="Q348">
            <v>0.57954545454546036</v>
          </cell>
        </row>
        <row r="349">
          <cell r="A349">
            <v>36100</v>
          </cell>
          <cell r="B349">
            <v>5.761000000000001</v>
          </cell>
          <cell r="D349">
            <v>24.758000000000003</v>
          </cell>
          <cell r="G349">
            <v>-9.9484913183083834E-3</v>
          </cell>
          <cell r="Q349">
            <v>0.45199999999999818</v>
          </cell>
        </row>
        <row r="350">
          <cell r="A350">
            <v>36130</v>
          </cell>
          <cell r="B350">
            <v>5.5760227272727283</v>
          </cell>
          <cell r="D350">
            <v>23.805</v>
          </cell>
          <cell r="G350">
            <v>-9.5954569792796041E-3</v>
          </cell>
          <cell r="Q350">
            <v>0.18499999999999872</v>
          </cell>
        </row>
        <row r="351">
          <cell r="A351">
            <v>36161</v>
          </cell>
          <cell r="B351">
            <v>5.3215789473684199</v>
          </cell>
          <cell r="D351">
            <v>23.042631578947372</v>
          </cell>
          <cell r="G351">
            <v>9.9530116295363236E-3</v>
          </cell>
          <cell r="Q351">
            <v>-0.1626315789473729</v>
          </cell>
        </row>
        <row r="352">
          <cell r="A352">
            <v>36192</v>
          </cell>
          <cell r="B352">
            <v>4.8892105263157895</v>
          </cell>
          <cell r="D352">
            <v>20.098421052631576</v>
          </cell>
          <cell r="G352">
            <v>-2.3742402328763235E-2</v>
          </cell>
          <cell r="Q352">
            <v>-0.13842105263157478</v>
          </cell>
        </row>
        <row r="353">
          <cell r="A353">
            <v>36220</v>
          </cell>
          <cell r="B353">
            <v>4.813478260869565</v>
          </cell>
          <cell r="D353">
            <v>18.813913043478262</v>
          </cell>
          <cell r="G353">
            <v>-2.1217243860137291E-2</v>
          </cell>
          <cell r="Q353">
            <v>-0.27391304347826306</v>
          </cell>
        </row>
        <row r="354">
          <cell r="A354">
            <v>36251</v>
          </cell>
          <cell r="B354">
            <v>4.8310714285714296</v>
          </cell>
          <cell r="D354">
            <v>19.124285714285708</v>
          </cell>
          <cell r="G354">
            <v>3.2271941003538807E-3</v>
          </cell>
          <cell r="Q354">
            <v>-0.3442857142857072</v>
          </cell>
        </row>
        <row r="355">
          <cell r="A355">
            <v>36281</v>
          </cell>
          <cell r="B355">
            <v>4.715374999999999</v>
          </cell>
          <cell r="D355">
            <v>18.332999999999998</v>
          </cell>
          <cell r="G355">
            <v>-8.8974391707360434E-3</v>
          </cell>
          <cell r="Q355">
            <v>-0.48299999999999699</v>
          </cell>
        </row>
        <row r="356">
          <cell r="A356">
            <v>36312</v>
          </cell>
          <cell r="B356">
            <v>4.6264772727272723</v>
          </cell>
          <cell r="D356">
            <v>16.928636363636361</v>
          </cell>
          <cell r="G356">
            <v>-2.661015201376532E-2</v>
          </cell>
          <cell r="Q356">
            <v>-0.42863636363636104</v>
          </cell>
        </row>
        <row r="357">
          <cell r="A357">
            <v>36342</v>
          </cell>
          <cell r="B357">
            <v>4.3072619047619041</v>
          </cell>
          <cell r="D357">
            <v>15.510952380952379</v>
          </cell>
          <cell r="G357">
            <v>-8.2107793464809564E-3</v>
          </cell>
          <cell r="Q357">
            <v>-0.22095238095237946</v>
          </cell>
        </row>
        <row r="358">
          <cell r="A358">
            <v>36373</v>
          </cell>
          <cell r="B358">
            <v>4.6862500000000002</v>
          </cell>
          <cell r="D358">
            <v>16.774090909090912</v>
          </cell>
          <cell r="G358">
            <v>-4.4108459153846535E-4</v>
          </cell>
          <cell r="Q358">
            <v>-0.27409090909091205</v>
          </cell>
        </row>
        <row r="359">
          <cell r="A359">
            <v>36404</v>
          </cell>
          <cell r="B359">
            <v>4.9471428571428575</v>
          </cell>
          <cell r="D359">
            <v>17.100952380952382</v>
          </cell>
          <cell r="G359">
            <v>-6.5260994668083216E-3</v>
          </cell>
          <cell r="Q359">
            <v>-0.31095238095238287</v>
          </cell>
        </row>
        <row r="360">
          <cell r="A360">
            <v>36434</v>
          </cell>
          <cell r="B360">
            <v>4.8485714285714279</v>
          </cell>
          <cell r="D360">
            <v>16.566190476190478</v>
          </cell>
          <cell r="G360">
            <v>-1.4146015348905916E-2</v>
          </cell>
          <cell r="Q360">
            <v>-0.48619047619047961</v>
          </cell>
        </row>
        <row r="361">
          <cell r="A361">
            <v>36465</v>
          </cell>
          <cell r="B361">
            <v>4.7182142857142848</v>
          </cell>
          <cell r="D361">
            <v>16.158571428571427</v>
          </cell>
          <cell r="G361">
            <v>-2.2802525882387181E-3</v>
          </cell>
          <cell r="Q361">
            <v>-0.52857142857142669</v>
          </cell>
        </row>
        <row r="362">
          <cell r="A362">
            <v>36495</v>
          </cell>
          <cell r="B362">
            <v>4.6252380952380951</v>
          </cell>
          <cell r="D362">
            <v>15.962380952380951</v>
          </cell>
          <cell r="G362">
            <v>1.5726108622291513E-3</v>
          </cell>
          <cell r="Q362">
            <v>-0.63238095238095049</v>
          </cell>
        </row>
        <row r="363">
          <cell r="A363">
            <v>36526</v>
          </cell>
          <cell r="B363">
            <v>4.9477500000000001</v>
          </cell>
          <cell r="D363">
            <v>16.2805</v>
          </cell>
          <cell r="G363">
            <v>-1.1593402518989548E-2</v>
          </cell>
          <cell r="Q363">
            <v>-0.72049999999999947</v>
          </cell>
        </row>
        <row r="364">
          <cell r="A364">
            <v>36557</v>
          </cell>
          <cell r="B364">
            <v>5.0548750000000009</v>
          </cell>
          <cell r="D364">
            <v>15.740999999999996</v>
          </cell>
          <cell r="G364">
            <v>-1.6621424026838194E-2</v>
          </cell>
          <cell r="Q364">
            <v>-0.65099999999999625</v>
          </cell>
        </row>
        <row r="365">
          <cell r="A365">
            <v>36586</v>
          </cell>
          <cell r="B365">
            <v>5.2380434782608694</v>
          </cell>
          <cell r="D365">
            <v>16.990434782608698</v>
          </cell>
          <cell r="G365">
            <v>1.0234981584196778E-2</v>
          </cell>
          <cell r="Q365">
            <v>-0.77043478260869946</v>
          </cell>
        </row>
        <row r="366">
          <cell r="A366">
            <v>36617</v>
          </cell>
          <cell r="B366">
            <v>5.3638750000000002</v>
          </cell>
          <cell r="D366">
            <v>18.167000000000002</v>
          </cell>
          <cell r="G366">
            <v>1.2868205807495536E-2</v>
          </cell>
          <cell r="Q366">
            <v>-0.64700000000000202</v>
          </cell>
        </row>
        <row r="367">
          <cell r="A367">
            <v>36647</v>
          </cell>
          <cell r="B367">
            <v>5.5180681818181814</v>
          </cell>
          <cell r="D367">
            <v>17.446363636363639</v>
          </cell>
          <cell r="G367">
            <v>-2.3583744574205423E-2</v>
          </cell>
          <cell r="Q367">
            <v>-0.69636363636363896</v>
          </cell>
        </row>
        <row r="368">
          <cell r="A368">
            <v>36678</v>
          </cell>
          <cell r="B368">
            <v>5.0877272727272738</v>
          </cell>
          <cell r="D368">
            <v>16.290909090909093</v>
          </cell>
          <cell r="G368">
            <v>-4.9698823743569709E-3</v>
          </cell>
          <cell r="Q368">
            <v>-0.64090909090909243</v>
          </cell>
        </row>
        <row r="369">
          <cell r="A369">
            <v>36708</v>
          </cell>
          <cell r="B369">
            <v>4.6111249999999995</v>
          </cell>
          <cell r="D369">
            <v>15.524000000000004</v>
          </cell>
          <cell r="G369">
            <v>1.2233992933422255E-2</v>
          </cell>
          <cell r="Q369">
            <v>-0.82400000000000517</v>
          </cell>
        </row>
        <row r="370">
          <cell r="A370">
            <v>36739</v>
          </cell>
          <cell r="B370">
            <v>4.5770652173913051</v>
          </cell>
          <cell r="D370">
            <v>15.328260869565218</v>
          </cell>
          <cell r="G370">
            <v>-2.8700718128726876E-4</v>
          </cell>
          <cell r="Q370">
            <v>-0.98826086956521841</v>
          </cell>
        </row>
        <row r="371">
          <cell r="A371">
            <v>36770</v>
          </cell>
          <cell r="B371">
            <v>4.9113636363636362</v>
          </cell>
          <cell r="D371">
            <v>15.497</v>
          </cell>
          <cell r="G371">
            <v>-1.7620920124631012E-2</v>
          </cell>
          <cell r="Q371">
            <v>-1.2569999999999997</v>
          </cell>
        </row>
        <row r="372">
          <cell r="A372">
            <v>36800</v>
          </cell>
          <cell r="B372">
            <v>4.7246590909090909</v>
          </cell>
          <cell r="D372">
            <v>15.06772727272727</v>
          </cell>
          <cell r="G372">
            <v>-3.6401179453198762E-3</v>
          </cell>
          <cell r="Q372">
            <v>-1.55772727272727</v>
          </cell>
        </row>
        <row r="373">
          <cell r="A373">
            <v>36831</v>
          </cell>
          <cell r="B373">
            <v>4.8217857142857143</v>
          </cell>
          <cell r="D373">
            <v>14.992380952380953</v>
          </cell>
          <cell r="G373">
            <v>-1.1540647519307334E-2</v>
          </cell>
          <cell r="Q373">
            <v>-1.6223809523809543</v>
          </cell>
        </row>
        <row r="374">
          <cell r="A374">
            <v>36861</v>
          </cell>
          <cell r="B374">
            <v>5.0607499999999996</v>
          </cell>
          <cell r="D374">
            <v>14.991499999999997</v>
          </cell>
          <cell r="G374">
            <v>-1.6587388477403486E-2</v>
          </cell>
          <cell r="Q374">
            <v>-1.8714999999999975</v>
          </cell>
        </row>
        <row r="375">
          <cell r="A375">
            <v>36892</v>
          </cell>
          <cell r="B375">
            <v>4.7740476190476189</v>
          </cell>
          <cell r="D375">
            <v>14.708095238095238</v>
          </cell>
          <cell r="G375">
            <v>1.1265921334475126E-2</v>
          </cell>
          <cell r="Q375">
            <v>-2.1680952380952387</v>
          </cell>
          <cell r="AI375">
            <v>2.4613202095967104</v>
          </cell>
        </row>
        <row r="376">
          <cell r="A376">
            <v>36923</v>
          </cell>
          <cell r="B376">
            <v>4.5565789473684211</v>
          </cell>
          <cell r="D376">
            <v>14.755263157894738</v>
          </cell>
          <cell r="G376">
            <v>1.9710315008267976E-2</v>
          </cell>
          <cell r="Q376">
            <v>-2.3752631578947376</v>
          </cell>
          <cell r="AI376">
            <v>2.4824921631480343</v>
          </cell>
        </row>
        <row r="377">
          <cell r="A377">
            <v>36951</v>
          </cell>
          <cell r="B377">
            <v>4.4730681818181814</v>
          </cell>
          <cell r="D377">
            <v>16.095454545454547</v>
          </cell>
          <cell r="G377">
            <v>3.129943308638361E-2</v>
          </cell>
          <cell r="Q377">
            <v>-2.1854545454545473</v>
          </cell>
          <cell r="AI377">
            <v>1.3665166113081906</v>
          </cell>
        </row>
        <row r="378">
          <cell r="A378">
            <v>36982</v>
          </cell>
          <cell r="B378">
            <v>4.3159999999999998</v>
          </cell>
          <cell r="D378">
            <v>15.147</v>
          </cell>
          <cell r="G378">
            <v>-1.3427486874306338E-2</v>
          </cell>
          <cell r="Q378">
            <v>-1.6170000000000009</v>
          </cell>
          <cell r="AI378">
            <v>0.69192221677149846</v>
          </cell>
        </row>
        <row r="379">
          <cell r="A379">
            <v>37012</v>
          </cell>
          <cell r="B379">
            <v>4.459545454545454</v>
          </cell>
          <cell r="D379">
            <v>14.784347826086956</v>
          </cell>
          <cell r="G379">
            <v>-1.435694017255229E-2</v>
          </cell>
          <cell r="Q379">
            <v>-1.2543478260869563</v>
          </cell>
          <cell r="AI379">
            <v>4.4867693510435647</v>
          </cell>
        </row>
        <row r="380">
          <cell r="A380">
            <v>37043</v>
          </cell>
          <cell r="B380">
            <v>4.6323809523809523</v>
          </cell>
          <cell r="D380">
            <v>15.079047619047618</v>
          </cell>
          <cell r="G380">
            <v>-6.3341650220960499E-3</v>
          </cell>
          <cell r="Q380">
            <v>-0.86904761904761685</v>
          </cell>
          <cell r="AI380">
            <v>5.4924007034582889</v>
          </cell>
        </row>
        <row r="381">
          <cell r="A381">
            <v>37073</v>
          </cell>
          <cell r="B381">
            <v>5.0795238095238098</v>
          </cell>
          <cell r="D381">
            <v>17.443333333333335</v>
          </cell>
          <cell r="G381">
            <v>2.3411043845469548E-2</v>
          </cell>
          <cell r="Q381">
            <v>-0.9533333333333367</v>
          </cell>
          <cell r="AI381">
            <v>3.9291166211186095</v>
          </cell>
        </row>
        <row r="382">
          <cell r="A382">
            <v>37104</v>
          </cell>
          <cell r="B382">
            <v>4.9729347826086956</v>
          </cell>
          <cell r="D382">
            <v>18.075217391304346</v>
          </cell>
          <cell r="G382">
            <v>1.47353172640729E-2</v>
          </cell>
          <cell r="Q382">
            <v>-0.99521739130434739</v>
          </cell>
          <cell r="AI382">
            <v>3.139315465675546</v>
          </cell>
        </row>
        <row r="383">
          <cell r="A383">
            <v>37135</v>
          </cell>
          <cell r="B383">
            <v>4.6855263157894731</v>
          </cell>
          <cell r="D383">
            <v>16.281176470588235</v>
          </cell>
          <cell r="G383">
            <v>-1.8825573705226473E-2</v>
          </cell>
          <cell r="Q383">
            <v>-0.82117647058823451</v>
          </cell>
          <cell r="AI383">
            <v>4.6604268115602032</v>
          </cell>
        </row>
        <row r="384">
          <cell r="A384">
            <v>37165</v>
          </cell>
          <cell r="B384">
            <v>4.3714130434782605</v>
          </cell>
          <cell r="D384">
            <v>15.238695652173913</v>
          </cell>
          <cell r="G384">
            <v>-7.5481641523929E-3</v>
          </cell>
          <cell r="Q384">
            <v>-0.85869565217391219</v>
          </cell>
          <cell r="AI384">
            <v>5.9141935405367292</v>
          </cell>
        </row>
        <row r="385">
          <cell r="A385">
            <v>37196</v>
          </cell>
          <cell r="B385">
            <v>4.4236904761904761</v>
          </cell>
          <cell r="D385">
            <v>16.008571428571425</v>
          </cell>
          <cell r="G385">
            <v>9.7198179927391881E-3</v>
          </cell>
          <cell r="Q385">
            <v>-0.77857142857142492</v>
          </cell>
          <cell r="AI385">
            <v>5.550148061607171</v>
          </cell>
        </row>
        <row r="386">
          <cell r="A386">
            <v>37226</v>
          </cell>
          <cell r="B386">
            <v>4.3578947368421055</v>
          </cell>
          <cell r="D386">
            <v>15.902105263157894</v>
          </cell>
          <cell r="G386">
            <v>1.5407310718343559E-2</v>
          </cell>
          <cell r="Q386">
            <v>-0.80210526315789465</v>
          </cell>
          <cell r="AI386">
            <v>5.8370038558003987</v>
          </cell>
        </row>
        <row r="387">
          <cell r="A387">
            <v>37257</v>
          </cell>
          <cell r="B387">
            <v>4.3555952380952379</v>
          </cell>
          <cell r="D387">
            <v>15.64</v>
          </cell>
          <cell r="G387">
            <v>-6.5470062886656688E-3</v>
          </cell>
          <cell r="Q387">
            <v>-0.82000000000000028</v>
          </cell>
          <cell r="AI387">
            <v>6.8562515046435912</v>
          </cell>
        </row>
        <row r="388">
          <cell r="A388">
            <v>37288</v>
          </cell>
          <cell r="B388">
            <v>4.3592105263157892</v>
          </cell>
          <cell r="D388">
            <v>15.51</v>
          </cell>
          <cell r="G388">
            <v>3.8837634362159923E-4</v>
          </cell>
          <cell r="Q388">
            <v>-1.3599999999999994</v>
          </cell>
          <cell r="AI388">
            <v>7.6696975253848372</v>
          </cell>
        </row>
        <row r="389">
          <cell r="A389">
            <v>37316</v>
          </cell>
          <cell r="B389">
            <v>4.5908749999999996</v>
          </cell>
          <cell r="D389">
            <v>16.3</v>
          </cell>
          <cell r="G389">
            <v>1.0495994447815016E-3</v>
          </cell>
          <cell r="Q389">
            <v>-1.5500000000000007</v>
          </cell>
          <cell r="AI389">
            <v>7.1676535697967285</v>
          </cell>
        </row>
        <row r="390">
          <cell r="A390">
            <v>37347</v>
          </cell>
          <cell r="B390">
            <v>4.6630681818181818</v>
          </cell>
          <cell r="D390">
            <v>16.559999999999999</v>
          </cell>
          <cell r="G390">
            <v>-1.3491915229263407E-4</v>
          </cell>
          <cell r="Q390">
            <v>-1.2499999999999982</v>
          </cell>
          <cell r="AI390">
            <v>8.3278153246129172</v>
          </cell>
        </row>
        <row r="391">
          <cell r="A391">
            <v>37377</v>
          </cell>
          <cell r="B391">
            <v>4.8071590909090904</v>
          </cell>
          <cell r="D391">
            <v>17.16</v>
          </cell>
          <cell r="G391">
            <v>4.6628149497758842E-3</v>
          </cell>
          <cell r="Q391">
            <v>-1.17</v>
          </cell>
          <cell r="AI391">
            <v>10.040056087648008</v>
          </cell>
        </row>
        <row r="392">
          <cell r="A392">
            <v>37408</v>
          </cell>
          <cell r="B392">
            <v>5.0445000000000002</v>
          </cell>
          <cell r="D392">
            <v>18.100000000000001</v>
          </cell>
          <cell r="G392">
            <v>3.0524978605974695E-3</v>
          </cell>
          <cell r="Q392">
            <v>-0.41000000000000014</v>
          </cell>
          <cell r="AI392">
            <v>10.823473925298952</v>
          </cell>
        </row>
        <row r="393">
          <cell r="A393">
            <v>37438</v>
          </cell>
          <cell r="B393">
            <v>5.6901136363636367</v>
          </cell>
          <cell r="D393">
            <v>19.21</v>
          </cell>
          <cell r="G393">
            <v>-5.1329239996131815E-3</v>
          </cell>
          <cell r="Q393">
            <v>-8.9999999999999858E-2</v>
          </cell>
          <cell r="AI393">
            <v>7.2207385738229544</v>
          </cell>
        </row>
        <row r="394">
          <cell r="A394">
            <v>37469</v>
          </cell>
          <cell r="B394">
            <v>5.666363636363636</v>
          </cell>
          <cell r="D394">
            <v>20.58</v>
          </cell>
          <cell r="G394">
            <v>1.9450541716470426E-2</v>
          </cell>
          <cell r="Q394">
            <v>3.0000000000001137E-2</v>
          </cell>
          <cell r="AI394">
            <v>6.0284624712429782</v>
          </cell>
        </row>
        <row r="395">
          <cell r="A395">
            <v>37500</v>
          </cell>
          <cell r="B395">
            <v>5.6661249999999992</v>
          </cell>
          <cell r="D395">
            <v>20.100000000000001</v>
          </cell>
          <cell r="G395">
            <v>-5.1621900594540637E-3</v>
          </cell>
          <cell r="Q395">
            <v>0.21999999999999886</v>
          </cell>
          <cell r="AI395">
            <v>10.483640203981176</v>
          </cell>
        </row>
        <row r="396">
          <cell r="A396">
            <v>37530</v>
          </cell>
          <cell r="B396">
            <v>5.4452173913043476</v>
          </cell>
          <cell r="D396">
            <v>20.22</v>
          </cell>
          <cell r="G396">
            <v>1.5242151460138798E-2</v>
          </cell>
          <cell r="Q396">
            <v>0.53000000000000114</v>
          </cell>
          <cell r="AI396">
            <v>10.606088246384582</v>
          </cell>
        </row>
        <row r="397">
          <cell r="A397">
            <v>37561</v>
          </cell>
          <cell r="B397">
            <v>5.7208749999999995</v>
          </cell>
          <cell r="D397">
            <v>22.26</v>
          </cell>
          <cell r="G397">
            <v>2.6489919309630183E-2</v>
          </cell>
          <cell r="Q397">
            <v>0.75999999999999801</v>
          </cell>
          <cell r="AI397">
            <v>7.3515784416883676</v>
          </cell>
        </row>
        <row r="398">
          <cell r="A398">
            <v>37591</v>
          </cell>
          <cell r="B398">
            <v>5.6696428571428568</v>
          </cell>
          <cell r="D398">
            <v>21.73</v>
          </cell>
          <cell r="G398">
            <v>-3.8132510732549751E-3</v>
          </cell>
          <cell r="Q398">
            <v>0.87000000000000099</v>
          </cell>
          <cell r="AI398">
            <v>6.5543878891896306</v>
          </cell>
        </row>
        <row r="399">
          <cell r="A399">
            <v>37622</v>
          </cell>
          <cell r="B399">
            <v>5.678809523809524</v>
          </cell>
          <cell r="D399">
            <v>20.63</v>
          </cell>
          <cell r="G399">
            <v>-1.6601250703397075E-2</v>
          </cell>
          <cell r="Q399">
            <v>0.85999999999999943</v>
          </cell>
          <cell r="AI399">
            <v>6.5746705621539441</v>
          </cell>
        </row>
        <row r="400">
          <cell r="A400">
            <v>37653</v>
          </cell>
          <cell r="B400">
            <v>5.7047368421052633</v>
          </cell>
          <cell r="D400">
            <v>20.46</v>
          </cell>
          <cell r="G400">
            <v>-1.0271637131954281E-2</v>
          </cell>
          <cell r="Q400">
            <v>0.71000000000000085</v>
          </cell>
          <cell r="AI400">
            <v>8.0454826776771622</v>
          </cell>
        </row>
        <row r="401">
          <cell r="A401">
            <v>37681</v>
          </cell>
          <cell r="B401">
            <v>5.7213095238095244</v>
          </cell>
          <cell r="D401">
            <v>20.94</v>
          </cell>
          <cell r="G401">
            <v>7.8916646594653361E-3</v>
          </cell>
          <cell r="Q401">
            <v>0.61999999999999744</v>
          </cell>
          <cell r="AI401">
            <v>8.6687343778053183</v>
          </cell>
        </row>
        <row r="402">
          <cell r="A402">
            <v>37712</v>
          </cell>
          <cell r="B402">
            <v>6.0339285714285715</v>
          </cell>
          <cell r="D402">
            <v>21.84</v>
          </cell>
          <cell r="G402">
            <v>-1.96704760969868E-3</v>
          </cell>
          <cell r="Q402">
            <v>0.55999999999999872</v>
          </cell>
          <cell r="AI402">
            <v>7.9765359125559776</v>
          </cell>
        </row>
        <row r="403">
          <cell r="A403">
            <v>37742</v>
          </cell>
          <cell r="B403">
            <v>6.3252380952380953</v>
          </cell>
          <cell r="D403">
            <v>22.52</v>
          </cell>
          <cell r="G403">
            <v>-8.0998132933404188E-3</v>
          </cell>
          <cell r="Q403">
            <v>0.65000000000000213</v>
          </cell>
          <cell r="AI403">
            <v>5.6884624362481411</v>
          </cell>
        </row>
        <row r="404">
          <cell r="A404">
            <v>37773</v>
          </cell>
          <cell r="B404">
            <v>6.253452380952381</v>
          </cell>
          <cell r="D404">
            <v>22.14</v>
          </cell>
          <cell r="G404">
            <v>-4.7780841425043574E-4</v>
          </cell>
          <cell r="Q404">
            <v>0.75</v>
          </cell>
          <cell r="AI404">
            <v>2.8380720472654559</v>
          </cell>
        </row>
        <row r="405">
          <cell r="A405">
            <v>37803</v>
          </cell>
          <cell r="B405">
            <v>5.8250000000000002</v>
          </cell>
          <cell r="D405">
            <v>21.01</v>
          </cell>
          <cell r="G405">
            <v>2.7862344338035472E-3</v>
          </cell>
          <cell r="Q405">
            <v>0.78999999999999915</v>
          </cell>
          <cell r="AI405">
            <v>5.6507394238692754</v>
          </cell>
        </row>
        <row r="406">
          <cell r="A406">
            <v>37834</v>
          </cell>
          <cell r="B406">
            <v>5.6667857142857141</v>
          </cell>
          <cell r="D406">
            <v>19.79</v>
          </cell>
          <cell r="G406">
            <v>-1.3365608011218777E-2</v>
          </cell>
          <cell r="Q406">
            <v>0.65000000000000213</v>
          </cell>
          <cell r="AI406">
            <v>8.2340624120357404</v>
          </cell>
        </row>
        <row r="407">
          <cell r="A407">
            <v>37865</v>
          </cell>
          <cell r="B407">
            <v>6.3058333333333341</v>
          </cell>
          <cell r="D407">
            <v>22.47</v>
          </cell>
          <cell r="G407">
            <v>1.4780789539403483E-2</v>
          </cell>
          <cell r="Q407">
            <v>0.75</v>
          </cell>
          <cell r="AD407">
            <v>-0.53</v>
          </cell>
          <cell r="AE407">
            <v>29.592300000000002</v>
          </cell>
          <cell r="AF407">
            <v>29.0623</v>
          </cell>
          <cell r="AI407">
            <v>9.6423033707672836</v>
          </cell>
        </row>
        <row r="408">
          <cell r="A408">
            <v>37895</v>
          </cell>
          <cell r="B408">
            <v>7.3206521739130439</v>
          </cell>
          <cell r="D408">
            <v>26.01</v>
          </cell>
          <cell r="G408">
            <v>-2.865107515226395E-3</v>
          </cell>
          <cell r="Q408">
            <v>1.3599999999999994</v>
          </cell>
          <cell r="AD408">
            <v>-0.53</v>
          </cell>
          <cell r="AE408">
            <v>33.249099999999999</v>
          </cell>
          <cell r="AF408">
            <v>32.719099999999997</v>
          </cell>
          <cell r="AI408">
            <v>10.899342848328558</v>
          </cell>
        </row>
        <row r="409">
          <cell r="A409">
            <v>37926</v>
          </cell>
          <cell r="B409">
            <v>7.6127631578947366</v>
          </cell>
          <cell r="D409">
            <v>26.37</v>
          </cell>
          <cell r="G409">
            <v>-1.2217611855532606E-2</v>
          </cell>
          <cell r="Q409">
            <v>1.3900000000000006</v>
          </cell>
          <cell r="AD409">
            <v>-0.53</v>
          </cell>
          <cell r="AE409">
            <v>33.677700000000002</v>
          </cell>
          <cell r="AF409">
            <v>33.1477</v>
          </cell>
          <cell r="AI409">
            <v>10.437759841000744</v>
          </cell>
        </row>
        <row r="410">
          <cell r="A410">
            <v>37956</v>
          </cell>
          <cell r="B410">
            <v>7.7070454545454545</v>
          </cell>
          <cell r="D410">
            <v>27.89</v>
          </cell>
          <cell r="G410">
            <v>1.9171346205143491E-2</v>
          </cell>
          <cell r="Q410">
            <v>1.6499999999999986</v>
          </cell>
          <cell r="AD410">
            <v>-0.53</v>
          </cell>
          <cell r="AE410">
            <v>35.283300000000004</v>
          </cell>
          <cell r="AF410">
            <v>34.753300000000003</v>
          </cell>
          <cell r="AI410">
            <v>12.376072192644052</v>
          </cell>
        </row>
        <row r="411">
          <cell r="A411">
            <v>37987</v>
          </cell>
          <cell r="B411">
            <v>8.1891250000000007</v>
          </cell>
          <cell r="D411">
            <v>29.16</v>
          </cell>
          <cell r="G411">
            <v>-1.0072016812619766E-2</v>
          </cell>
          <cell r="Q411">
            <v>1.1799999999999997</v>
          </cell>
          <cell r="AD411">
            <v>-0.48</v>
          </cell>
          <cell r="AE411">
            <v>34.920999999999999</v>
          </cell>
          <cell r="AF411">
            <v>34.441000000000003</v>
          </cell>
          <cell r="AI411">
            <v>13.912063994994245</v>
          </cell>
        </row>
        <row r="412">
          <cell r="A412">
            <v>38018</v>
          </cell>
          <cell r="B412">
            <v>8.6151315789473681</v>
          </cell>
          <cell r="D412">
            <v>31.97</v>
          </cell>
          <cell r="G412">
            <v>1.5837736548649006E-2</v>
          </cell>
          <cell r="Q412">
            <v>1.0799999999999983</v>
          </cell>
          <cell r="AD412">
            <v>-0.48</v>
          </cell>
          <cell r="AE412">
            <v>38.631499999999996</v>
          </cell>
          <cell r="AF412">
            <v>38.151499999999999</v>
          </cell>
          <cell r="AI412">
            <v>13.475133229386074</v>
          </cell>
        </row>
        <row r="413">
          <cell r="A413">
            <v>38047</v>
          </cell>
          <cell r="B413">
            <v>9.8159782608695654</v>
          </cell>
          <cell r="D413">
            <v>33.44</v>
          </cell>
          <cell r="G413">
            <v>-2.4042768607833054E-2</v>
          </cell>
          <cell r="Q413">
            <v>1.2199999999999989</v>
          </cell>
          <cell r="Z413">
            <v>-0.25</v>
          </cell>
          <cell r="AA413">
            <v>45729</v>
          </cell>
          <cell r="AB413">
            <v>-0.48</v>
          </cell>
          <cell r="AD413">
            <v>-0.48</v>
          </cell>
          <cell r="AE413">
            <v>40.682599999999994</v>
          </cell>
          <cell r="AF413">
            <v>40.202599999999997</v>
          </cell>
          <cell r="AI413">
            <v>12.919170496612811</v>
          </cell>
        </row>
        <row r="414">
          <cell r="A414">
            <v>38078</v>
          </cell>
          <cell r="B414">
            <v>9.8929761904761904</v>
          </cell>
          <cell r="D414">
            <v>32.630000000000003</v>
          </cell>
          <cell r="G414">
            <v>-1.3358209265357357E-2</v>
          </cell>
          <cell r="Q414">
            <v>1.5599999999999952</v>
          </cell>
          <cell r="Z414">
            <v>-0.25</v>
          </cell>
          <cell r="AA414">
            <v>45730</v>
          </cell>
          <cell r="AB414">
            <v>-0.48</v>
          </cell>
          <cell r="AD414">
            <v>-0.48</v>
          </cell>
          <cell r="AE414">
            <v>39.883299999999998</v>
          </cell>
          <cell r="AF414">
            <v>39.403300000000002</v>
          </cell>
          <cell r="AI414">
            <v>11.63559408248469</v>
          </cell>
        </row>
        <row r="415">
          <cell r="A415">
            <v>38108</v>
          </cell>
          <cell r="B415">
            <v>9.4674999999999994</v>
          </cell>
          <cell r="D415">
            <v>30.54</v>
          </cell>
          <cell r="G415">
            <v>-5.3340801294036733E-3</v>
          </cell>
          <cell r="Q415">
            <v>2.1400000000000006</v>
          </cell>
          <cell r="Z415">
            <v>-0.23</v>
          </cell>
          <cell r="AA415">
            <v>45733</v>
          </cell>
          <cell r="AB415">
            <v>-0.48</v>
          </cell>
          <cell r="AD415">
            <v>-0.48</v>
          </cell>
          <cell r="AE415">
            <v>38.4</v>
          </cell>
          <cell r="AF415">
            <v>37.92</v>
          </cell>
          <cell r="AI415">
            <v>9.0856331484718567</v>
          </cell>
        </row>
        <row r="416">
          <cell r="A416">
            <v>38139</v>
          </cell>
          <cell r="B416">
            <v>8.7269047619047608</v>
          </cell>
          <cell r="D416">
            <v>28.34</v>
          </cell>
          <cell r="G416">
            <v>-4.3247327607154884E-3</v>
          </cell>
          <cell r="Q416">
            <v>1.7399999999999984</v>
          </cell>
          <cell r="Z416">
            <v>35.3247</v>
          </cell>
          <cell r="AA416">
            <v>-0.51330000000000098</v>
          </cell>
          <cell r="AB416">
            <v>35.838000000000001</v>
          </cell>
          <cell r="AD416">
            <v>22.922000000000001</v>
          </cell>
          <cell r="AE416">
            <v>11.531499999999998</v>
          </cell>
          <cell r="AF416">
            <v>34.453499999999998</v>
          </cell>
          <cell r="AI416">
            <v>6.3900080059668944</v>
          </cell>
        </row>
        <row r="417">
          <cell r="A417">
            <v>38169</v>
          </cell>
          <cell r="B417">
            <v>7.8866666666666667</v>
          </cell>
          <cell r="D417">
            <v>25.82</v>
          </cell>
          <cell r="G417">
            <v>8.2426379265632121E-3</v>
          </cell>
          <cell r="Q417">
            <v>2.2300000000000004</v>
          </cell>
          <cell r="Z417">
            <v>33.977600000000002</v>
          </cell>
          <cell r="AA417">
            <v>-0.14189999999999969</v>
          </cell>
          <cell r="AB417">
            <v>34.119500000000002</v>
          </cell>
          <cell r="AD417">
            <v>22.32</v>
          </cell>
          <cell r="AE417">
            <v>11.266100000000002</v>
          </cell>
          <cell r="AF417">
            <v>33.586100000000002</v>
          </cell>
          <cell r="AI417">
            <v>6.6308031470257554</v>
          </cell>
        </row>
        <row r="418">
          <cell r="A418">
            <v>38200</v>
          </cell>
          <cell r="B418">
            <v>6.1449999999999996</v>
          </cell>
          <cell r="D418">
            <v>23.36</v>
          </cell>
          <cell r="G418">
            <v>4.0150040311245194E-2</v>
          </cell>
          <cell r="Q418">
            <v>2.620000000000001</v>
          </cell>
          <cell r="Z418">
            <v>31.954000000000001</v>
          </cell>
          <cell r="AA418">
            <v>0.29540000000000077</v>
          </cell>
          <cell r="AB418">
            <v>31.6586</v>
          </cell>
          <cell r="AD418">
            <v>22.626300000000001</v>
          </cell>
          <cell r="AE418">
            <v>9.191399999999998</v>
          </cell>
          <cell r="AF418">
            <v>31.817699999999999</v>
          </cell>
          <cell r="AI418">
            <v>5.4777905966166553</v>
          </cell>
        </row>
        <row r="419">
          <cell r="A419">
            <v>38231</v>
          </cell>
          <cell r="B419">
            <v>5.6185714285714292</v>
          </cell>
          <cell r="D419">
            <v>22.85</v>
          </cell>
          <cell r="G419">
            <v>2.7820231967301212E-2</v>
          </cell>
          <cell r="Q419">
            <v>3.0199999999999996</v>
          </cell>
          <cell r="Z419">
            <v>32.154699999999998</v>
          </cell>
          <cell r="AA419">
            <v>-0.21430000000000149</v>
          </cell>
          <cell r="AB419">
            <v>32.369</v>
          </cell>
          <cell r="AD419">
            <v>23.2423</v>
          </cell>
          <cell r="AE419">
            <v>9.1266999999999996</v>
          </cell>
          <cell r="AF419">
            <v>32.369</v>
          </cell>
          <cell r="AI419">
            <v>4.5819949520072072</v>
          </cell>
        </row>
        <row r="420">
          <cell r="A420">
            <v>38261</v>
          </cell>
          <cell r="B420">
            <v>5.2644047619047614</v>
          </cell>
          <cell r="D420">
            <v>20.84</v>
          </cell>
          <cell r="G420">
            <v>-1.0838287310995676E-2</v>
          </cell>
          <cell r="Q420">
            <v>2.3900000000000006</v>
          </cell>
          <cell r="Z420">
            <v>29.848800000000001</v>
          </cell>
          <cell r="AA420">
            <v>1.0583999999999989</v>
          </cell>
          <cell r="AB420">
            <v>28.790400000000002</v>
          </cell>
          <cell r="AD420">
            <v>22.377099999999999</v>
          </cell>
          <cell r="AE420">
            <v>6.3181000000000012</v>
          </cell>
          <cell r="AF420">
            <v>28.6952</v>
          </cell>
          <cell r="AI420">
            <v>0.94062947170918676</v>
          </cell>
        </row>
        <row r="421">
          <cell r="A421">
            <v>38292</v>
          </cell>
          <cell r="B421">
            <v>5.3292857142857146</v>
          </cell>
          <cell r="D421">
            <v>20.91</v>
          </cell>
          <cell r="G421">
            <v>4.6210477499723512E-3</v>
          </cell>
          <cell r="Q421">
            <v>2.0399999999999991</v>
          </cell>
          <cell r="Z421">
            <v>33.9285</v>
          </cell>
          <cell r="AA421">
            <v>5.3125</v>
          </cell>
          <cell r="AB421">
            <v>28.616</v>
          </cell>
          <cell r="AD421">
            <v>22.192499999999999</v>
          </cell>
          <cell r="AE421">
            <v>5.7985000000000007</v>
          </cell>
          <cell r="AF421">
            <v>27.991</v>
          </cell>
          <cell r="AI421">
            <v>-0.99031389783717927</v>
          </cell>
        </row>
        <row r="422">
          <cell r="A422">
            <v>38322</v>
          </cell>
          <cell r="B422">
            <v>5.4080681818181811</v>
          </cell>
          <cell r="D422">
            <v>20.49</v>
          </cell>
          <cell r="G422">
            <v>-1.243545703881721E-2</v>
          </cell>
          <cell r="Q422">
            <v>1.3000000000000007</v>
          </cell>
          <cell r="Z422">
            <v>32.174199999999999</v>
          </cell>
          <cell r="AA422">
            <v>4.3737999999999992</v>
          </cell>
          <cell r="AB422">
            <v>27.8004</v>
          </cell>
          <cell r="AD422">
            <v>21.730399999999999</v>
          </cell>
          <cell r="AE422">
            <v>5.3247999999999998</v>
          </cell>
          <cell r="AF422">
            <v>27.055199999999999</v>
          </cell>
          <cell r="AI422">
            <v>-1.1962005613419677</v>
          </cell>
        </row>
        <row r="423">
          <cell r="A423">
            <v>38353</v>
          </cell>
          <cell r="B423">
            <v>5.3251250000000008</v>
          </cell>
          <cell r="D423">
            <v>19.77</v>
          </cell>
          <cell r="G423">
            <v>-6.6538946934525667E-3</v>
          </cell>
          <cell r="Q423">
            <v>0.69999999999999929</v>
          </cell>
          <cell r="Z423">
            <v>28.314</v>
          </cell>
          <cell r="AA423">
            <v>1.9938000000000002</v>
          </cell>
          <cell r="AB423">
            <v>26.3202</v>
          </cell>
          <cell r="AD423">
            <v>20.4465</v>
          </cell>
          <cell r="AE423">
            <v>4.5910000000000011</v>
          </cell>
          <cell r="AF423">
            <v>25.037500000000001</v>
          </cell>
          <cell r="AI423">
            <v>2.3865217153798319</v>
          </cell>
        </row>
        <row r="424">
          <cell r="A424">
            <v>38384</v>
          </cell>
          <cell r="B424">
            <v>5.3775000000000004</v>
          </cell>
          <cell r="D424">
            <v>20.11</v>
          </cell>
          <cell r="G424">
            <v>-1.731680077327602E-3</v>
          </cell>
          <cell r="Q424">
            <v>0.58999999999999986</v>
          </cell>
          <cell r="Z424">
            <v>29.132100000000001</v>
          </cell>
          <cell r="AA424">
            <v>2.8106000000000009</v>
          </cell>
          <cell r="AB424">
            <v>26.3215</v>
          </cell>
          <cell r="AD424">
            <v>20.221</v>
          </cell>
          <cell r="AE424">
            <v>4.6346999999999987</v>
          </cell>
          <cell r="AF424">
            <v>24.855699999999999</v>
          </cell>
          <cell r="AI424">
            <v>1.9088202642507213E-2</v>
          </cell>
        </row>
        <row r="425">
          <cell r="A425">
            <v>38412</v>
          </cell>
          <cell r="B425">
            <v>6.3461363636363641</v>
          </cell>
          <cell r="D425">
            <v>23.31</v>
          </cell>
          <cell r="G425">
            <v>-2.4097240003151388E-3</v>
          </cell>
          <cell r="Q425">
            <v>0.2900000000000027</v>
          </cell>
          <cell r="Z425">
            <v>34.124499999999998</v>
          </cell>
          <cell r="AA425">
            <v>4.4135999999999989</v>
          </cell>
          <cell r="AB425">
            <v>29.710899999999999</v>
          </cell>
          <cell r="AD425">
            <v>21.855</v>
          </cell>
          <cell r="AE425">
            <v>6.1967999999999996</v>
          </cell>
          <cell r="AF425">
            <v>28.0518</v>
          </cell>
          <cell r="AI425">
            <v>-0.45048471723075778</v>
          </cell>
        </row>
        <row r="426">
          <cell r="A426">
            <v>38443</v>
          </cell>
          <cell r="B426">
            <v>6.2259523809523811</v>
          </cell>
          <cell r="D426">
            <v>22.62</v>
          </cell>
          <cell r="G426">
            <v>-8.3855762742280349E-3</v>
          </cell>
          <cell r="Q426">
            <v>0.46999999999999886</v>
          </cell>
          <cell r="Z426">
            <v>34.331400000000002</v>
          </cell>
          <cell r="AA426">
            <v>5.2143000000000015</v>
          </cell>
          <cell r="AB426">
            <v>29.117100000000001</v>
          </cell>
          <cell r="AD426">
            <v>21.718499999999999</v>
          </cell>
          <cell r="AE426">
            <v>5.8867000000000012</v>
          </cell>
          <cell r="AF426">
            <v>27.6052</v>
          </cell>
          <cell r="AI426">
            <v>1.5083302067305695</v>
          </cell>
        </row>
        <row r="427">
          <cell r="A427">
            <v>38473</v>
          </cell>
          <cell r="B427">
            <v>6.3538095238095238</v>
          </cell>
          <cell r="D427">
            <v>22.79</v>
          </cell>
          <cell r="G427">
            <v>-5.8833196662759768E-3</v>
          </cell>
          <cell r="Q427">
            <v>0.58999999999999986</v>
          </cell>
          <cell r="Z427">
            <v>33.456099999999999</v>
          </cell>
          <cell r="AA427">
            <v>4.166599999999999</v>
          </cell>
          <cell r="AB427">
            <v>29.2895</v>
          </cell>
          <cell r="AD427">
            <v>21.792300000000001</v>
          </cell>
          <cell r="AE427">
            <v>5.9971999999999994</v>
          </cell>
          <cell r="AF427">
            <v>27.7895</v>
          </cell>
          <cell r="AI427">
            <v>4.1822808709626855</v>
          </cell>
        </row>
        <row r="428">
          <cell r="A428">
            <v>38504</v>
          </cell>
          <cell r="B428">
            <v>6.9329545454545451</v>
          </cell>
          <cell r="D428">
            <v>24.03</v>
          </cell>
          <cell r="G428">
            <v>-1.1894126738508648E-2</v>
          </cell>
          <cell r="Q428">
            <v>0.67999999999999972</v>
          </cell>
          <cell r="Z428">
            <v>33.7104</v>
          </cell>
          <cell r="AA428">
            <v>3.2840999999999987</v>
          </cell>
          <cell r="AB428">
            <v>30.426300000000001</v>
          </cell>
          <cell r="AD428">
            <v>21.680399999999999</v>
          </cell>
          <cell r="AE428">
            <v>7.3482000000000021</v>
          </cell>
          <cell r="AF428">
            <v>29.028600000000001</v>
          </cell>
          <cell r="AI428">
            <v>4.6194503906849036</v>
          </cell>
        </row>
        <row r="429">
          <cell r="A429">
            <v>38534</v>
          </cell>
          <cell r="B429">
            <v>6.8949999999999996</v>
          </cell>
          <cell r="D429">
            <v>24.83</v>
          </cell>
          <cell r="G429">
            <v>1.0186593823376389E-2</v>
          </cell>
          <cell r="Q429">
            <v>0.63000000000000256</v>
          </cell>
          <cell r="Z429">
            <v>33.296500000000002</v>
          </cell>
          <cell r="AA429">
            <v>2.1875</v>
          </cell>
          <cell r="AB429">
            <v>31.109000000000002</v>
          </cell>
          <cell r="AD429">
            <v>21.893999999999998</v>
          </cell>
          <cell r="AE429">
            <v>8.0400000000000027</v>
          </cell>
          <cell r="AF429">
            <v>29.934000000000001</v>
          </cell>
          <cell r="AI429">
            <v>5.3341710154145829</v>
          </cell>
        </row>
        <row r="430">
          <cell r="A430">
            <v>38565</v>
          </cell>
          <cell r="B430">
            <v>6.2711956521739127</v>
          </cell>
          <cell r="D430">
            <v>22.92</v>
          </cell>
          <cell r="G430">
            <v>3.6196441859791539E-3</v>
          </cell>
          <cell r="Q430">
            <v>0.67999999999999972</v>
          </cell>
          <cell r="Z430">
            <v>31.920400000000001</v>
          </cell>
          <cell r="AA430">
            <v>2.6000000000000014</v>
          </cell>
          <cell r="AB430">
            <v>29.320399999999999</v>
          </cell>
          <cell r="AD430">
            <v>21.24</v>
          </cell>
          <cell r="AE430">
            <v>7.1804000000000023</v>
          </cell>
          <cell r="AF430">
            <v>28.420400000000001</v>
          </cell>
          <cell r="AI430">
            <v>6.5260377265938558</v>
          </cell>
        </row>
        <row r="431">
          <cell r="A431">
            <v>38596</v>
          </cell>
          <cell r="B431">
            <v>5.7701190476190485</v>
          </cell>
          <cell r="D431">
            <v>22.58</v>
          </cell>
          <cell r="G431">
            <v>2.254073380013355E-2</v>
          </cell>
          <cell r="Q431">
            <v>0.61000000000000298</v>
          </cell>
          <cell r="Z431">
            <v>33.246600000000001</v>
          </cell>
          <cell r="AA431">
            <v>4.2666000000000004</v>
          </cell>
          <cell r="AB431">
            <v>28.98</v>
          </cell>
          <cell r="AD431">
            <v>22.0642</v>
          </cell>
          <cell r="AE431">
            <v>5.9967000000000006</v>
          </cell>
          <cell r="AF431">
            <v>28.0609</v>
          </cell>
          <cell r="AI431">
            <v>4.9131012531404785</v>
          </cell>
        </row>
        <row r="432">
          <cell r="A432">
            <v>38626</v>
          </cell>
          <cell r="B432">
            <v>5.7470238095238093</v>
          </cell>
          <cell r="D432">
            <v>23.84</v>
          </cell>
          <cell r="G432">
            <v>2.0511295944733332E-2</v>
          </cell>
          <cell r="Q432">
            <v>0.37000000000000099</v>
          </cell>
          <cell r="Z432">
            <v>34.695700000000002</v>
          </cell>
          <cell r="AA432">
            <v>4.6119000000000021</v>
          </cell>
          <cell r="AB432">
            <v>30.0838</v>
          </cell>
          <cell r="AD432">
            <v>22.540400000000002</v>
          </cell>
          <cell r="AE432">
            <v>6.9123999999999981</v>
          </cell>
          <cell r="AF432">
            <v>29.4528</v>
          </cell>
          <cell r="AI432">
            <v>4.3400601461972492</v>
          </cell>
        </row>
        <row r="433">
          <cell r="A433">
            <v>38657</v>
          </cell>
          <cell r="B433">
            <v>5.7397619047619051</v>
          </cell>
          <cell r="D433">
            <v>22.26</v>
          </cell>
          <cell r="G433">
            <v>-2.1857161166531192E-2</v>
          </cell>
          <cell r="Q433">
            <v>0.25999999999999801</v>
          </cell>
          <cell r="Z433">
            <v>32.631999999999998</v>
          </cell>
          <cell r="AA433">
            <v>4.2924999999999969</v>
          </cell>
          <cell r="AB433">
            <v>28.339500000000001</v>
          </cell>
          <cell r="AD433">
            <v>22.146999999999998</v>
          </cell>
          <cell r="AE433">
            <v>5.7200000000000024</v>
          </cell>
          <cell r="AF433">
            <v>27.867000000000001</v>
          </cell>
          <cell r="AI433">
            <v>4.8793348703726238</v>
          </cell>
        </row>
        <row r="434">
          <cell r="A434">
            <v>38687</v>
          </cell>
          <cell r="B434">
            <v>5.8933333333333335</v>
          </cell>
          <cell r="D434">
            <v>21.25</v>
          </cell>
          <cell r="G434">
            <v>-3.0663788562161898E-2</v>
          </cell>
          <cell r="Q434">
            <v>-0.25</v>
          </cell>
          <cell r="Z434">
            <v>29.997</v>
          </cell>
          <cell r="AA434">
            <v>3.3724999999999987</v>
          </cell>
          <cell r="AB434">
            <v>26.624500000000001</v>
          </cell>
          <cell r="AD434">
            <v>21.491</v>
          </cell>
          <cell r="AE434">
            <v>4.7310000000000016</v>
          </cell>
          <cell r="AF434">
            <v>26.222000000000001</v>
          </cell>
          <cell r="AI434">
            <v>5.8496764618173067</v>
          </cell>
        </row>
        <row r="435">
          <cell r="A435">
            <v>38718</v>
          </cell>
          <cell r="B435">
            <v>5.8243749999999999</v>
          </cell>
          <cell r="D435">
            <v>22.05</v>
          </cell>
          <cell r="G435">
            <v>1.6000280537894263E-2</v>
          </cell>
          <cell r="Q435">
            <v>-0.42000000000000171</v>
          </cell>
          <cell r="Z435">
            <v>29.032</v>
          </cell>
          <cell r="AA435">
            <v>2.0874999999999986</v>
          </cell>
          <cell r="AB435">
            <v>26.944500000000001</v>
          </cell>
          <cell r="AD435">
            <v>21.795000000000002</v>
          </cell>
          <cell r="AE435">
            <v>4.7594999999999992</v>
          </cell>
          <cell r="AF435">
            <v>26.554500000000001</v>
          </cell>
          <cell r="AI435">
            <v>7.8279985129224787</v>
          </cell>
        </row>
        <row r="436">
          <cell r="A436">
            <v>38749</v>
          </cell>
          <cell r="B436">
            <v>5.8340789473684209</v>
          </cell>
          <cell r="D436">
            <v>22.57</v>
          </cell>
          <cell r="G436">
            <v>1.0541258152583222E-2</v>
          </cell>
          <cell r="Q436">
            <v>-0.35999999999999943</v>
          </cell>
          <cell r="Z436">
            <v>28.940999999999999</v>
          </cell>
          <cell r="AA436">
            <v>2.3578999999999972</v>
          </cell>
          <cell r="AB436">
            <v>26.583100000000002</v>
          </cell>
          <cell r="AD436">
            <v>22.6873</v>
          </cell>
          <cell r="AE436">
            <v>3.7536999999999985</v>
          </cell>
          <cell r="AF436">
            <v>26.440999999999999</v>
          </cell>
          <cell r="AI436">
            <v>7.7424543944884014</v>
          </cell>
        </row>
        <row r="437">
          <cell r="A437">
            <v>38777</v>
          </cell>
          <cell r="B437">
            <v>5.7891304347826091</v>
          </cell>
          <cell r="D437">
            <v>23.55</v>
          </cell>
          <cell r="G437">
            <v>1.6237367128800584E-2</v>
          </cell>
          <cell r="Q437">
            <v>-0.33999999999999986</v>
          </cell>
          <cell r="Z437">
            <v>31.6769</v>
          </cell>
          <cell r="AA437">
            <v>5.8873999999999995</v>
          </cell>
          <cell r="AB437">
            <v>25.7895</v>
          </cell>
          <cell r="AD437">
            <v>22.778600000000001</v>
          </cell>
          <cell r="AE437">
            <v>3.8695999999999984</v>
          </cell>
          <cell r="AF437">
            <v>26.648199999999999</v>
          </cell>
          <cell r="AI437">
            <v>8.3716077111847262</v>
          </cell>
        </row>
        <row r="438">
          <cell r="A438">
            <v>38808</v>
          </cell>
          <cell r="B438">
            <v>5.6853947368421052</v>
          </cell>
          <cell r="D438">
            <v>23.52</v>
          </cell>
          <cell r="G438">
            <v>3.2991733474802554E-3</v>
          </cell>
          <cell r="Q438">
            <v>-0.53999999999999915</v>
          </cell>
          <cell r="Z438">
            <v>32.1736</v>
          </cell>
          <cell r="AA438">
            <v>6.5921000000000021</v>
          </cell>
          <cell r="AB438">
            <v>25.581499999999998</v>
          </cell>
          <cell r="AD438">
            <v>23.181000000000001</v>
          </cell>
          <cell r="AE438">
            <v>3.2689999999999984</v>
          </cell>
          <cell r="AF438">
            <v>26.45</v>
          </cell>
          <cell r="AI438">
            <v>7.85626613555403</v>
          </cell>
        </row>
        <row r="439">
          <cell r="A439">
            <v>38838</v>
          </cell>
          <cell r="B439">
            <v>5.9154545454545451</v>
          </cell>
          <cell r="D439">
            <v>25.44</v>
          </cell>
          <cell r="G439">
            <v>1.495474830262461E-2</v>
          </cell>
          <cell r="Q439">
            <v>-0.67999999999999972</v>
          </cell>
          <cell r="Z439">
            <v>34.944000000000003</v>
          </cell>
          <cell r="AA439">
            <v>7.6000000000000014</v>
          </cell>
          <cell r="AB439">
            <v>27.344000000000001</v>
          </cell>
          <cell r="AD439">
            <v>23.474</v>
          </cell>
          <cell r="AE439">
            <v>4.0609999999999999</v>
          </cell>
          <cell r="AF439">
            <v>27.535</v>
          </cell>
          <cell r="AI439">
            <v>9.8756371765913613</v>
          </cell>
        </row>
        <row r="440">
          <cell r="A440">
            <v>38869</v>
          </cell>
          <cell r="B440">
            <v>5.8922727272727276</v>
          </cell>
          <cell r="D440">
            <v>24.95</v>
          </cell>
          <cell r="G440">
            <v>-7.827724541789427E-3</v>
          </cell>
          <cell r="Q440">
            <v>-0.75</v>
          </cell>
          <cell r="Z440">
            <v>34.862200000000001</v>
          </cell>
          <cell r="AA440">
            <v>7.6591000000000022</v>
          </cell>
          <cell r="AB440">
            <v>27.203099999999999</v>
          </cell>
          <cell r="AD440">
            <v>23.090900000000001</v>
          </cell>
          <cell r="AE440">
            <v>3.8508999999999993</v>
          </cell>
          <cell r="AF440">
            <v>26.941800000000001</v>
          </cell>
          <cell r="AI440">
            <v>8.8257998373125268</v>
          </cell>
        </row>
        <row r="441">
          <cell r="A441">
            <v>38899</v>
          </cell>
          <cell r="B441">
            <v>5.9126250000000002</v>
          </cell>
          <cell r="D441">
            <v>26.66</v>
          </cell>
          <cell r="G441">
            <v>2.690297292872651E-2</v>
          </cell>
          <cell r="Q441">
            <v>-0.80000000000000071</v>
          </cell>
          <cell r="Z441">
            <v>36.606999999999999</v>
          </cell>
          <cell r="AA441">
            <v>7.7249999999999979</v>
          </cell>
          <cell r="AB441">
            <v>28.882000000000001</v>
          </cell>
          <cell r="AD441">
            <v>24.0825</v>
          </cell>
          <cell r="AE441">
            <v>5.0495000000000019</v>
          </cell>
          <cell r="AF441">
            <v>29.132000000000001</v>
          </cell>
          <cell r="AI441">
            <v>7.4945726389297</v>
          </cell>
        </row>
        <row r="442">
          <cell r="A442">
            <v>38930</v>
          </cell>
          <cell r="B442">
            <v>5.5477173913043476</v>
          </cell>
          <cell r="D442">
            <v>25.58</v>
          </cell>
          <cell r="G442">
            <v>5.1136373455713535E-3</v>
          </cell>
          <cell r="Q442">
            <v>-0.77999999999999758</v>
          </cell>
          <cell r="Z442">
            <v>35.304699999999997</v>
          </cell>
          <cell r="AA442">
            <v>7.9990999999999985</v>
          </cell>
          <cell r="AB442">
            <v>27.305599999999998</v>
          </cell>
          <cell r="AD442">
            <v>25.581700000000001</v>
          </cell>
          <cell r="AE442">
            <v>2.5274000000000001</v>
          </cell>
          <cell r="AF442">
            <v>28.109100000000002</v>
          </cell>
          <cell r="AI442">
            <v>8.986827237773646</v>
          </cell>
        </row>
        <row r="443">
          <cell r="A443">
            <v>38961</v>
          </cell>
          <cell r="B443">
            <v>5.4242499999999998</v>
          </cell>
          <cell r="D443">
            <v>24.31</v>
          </cell>
          <cell r="G443">
            <v>-1.4302030956875877E-2</v>
          </cell>
          <cell r="Q443">
            <v>-0.76999999999999957</v>
          </cell>
          <cell r="Z443">
            <v>35.330500000000001</v>
          </cell>
          <cell r="AA443">
            <v>7.32</v>
          </cell>
          <cell r="AB443">
            <v>28.0105</v>
          </cell>
          <cell r="AD443">
            <v>24.832000000000001</v>
          </cell>
          <cell r="AE443">
            <v>3.0734999999999992</v>
          </cell>
          <cell r="AF443">
            <v>27.9055</v>
          </cell>
          <cell r="AI443">
            <v>11.311869848252396</v>
          </cell>
        </row>
        <row r="444">
          <cell r="A444">
            <v>38991</v>
          </cell>
          <cell r="B444">
            <v>5.9298863636363635</v>
          </cell>
          <cell r="D444">
            <v>25.51</v>
          </cell>
          <cell r="G444">
            <v>-1.0901797190081663E-2</v>
          </cell>
          <cell r="Q444">
            <v>-0.72000000000000242</v>
          </cell>
          <cell r="Z444">
            <v>37.463099999999997</v>
          </cell>
          <cell r="AA444">
            <v>6.3692999999999955</v>
          </cell>
          <cell r="AB444">
            <v>31.093800000000002</v>
          </cell>
          <cell r="AD444">
            <v>25.110900000000001</v>
          </cell>
          <cell r="AE444">
            <v>4.3521999999999998</v>
          </cell>
          <cell r="AF444">
            <v>29.463100000000001</v>
          </cell>
          <cell r="AI444">
            <v>11.289620194494209</v>
          </cell>
        </row>
        <row r="445">
          <cell r="A445">
            <v>39022</v>
          </cell>
          <cell r="B445">
            <v>6.6405952380952389</v>
          </cell>
          <cell r="D445">
            <v>28.29</v>
          </cell>
          <cell r="G445">
            <v>2.4445281537479602E-3</v>
          </cell>
          <cell r="Q445">
            <v>-0.64999999999999858</v>
          </cell>
          <cell r="Z445">
            <v>40.256</v>
          </cell>
          <cell r="AA445">
            <v>7.0424999999999969</v>
          </cell>
          <cell r="AB445">
            <v>33.213500000000003</v>
          </cell>
          <cell r="AD445">
            <v>27.5915</v>
          </cell>
          <cell r="AE445">
            <v>5.1519999999999975</v>
          </cell>
          <cell r="AF445">
            <v>32.743499999999997</v>
          </cell>
          <cell r="AI445">
            <v>11.897087703232284</v>
          </cell>
        </row>
        <row r="446">
          <cell r="A446">
            <v>39052</v>
          </cell>
          <cell r="B446">
            <v>6.6217499999999996</v>
          </cell>
          <cell r="D446">
            <v>28.69</v>
          </cell>
          <cell r="G446">
            <v>1.1628232153896856E-2</v>
          </cell>
          <cell r="Q446">
            <v>-1.0300000000000011</v>
          </cell>
          <cell r="Z446">
            <v>39.664000000000001</v>
          </cell>
          <cell r="AA446">
            <v>6.9320000000000022</v>
          </cell>
          <cell r="AB446">
            <v>32.731999999999999</v>
          </cell>
          <cell r="AD446">
            <v>29.982500000000002</v>
          </cell>
          <cell r="AE446">
            <v>3.4319999999999951</v>
          </cell>
          <cell r="AF446">
            <v>33.414499999999997</v>
          </cell>
          <cell r="AI446">
            <v>13.26420658337484</v>
          </cell>
        </row>
        <row r="447">
          <cell r="A447">
            <v>39083</v>
          </cell>
          <cell r="B447">
            <v>6.963571428571429</v>
          </cell>
          <cell r="D447">
            <v>28.93</v>
          </cell>
          <cell r="G447">
            <v>-1.7379886523923027E-2</v>
          </cell>
          <cell r="Q447">
            <v>-0.91000000000000014</v>
          </cell>
          <cell r="Z447">
            <v>38.338999999999999</v>
          </cell>
          <cell r="AA447">
            <v>7.4375</v>
          </cell>
          <cell r="AB447">
            <v>30.901499999999999</v>
          </cell>
          <cell r="AD447">
            <v>30.411999999999999</v>
          </cell>
          <cell r="AE447">
            <v>2.5769999999999982</v>
          </cell>
          <cell r="AF447">
            <v>32.988999999999997</v>
          </cell>
          <cell r="AI447">
            <v>13.701370341564591</v>
          </cell>
        </row>
        <row r="448">
          <cell r="A448">
            <v>39114</v>
          </cell>
          <cell r="B448">
            <v>7.5669736842105264</v>
          </cell>
          <cell r="D448">
            <v>30.16</v>
          </cell>
          <cell r="G448">
            <v>-1.0389670166194187E-2</v>
          </cell>
          <cell r="Q448">
            <v>-1.2199999999999989</v>
          </cell>
          <cell r="Z448">
            <v>39.476300000000002</v>
          </cell>
          <cell r="AA448">
            <v>8.2685000000000031</v>
          </cell>
          <cell r="AB448">
            <v>31.207799999999999</v>
          </cell>
          <cell r="AD448">
            <v>30.816800000000001</v>
          </cell>
          <cell r="AE448">
            <v>2.3736999999999995</v>
          </cell>
          <cell r="AF448">
            <v>33.1905</v>
          </cell>
          <cell r="AI448">
            <v>14.44608815183064</v>
          </cell>
        </row>
        <row r="449">
          <cell r="A449">
            <v>39142</v>
          </cell>
          <cell r="B449">
            <v>7.5376136363636359</v>
          </cell>
          <cell r="D449">
            <v>31.01</v>
          </cell>
          <cell r="G449">
            <v>8.6163184787811931E-3</v>
          </cell>
          <cell r="Q449">
            <v>-1.2700000000000031</v>
          </cell>
          <cell r="Z449">
            <v>39.4163</v>
          </cell>
          <cell r="AA449">
            <v>7.0227000000000004</v>
          </cell>
          <cell r="AB449">
            <v>32.393599999999999</v>
          </cell>
          <cell r="AD449">
            <v>30.911799999999999</v>
          </cell>
          <cell r="AE449">
            <v>3.0386000000000024</v>
          </cell>
          <cell r="AF449">
            <v>33.950400000000002</v>
          </cell>
          <cell r="AI449">
            <v>16.635055317870549</v>
          </cell>
        </row>
        <row r="450">
          <cell r="A450">
            <v>39173</v>
          </cell>
          <cell r="B450">
            <v>7.3588750000000003</v>
          </cell>
          <cell r="D450">
            <v>32.39</v>
          </cell>
          <cell r="G450">
            <v>3.2275398867977478E-2</v>
          </cell>
          <cell r="Q450">
            <v>-1.3300000000000018</v>
          </cell>
          <cell r="Z450">
            <v>39.965699999999998</v>
          </cell>
          <cell r="AA450">
            <v>5.8449999999999989</v>
          </cell>
          <cell r="AB450">
            <v>34.120699999999999</v>
          </cell>
          <cell r="AD450">
            <v>35.295999999999999</v>
          </cell>
          <cell r="AE450">
            <v>1.0450000000000017</v>
          </cell>
          <cell r="AF450">
            <v>36.341000000000001</v>
          </cell>
          <cell r="AI450">
            <v>17.459944457582303</v>
          </cell>
        </row>
        <row r="451">
          <cell r="A451">
            <v>39203</v>
          </cell>
          <cell r="B451">
            <v>7.7076136363636358</v>
          </cell>
          <cell r="D451">
            <v>34.479999999999997</v>
          </cell>
          <cell r="G451">
            <v>6.0704750147348441E-3</v>
          </cell>
          <cell r="Q451">
            <v>-1.5799999999999983</v>
          </cell>
          <cell r="Z451">
            <v>42.359499999999997</v>
          </cell>
          <cell r="AA451">
            <v>5.708599999999997</v>
          </cell>
          <cell r="AB451">
            <v>36.6509</v>
          </cell>
          <cell r="AD451">
            <v>38.363999999999997</v>
          </cell>
          <cell r="AE451">
            <v>-0.26999999999999602</v>
          </cell>
          <cell r="AF451">
            <v>38.094000000000001</v>
          </cell>
          <cell r="AI451">
            <v>19.00383250769141</v>
          </cell>
        </row>
        <row r="452">
          <cell r="A452">
            <v>39234</v>
          </cell>
          <cell r="B452">
            <v>8.2416666666666671</v>
          </cell>
          <cell r="D452">
            <v>35.51</v>
          </cell>
          <cell r="G452">
            <v>-1.2128730222386752E-2</v>
          </cell>
          <cell r="Q452">
            <v>-1.5</v>
          </cell>
          <cell r="Z452">
            <v>44.024700000000003</v>
          </cell>
          <cell r="AA452">
            <v>6.0714000000000041</v>
          </cell>
          <cell r="AB452">
            <v>37.953299999999999</v>
          </cell>
          <cell r="AD452">
            <v>40.167099999999998</v>
          </cell>
          <cell r="AE452">
            <v>-1.5304999999999964</v>
          </cell>
          <cell r="AF452">
            <v>38.636600000000001</v>
          </cell>
          <cell r="AI452">
            <v>18.177192902298142</v>
          </cell>
        </row>
        <row r="453">
          <cell r="A453">
            <v>39264</v>
          </cell>
          <cell r="B453">
            <v>8.5314285714285703</v>
          </cell>
          <cell r="D453">
            <v>37.24</v>
          </cell>
          <cell r="G453">
            <v>7.8738889631401743E-3</v>
          </cell>
          <cell r="Q453">
            <v>-1.5</v>
          </cell>
          <cell r="Z453">
            <v>46.988999999999997</v>
          </cell>
          <cell r="AA453">
            <v>7.9809999999999945</v>
          </cell>
          <cell r="AB453">
            <v>39.008000000000003</v>
          </cell>
          <cell r="AD453">
            <v>41.148499999999999</v>
          </cell>
          <cell r="AE453">
            <v>-1.3618999999999986</v>
          </cell>
          <cell r="AF453">
            <v>39.7866</v>
          </cell>
          <cell r="AI453">
            <v>19.665653298465291</v>
          </cell>
        </row>
        <row r="454">
          <cell r="A454">
            <v>39295</v>
          </cell>
          <cell r="B454">
            <v>8.409782608695652</v>
          </cell>
          <cell r="D454">
            <v>36.24</v>
          </cell>
          <cell r="G454">
            <v>-6.3124955186744658E-3</v>
          </cell>
          <cell r="Q454">
            <v>-1.3700000000000045</v>
          </cell>
          <cell r="Z454">
            <v>46.901299999999999</v>
          </cell>
          <cell r="AA454">
            <v>8.2912999999999997</v>
          </cell>
          <cell r="AB454">
            <v>38.61</v>
          </cell>
          <cell r="AD454">
            <v>40.813000000000002</v>
          </cell>
          <cell r="AE454">
            <v>-1.1400000000000006</v>
          </cell>
          <cell r="AF454">
            <v>39.673000000000002</v>
          </cell>
          <cell r="AI454">
            <v>20.114288004719622</v>
          </cell>
        </row>
        <row r="455">
          <cell r="A455">
            <v>39326</v>
          </cell>
          <cell r="B455">
            <v>9.45907894736842</v>
          </cell>
          <cell r="D455">
            <v>38.74</v>
          </cell>
          <cell r="G455">
            <v>-1.7025435320406734E-2</v>
          </cell>
          <cell r="Q455">
            <v>-1.8500000000000014</v>
          </cell>
          <cell r="Z455">
            <v>51.52</v>
          </cell>
          <cell r="AA455">
            <v>9.657900000000005</v>
          </cell>
          <cell r="AB455">
            <v>41.862099999999998</v>
          </cell>
          <cell r="AD455">
            <v>41.323099999999997</v>
          </cell>
          <cell r="AE455">
            <v>1.6416000000000039</v>
          </cell>
          <cell r="AF455">
            <v>42.964700000000001</v>
          </cell>
          <cell r="AI455">
            <v>25.705879072133207</v>
          </cell>
        </row>
        <row r="456">
          <cell r="A456">
            <v>39356</v>
          </cell>
          <cell r="B456">
            <v>9.7541304347826081</v>
          </cell>
          <cell r="D456">
            <v>40.14</v>
          </cell>
          <cell r="G456">
            <v>-2.657627943362828E-3</v>
          </cell>
          <cell r="Q456">
            <v>-2.0399999999999991</v>
          </cell>
          <cell r="Z456">
            <v>55.290399999999998</v>
          </cell>
          <cell r="AA456">
            <v>12.543500000000002</v>
          </cell>
          <cell r="AB456">
            <v>42.746899999999997</v>
          </cell>
          <cell r="AD456">
            <v>44.176499999999997</v>
          </cell>
          <cell r="AE456">
            <v>0.24430000000000263</v>
          </cell>
          <cell r="AF456">
            <v>44.4208</v>
          </cell>
          <cell r="AI456">
            <v>27.160278028211906</v>
          </cell>
        </row>
        <row r="457">
          <cell r="A457">
            <v>39387</v>
          </cell>
          <cell r="B457">
            <v>10.587261904761904</v>
          </cell>
          <cell r="D457">
            <v>44.81</v>
          </cell>
          <cell r="G457">
            <v>1.7463383184940229E-2</v>
          </cell>
          <cell r="Q457">
            <v>-2.1300000000000026</v>
          </cell>
          <cell r="Z457">
            <v>58.707999999999998</v>
          </cell>
          <cell r="AA457">
            <v>11.412500000000001</v>
          </cell>
          <cell r="AB457">
            <v>47.295499999999997</v>
          </cell>
          <cell r="AD457">
            <v>47.344999999999999</v>
          </cell>
          <cell r="AE457">
            <v>1.8254999999999981</v>
          </cell>
          <cell r="AF457">
            <v>49.170499999999997</v>
          </cell>
          <cell r="AI457">
            <v>29.950127389591795</v>
          </cell>
        </row>
        <row r="458">
          <cell r="A458">
            <v>39417</v>
          </cell>
          <cell r="B458">
            <v>11.514374999999999</v>
          </cell>
          <cell r="D458">
            <v>46.78</v>
          </cell>
          <cell r="G458">
            <v>-1.6855982043999407E-2</v>
          </cell>
          <cell r="Q458">
            <v>-1.6200000000000045</v>
          </cell>
          <cell r="Z458">
            <v>59.820999999999998</v>
          </cell>
          <cell r="AA458">
            <v>11.326499999999996</v>
          </cell>
          <cell r="AB458">
            <v>48.494500000000002</v>
          </cell>
          <cell r="AD458">
            <v>47.491500000000002</v>
          </cell>
          <cell r="AE458">
            <v>3.3109999999999999</v>
          </cell>
          <cell r="AF458">
            <v>50.802500000000002</v>
          </cell>
          <cell r="AI458">
            <v>35.063636834178546</v>
          </cell>
        </row>
        <row r="459">
          <cell r="A459">
            <v>39448</v>
          </cell>
          <cell r="B459">
            <v>12.565833333333332</v>
          </cell>
          <cell r="D459">
            <v>52.07</v>
          </cell>
          <cell r="G459">
            <v>8.4628109190627021E-3</v>
          </cell>
          <cell r="Q459">
            <v>-2.2999999999999972</v>
          </cell>
          <cell r="Z459">
            <v>65.177599999999998</v>
          </cell>
          <cell r="AA459">
            <v>11.850000000000001</v>
          </cell>
          <cell r="AB459">
            <v>53.327599999999997</v>
          </cell>
          <cell r="AD459">
            <v>52.232300000000002</v>
          </cell>
          <cell r="AE459">
            <v>3.4047999999999945</v>
          </cell>
          <cell r="AF459">
            <v>55.637099999999997</v>
          </cell>
          <cell r="AI459">
            <v>35.915232237036982</v>
          </cell>
        </row>
        <row r="460">
          <cell r="A460">
            <v>39479</v>
          </cell>
          <cell r="B460">
            <v>13.831375000000001</v>
          </cell>
          <cell r="D460">
            <v>59.32</v>
          </cell>
          <cell r="G460">
            <v>2.0910575174149848E-2</v>
          </cell>
          <cell r="Q460">
            <v>-2.6400000000000006</v>
          </cell>
          <cell r="Z460">
            <v>71.618499999999997</v>
          </cell>
          <cell r="AA460">
            <v>10.649999999999999</v>
          </cell>
          <cell r="AB460">
            <v>60.968499999999999</v>
          </cell>
          <cell r="AD460">
            <v>58.229500000000002</v>
          </cell>
          <cell r="AE460">
            <v>5.1139999999999972</v>
          </cell>
          <cell r="AF460">
            <v>63.343499999999999</v>
          </cell>
          <cell r="AI460">
            <v>33.589994349913106</v>
          </cell>
        </row>
        <row r="461">
          <cell r="A461">
            <v>39508</v>
          </cell>
          <cell r="B461">
            <v>13.490499999999999</v>
          </cell>
          <cell r="D461">
            <v>60.47</v>
          </cell>
          <cell r="G461">
            <v>1.3579118346579822E-2</v>
          </cell>
          <cell r="Q461">
            <v>-3.1999999999999957</v>
          </cell>
          <cell r="Z461">
            <v>73.590500000000006</v>
          </cell>
          <cell r="AA461">
            <v>9.8125000000000071</v>
          </cell>
          <cell r="AB461">
            <v>63.777999999999999</v>
          </cell>
          <cell r="AD461">
            <v>65.13</v>
          </cell>
          <cell r="AE461">
            <v>-1.4144999999999968</v>
          </cell>
          <cell r="AF461">
            <v>63.715499999999999</v>
          </cell>
          <cell r="AI461">
            <v>34.897819254702782</v>
          </cell>
        </row>
        <row r="462">
          <cell r="A462">
            <v>39539</v>
          </cell>
          <cell r="B462">
            <v>13.139431818181817</v>
          </cell>
          <cell r="D462">
            <v>58.61</v>
          </cell>
          <cell r="G462">
            <v>-2.8089074852125084E-3</v>
          </cell>
          <cell r="Q462">
            <v>-2.0300000000000011</v>
          </cell>
          <cell r="Z462">
            <v>72.471299999999999</v>
          </cell>
          <cell r="AA462">
            <v>10.5227</v>
          </cell>
          <cell r="AB462">
            <v>61.948599999999999</v>
          </cell>
          <cell r="AD462">
            <v>62.064999999999998</v>
          </cell>
          <cell r="AE462">
            <v>1.429000000000002</v>
          </cell>
          <cell r="AF462">
            <v>63.494</v>
          </cell>
          <cell r="AI462">
            <v>35.556376537730785</v>
          </cell>
        </row>
        <row r="463">
          <cell r="A463">
            <v>39569</v>
          </cell>
          <cell r="B463">
            <v>13.310833333333333</v>
          </cell>
          <cell r="D463">
            <v>60.6</v>
          </cell>
          <cell r="G463">
            <v>1.0375501312580471E-2</v>
          </cell>
          <cell r="Q463">
            <v>-2.3299999999999983</v>
          </cell>
          <cell r="Z463">
            <v>74.085700000000003</v>
          </cell>
          <cell r="AA463">
            <v>9.2077000000000027</v>
          </cell>
          <cell r="AB463">
            <v>64.878</v>
          </cell>
          <cell r="AD463">
            <v>62.039499999999997</v>
          </cell>
          <cell r="AE463">
            <v>4.0766000000000062</v>
          </cell>
          <cell r="AF463">
            <v>66.116100000000003</v>
          </cell>
          <cell r="AI463">
            <v>30.664670047203856</v>
          </cell>
        </row>
        <row r="464">
          <cell r="A464">
            <v>39600</v>
          </cell>
          <cell r="B464">
            <v>15.035833333333333</v>
          </cell>
          <cell r="D464">
            <v>64.16</v>
          </cell>
          <cell r="G464">
            <v>-2.5622404054261527E-2</v>
          </cell>
          <cell r="Q464">
            <v>-1.7299999999999969</v>
          </cell>
          <cell r="Z464">
            <v>76.811899999999994</v>
          </cell>
          <cell r="AA464">
            <v>7.7738999999999976</v>
          </cell>
          <cell r="AB464">
            <v>69.037999999999997</v>
          </cell>
          <cell r="AD464">
            <v>60.658000000000001</v>
          </cell>
          <cell r="AE464">
            <v>9.7014999999999958</v>
          </cell>
          <cell r="AF464">
            <v>70.359499999999997</v>
          </cell>
          <cell r="AI464">
            <v>20.661049223444557</v>
          </cell>
        </row>
        <row r="465">
          <cell r="A465">
            <v>39630</v>
          </cell>
          <cell r="B465">
            <v>15.081477272727273</v>
          </cell>
          <cell r="D465">
            <v>62.32</v>
          </cell>
          <cell r="G465">
            <v>-1.3898093517251409E-2</v>
          </cell>
          <cell r="Q465">
            <v>-1.7800000000000011</v>
          </cell>
          <cell r="Z465">
            <v>74.517200000000003</v>
          </cell>
          <cell r="AA465">
            <v>8.0909000000000049</v>
          </cell>
          <cell r="AB465">
            <v>66.426299999999998</v>
          </cell>
          <cell r="AD465">
            <v>56.197200000000002</v>
          </cell>
          <cell r="AE465">
            <v>11.979599999999998</v>
          </cell>
          <cell r="AF465">
            <v>68.1768</v>
          </cell>
          <cell r="AI465">
            <v>13.845458169998992</v>
          </cell>
        </row>
        <row r="466">
          <cell r="A466">
            <v>39661</v>
          </cell>
          <cell r="B466">
            <v>12.820357142857143</v>
          </cell>
          <cell r="D466">
            <v>52.91</v>
          </cell>
          <cell r="G466">
            <v>-2.8181830022522836E-3</v>
          </cell>
          <cell r="Q466">
            <v>-2.1299999999999955</v>
          </cell>
          <cell r="Z466">
            <v>63.018500000000003</v>
          </cell>
          <cell r="AA466">
            <v>6.5714000000000041</v>
          </cell>
          <cell r="AB466">
            <v>56.447099999999999</v>
          </cell>
          <cell r="AD466">
            <v>46.3628</v>
          </cell>
          <cell r="AE466">
            <v>12.297199999999997</v>
          </cell>
          <cell r="AF466">
            <v>58.66</v>
          </cell>
          <cell r="AI466">
            <v>4.7354581134445795</v>
          </cell>
        </row>
        <row r="467">
          <cell r="A467">
            <v>39692</v>
          </cell>
          <cell r="B467">
            <v>11.916190476190478</v>
          </cell>
          <cell r="D467">
            <v>47.36</v>
          </cell>
          <cell r="G467">
            <v>-8.8010715968629971E-3</v>
          </cell>
          <cell r="Q467">
            <v>-1.269999999999996</v>
          </cell>
          <cell r="Z467">
            <v>56.219499999999996</v>
          </cell>
          <cell r="AA467">
            <v>4.478599999999993</v>
          </cell>
          <cell r="AB467">
            <v>51.740900000000003</v>
          </cell>
          <cell r="AD467">
            <v>38.805700000000002</v>
          </cell>
          <cell r="AE467">
            <v>15.768499999999996</v>
          </cell>
          <cell r="AF467">
            <v>54.574199999999998</v>
          </cell>
          <cell r="AI467">
            <v>-0.46788704571468998</v>
          </cell>
        </row>
        <row r="468">
          <cell r="A468">
            <v>39722</v>
          </cell>
          <cell r="B468">
            <v>9.220217391304347</v>
          </cell>
          <cell r="D468">
            <v>36.86</v>
          </cell>
          <cell r="G468">
            <v>-1.2055865551254041E-2</v>
          </cell>
          <cell r="Q468">
            <v>-1.3599999999999994</v>
          </cell>
          <cell r="Z468">
            <v>47.186</v>
          </cell>
          <cell r="AA468">
            <v>6.3282000000000025</v>
          </cell>
          <cell r="AB468">
            <v>40.857799999999997</v>
          </cell>
          <cell r="AD468">
            <v>30.506900000000002</v>
          </cell>
          <cell r="AE468">
            <v>14.046500000000002</v>
          </cell>
          <cell r="AF468">
            <v>44.553400000000003</v>
          </cell>
          <cell r="AI468">
            <v>-5.3017412444671592</v>
          </cell>
        </row>
        <row r="469">
          <cell r="A469">
            <v>39753</v>
          </cell>
          <cell r="B469">
            <v>8.9576315789473693</v>
          </cell>
          <cell r="D469">
            <v>33.049999999999997</v>
          </cell>
          <cell r="G469">
            <v>-2.6184808920547253E-2</v>
          </cell>
          <cell r="Q469">
            <v>-1.4999999999999964</v>
          </cell>
          <cell r="Z469">
            <v>42.045200000000001</v>
          </cell>
          <cell r="AA469">
            <v>5.4737000000000009</v>
          </cell>
          <cell r="AB469">
            <v>36.5715</v>
          </cell>
          <cell r="AD469">
            <v>27.4605</v>
          </cell>
          <cell r="AE469">
            <v>11.005799999999997</v>
          </cell>
          <cell r="AF469">
            <v>38.466299999999997</v>
          </cell>
          <cell r="AI469">
            <v>-5.6383787857724741</v>
          </cell>
        </row>
        <row r="470">
          <cell r="A470">
            <v>39783</v>
          </cell>
          <cell r="B470">
            <v>8.6767045454545446</v>
          </cell>
          <cell r="D470">
            <v>31</v>
          </cell>
          <cell r="G470">
            <v>-1.4461614125960809E-2</v>
          </cell>
          <cell r="Q470">
            <v>-1.6999999999999993</v>
          </cell>
          <cell r="Z470">
            <v>39.098599999999998</v>
          </cell>
          <cell r="AA470">
            <v>5.438600000000001</v>
          </cell>
          <cell r="AB470">
            <v>33.659999999999997</v>
          </cell>
          <cell r="AD470">
            <v>27.965399999999999</v>
          </cell>
          <cell r="AE470">
            <v>7.6491000000000007</v>
          </cell>
          <cell r="AF470">
            <v>35.6145</v>
          </cell>
          <cell r="AI470">
            <v>-8.3392866071778187</v>
          </cell>
        </row>
        <row r="471">
          <cell r="A471">
            <v>39814</v>
          </cell>
          <cell r="B471">
            <v>9.9260000000000002</v>
          </cell>
          <cell r="D471">
            <v>34.340000000000003</v>
          </cell>
          <cell r="G471">
            <v>-1.0315660273194638E-2</v>
          </cell>
          <cell r="Q471">
            <v>-2.1800000000000068</v>
          </cell>
          <cell r="Z471">
            <v>40.2605</v>
          </cell>
          <cell r="AA471">
            <v>3.9125000000000014</v>
          </cell>
          <cell r="AB471">
            <v>36.347999999999999</v>
          </cell>
          <cell r="AD471">
            <v>31.022500000000001</v>
          </cell>
          <cell r="AE471">
            <v>6.6004999999999967</v>
          </cell>
          <cell r="AF471">
            <v>37.622999999999998</v>
          </cell>
          <cell r="AI471">
            <v>-13.252048057309427</v>
          </cell>
        </row>
        <row r="472">
          <cell r="A472">
            <v>39845</v>
          </cell>
          <cell r="B472">
            <v>9.2878947368421052</v>
          </cell>
          <cell r="D472">
            <v>31.92</v>
          </cell>
          <cell r="G472">
            <v>-5.3667640579792564E-3</v>
          </cell>
          <cell r="Q472">
            <v>-2.990000000000002</v>
          </cell>
          <cell r="Z472">
            <v>37.046799999999998</v>
          </cell>
          <cell r="AA472">
            <v>4.3683999999999941</v>
          </cell>
          <cell r="AB472">
            <v>32.678400000000003</v>
          </cell>
          <cell r="AD472">
            <v>30.983599999999999</v>
          </cell>
          <cell r="AE472">
            <v>2.8553000000000033</v>
          </cell>
          <cell r="AF472">
            <v>33.838900000000002</v>
          </cell>
          <cell r="AI472">
            <v>-14.988929756973789</v>
          </cell>
        </row>
        <row r="473">
          <cell r="A473">
            <v>39873</v>
          </cell>
          <cell r="B473">
            <v>9.0806818181818194</v>
          </cell>
          <cell r="D473">
            <v>31.56</v>
          </cell>
          <cell r="G473">
            <v>6.03537962373496E-3</v>
          </cell>
          <cell r="Q473">
            <v>-3.3299999999999983</v>
          </cell>
          <cell r="Z473">
            <v>36.049999999999997</v>
          </cell>
          <cell r="AA473">
            <v>4.5340999999999987</v>
          </cell>
          <cell r="AB473">
            <v>31.515899999999998</v>
          </cell>
          <cell r="AD473">
            <v>32.615400000000001</v>
          </cell>
          <cell r="AE473">
            <v>1.0726999999999975</v>
          </cell>
          <cell r="AF473">
            <v>33.688099999999999</v>
          </cell>
          <cell r="AI473">
            <v>-14.352290190528969</v>
          </cell>
        </row>
        <row r="474">
          <cell r="A474">
            <v>39904</v>
          </cell>
          <cell r="B474">
            <v>10.191309523809524</v>
          </cell>
          <cell r="D474">
            <v>35.71</v>
          </cell>
          <cell r="G474">
            <v>7.6619791632437373E-4</v>
          </cell>
          <cell r="Q474">
            <v>-2.9500000000000028</v>
          </cell>
          <cell r="Z474">
            <v>40.263300000000001</v>
          </cell>
          <cell r="AA474">
            <v>4.5519000000000034</v>
          </cell>
          <cell r="AB474">
            <v>35.711399999999998</v>
          </cell>
          <cell r="AD474">
            <v>38.480400000000003</v>
          </cell>
          <cell r="AE474">
            <v>0.27379999999999427</v>
          </cell>
          <cell r="AF474">
            <v>38.754199999999997</v>
          </cell>
          <cell r="AI474">
            <v>-11.623905335852683</v>
          </cell>
        </row>
        <row r="475">
          <cell r="A475">
            <v>39934</v>
          </cell>
          <cell r="B475">
            <v>11.494625000000001</v>
          </cell>
          <cell r="D475">
            <v>38.49</v>
          </cell>
          <cell r="G475">
            <v>-1.2993519822119604E-2</v>
          </cell>
          <cell r="Q475">
            <v>-2.4299999999999997</v>
          </cell>
          <cell r="Z475">
            <v>43.67</v>
          </cell>
          <cell r="AA475">
            <v>4.5159999999999982</v>
          </cell>
          <cell r="AB475">
            <v>39.154000000000003</v>
          </cell>
          <cell r="AD475">
            <v>41.619</v>
          </cell>
          <cell r="AE475">
            <v>0.48499999999999943</v>
          </cell>
          <cell r="AF475">
            <v>42.103999999999999</v>
          </cell>
          <cell r="AI475">
            <v>-15.58720811798996</v>
          </cell>
        </row>
        <row r="476">
          <cell r="A476">
            <v>39965</v>
          </cell>
          <cell r="B476">
            <v>12.113863636363638</v>
          </cell>
          <cell r="D476">
            <v>37.729999999999997</v>
          </cell>
          <cell r="G476">
            <v>-2.7138429941579167E-2</v>
          </cell>
          <cell r="Q476">
            <v>-2.0700000000000003</v>
          </cell>
          <cell r="Z476">
            <v>44.089500000000001</v>
          </cell>
          <cell r="AA476">
            <v>5.3635999999999981</v>
          </cell>
          <cell r="AB476">
            <v>38.725900000000003</v>
          </cell>
          <cell r="AD476">
            <v>38.378999999999998</v>
          </cell>
          <cell r="AE476">
            <v>2.6878000000000029</v>
          </cell>
          <cell r="AF476">
            <v>41.066800000000001</v>
          </cell>
          <cell r="AI476">
            <v>-13.132846123893877</v>
          </cell>
        </row>
        <row r="477">
          <cell r="A477">
            <v>39995</v>
          </cell>
          <cell r="B477">
            <v>10.834204545454545</v>
          </cell>
          <cell r="D477">
            <v>34.1</v>
          </cell>
          <cell r="G477">
            <v>1.4429508275139169E-2</v>
          </cell>
          <cell r="Q477">
            <v>-3.0200000000000031</v>
          </cell>
          <cell r="Z477">
            <v>41.892200000000003</v>
          </cell>
          <cell r="AA477">
            <v>7.0909000000000049</v>
          </cell>
          <cell r="AB477">
            <v>34.801299999999998</v>
          </cell>
          <cell r="AD477">
            <v>34.329000000000001</v>
          </cell>
          <cell r="AE477">
            <v>2.3813999999999993</v>
          </cell>
          <cell r="AF477">
            <v>36.7104</v>
          </cell>
          <cell r="AI477">
            <v>-12.585516482797566</v>
          </cell>
        </row>
        <row r="478">
          <cell r="A478">
            <v>40026</v>
          </cell>
          <cell r="B478">
            <v>11.13</v>
          </cell>
          <cell r="D478">
            <v>36.78</v>
          </cell>
          <cell r="G478">
            <v>1.4856955087468482E-2</v>
          </cell>
          <cell r="Q478">
            <v>-3.0900000000000034</v>
          </cell>
          <cell r="Z478">
            <v>45.4833</v>
          </cell>
          <cell r="AA478">
            <v>8.7571999999999974</v>
          </cell>
          <cell r="AB478">
            <v>36.726100000000002</v>
          </cell>
          <cell r="AD478">
            <v>37.963299999999997</v>
          </cell>
          <cell r="AE478">
            <v>1.5367000000000033</v>
          </cell>
          <cell r="AF478">
            <v>39.5</v>
          </cell>
          <cell r="AI478">
            <v>0.36384173623991245</v>
          </cell>
        </row>
        <row r="479">
          <cell r="A479">
            <v>40057</v>
          </cell>
          <cell r="B479">
            <v>9.4996428571428559</v>
          </cell>
          <cell r="D479">
            <v>34.07</v>
          </cell>
          <cell r="G479">
            <v>2.083939883248398E-2</v>
          </cell>
          <cell r="Q479">
            <v>-3.1099999999999994</v>
          </cell>
          <cell r="Z479">
            <v>41.8309</v>
          </cell>
          <cell r="AA479">
            <v>7.7789999999999964</v>
          </cell>
          <cell r="AB479">
            <v>34.051900000000003</v>
          </cell>
          <cell r="AD479">
            <v>35.485700000000001</v>
          </cell>
          <cell r="AE479">
            <v>2.1614000000000004</v>
          </cell>
          <cell r="AF479">
            <v>37.647100000000002</v>
          </cell>
          <cell r="AI479">
            <v>8.3936970896199199</v>
          </cell>
        </row>
        <row r="480">
          <cell r="A480">
            <v>40087</v>
          </cell>
          <cell r="B480">
            <v>9.6578409090909094</v>
          </cell>
          <cell r="D480">
            <v>36.31</v>
          </cell>
          <cell r="G480">
            <v>1.2787303960320628E-2</v>
          </cell>
          <cell r="Q480">
            <v>-3.1600000000000037</v>
          </cell>
          <cell r="Z480">
            <v>43.594999999999999</v>
          </cell>
          <cell r="AA480">
            <v>7.4350000000000023</v>
          </cell>
          <cell r="AB480">
            <v>36.159999999999997</v>
          </cell>
          <cell r="AD480">
            <v>35.708599999999997</v>
          </cell>
          <cell r="AE480">
            <v>4.3150000000000048</v>
          </cell>
          <cell r="AF480">
            <v>40.023600000000002</v>
          </cell>
          <cell r="AI480">
            <v>17.839720479815707</v>
          </cell>
        </row>
        <row r="481">
          <cell r="A481">
            <v>40118</v>
          </cell>
          <cell r="B481">
            <v>10.089</v>
          </cell>
          <cell r="D481">
            <v>38.75</v>
          </cell>
          <cell r="G481">
            <v>4.4605366052989925E-3</v>
          </cell>
          <cell r="Q481">
            <v>-2.1599999999999966</v>
          </cell>
          <cell r="Z481">
            <v>46.622500000000002</v>
          </cell>
          <cell r="AA481">
            <v>6.9500000000000028</v>
          </cell>
          <cell r="AB481">
            <v>39.672499999999999</v>
          </cell>
          <cell r="AD481">
            <v>37.069499999999998</v>
          </cell>
          <cell r="AE481">
            <v>5.0405000000000015</v>
          </cell>
          <cell r="AF481">
            <v>42.11</v>
          </cell>
          <cell r="AI481">
            <v>18.709364367150826</v>
          </cell>
        </row>
        <row r="482">
          <cell r="A482">
            <v>40148</v>
          </cell>
          <cell r="B482">
            <v>10.32284090909091</v>
          </cell>
          <cell r="D482">
            <v>39.5</v>
          </cell>
          <cell r="G482">
            <v>2.2926584652924187E-3</v>
          </cell>
          <cell r="Q482">
            <v>-2.6899999999999977</v>
          </cell>
          <cell r="Z482">
            <v>47.033099999999997</v>
          </cell>
          <cell r="AA482">
            <v>7.2804000000000002</v>
          </cell>
          <cell r="AB482">
            <v>39.752699999999997</v>
          </cell>
          <cell r="AD482">
            <v>39.846299999999999</v>
          </cell>
          <cell r="AE482">
            <v>2.5981999999999985</v>
          </cell>
          <cell r="AF482">
            <v>42.444499999999998</v>
          </cell>
          <cell r="AI482">
            <v>17.958065756002728</v>
          </cell>
        </row>
        <row r="483">
          <cell r="A483">
            <v>40179</v>
          </cell>
          <cell r="B483">
            <v>9.7694736842105261</v>
          </cell>
          <cell r="D483">
            <v>38.229999999999997</v>
          </cell>
          <cell r="G483">
            <v>6.2231348707511569E-3</v>
          </cell>
          <cell r="Q483">
            <v>-3.3499999999999943</v>
          </cell>
          <cell r="Z483">
            <v>44.061</v>
          </cell>
          <cell r="AA483">
            <v>7.1058000000000021</v>
          </cell>
          <cell r="AB483">
            <v>36.955199999999998</v>
          </cell>
          <cell r="AD483">
            <v>40.177300000000002</v>
          </cell>
          <cell r="AE483">
            <v>0.17269999999999897</v>
          </cell>
          <cell r="AF483">
            <v>40.35</v>
          </cell>
          <cell r="AI483">
            <v>16.034728466215384</v>
          </cell>
        </row>
        <row r="484">
          <cell r="A484">
            <v>40210</v>
          </cell>
          <cell r="B484">
            <v>9.3801315789473687</v>
          </cell>
          <cell r="D484">
            <v>38.119999999999997</v>
          </cell>
          <cell r="G484">
            <v>1.2965623575475094E-2</v>
          </cell>
          <cell r="Q484">
            <v>-3.4299999999999997</v>
          </cell>
          <cell r="Z484">
            <v>43.935699999999997</v>
          </cell>
          <cell r="AA484">
            <v>7.2894000000000005</v>
          </cell>
          <cell r="AB484">
            <v>36.646299999999997</v>
          </cell>
          <cell r="AD484">
            <v>40.473100000000002</v>
          </cell>
          <cell r="AE484">
            <v>-0.27420000000000044</v>
          </cell>
          <cell r="AF484">
            <v>40.198900000000002</v>
          </cell>
          <cell r="AI484">
            <v>15.819334566238659</v>
          </cell>
        </row>
        <row r="485">
          <cell r="A485">
            <v>40238</v>
          </cell>
          <cell r="B485">
            <v>9.496847826086956</v>
          </cell>
          <cell r="D485">
            <v>39.590000000000003</v>
          </cell>
          <cell r="G485">
            <v>1.8299839789712835E-2</v>
          </cell>
          <cell r="Q485">
            <v>-3.2000000000000028</v>
          </cell>
          <cell r="Z485">
            <v>44.695999999999998</v>
          </cell>
          <cell r="AA485">
            <v>6.383899999999997</v>
          </cell>
          <cell r="AB485">
            <v>38.312100000000001</v>
          </cell>
          <cell r="AD485">
            <v>42.017299999999999</v>
          </cell>
          <cell r="AE485">
            <v>-0.99340000000000117</v>
          </cell>
          <cell r="AF485">
            <v>41.023899999999998</v>
          </cell>
          <cell r="AI485">
            <v>13.820448926542259</v>
          </cell>
        </row>
        <row r="486">
          <cell r="A486">
            <v>40269</v>
          </cell>
          <cell r="B486">
            <v>9.7333333333333343</v>
          </cell>
          <cell r="D486">
            <v>39.369999999999997</v>
          </cell>
          <cell r="G486">
            <v>-1.3961244173710863E-2</v>
          </cell>
          <cell r="Q486">
            <v>-2.259999999999998</v>
          </cell>
          <cell r="Z486">
            <v>44.372300000000003</v>
          </cell>
          <cell r="AA486">
            <v>5.1666000000000025</v>
          </cell>
          <cell r="AB486">
            <v>39.2057</v>
          </cell>
          <cell r="AD486">
            <v>42.412300000000002</v>
          </cell>
          <cell r="AE486">
            <v>-1.3447000000000031</v>
          </cell>
          <cell r="AF486">
            <v>41.067599999999999</v>
          </cell>
          <cell r="AI486">
            <v>7.4245595949975147</v>
          </cell>
        </row>
        <row r="487">
          <cell r="A487">
            <v>40299</v>
          </cell>
          <cell r="B487">
            <v>9.499625</v>
          </cell>
          <cell r="D487">
            <v>37.92</v>
          </cell>
          <cell r="G487">
            <v>-7.3290128960844525E-3</v>
          </cell>
          <cell r="Q487">
            <v>-2.5100000000000051</v>
          </cell>
          <cell r="Z487">
            <v>42.500999999999998</v>
          </cell>
          <cell r="AA487">
            <v>4.8804999999999978</v>
          </cell>
          <cell r="AB487">
            <v>37.6205</v>
          </cell>
          <cell r="AD487">
            <v>41.7425</v>
          </cell>
          <cell r="AE487">
            <v>-1.9594999999999985</v>
          </cell>
          <cell r="AF487">
            <v>39.783000000000001</v>
          </cell>
          <cell r="AI487">
            <v>4.2994484669185766</v>
          </cell>
        </row>
        <row r="488">
          <cell r="A488">
            <v>40330</v>
          </cell>
          <cell r="B488">
            <v>9.4849999999999994</v>
          </cell>
          <cell r="D488">
            <v>37.24</v>
          </cell>
          <cell r="G488">
            <v>-1.0916717280314014E-2</v>
          </cell>
          <cell r="Q488">
            <v>-2.7700000000000031</v>
          </cell>
          <cell r="Z488">
            <v>42.906300000000002</v>
          </cell>
          <cell r="AA488">
            <v>6.2349999999999994</v>
          </cell>
          <cell r="AB488">
            <v>36.671300000000002</v>
          </cell>
          <cell r="AD488">
            <v>41.081800000000001</v>
          </cell>
          <cell r="AE488">
            <v>-1.9014000000000024</v>
          </cell>
          <cell r="AF488">
            <v>39.180399999999999</v>
          </cell>
          <cell r="AI488">
            <v>9.6903600679768047</v>
          </cell>
        </row>
        <row r="489">
          <cell r="A489">
            <v>40360</v>
          </cell>
          <cell r="B489">
            <v>10.096309523809524</v>
          </cell>
          <cell r="D489">
            <v>38.01</v>
          </cell>
          <cell r="G489">
            <v>-6.2182527297548473E-3</v>
          </cell>
          <cell r="Q489">
            <v>-2.9399999999999977</v>
          </cell>
          <cell r="Z489">
            <v>46.2209</v>
          </cell>
          <cell r="AA489">
            <v>8.9686000000000021</v>
          </cell>
          <cell r="AB489">
            <v>37.252299999999998</v>
          </cell>
          <cell r="AD489">
            <v>42.054200000000002</v>
          </cell>
          <cell r="AE489">
            <v>-1.1876000000000033</v>
          </cell>
          <cell r="AF489">
            <v>40.866599999999998</v>
          </cell>
          <cell r="AI489">
            <v>15.31199391708472</v>
          </cell>
        </row>
        <row r="490">
          <cell r="A490">
            <v>40391</v>
          </cell>
          <cell r="B490">
            <v>10.327272727272728</v>
          </cell>
          <cell r="D490">
            <v>40.700000000000003</v>
          </cell>
          <cell r="G490">
            <v>1.4009431734235134E-2</v>
          </cell>
          <cell r="Q490">
            <v>-3.1300000000000026</v>
          </cell>
          <cell r="Z490">
            <v>48.727699999999999</v>
          </cell>
          <cell r="AA490">
            <v>9.0599999999999952</v>
          </cell>
          <cell r="AB490">
            <v>39.667700000000004</v>
          </cell>
          <cell r="AD490">
            <v>46.424500000000002</v>
          </cell>
          <cell r="AE490">
            <v>-2.9318000000000026</v>
          </cell>
          <cell r="AF490">
            <v>43.492699999999999</v>
          </cell>
          <cell r="AI490">
            <v>16.58977719722543</v>
          </cell>
        </row>
        <row r="491">
          <cell r="A491">
            <v>40422</v>
          </cell>
          <cell r="B491">
            <v>10.620357142857141</v>
          </cell>
          <cell r="D491">
            <v>42.22</v>
          </cell>
          <cell r="G491">
            <v>9.6068577613449002E-3</v>
          </cell>
          <cell r="Q491">
            <v>-3.009999999999998</v>
          </cell>
          <cell r="Z491">
            <v>48.954700000000003</v>
          </cell>
          <cell r="AA491">
            <v>6.7713999999999999</v>
          </cell>
          <cell r="AB491">
            <v>42.183300000000003</v>
          </cell>
          <cell r="AD491">
            <v>47.283799999999999</v>
          </cell>
          <cell r="AE491">
            <v>-0.79429999999999978</v>
          </cell>
          <cell r="AF491">
            <v>46.4895</v>
          </cell>
          <cell r="AI491">
            <v>22.801559613485555</v>
          </cell>
        </row>
        <row r="492">
          <cell r="A492">
            <v>40452</v>
          </cell>
          <cell r="B492">
            <v>11.625833333333333</v>
          </cell>
          <cell r="D492">
            <v>47.13</v>
          </cell>
          <cell r="G492">
            <v>9.5908548174591379E-3</v>
          </cell>
          <cell r="Q492">
            <v>-3.1099999999999994</v>
          </cell>
          <cell r="Z492">
            <v>52.412300000000002</v>
          </cell>
          <cell r="AA492">
            <v>4.8352000000000004</v>
          </cell>
          <cell r="AB492">
            <v>47.577100000000002</v>
          </cell>
          <cell r="AD492">
            <v>50.209499999999998</v>
          </cell>
          <cell r="AE492">
            <v>1.3862000000000023</v>
          </cell>
          <cell r="AF492">
            <v>51.595700000000001</v>
          </cell>
          <cell r="AI492">
            <v>26.405627838867556</v>
          </cell>
        </row>
        <row r="493">
          <cell r="A493">
            <v>40483</v>
          </cell>
          <cell r="B493">
            <v>12.518095238095238</v>
          </cell>
          <cell r="D493">
            <v>50.95</v>
          </cell>
          <cell r="G493">
            <v>5.4873612795711679E-3</v>
          </cell>
          <cell r="Q493">
            <v>-3.3300000000000054</v>
          </cell>
          <cell r="Z493">
            <v>55.437600000000003</v>
          </cell>
          <cell r="AA493">
            <v>4.3667000000000016</v>
          </cell>
          <cell r="AB493">
            <v>51.070900000000002</v>
          </cell>
          <cell r="AD493">
            <v>54.908999999999999</v>
          </cell>
          <cell r="AE493">
            <v>0.44050000000000011</v>
          </cell>
          <cell r="AF493">
            <v>55.349499999999999</v>
          </cell>
          <cell r="AI493">
            <v>26.118552730716935</v>
          </cell>
        </row>
        <row r="494">
          <cell r="A494">
            <v>40513</v>
          </cell>
          <cell r="B494">
            <v>13.165681818181817</v>
          </cell>
          <cell r="D494">
            <v>54.98</v>
          </cell>
          <cell r="G494">
            <v>1.1191093040930078E-2</v>
          </cell>
          <cell r="Q494">
            <v>-3.4699999999999989</v>
          </cell>
          <cell r="Z494">
            <v>59.100900000000003</v>
          </cell>
          <cell r="AA494">
            <v>4.0731999999999999</v>
          </cell>
          <cell r="AB494">
            <v>55.027700000000003</v>
          </cell>
          <cell r="AD494">
            <v>59.643599999999999</v>
          </cell>
          <cell r="AE494">
            <v>-8.6000000000012733E-3</v>
          </cell>
          <cell r="AF494">
            <v>59.634999999999998</v>
          </cell>
          <cell r="AI494">
            <v>23.615273525254459</v>
          </cell>
        </row>
        <row r="495">
          <cell r="A495">
            <v>40544</v>
          </cell>
          <cell r="B495">
            <v>13.91</v>
          </cell>
          <cell r="D495">
            <v>57.27</v>
          </cell>
          <cell r="G495">
            <v>-6.4373184558290664E-3</v>
          </cell>
          <cell r="Q495">
            <v>-3.4299999999999997</v>
          </cell>
          <cell r="Z495">
            <v>60.7455</v>
          </cell>
          <cell r="AA495">
            <v>2.6749999999999972</v>
          </cell>
          <cell r="AB495">
            <v>58.070500000000003</v>
          </cell>
          <cell r="AD495">
            <v>62.274000000000001</v>
          </cell>
          <cell r="AE495">
            <v>0.36399999999999721</v>
          </cell>
          <cell r="AF495">
            <v>62.637999999999998</v>
          </cell>
          <cell r="AI495">
            <v>22.6676097760961</v>
          </cell>
        </row>
        <row r="496">
          <cell r="A496">
            <v>40575</v>
          </cell>
          <cell r="B496">
            <v>13.93578947368421</v>
          </cell>
          <cell r="D496">
            <v>57.53</v>
          </cell>
          <cell r="G496">
            <v>3.7395292416997905E-3</v>
          </cell>
          <cell r="Q496">
            <v>-3.3200000000000003</v>
          </cell>
          <cell r="Z496">
            <v>61.031500000000001</v>
          </cell>
          <cell r="AA496">
            <v>1.3947000000000003</v>
          </cell>
          <cell r="AB496">
            <v>59.636800000000001</v>
          </cell>
          <cell r="AD496">
            <v>63.684199999999997</v>
          </cell>
          <cell r="AE496">
            <v>0.11050000000000182</v>
          </cell>
          <cell r="AF496">
            <v>63.794699999999999</v>
          </cell>
          <cell r="AI496">
            <v>23.883666034371309</v>
          </cell>
        </row>
        <row r="497">
          <cell r="A497">
            <v>40603</v>
          </cell>
          <cell r="B497">
            <v>13.573478260869566</v>
          </cell>
          <cell r="D497">
            <v>56.67</v>
          </cell>
          <cell r="G497">
            <v>4.6979166498940517E-3</v>
          </cell>
          <cell r="Q497">
            <v>-2.6000000000000014</v>
          </cell>
          <cell r="Z497">
            <v>61.055199999999999</v>
          </cell>
          <cell r="AA497">
            <v>1.4596000000000018</v>
          </cell>
          <cell r="AB497">
            <v>59.595599999999997</v>
          </cell>
          <cell r="AD497">
            <v>59.86</v>
          </cell>
          <cell r="AE497">
            <v>2.9769000000000005</v>
          </cell>
          <cell r="AF497">
            <v>62.8369</v>
          </cell>
          <cell r="AI497">
            <v>21.547105510708938</v>
          </cell>
        </row>
        <row r="498">
          <cell r="A498">
            <v>40634</v>
          </cell>
          <cell r="B498">
            <v>13.64775</v>
          </cell>
          <cell r="D498">
            <v>58.02</v>
          </cell>
          <cell r="G498">
            <v>1.0962126121087212E-2</v>
          </cell>
          <cell r="Q498">
            <v>-1.3700000000000045</v>
          </cell>
          <cell r="Z498">
            <v>63.170999999999999</v>
          </cell>
          <cell r="AA498">
            <v>0.10750000000000171</v>
          </cell>
          <cell r="AB498">
            <v>63.063499999999998</v>
          </cell>
          <cell r="AD498">
            <v>58.54</v>
          </cell>
          <cell r="AE498">
            <v>6.2585000000000051</v>
          </cell>
          <cell r="AF498">
            <v>64.798500000000004</v>
          </cell>
          <cell r="AI498">
            <v>20.890197074439641</v>
          </cell>
        </row>
        <row r="499">
          <cell r="A499">
            <v>40664</v>
          </cell>
          <cell r="B499">
            <v>13.574166666666667</v>
          </cell>
          <cell r="D499">
            <v>57.12</v>
          </cell>
          <cell r="G499">
            <v>-5.3453982273943268E-3</v>
          </cell>
          <cell r="Q499">
            <v>-1.029999999999994</v>
          </cell>
          <cell r="Z499">
            <v>62.238999999999997</v>
          </cell>
          <cell r="AA499">
            <v>-0.3405000000000058</v>
          </cell>
          <cell r="AB499">
            <v>62.579500000000003</v>
          </cell>
          <cell r="AD499">
            <v>59.802799999999998</v>
          </cell>
          <cell r="AE499">
            <v>4.0267000000000053</v>
          </cell>
          <cell r="AF499">
            <v>63.829500000000003</v>
          </cell>
          <cell r="AI499">
            <v>21.673381105733064</v>
          </cell>
        </row>
        <row r="500">
          <cell r="A500">
            <v>40695</v>
          </cell>
          <cell r="B500">
            <v>13.601590909090909</v>
          </cell>
          <cell r="D500">
            <v>56.7</v>
          </cell>
          <cell r="G500">
            <v>-2.546648735666901E-3</v>
          </cell>
          <cell r="Q500">
            <v>-1.0200000000000031</v>
          </cell>
          <cell r="Z500">
            <v>61.626300000000001</v>
          </cell>
          <cell r="AA500">
            <v>-0.60269999999999868</v>
          </cell>
          <cell r="AB500">
            <v>62.228999999999999</v>
          </cell>
          <cell r="AD500">
            <v>57.5045</v>
          </cell>
          <cell r="AE500">
            <v>6.458599999999997</v>
          </cell>
          <cell r="AF500">
            <v>63.963099999999997</v>
          </cell>
          <cell r="AI500">
            <v>22.114141349867431</v>
          </cell>
        </row>
        <row r="501">
          <cell r="A501">
            <v>40725</v>
          </cell>
          <cell r="B501">
            <v>13.657500000000001</v>
          </cell>
          <cell r="D501">
            <v>56.38</v>
          </cell>
          <cell r="G501">
            <v>-4.0164127831954222E-4</v>
          </cell>
          <cell r="Q501">
            <v>-1.220000000000006</v>
          </cell>
          <cell r="Z501">
            <v>62.262</v>
          </cell>
          <cell r="AA501">
            <v>0.5</v>
          </cell>
          <cell r="AB501">
            <v>61.762</v>
          </cell>
          <cell r="AD501">
            <v>56.408499999999997</v>
          </cell>
          <cell r="AE501">
            <v>7.9540000000000006</v>
          </cell>
          <cell r="AF501">
            <v>64.362499999999997</v>
          </cell>
          <cell r="AI501">
            <v>21.298419524747572</v>
          </cell>
        </row>
        <row r="502">
          <cell r="A502">
            <v>40756</v>
          </cell>
          <cell r="B502">
            <v>13.646521739130435</v>
          </cell>
          <cell r="D502">
            <v>55.6</v>
          </cell>
          <cell r="G502">
            <v>-6.1476612128224528E-3</v>
          </cell>
          <cell r="Q502">
            <v>-1.2100000000000009</v>
          </cell>
          <cell r="Z502">
            <v>61.594700000000003</v>
          </cell>
          <cell r="AA502">
            <v>0.74430000000000263</v>
          </cell>
          <cell r="AB502">
            <v>60.8504</v>
          </cell>
          <cell r="AD502">
            <v>57.339100000000002</v>
          </cell>
          <cell r="AE502">
            <v>6.6743000000000023</v>
          </cell>
          <cell r="AF502">
            <v>64.013400000000004</v>
          </cell>
          <cell r="AI502">
            <v>13.71182683595223</v>
          </cell>
        </row>
        <row r="503">
          <cell r="A503">
            <v>40787</v>
          </cell>
          <cell r="B503">
            <v>13.360357142857142</v>
          </cell>
          <cell r="D503">
            <v>55.45</v>
          </cell>
          <cell r="G503">
            <v>5.8091316329635379E-3</v>
          </cell>
          <cell r="Q503">
            <v>-0.32000000000000028</v>
          </cell>
          <cell r="Z503">
            <v>61.0657</v>
          </cell>
          <cell r="AA503">
            <v>-0.39620000000000033</v>
          </cell>
          <cell r="AB503">
            <v>61.4619</v>
          </cell>
          <cell r="AD503">
            <v>53.960900000000002</v>
          </cell>
          <cell r="AE503">
            <v>9.8699999999999974</v>
          </cell>
          <cell r="AF503">
            <v>63.8309</v>
          </cell>
          <cell r="AI503">
            <v>11.821386841172789</v>
          </cell>
        </row>
        <row r="504">
          <cell r="A504">
            <v>40817</v>
          </cell>
          <cell r="B504">
            <v>12.13857142857143</v>
          </cell>
          <cell r="D504">
            <v>51.23</v>
          </cell>
          <cell r="G504">
            <v>4.0860753098224678E-3</v>
          </cell>
          <cell r="Q504">
            <v>0.5</v>
          </cell>
          <cell r="Z504">
            <v>59.011400000000002</v>
          </cell>
          <cell r="AA504">
            <v>0.51910000000000167</v>
          </cell>
          <cell r="AB504">
            <v>58.4923</v>
          </cell>
          <cell r="AD504">
            <v>49.271900000000002</v>
          </cell>
          <cell r="AE504">
            <v>10.458500000000001</v>
          </cell>
          <cell r="AF504">
            <v>59.730400000000003</v>
          </cell>
          <cell r="AI504">
            <v>7.5834274705463258</v>
          </cell>
        </row>
        <row r="505">
          <cell r="A505">
            <v>40848</v>
          </cell>
          <cell r="B505">
            <v>11.670714285714286</v>
          </cell>
          <cell r="D505">
            <v>50.66</v>
          </cell>
          <cell r="G505">
            <v>1.1201523589117524E-2</v>
          </cell>
          <cell r="Q505">
            <v>0.78000000000000114</v>
          </cell>
          <cell r="Z505">
            <v>59.336599999999997</v>
          </cell>
          <cell r="AA505">
            <v>1.1104999999999947</v>
          </cell>
          <cell r="AB505">
            <v>58.226100000000002</v>
          </cell>
          <cell r="AD505">
            <v>52.5852</v>
          </cell>
          <cell r="AE505">
            <v>6.7719000000000023</v>
          </cell>
          <cell r="AF505">
            <v>59.357100000000003</v>
          </cell>
          <cell r="AI505">
            <v>3.8589346797762545</v>
          </cell>
        </row>
        <row r="506">
          <cell r="A506">
            <v>40878</v>
          </cell>
          <cell r="B506">
            <v>11.431785714285713</v>
          </cell>
          <cell r="D506">
            <v>50.16</v>
          </cell>
          <cell r="G506">
            <v>3.8728746812953241E-3</v>
          </cell>
          <cell r="Q506">
            <v>1.0000000000005116E-2</v>
          </cell>
          <cell r="Z506">
            <v>58.209000000000003</v>
          </cell>
          <cell r="AA506">
            <v>1.4167000000000058</v>
          </cell>
          <cell r="AB506">
            <v>56.792299999999997</v>
          </cell>
          <cell r="AD506">
            <v>53.692799999999998</v>
          </cell>
          <cell r="AE506">
            <v>5.0472000000000037</v>
          </cell>
          <cell r="AF506">
            <v>58.74</v>
          </cell>
          <cell r="AI506">
            <v>0.64102264830584943</v>
          </cell>
        </row>
        <row r="507">
          <cell r="A507">
            <v>40909</v>
          </cell>
          <cell r="B507">
            <v>12.022</v>
          </cell>
          <cell r="D507">
            <v>51.45</v>
          </cell>
          <cell r="G507">
            <v>-1.3044548145498769E-2</v>
          </cell>
          <cell r="Q507">
            <v>-0.46000000000000085</v>
          </cell>
          <cell r="Z507">
            <v>58.1325</v>
          </cell>
          <cell r="AA507">
            <v>0.52499999999999858</v>
          </cell>
          <cell r="AB507">
            <v>57.607500000000002</v>
          </cell>
          <cell r="AD507">
            <v>53.777999999999999</v>
          </cell>
          <cell r="AE507">
            <v>5.7650000000000006</v>
          </cell>
          <cell r="AF507">
            <v>59.542999999999999</v>
          </cell>
          <cell r="AI507">
            <v>-0.94014092705086227</v>
          </cell>
        </row>
        <row r="508">
          <cell r="A508">
            <v>40940</v>
          </cell>
          <cell r="B508">
            <v>12.561500000000001</v>
          </cell>
          <cell r="D508">
            <v>53.1</v>
          </cell>
          <cell r="G508">
            <v>-3.8658244319445534E-3</v>
          </cell>
          <cell r="Q508">
            <v>-0.74000000000000199</v>
          </cell>
          <cell r="Z508">
            <v>59.280500000000004</v>
          </cell>
          <cell r="AA508">
            <v>0.375</v>
          </cell>
          <cell r="AB508">
            <v>58.905500000000004</v>
          </cell>
          <cell r="AD508">
            <v>54.44</v>
          </cell>
          <cell r="AE508">
            <v>6.4455000000000027</v>
          </cell>
          <cell r="AF508">
            <v>60.8855</v>
          </cell>
          <cell r="AI508">
            <v>1.4609366695005122E-2</v>
          </cell>
        </row>
        <row r="509">
          <cell r="A509">
            <v>40969</v>
          </cell>
          <cell r="B509">
            <v>13.506818181818183</v>
          </cell>
          <cell r="D509">
            <v>54.44</v>
          </cell>
          <cell r="G509">
            <v>-2.0812826905100779E-2</v>
          </cell>
          <cell r="Q509">
            <v>-1.009999999999998</v>
          </cell>
          <cell r="Z509">
            <v>61.055900000000001</v>
          </cell>
          <cell r="AA509">
            <v>1.1364000000000019</v>
          </cell>
          <cell r="AB509">
            <v>59.919499999999999</v>
          </cell>
          <cell r="AD509">
            <v>56.993600000000001</v>
          </cell>
          <cell r="AE509">
            <v>4.8903999999999996</v>
          </cell>
          <cell r="AF509">
            <v>61.884</v>
          </cell>
          <cell r="AI509">
            <v>0.43441422498896998</v>
          </cell>
        </row>
        <row r="510">
          <cell r="A510">
            <v>41000</v>
          </cell>
          <cell r="B510">
            <v>14.408499999999998</v>
          </cell>
          <cell r="D510">
            <v>55.82</v>
          </cell>
          <cell r="G510">
            <v>-1.3091313637228652E-2</v>
          </cell>
          <cell r="Q510">
            <v>-0.85999999999999943</v>
          </cell>
          <cell r="Z510">
            <v>62.947499999999998</v>
          </cell>
          <cell r="AA510">
            <v>1.3554999999999993</v>
          </cell>
          <cell r="AB510">
            <v>61.591999999999999</v>
          </cell>
          <cell r="AD510">
            <v>58.6205</v>
          </cell>
          <cell r="AE510">
            <v>5.4589999999999961</v>
          </cell>
          <cell r="AF510">
            <v>64.079499999999996</v>
          </cell>
          <cell r="AI510">
            <v>-0.29834076865595449</v>
          </cell>
        </row>
        <row r="511">
          <cell r="A511">
            <v>41030</v>
          </cell>
          <cell r="B511">
            <v>14.177272727272728</v>
          </cell>
          <cell r="D511">
            <v>51.57</v>
          </cell>
          <cell r="G511">
            <v>-2.8380244851648195E-2</v>
          </cell>
          <cell r="Q511">
            <v>-0.88000000000000256</v>
          </cell>
          <cell r="Z511">
            <v>60.384999999999998</v>
          </cell>
          <cell r="AA511">
            <v>2.6135999999999981</v>
          </cell>
          <cell r="AB511">
            <v>57.7714</v>
          </cell>
          <cell r="AD511">
            <v>54.136800000000001</v>
          </cell>
          <cell r="AE511">
            <v>6.43</v>
          </cell>
          <cell r="AF511">
            <v>60.566800000000001</v>
          </cell>
          <cell r="AI511">
            <v>3.4796149508442866</v>
          </cell>
        </row>
        <row r="512">
          <cell r="A512">
            <v>41061</v>
          </cell>
          <cell r="B512">
            <v>14.21547619047619</v>
          </cell>
          <cell r="D512">
            <v>49.8</v>
          </cell>
          <cell r="G512">
            <v>-1.1329105897262104E-2</v>
          </cell>
          <cell r="Q512">
            <v>-1.1499999999999986</v>
          </cell>
          <cell r="Z512">
            <v>60.366700000000002</v>
          </cell>
          <cell r="AA512">
            <v>4.5715000000000003</v>
          </cell>
          <cell r="AB512">
            <v>55.795200000000001</v>
          </cell>
          <cell r="AD512">
            <v>49.618099999999998</v>
          </cell>
          <cell r="AE512">
            <v>9.1771000000000029</v>
          </cell>
          <cell r="AF512">
            <v>58.795200000000001</v>
          </cell>
          <cell r="AI512">
            <v>5.5765721413737168</v>
          </cell>
        </row>
        <row r="513">
          <cell r="A513">
            <v>41091</v>
          </cell>
          <cell r="B513">
            <v>16.58642857142857</v>
          </cell>
          <cell r="D513">
            <v>53.32</v>
          </cell>
          <cell r="G513">
            <v>-1.9745562161860741E-2</v>
          </cell>
          <cell r="Q513">
            <v>-1.3599999999999994</v>
          </cell>
          <cell r="Z513">
            <v>64.307599999999994</v>
          </cell>
          <cell r="AA513">
            <v>5.188299999999991</v>
          </cell>
          <cell r="AB513">
            <v>59.119300000000003</v>
          </cell>
          <cell r="AD513">
            <v>50.695700000000002</v>
          </cell>
          <cell r="AE513">
            <v>11.567599999999999</v>
          </cell>
          <cell r="AF513">
            <v>62.263300000000001</v>
          </cell>
          <cell r="AI513">
            <v>8.2364580925136721</v>
          </cell>
        </row>
        <row r="514">
          <cell r="A514">
            <v>41122</v>
          </cell>
          <cell r="B514">
            <v>16.952934782608693</v>
          </cell>
          <cell r="D514">
            <v>53.991739130434702</v>
          </cell>
          <cell r="G514">
            <v>-1.1053553321241416E-2</v>
          </cell>
          <cell r="Q514">
            <v>-1.3417391304347035</v>
          </cell>
          <cell r="Z514">
            <v>63.730899999999998</v>
          </cell>
          <cell r="AA514">
            <v>5.4996000000000009</v>
          </cell>
          <cell r="AB514">
            <v>58.231299999999997</v>
          </cell>
          <cell r="AD514">
            <v>49.599600000000002</v>
          </cell>
          <cell r="AE514">
            <v>12.694699999999997</v>
          </cell>
          <cell r="AF514">
            <v>62.2943</v>
          </cell>
          <cell r="AI514">
            <v>4.9175811431013443</v>
          </cell>
        </row>
        <row r="515">
          <cell r="A515">
            <v>41153</v>
          </cell>
          <cell r="B515">
            <v>16.7425</v>
          </cell>
          <cell r="D515">
            <v>55.122631578947299</v>
          </cell>
          <cell r="G515">
            <v>1.2057562738146732E-2</v>
          </cell>
          <cell r="Q515">
            <v>-1.3126315789472969</v>
          </cell>
          <cell r="Z515">
            <v>64.228399999999993</v>
          </cell>
          <cell r="AA515">
            <v>5.5715999999999966</v>
          </cell>
          <cell r="AB515">
            <v>58.656799999999997</v>
          </cell>
          <cell r="AD515">
            <v>47.950499999999998</v>
          </cell>
          <cell r="AE515">
            <v>14.895800000000001</v>
          </cell>
          <cell r="AF515">
            <v>62.846299999999999</v>
          </cell>
          <cell r="AI515">
            <v>4.4193796985290916</v>
          </cell>
        </row>
        <row r="516">
          <cell r="A516">
            <v>41183</v>
          </cell>
          <cell r="B516">
            <v>15.39108695652174</v>
          </cell>
          <cell r="D516">
            <v>51.004347826086899</v>
          </cell>
          <cell r="G516">
            <v>-9.9023220139177193E-4</v>
          </cell>
          <cell r="Q516">
            <v>-1.6943478260868972</v>
          </cell>
          <cell r="Z516">
            <v>62.069600000000001</v>
          </cell>
          <cell r="AA516">
            <v>7.6696000000000026</v>
          </cell>
          <cell r="AB516">
            <v>54.4</v>
          </cell>
          <cell r="AD516">
            <v>42.253</v>
          </cell>
          <cell r="AE516">
            <v>15.670900000000003</v>
          </cell>
          <cell r="AF516">
            <v>57.923900000000003</v>
          </cell>
          <cell r="AI516">
            <v>8.0859056484611642</v>
          </cell>
        </row>
        <row r="517">
          <cell r="A517">
            <v>41214</v>
          </cell>
          <cell r="B517">
            <v>14.506666666666668</v>
          </cell>
          <cell r="D517">
            <v>48.6142857142857</v>
          </cell>
          <cell r="G517">
            <v>1.2962741272584677E-3</v>
          </cell>
          <cell r="Q517">
            <v>-2.3442857142856965</v>
          </cell>
          <cell r="Z517">
            <v>59.417299999999997</v>
          </cell>
          <cell r="AA517">
            <v>8.1204999999999998</v>
          </cell>
          <cell r="AB517">
            <v>51.296799999999998</v>
          </cell>
          <cell r="AD517">
            <v>41.3795</v>
          </cell>
          <cell r="AE517">
            <v>14.189999999999998</v>
          </cell>
          <cell r="AF517">
            <v>55.569499999999998</v>
          </cell>
          <cell r="AI517">
            <v>6.4114980296196364</v>
          </cell>
        </row>
        <row r="518">
          <cell r="A518">
            <v>41244</v>
          </cell>
          <cell r="B518">
            <v>14.554625000000001</v>
          </cell>
          <cell r="D518">
            <v>49.58</v>
          </cell>
          <cell r="G518">
            <v>6.8188510293641369E-3</v>
          </cell>
          <cell r="Q518">
            <v>-2.4200000000000017</v>
          </cell>
          <cell r="Z518">
            <v>58.735500000000002</v>
          </cell>
          <cell r="AA518">
            <v>6.1185000000000045</v>
          </cell>
          <cell r="AB518">
            <v>52.616999999999997</v>
          </cell>
          <cell r="AD518">
            <v>40.145499999999998</v>
          </cell>
          <cell r="AE518">
            <v>17.046500000000002</v>
          </cell>
          <cell r="AF518">
            <v>57.192</v>
          </cell>
          <cell r="AI518">
            <v>7.1323597820258371</v>
          </cell>
        </row>
        <row r="519">
          <cell r="A519">
            <v>41275</v>
          </cell>
          <cell r="B519">
            <v>14.316666666666668</v>
          </cell>
          <cell r="D519">
            <v>51.073</v>
          </cell>
          <cell r="G519">
            <v>2.1352092680538504E-2</v>
          </cell>
          <cell r="Q519">
            <v>-2.222999999999999</v>
          </cell>
          <cell r="Z519">
            <v>60.016199999999998</v>
          </cell>
          <cell r="AA519">
            <v>5.4590999999999994</v>
          </cell>
          <cell r="AB519">
            <v>54.557099999999998</v>
          </cell>
          <cell r="AD519">
            <v>41.924799999999998</v>
          </cell>
          <cell r="AE519">
            <v>16.346600000000002</v>
          </cell>
          <cell r="AF519">
            <v>58.2714</v>
          </cell>
          <cell r="AI519">
            <v>3.7880830044109359</v>
          </cell>
        </row>
        <row r="520">
          <cell r="A520">
            <v>41306</v>
          </cell>
          <cell r="B520">
            <v>14.597763157894738</v>
          </cell>
          <cell r="D520">
            <v>51.359499999999997</v>
          </cell>
          <cell r="G520">
            <v>-4.6466830383708468E-3</v>
          </cell>
          <cell r="Q520">
            <v>-2.0294999999999987</v>
          </cell>
          <cell r="Z520">
            <v>60.952599999999997</v>
          </cell>
          <cell r="AA520">
            <v>5.7083999999999975</v>
          </cell>
          <cell r="AB520">
            <v>55.244199999999999</v>
          </cell>
          <cell r="AD520">
            <v>43.186799999999998</v>
          </cell>
          <cell r="AE520">
            <v>15.399500000000003</v>
          </cell>
          <cell r="AF520">
            <v>58.586300000000001</v>
          </cell>
          <cell r="AI520">
            <v>1.1626224286857507</v>
          </cell>
        </row>
        <row r="521">
          <cell r="A521">
            <v>41334</v>
          </cell>
          <cell r="B521">
            <v>14.589749999999999</v>
          </cell>
          <cell r="D521">
            <v>50.124299999999998</v>
          </cell>
          <cell r="G521">
            <v>-5.248388272179938E-3</v>
          </cell>
          <cell r="Q521">
            <v>-1.5043000000000006</v>
          </cell>
          <cell r="Z521">
            <v>60.4</v>
          </cell>
          <cell r="AA521">
            <v>6.1499999999999986</v>
          </cell>
          <cell r="AB521">
            <v>54.25</v>
          </cell>
          <cell r="AD521">
            <v>42.082500000000003</v>
          </cell>
          <cell r="AE521">
            <v>15.914999999999999</v>
          </cell>
          <cell r="AF521">
            <v>57.997500000000002</v>
          </cell>
          <cell r="AI521">
            <v>-0.9415731337304436</v>
          </cell>
        </row>
        <row r="522">
          <cell r="A522">
            <v>41365</v>
          </cell>
          <cell r="B522">
            <v>14.091931818181818</v>
          </cell>
          <cell r="D522">
            <v>49.2941</v>
          </cell>
          <cell r="G522">
            <v>6.8592077897468573E-3</v>
          </cell>
          <cell r="Q522">
            <v>-1.4099999999999113E-2</v>
          </cell>
          <cell r="Z522">
            <v>64.556799999999996</v>
          </cell>
          <cell r="AA522">
            <v>9.9312999999999931</v>
          </cell>
          <cell r="AB522">
            <v>54.625500000000002</v>
          </cell>
          <cell r="AD522">
            <v>41.327300000000001</v>
          </cell>
          <cell r="AE522">
            <v>16.9572</v>
          </cell>
          <cell r="AF522">
            <v>58.284500000000001</v>
          </cell>
          <cell r="AI522">
            <v>-4.1469818586913831</v>
          </cell>
        </row>
        <row r="523">
          <cell r="A523">
            <v>41395</v>
          </cell>
          <cell r="B523">
            <v>14.75625</v>
          </cell>
          <cell r="D523">
            <v>49.1768</v>
          </cell>
          <cell r="G523">
            <v>-1.0140143372020793E-2</v>
          </cell>
          <cell r="Q523">
            <v>0.13320000000000221</v>
          </cell>
          <cell r="Z523">
            <v>64.290499999999994</v>
          </cell>
          <cell r="AA523">
            <v>8.7499999999999929</v>
          </cell>
          <cell r="AB523">
            <v>55.540500000000002</v>
          </cell>
          <cell r="AD523">
            <v>41.317300000000003</v>
          </cell>
          <cell r="AE523">
            <v>17.336799999999997</v>
          </cell>
          <cell r="AF523">
            <v>58.6541</v>
          </cell>
          <cell r="AI523">
            <v>-1.5561028355392281</v>
          </cell>
        </row>
        <row r="524">
          <cell r="A524">
            <v>41426</v>
          </cell>
          <cell r="B524">
            <v>15.244999999999999</v>
          </cell>
          <cell r="D524">
            <v>48.017000000000003</v>
          </cell>
          <cell r="G524">
            <v>-2.372966385290215E-2</v>
          </cell>
          <cell r="Q524">
            <v>-0.1769999999999996</v>
          </cell>
          <cell r="Z524">
            <v>61.517000000000003</v>
          </cell>
          <cell r="AA524">
            <v>7.1875</v>
          </cell>
          <cell r="AB524">
            <v>54.329500000000003</v>
          </cell>
          <cell r="AD524">
            <v>42.111499999999999</v>
          </cell>
          <cell r="AE524">
            <v>14.330500000000001</v>
          </cell>
          <cell r="AF524">
            <v>56.442</v>
          </cell>
          <cell r="AI524">
            <v>0.44849648844495249</v>
          </cell>
        </row>
        <row r="525">
          <cell r="A525">
            <v>41456</v>
          </cell>
          <cell r="B525">
            <v>14.923636363636362</v>
          </cell>
          <cell r="D525">
            <v>45.387300000000003</v>
          </cell>
          <cell r="G525">
            <v>-1.0338123900386631E-2</v>
          </cell>
          <cell r="Q525">
            <v>-0.19730000000000558</v>
          </cell>
          <cell r="Z525">
            <v>57.3996</v>
          </cell>
          <cell r="AA525">
            <v>6.0225999999999971</v>
          </cell>
          <cell r="AB525">
            <v>51.377000000000002</v>
          </cell>
          <cell r="AD525">
            <v>40.242199999999997</v>
          </cell>
          <cell r="AE525">
            <v>13.089100000000002</v>
          </cell>
          <cell r="AF525">
            <v>53.331299999999999</v>
          </cell>
          <cell r="AI525">
            <v>-1.1438069336371015</v>
          </cell>
        </row>
        <row r="526">
          <cell r="A526">
            <v>41487</v>
          </cell>
          <cell r="B526">
            <v>13.554659090909091</v>
          </cell>
          <cell r="D526">
            <v>42.8673</v>
          </cell>
          <cell r="G526">
            <v>6.2101266610091743E-3</v>
          </cell>
          <cell r="Q526">
            <v>-0.53730000000000189</v>
          </cell>
          <cell r="Z526">
            <v>52.412700000000001</v>
          </cell>
          <cell r="AA526">
            <v>4.3068000000000026</v>
          </cell>
          <cell r="AB526">
            <v>48.105899999999998</v>
          </cell>
          <cell r="AD526">
            <v>39.874499999999998</v>
          </cell>
          <cell r="AE526">
            <v>10.411000000000001</v>
          </cell>
          <cell r="AF526">
            <v>50.285499999999999</v>
          </cell>
          <cell r="AI526">
            <v>-2.2179726671771505</v>
          </cell>
        </row>
        <row r="527">
          <cell r="A527">
            <v>41518</v>
          </cell>
          <cell r="B527">
            <v>13.695875000000001</v>
          </cell>
          <cell r="D527">
            <v>42.445500000000003</v>
          </cell>
          <cell r="G527">
            <v>-8.2299863909264803E-3</v>
          </cell>
          <cell r="Q527">
            <v>-0.32550000000000523</v>
          </cell>
          <cell r="Z527">
            <v>51.182000000000002</v>
          </cell>
          <cell r="AA527">
            <v>2.544000000000004</v>
          </cell>
          <cell r="AB527">
            <v>48.637999999999998</v>
          </cell>
          <cell r="AD527">
            <v>40.278500000000001</v>
          </cell>
          <cell r="AE527">
            <v>9.9095000000000013</v>
          </cell>
          <cell r="AF527">
            <v>50.188000000000002</v>
          </cell>
          <cell r="AI527">
            <v>-1.0091050901721701</v>
          </cell>
        </row>
        <row r="528">
          <cell r="A528">
            <v>41548</v>
          </cell>
          <cell r="B528">
            <v>12.868260869565217</v>
          </cell>
          <cell r="D528">
            <v>40.812199999999997</v>
          </cell>
          <cell r="G528">
            <v>-1.2168904728072638E-3</v>
          </cell>
          <cell r="K528">
            <v>443.63</v>
          </cell>
          <cell r="L528">
            <v>39.659999999999997</v>
          </cell>
          <cell r="M528">
            <v>1.1824600000000007</v>
          </cell>
          <cell r="Q528">
            <v>-1.1522000000000006</v>
          </cell>
          <cell r="Z528">
            <v>48.380400000000002</v>
          </cell>
          <cell r="AA528">
            <v>1.2195000000000036</v>
          </cell>
          <cell r="AB528">
            <v>47.160899999999998</v>
          </cell>
          <cell r="AD528">
            <v>40.794800000000002</v>
          </cell>
          <cell r="AE528">
            <v>7.7922000000000011</v>
          </cell>
          <cell r="AF528">
            <v>48.587000000000003</v>
          </cell>
          <cell r="AI528">
            <v>2.9983751279249304</v>
          </cell>
        </row>
        <row r="529">
          <cell r="A529">
            <v>41579</v>
          </cell>
          <cell r="B529">
            <v>12.972625000000001</v>
          </cell>
          <cell r="D529">
            <v>40.701500000000003</v>
          </cell>
          <cell r="G529">
            <v>-3.9062374525463128E-3</v>
          </cell>
          <cell r="K529">
            <v>451.13</v>
          </cell>
          <cell r="L529">
            <v>39.58</v>
          </cell>
          <cell r="M529">
            <v>1.2086599999999983</v>
          </cell>
          <cell r="Q529">
            <v>-1.1215000000000046</v>
          </cell>
          <cell r="Z529">
            <v>47.5015</v>
          </cell>
          <cell r="AA529">
            <v>3.5200000000000031</v>
          </cell>
          <cell r="AB529">
            <v>43.981499999999997</v>
          </cell>
          <cell r="AD529">
            <v>43.146999999999998</v>
          </cell>
          <cell r="AE529">
            <v>5.724499999999999</v>
          </cell>
          <cell r="AF529">
            <v>48.871499999999997</v>
          </cell>
          <cell r="AI529">
            <v>2.054633277964804</v>
          </cell>
        </row>
        <row r="530">
          <cell r="A530">
            <v>41609</v>
          </cell>
          <cell r="B530">
            <v>13.299404761904761</v>
          </cell>
          <cell r="D530">
            <v>39.681399999999996</v>
          </cell>
          <cell r="G530">
            <v>-1.542488227395955E-2</v>
          </cell>
          <cell r="K530">
            <v>498.1</v>
          </cell>
          <cell r="L530">
            <v>37.630000000000003</v>
          </cell>
          <cell r="M530">
            <v>1.6975000000000016</v>
          </cell>
          <cell r="Q530">
            <v>-2.0513999999999939</v>
          </cell>
          <cell r="Z530">
            <v>45.551900000000003</v>
          </cell>
          <cell r="AA530">
            <v>2.8214000000000041</v>
          </cell>
          <cell r="AB530">
            <v>42.730499999999999</v>
          </cell>
          <cell r="AD530">
            <v>42.688600000000001</v>
          </cell>
          <cell r="AE530">
            <v>4.9966000000000008</v>
          </cell>
          <cell r="AF530">
            <v>47.685200000000002</v>
          </cell>
          <cell r="AI530">
            <v>4.8306494272596652</v>
          </cell>
        </row>
        <row r="531">
          <cell r="A531">
            <v>41640</v>
          </cell>
          <cell r="B531">
            <v>12.957380952380952</v>
          </cell>
          <cell r="D531">
            <v>37.824300000000001</v>
          </cell>
          <cell r="G531">
            <v>-1.8567172946646893E-3</v>
          </cell>
          <cell r="K531">
            <v>479.54</v>
          </cell>
          <cell r="L531">
            <v>34.950000000000003</v>
          </cell>
          <cell r="M531">
            <v>1.3643800000000006</v>
          </cell>
          <cell r="Q531">
            <v>-2.8742999999999981</v>
          </cell>
          <cell r="Z531">
            <v>43.264800000000001</v>
          </cell>
          <cell r="AA531">
            <v>2.4405000000000001</v>
          </cell>
          <cell r="AB531">
            <v>40.824300000000001</v>
          </cell>
          <cell r="AD531">
            <v>41.411900000000003</v>
          </cell>
          <cell r="AE531">
            <v>3.298099999999998</v>
          </cell>
          <cell r="AF531">
            <v>44.71</v>
          </cell>
          <cell r="AI531">
            <v>5.8359090667214275</v>
          </cell>
        </row>
        <row r="532">
          <cell r="A532">
            <v>41671</v>
          </cell>
          <cell r="B532">
            <v>13.520657894736841</v>
          </cell>
          <cell r="D532">
            <v>39.628399999999999</v>
          </cell>
          <cell r="G532">
            <v>-5.4422696606435395E-3</v>
          </cell>
          <cell r="K532">
            <v>509.25</v>
          </cell>
          <cell r="L532">
            <v>37.11</v>
          </cell>
          <cell r="M532">
            <v>1.6129999999999995</v>
          </cell>
          <cell r="Q532">
            <v>-2.5183999999999997</v>
          </cell>
          <cell r="Z532">
            <v>46.6295</v>
          </cell>
          <cell r="AA532">
            <v>3.9868999999999986</v>
          </cell>
          <cell r="AB532">
            <v>42.642600000000002</v>
          </cell>
          <cell r="AD532">
            <v>42.088900000000002</v>
          </cell>
          <cell r="AE532">
            <v>5.6194999999999951</v>
          </cell>
          <cell r="AF532">
            <v>47.708399999999997</v>
          </cell>
          <cell r="AI532">
            <v>5.6076837796298449</v>
          </cell>
        </row>
        <row r="533">
          <cell r="A533">
            <v>41699</v>
          </cell>
          <cell r="B533">
            <v>14.206547619047619</v>
          </cell>
          <cell r="D533">
            <v>42.230499999999999</v>
          </cell>
          <cell r="G533">
            <v>1.2348456720139289E-2</v>
          </cell>
          <cell r="K533">
            <v>495.71</v>
          </cell>
          <cell r="L533">
            <v>40.82</v>
          </cell>
          <cell r="M533">
            <v>0.98841999999999786</v>
          </cell>
          <cell r="Q533">
            <v>-1.410499999999999</v>
          </cell>
          <cell r="Z533">
            <v>50.0762</v>
          </cell>
          <cell r="AA533">
            <v>5.9290999999999983</v>
          </cell>
          <cell r="AB533">
            <v>44.147100000000002</v>
          </cell>
          <cell r="AD533">
            <v>46.697600000000001</v>
          </cell>
          <cell r="AE533">
            <v>3.0328999999999979</v>
          </cell>
          <cell r="AF533">
            <v>49.730499999999999</v>
          </cell>
          <cell r="AI533">
            <v>5.2693072758227544</v>
          </cell>
        </row>
        <row r="534">
          <cell r="A534">
            <v>41730</v>
          </cell>
          <cell r="B534">
            <v>14.89202380952381</v>
          </cell>
          <cell r="D534">
            <v>42.37</v>
          </cell>
          <cell r="G534">
            <v>-1.2240813116389804E-2</v>
          </cell>
          <cell r="K534">
            <v>514.01</v>
          </cell>
          <cell r="L534">
            <v>41.87</v>
          </cell>
          <cell r="M534">
            <v>0.78431999999999746</v>
          </cell>
          <cell r="Q534">
            <v>-0.5</v>
          </cell>
          <cell r="Z534">
            <v>51.584299999999999</v>
          </cell>
          <cell r="AA534">
            <v>6.821399999999997</v>
          </cell>
          <cell r="AB534">
            <v>44.762900000000002</v>
          </cell>
          <cell r="AD534">
            <v>44.4619</v>
          </cell>
          <cell r="AE534">
            <v>5.2175999999999974</v>
          </cell>
          <cell r="AF534">
            <v>49.679499999999997</v>
          </cell>
          <cell r="AI534">
            <v>4.8976237786932018</v>
          </cell>
        </row>
        <row r="535">
          <cell r="A535">
            <v>41760</v>
          </cell>
          <cell r="B535">
            <v>14.860595238095238</v>
          </cell>
          <cell r="D535">
            <v>40.6248</v>
          </cell>
          <cell r="G535">
            <v>-1.0293418898757956E-2</v>
          </cell>
          <cell r="K535">
            <v>519.38</v>
          </cell>
          <cell r="L535">
            <v>40.68</v>
          </cell>
          <cell r="M535">
            <v>0.67975999999999992</v>
          </cell>
          <cell r="Q535">
            <v>5.519999999999925E-2</v>
          </cell>
          <cell r="Z535">
            <v>49.852899999999998</v>
          </cell>
          <cell r="AA535">
            <v>5.7380999999999958</v>
          </cell>
          <cell r="AB535">
            <v>44.114800000000002</v>
          </cell>
          <cell r="AD535">
            <v>43.509</v>
          </cell>
          <cell r="AE535">
            <v>3.8676999999999992</v>
          </cell>
          <cell r="AF535">
            <v>47.3767</v>
          </cell>
          <cell r="AI535">
            <v>2.0509647420491319</v>
          </cell>
        </row>
        <row r="536">
          <cell r="A536">
            <v>41791</v>
          </cell>
          <cell r="B536">
            <v>14.369880952380951</v>
          </cell>
          <cell r="D536">
            <v>39.533799999999999</v>
          </cell>
          <cell r="G536">
            <v>1.473401002328345E-3</v>
          </cell>
          <cell r="K536">
            <v>501.72</v>
          </cell>
          <cell r="L536">
            <v>39.840000000000003</v>
          </cell>
          <cell r="M536">
            <v>0.7454400000000021</v>
          </cell>
          <cell r="Q536">
            <v>0.30620000000000402</v>
          </cell>
          <cell r="Z536">
            <v>48.855200000000004</v>
          </cell>
          <cell r="AA536">
            <v>5.2285000000000039</v>
          </cell>
          <cell r="AB536">
            <v>43.6267</v>
          </cell>
          <cell r="AD536">
            <v>41.418999999999997</v>
          </cell>
          <cell r="AE536">
            <v>6.150500000000001</v>
          </cell>
          <cell r="AF536">
            <v>47.569499999999998</v>
          </cell>
          <cell r="AI536">
            <v>-1.1288341867803595</v>
          </cell>
        </row>
        <row r="537">
          <cell r="A537">
            <v>41821</v>
          </cell>
          <cell r="B537">
            <v>12.607159090909089</v>
          </cell>
          <cell r="D537">
            <v>36.954099999999997</v>
          </cell>
          <cell r="G537">
            <v>2.2495530961659516E-2</v>
          </cell>
          <cell r="K537">
            <v>450.79</v>
          </cell>
          <cell r="L537">
            <v>37.6</v>
          </cell>
          <cell r="M537">
            <v>0.90668000000000148</v>
          </cell>
          <cell r="Q537">
            <v>0.64590000000000458</v>
          </cell>
          <cell r="Z537">
            <v>46.1995</v>
          </cell>
          <cell r="AA537">
            <v>4.4431000000000012</v>
          </cell>
          <cell r="AB537">
            <v>41.756399999999999</v>
          </cell>
          <cell r="AD537">
            <v>40.804099999999998</v>
          </cell>
          <cell r="AE537">
            <v>5.1908999999999992</v>
          </cell>
          <cell r="AF537">
            <v>45.994999999999997</v>
          </cell>
          <cell r="AI537">
            <v>-0.19073846035794872</v>
          </cell>
        </row>
        <row r="538">
          <cell r="A538">
            <v>41852</v>
          </cell>
          <cell r="B538">
            <v>11.783928571428572</v>
          </cell>
          <cell r="D538">
            <v>33.855699999999999</v>
          </cell>
          <cell r="G538">
            <v>-1.4707063693829903E-2</v>
          </cell>
          <cell r="K538">
            <v>490.32</v>
          </cell>
          <cell r="L538">
            <v>35.04</v>
          </cell>
          <cell r="M538">
            <v>1.773439999999999</v>
          </cell>
          <cell r="Q538">
            <v>1.1843000000000004</v>
          </cell>
          <cell r="Z538">
            <v>43.285699999999999</v>
          </cell>
          <cell r="AA538">
            <v>4.1471000000000018</v>
          </cell>
          <cell r="AB538">
            <v>39.138599999999997</v>
          </cell>
          <cell r="AD538">
            <v>38.264299999999999</v>
          </cell>
          <cell r="AE538">
            <v>6.0071000000000012</v>
          </cell>
          <cell r="AF538">
            <v>44.2714</v>
          </cell>
          <cell r="AI538">
            <v>0.57078472634061228</v>
          </cell>
        </row>
        <row r="539">
          <cell r="A539">
            <v>41883</v>
          </cell>
          <cell r="B539">
            <v>10.03845238095238</v>
          </cell>
          <cell r="D539">
            <v>32.299500000000002</v>
          </cell>
          <cell r="G539">
            <v>2.2134173261677992E-2</v>
          </cell>
          <cell r="K539">
            <v>525.72</v>
          </cell>
          <cell r="L539">
            <v>33.99</v>
          </cell>
          <cell r="M539">
            <v>4.2222400000000029</v>
          </cell>
          <cell r="Q539">
            <v>1.6905000000000001</v>
          </cell>
          <cell r="Z539">
            <v>42.217100000000002</v>
          </cell>
          <cell r="AA539">
            <v>4.380900000000004</v>
          </cell>
          <cell r="AB539">
            <v>37.836199999999998</v>
          </cell>
          <cell r="AD539">
            <v>36.4129</v>
          </cell>
          <cell r="AE539">
            <v>6.1257000000000019</v>
          </cell>
          <cell r="AF539">
            <v>42.538600000000002</v>
          </cell>
          <cell r="AI539">
            <v>-2.3994590266340765E-2</v>
          </cell>
        </row>
        <row r="540">
          <cell r="A540">
            <v>41913</v>
          </cell>
          <cell r="B540">
            <v>9.6463043478260868</v>
          </cell>
          <cell r="D540">
            <v>32.794800000000002</v>
          </cell>
          <cell r="G540">
            <v>2.6944971166280585E-3</v>
          </cell>
          <cell r="K540">
            <v>381.5</v>
          </cell>
          <cell r="L540">
            <v>34.1</v>
          </cell>
          <cell r="M540">
            <v>2.5175000000000018</v>
          </cell>
          <cell r="Q540">
            <v>1.3051999999999992</v>
          </cell>
          <cell r="Z540">
            <v>43.631700000000002</v>
          </cell>
          <cell r="AA540">
            <v>5.3152000000000044</v>
          </cell>
          <cell r="AB540">
            <v>38.316499999999998</v>
          </cell>
          <cell r="AD540">
            <v>35.131399999999999</v>
          </cell>
          <cell r="AE540">
            <v>7.9134000000000029</v>
          </cell>
          <cell r="AF540">
            <v>43.044800000000002</v>
          </cell>
          <cell r="AI540">
            <v>-2.3958031151867019</v>
          </cell>
        </row>
        <row r="541">
          <cell r="A541">
            <v>41944</v>
          </cell>
          <cell r="B541">
            <v>10.32407894736842</v>
          </cell>
          <cell r="D541">
            <v>32.722099999999998</v>
          </cell>
          <cell r="G541">
            <v>-2.9410167166309953E-2</v>
          </cell>
          <cell r="K541">
            <v>441.39</v>
          </cell>
          <cell r="L541">
            <v>33.450000000000003</v>
          </cell>
          <cell r="M541">
            <v>3.0794800000000002</v>
          </cell>
          <cell r="Q541">
            <v>0.72790000000000532</v>
          </cell>
          <cell r="Z541">
            <v>42.472099999999998</v>
          </cell>
          <cell r="AA541">
            <v>5.0788999999999973</v>
          </cell>
          <cell r="AB541">
            <v>37.3932</v>
          </cell>
          <cell r="AD541">
            <v>35.7318</v>
          </cell>
          <cell r="AE541">
            <v>7.2402999999999977</v>
          </cell>
          <cell r="AF541">
            <v>42.972099999999998</v>
          </cell>
          <cell r="AI541">
            <v>-4.6152605173211327</v>
          </cell>
        </row>
        <row r="542">
          <cell r="A542">
            <v>41974</v>
          </cell>
          <cell r="B542">
            <v>10.30875</v>
          </cell>
          <cell r="D542">
            <v>32.059100000000001</v>
          </cell>
          <cell r="G542">
            <v>5.487349785044171E-3</v>
          </cell>
          <cell r="K542">
            <v>431.73</v>
          </cell>
          <cell r="L542">
            <v>32.56</v>
          </cell>
          <cell r="M542">
            <v>2.7165600000000012</v>
          </cell>
          <cell r="Q542">
            <v>0.50090000000000146</v>
          </cell>
          <cell r="Z542">
            <v>41.307099999999998</v>
          </cell>
          <cell r="AA542">
            <v>5.9165999999999954</v>
          </cell>
          <cell r="AB542">
            <v>35.390500000000003</v>
          </cell>
          <cell r="AD542">
            <v>33.56</v>
          </cell>
          <cell r="AE542">
            <v>8.2232999999999947</v>
          </cell>
          <cell r="AF542">
            <v>41.783299999999997</v>
          </cell>
          <cell r="AI542">
            <v>-4.8895318406352395</v>
          </cell>
        </row>
        <row r="543">
          <cell r="A543">
            <v>42005</v>
          </cell>
          <cell r="B543">
            <v>10.0015</v>
          </cell>
          <cell r="D543">
            <v>32.186</v>
          </cell>
          <cell r="G543">
            <v>1.8199674115400355E-2</v>
          </cell>
          <cell r="K543">
            <v>380.02</v>
          </cell>
          <cell r="L543">
            <v>32.33</v>
          </cell>
          <cell r="M543">
            <v>1.8354399999999984</v>
          </cell>
          <cell r="Q543">
            <v>0.14399999999999835</v>
          </cell>
          <cell r="Z543">
            <v>41.877499999999998</v>
          </cell>
          <cell r="AA543">
            <v>6.7999999999999972</v>
          </cell>
          <cell r="AB543">
            <v>35.077500000000001</v>
          </cell>
          <cell r="AD543">
            <v>35.340000000000003</v>
          </cell>
          <cell r="AE543">
            <v>6.8874999999999957</v>
          </cell>
          <cell r="AF543">
            <v>42.227499999999999</v>
          </cell>
          <cell r="AI543">
            <v>-4.1543959217694919</v>
          </cell>
        </row>
        <row r="544">
          <cell r="A544">
            <v>42036</v>
          </cell>
          <cell r="B544">
            <v>9.9265789473684212</v>
          </cell>
          <cell r="D544">
            <v>31.657900000000001</v>
          </cell>
          <cell r="G544">
            <v>-4.5012107962458803E-3</v>
          </cell>
          <cell r="K544">
            <v>370.38</v>
          </cell>
          <cell r="L544">
            <v>31.57</v>
          </cell>
          <cell r="M544">
            <v>1.5792599999999997</v>
          </cell>
          <cell r="Q544">
            <v>-8.7900000000001199E-2</v>
          </cell>
          <cell r="Z544">
            <v>40.723700000000001</v>
          </cell>
          <cell r="AA544">
            <v>6.9342000000000041</v>
          </cell>
          <cell r="AB544">
            <v>33.789499999999997</v>
          </cell>
          <cell r="AD544">
            <v>34.954500000000003</v>
          </cell>
          <cell r="AE544">
            <v>6.229699999999994</v>
          </cell>
          <cell r="AF544">
            <v>41.184199999999997</v>
          </cell>
          <cell r="AI544">
            <v>-5.3865533153679372</v>
          </cell>
        </row>
        <row r="545">
          <cell r="A545">
            <v>42064</v>
          </cell>
          <cell r="B545">
            <v>9.7865909090909096</v>
          </cell>
          <cell r="D545">
            <v>31.072299999999998</v>
          </cell>
          <cell r="G545">
            <v>4.5207197384303788E-3</v>
          </cell>
          <cell r="K545">
            <v>357.83</v>
          </cell>
          <cell r="L545">
            <v>30.89</v>
          </cell>
          <cell r="M545">
            <v>1.3674600000000012</v>
          </cell>
          <cell r="Q545">
            <v>-0.18229999999999791</v>
          </cell>
          <cell r="Z545">
            <v>39.461399999999998</v>
          </cell>
          <cell r="AA545">
            <v>6.2142999999999944</v>
          </cell>
          <cell r="AB545">
            <v>33.247100000000003</v>
          </cell>
          <cell r="AD545">
            <v>33.570500000000003</v>
          </cell>
          <cell r="AE545">
            <v>6.410899999999998</v>
          </cell>
          <cell r="AF545">
            <v>39.981400000000001</v>
          </cell>
          <cell r="AI545">
            <v>-5.7431389998338176</v>
          </cell>
        </row>
        <row r="546">
          <cell r="A546">
            <v>42095</v>
          </cell>
          <cell r="B546">
            <v>9.7139285714285712</v>
          </cell>
          <cell r="D546">
            <v>31.373799999999999</v>
          </cell>
          <cell r="G546">
            <v>8.3670795236249762E-3</v>
          </cell>
          <cell r="K546">
            <v>336.61</v>
          </cell>
          <cell r="L546">
            <v>31.13</v>
          </cell>
          <cell r="M546">
            <v>0.95031999999999961</v>
          </cell>
          <cell r="Q546">
            <v>-0.24380000000000024</v>
          </cell>
          <cell r="Z546">
            <v>36.270000000000003</v>
          </cell>
          <cell r="AA546">
            <v>0.88889999999999958</v>
          </cell>
          <cell r="AB546">
            <v>35.381100000000004</v>
          </cell>
          <cell r="AD546">
            <v>32.746699999999997</v>
          </cell>
          <cell r="AE546">
            <v>6.5676000000000059</v>
          </cell>
          <cell r="AF546">
            <v>39.314300000000003</v>
          </cell>
          <cell r="AI546">
            <v>-3.3065953981289482</v>
          </cell>
        </row>
        <row r="547">
          <cell r="A547">
            <v>42125</v>
          </cell>
          <cell r="B547">
            <v>9.5785</v>
          </cell>
          <cell r="D547">
            <v>32.587499999999999</v>
          </cell>
          <cell r="G547">
            <v>1.5417003270585816E-2</v>
          </cell>
          <cell r="K547">
            <v>320.23</v>
          </cell>
          <cell r="L547">
            <v>32.65</v>
          </cell>
          <cell r="M547">
            <v>0.84356000000000009</v>
          </cell>
          <cell r="Q547">
            <v>6.25E-2</v>
          </cell>
          <cell r="Z547">
            <v>36.150500000000001</v>
          </cell>
          <cell r="AA547">
            <v>0.5</v>
          </cell>
          <cell r="AB547">
            <v>35.650500000000001</v>
          </cell>
          <cell r="AD547">
            <v>33.445700000000002</v>
          </cell>
          <cell r="AE547">
            <v>5.0261999999999958</v>
          </cell>
          <cell r="AF547">
            <v>38.471899999999998</v>
          </cell>
          <cell r="AI547">
            <v>-4.1655714481491515</v>
          </cell>
        </row>
        <row r="548">
          <cell r="A548">
            <v>42156</v>
          </cell>
          <cell r="B548">
            <v>9.656704545454545</v>
          </cell>
          <cell r="D548">
            <v>33.476799999999997</v>
          </cell>
          <cell r="G548">
            <v>-3.5874520561742229E-3</v>
          </cell>
          <cell r="K548">
            <v>335.03</v>
          </cell>
          <cell r="L548">
            <v>33.729999999999997</v>
          </cell>
          <cell r="M548">
            <v>1.1429599999999986</v>
          </cell>
          <cell r="Q548">
            <v>0.25319999999999965</v>
          </cell>
          <cell r="Z548">
            <v>37.639499999999998</v>
          </cell>
          <cell r="AA548">
            <v>1.1021999999999963</v>
          </cell>
          <cell r="AB548">
            <v>36.537300000000002</v>
          </cell>
          <cell r="AD548">
            <v>34.3277</v>
          </cell>
          <cell r="AE548">
            <v>5.1300000000000026</v>
          </cell>
          <cell r="AF548">
            <v>39.457700000000003</v>
          </cell>
          <cell r="AI548">
            <v>-5.7124726609779017</v>
          </cell>
        </row>
        <row r="549">
          <cell r="A549">
            <v>42186</v>
          </cell>
          <cell r="B549">
            <v>10.133636363636363</v>
          </cell>
          <cell r="D549">
            <v>31.6023</v>
          </cell>
          <cell r="G549">
            <v>-3.4156727772534923E-2</v>
          </cell>
          <cell r="K549">
            <v>375.71</v>
          </cell>
          <cell r="L549">
            <v>31.54</v>
          </cell>
          <cell r="M549">
            <v>1.2698200000000011</v>
          </cell>
          <cell r="Q549">
            <v>-6.2300000000000466E-2</v>
          </cell>
          <cell r="Z549">
            <v>36.3523</v>
          </cell>
          <cell r="AA549">
            <v>1.7387000000000015</v>
          </cell>
          <cell r="AB549">
            <v>34.613599999999998</v>
          </cell>
          <cell r="AD549">
            <v>33.2286</v>
          </cell>
          <cell r="AE549">
            <v>3.7372999999999976</v>
          </cell>
          <cell r="AF549">
            <v>36.965899999999998</v>
          </cell>
          <cell r="AI549">
            <v>-6.4102634337277529</v>
          </cell>
        </row>
        <row r="550">
          <cell r="A550">
            <v>42217</v>
          </cell>
          <cell r="B550">
            <v>9.444404761904762</v>
          </cell>
          <cell r="D550">
            <v>28.573799999999999</v>
          </cell>
          <cell r="G550">
            <v>-7.0588194219906586E-3</v>
          </cell>
          <cell r="K550">
            <v>357.85</v>
          </cell>
          <cell r="L550">
            <v>28.87</v>
          </cell>
          <cell r="M550">
            <v>1.2964000000000002</v>
          </cell>
          <cell r="Q550">
            <v>0.29620000000000246</v>
          </cell>
          <cell r="Z550">
            <v>33.2986</v>
          </cell>
          <cell r="AA550">
            <v>1.8215000000000003</v>
          </cell>
          <cell r="AB550">
            <v>31.4771</v>
          </cell>
          <cell r="AD550">
            <v>29.8033</v>
          </cell>
          <cell r="AE550">
            <v>4.5191000000000017</v>
          </cell>
          <cell r="AF550">
            <v>34.322400000000002</v>
          </cell>
          <cell r="AI550">
            <v>-1.874801476976355</v>
          </cell>
        </row>
        <row r="551">
          <cell r="A551">
            <v>42248</v>
          </cell>
          <cell r="B551">
            <v>8.805714285714286</v>
          </cell>
          <cell r="D551">
            <v>26.809000000000001</v>
          </cell>
          <cell r="G551">
            <v>7.8826013854299548E-4</v>
          </cell>
          <cell r="K551">
            <v>333.62</v>
          </cell>
          <cell r="L551">
            <v>26.43</v>
          </cell>
          <cell r="M551">
            <v>1.3374400000000009</v>
          </cell>
          <cell r="Q551">
            <v>-0.37900000000000134</v>
          </cell>
          <cell r="Z551">
            <v>31.523299999999999</v>
          </cell>
          <cell r="AA551">
            <v>2.9761999999999986</v>
          </cell>
          <cell r="AB551">
            <v>28.5471</v>
          </cell>
          <cell r="AD551">
            <v>28.951899999999998</v>
          </cell>
          <cell r="AE551">
            <v>3.6667000000000023</v>
          </cell>
          <cell r="AF551">
            <v>32.618600000000001</v>
          </cell>
          <cell r="AI551">
            <v>-1.639551405777528</v>
          </cell>
        </row>
        <row r="552">
          <cell r="A552">
            <v>42278</v>
          </cell>
          <cell r="B552">
            <v>8.910909090909092</v>
          </cell>
          <cell r="D552">
            <v>28.377700000000001</v>
          </cell>
          <cell r="G552">
            <v>1.3740525176367813E-2</v>
          </cell>
          <cell r="K552">
            <v>327.97</v>
          </cell>
          <cell r="L552">
            <v>27.14</v>
          </cell>
          <cell r="M552">
            <v>1.2712400000000006</v>
          </cell>
          <cell r="Q552">
            <v>-1.2377000000000002</v>
          </cell>
          <cell r="Z552">
            <v>32.539099999999998</v>
          </cell>
          <cell r="AA552">
            <v>2.7385999999999981</v>
          </cell>
          <cell r="AB552">
            <v>29.8005</v>
          </cell>
          <cell r="AD552">
            <v>30.82</v>
          </cell>
          <cell r="AE552">
            <v>3.8327000000000027</v>
          </cell>
          <cell r="AF552">
            <v>34.652700000000003</v>
          </cell>
          <cell r="AI552">
            <v>0.53255354050640946</v>
          </cell>
        </row>
        <row r="553">
          <cell r="A553">
            <v>42309</v>
          </cell>
          <cell r="B553">
            <v>8.6839999999999993</v>
          </cell>
          <cell r="D553">
            <v>27.884</v>
          </cell>
          <cell r="G553">
            <v>8.2046320164331776E-3</v>
          </cell>
          <cell r="K553">
            <v>308.60000000000002</v>
          </cell>
          <cell r="L553">
            <v>26.42</v>
          </cell>
          <cell r="M553">
            <v>0.86460000000000115</v>
          </cell>
          <cell r="Q553">
            <v>-1.4639999999999986</v>
          </cell>
          <cell r="Z553">
            <v>30.634</v>
          </cell>
          <cell r="AA553">
            <v>1.5625</v>
          </cell>
          <cell r="AB553">
            <v>29.0715</v>
          </cell>
          <cell r="AD553">
            <v>29.559000000000001</v>
          </cell>
          <cell r="AE553">
            <v>5.0749999999999993</v>
          </cell>
          <cell r="AF553">
            <v>34.634</v>
          </cell>
          <cell r="AI553">
            <v>-0.33764162461330827</v>
          </cell>
        </row>
        <row r="554">
          <cell r="A554">
            <v>42339</v>
          </cell>
          <cell r="B554">
            <v>8.7992045454545451</v>
          </cell>
          <cell r="D554">
            <v>30.822700000000001</v>
          </cell>
          <cell r="G554">
            <v>3.4531183326294346E-2</v>
          </cell>
          <cell r="K554">
            <v>289.77999999999997</v>
          </cell>
          <cell r="L554">
            <v>29.72</v>
          </cell>
          <cell r="M554">
            <v>0.74245999999999945</v>
          </cell>
          <cell r="Q554">
            <v>-1.1027000000000022</v>
          </cell>
          <cell r="Z554">
            <v>33.195500000000003</v>
          </cell>
          <cell r="AA554">
            <v>1.1819000000000059</v>
          </cell>
          <cell r="AB554">
            <v>32.013599999999997</v>
          </cell>
          <cell r="AD554">
            <v>29.368200000000002</v>
          </cell>
          <cell r="AE554">
            <v>7.0317999999999969</v>
          </cell>
          <cell r="AF554">
            <v>36.4</v>
          </cell>
          <cell r="AI554">
            <v>2.7019906749113112</v>
          </cell>
        </row>
        <row r="555">
          <cell r="A555">
            <v>42370</v>
          </cell>
          <cell r="B555">
            <v>8.7961842105263148</v>
          </cell>
          <cell r="D555">
            <v>30.012599999999999</v>
          </cell>
          <cell r="G555">
            <v>-1.8327912623768983E-3</v>
          </cell>
          <cell r="K555">
            <v>279.56</v>
          </cell>
          <cell r="L555">
            <v>28.89</v>
          </cell>
          <cell r="M555">
            <v>0.51811999999999969</v>
          </cell>
          <cell r="Q555">
            <v>-1.1225999999999985</v>
          </cell>
          <cell r="Z555">
            <v>32.938899999999997</v>
          </cell>
          <cell r="AA555">
            <v>1.6446999999999967</v>
          </cell>
          <cell r="AB555">
            <v>31.2942</v>
          </cell>
          <cell r="AD555">
            <v>29.552600000000002</v>
          </cell>
          <cell r="AE555">
            <v>4.5705999999999953</v>
          </cell>
          <cell r="AF555">
            <v>34.123199999999997</v>
          </cell>
          <cell r="AI555">
            <v>3.6738815996712013</v>
          </cell>
        </row>
        <row r="556">
          <cell r="A556">
            <v>42401</v>
          </cell>
          <cell r="B556">
            <v>8.7125000000000004</v>
          </cell>
          <cell r="D556">
            <v>31.157499999999999</v>
          </cell>
          <cell r="G556">
            <v>1.3914960474891491E-2</v>
          </cell>
          <cell r="K556">
            <v>273.61</v>
          </cell>
          <cell r="L556">
            <v>29.79</v>
          </cell>
          <cell r="M556">
            <v>0.47401999999999944</v>
          </cell>
          <cell r="Q556">
            <v>-1.3674999999999997</v>
          </cell>
          <cell r="Z556">
            <v>34.8825</v>
          </cell>
          <cell r="AA556">
            <v>2.7250000000000014</v>
          </cell>
          <cell r="AB556">
            <v>32.157499999999999</v>
          </cell>
          <cell r="AD556">
            <v>32.807000000000002</v>
          </cell>
          <cell r="AE556">
            <v>2.7004999999999981</v>
          </cell>
          <cell r="AF556">
            <v>35.5075</v>
          </cell>
          <cell r="AI556">
            <v>5.1020252087663351</v>
          </cell>
        </row>
        <row r="557">
          <cell r="A557">
            <v>42430</v>
          </cell>
          <cell r="B557">
            <v>8.8977272727272734</v>
          </cell>
          <cell r="D557">
            <v>32.476399999999998</v>
          </cell>
          <cell r="G557">
            <v>4.8513031920496275E-3</v>
          </cell>
          <cell r="K557">
            <v>276.22000000000003</v>
          </cell>
          <cell r="L557">
            <v>30.86</v>
          </cell>
          <cell r="M557">
            <v>0.50914000000000037</v>
          </cell>
          <cell r="Q557">
            <v>-1.6163999999999987</v>
          </cell>
          <cell r="Z557">
            <v>35.476399999999998</v>
          </cell>
          <cell r="AA557">
            <v>2</v>
          </cell>
          <cell r="AB557">
            <v>33.476399999999998</v>
          </cell>
          <cell r="AD557">
            <v>33.665900000000001</v>
          </cell>
          <cell r="AE557">
            <v>3.0945999999999998</v>
          </cell>
          <cell r="AF557">
            <v>36.7605</v>
          </cell>
          <cell r="AI557">
            <v>4.6708504485165676</v>
          </cell>
        </row>
        <row r="558">
          <cell r="A558">
            <v>42461</v>
          </cell>
          <cell r="B558">
            <v>9.6289285714285704</v>
          </cell>
          <cell r="D558">
            <v>33.9529</v>
          </cell>
          <cell r="G558">
            <v>-1.2192253701910072E-2</v>
          </cell>
          <cell r="K558">
            <v>303.81</v>
          </cell>
          <cell r="L558">
            <v>32.450000000000003</v>
          </cell>
          <cell r="M558">
            <v>0.64372000000000007</v>
          </cell>
          <cell r="Q558">
            <v>-1.5028999999999968</v>
          </cell>
          <cell r="Z558">
            <v>36.9529</v>
          </cell>
          <cell r="AA558">
            <v>2.0118999999999971</v>
          </cell>
          <cell r="AB558">
            <v>34.941000000000003</v>
          </cell>
          <cell r="AD558">
            <v>37.2057</v>
          </cell>
          <cell r="AE558">
            <v>0.99719999999999942</v>
          </cell>
          <cell r="AF558">
            <v>38.2029</v>
          </cell>
          <cell r="AI558">
            <v>5.0874419771776473</v>
          </cell>
        </row>
        <row r="559">
          <cell r="A559">
            <v>42491</v>
          </cell>
          <cell r="B559">
            <v>10.573571428571428</v>
          </cell>
          <cell r="D559">
            <v>32.2057</v>
          </cell>
          <cell r="G559">
            <v>-6.0213512009765935E-2</v>
          </cell>
          <cell r="K559">
            <v>376.35</v>
          </cell>
          <cell r="L559">
            <v>30.76</v>
          </cell>
          <cell r="M559">
            <v>1.1729000000000003</v>
          </cell>
          <cell r="Q559">
            <v>-1.4456999999999987</v>
          </cell>
          <cell r="Z559">
            <v>35.268999999999998</v>
          </cell>
          <cell r="AA559">
            <v>2.1903999999999968</v>
          </cell>
          <cell r="AB559">
            <v>33.078600000000002</v>
          </cell>
          <cell r="AD559">
            <v>36.459000000000003</v>
          </cell>
          <cell r="AE559">
            <v>-4.7100000000000364E-2</v>
          </cell>
          <cell r="AF559">
            <v>36.411900000000003</v>
          </cell>
          <cell r="AI559">
            <v>2.9476596448866559</v>
          </cell>
        </row>
        <row r="560">
          <cell r="A560">
            <v>42522</v>
          </cell>
          <cell r="B560">
            <v>11.463977272727272</v>
          </cell>
          <cell r="D560">
            <v>31.914999999999999</v>
          </cell>
          <cell r="G560">
            <v>-1.9243704718140464E-2</v>
          </cell>
          <cell r="K560">
            <v>408.57</v>
          </cell>
          <cell r="L560">
            <v>30.35</v>
          </cell>
          <cell r="M560">
            <v>0.93034000000000106</v>
          </cell>
          <cell r="Q560">
            <v>-1.5649999999999977</v>
          </cell>
          <cell r="Z560">
            <v>36.0627</v>
          </cell>
          <cell r="AA560">
            <v>3.0454000000000008</v>
          </cell>
          <cell r="AB560">
            <v>33.017299999999999</v>
          </cell>
          <cell r="AD560">
            <v>34.967300000000002</v>
          </cell>
          <cell r="AE560">
            <v>1.9249999999999972</v>
          </cell>
          <cell r="AF560">
            <v>36.892299999999999</v>
          </cell>
          <cell r="AI560">
            <v>4.6656690341363181</v>
          </cell>
        </row>
        <row r="561">
          <cell r="A561">
            <v>42552</v>
          </cell>
          <cell r="B561">
            <v>10.625</v>
          </cell>
          <cell r="D561">
            <v>30.401499999999999</v>
          </cell>
          <cell r="G561">
            <v>1.0040176413179724E-2</v>
          </cell>
          <cell r="K561">
            <v>371.49</v>
          </cell>
          <cell r="L561">
            <v>28.75</v>
          </cell>
          <cell r="M561">
            <v>0.74917999999999907</v>
          </cell>
          <cell r="Q561">
            <v>-1.6514999999999986</v>
          </cell>
          <cell r="Z561">
            <v>34.643999999999998</v>
          </cell>
          <cell r="AA561">
            <v>3.1439999999999984</v>
          </cell>
          <cell r="AB561">
            <v>31.5</v>
          </cell>
          <cell r="AD561">
            <v>33.262999999999998</v>
          </cell>
          <cell r="AE561">
            <v>2.474499999999999</v>
          </cell>
          <cell r="AF561">
            <v>35.737499999999997</v>
          </cell>
          <cell r="AI561">
            <v>6.7342604496105842</v>
          </cell>
        </row>
        <row r="562">
          <cell r="A562">
            <v>42583</v>
          </cell>
          <cell r="B562">
            <v>10.078369565217391</v>
          </cell>
          <cell r="D562">
            <v>32.326999999999998</v>
          </cell>
          <cell r="G562">
            <v>3.4617847953733571E-2</v>
          </cell>
          <cell r="K562">
            <v>340.8</v>
          </cell>
          <cell r="L562">
            <v>31.21</v>
          </cell>
          <cell r="M562">
            <v>0.69399999999999906</v>
          </cell>
          <cell r="Q562">
            <v>-1.1169999999999973</v>
          </cell>
          <cell r="Z562">
            <v>38.0991</v>
          </cell>
          <cell r="AA562">
            <v>4.0433999999999983</v>
          </cell>
          <cell r="AB562">
            <v>34.055700000000002</v>
          </cell>
          <cell r="AD562">
            <v>36.800400000000003</v>
          </cell>
          <cell r="AE562">
            <v>1.9508999999999972</v>
          </cell>
          <cell r="AF562">
            <v>38.751300000000001</v>
          </cell>
          <cell r="AI562">
            <v>12.007559881646014</v>
          </cell>
        </row>
        <row r="563">
          <cell r="A563">
            <v>42614</v>
          </cell>
          <cell r="B563">
            <v>9.6860714285714291</v>
          </cell>
          <cell r="D563">
            <v>32.812899999999999</v>
          </cell>
          <cell r="G563">
            <v>1.8663940712454807E-2</v>
          </cell>
          <cell r="K563">
            <v>337.95</v>
          </cell>
          <cell r="L563">
            <v>31.99</v>
          </cell>
          <cell r="M563">
            <v>1.1722999999999981</v>
          </cell>
          <cell r="Q563">
            <v>-0.82290000000000063</v>
          </cell>
          <cell r="Z563">
            <v>39.0486</v>
          </cell>
          <cell r="AA563">
            <v>3.5833999999999975</v>
          </cell>
          <cell r="AB563">
            <v>35.465200000000003</v>
          </cell>
          <cell r="AD563">
            <v>38.454300000000003</v>
          </cell>
          <cell r="AE563">
            <v>0.93949999999999534</v>
          </cell>
          <cell r="AF563">
            <v>39.393799999999999</v>
          </cell>
          <cell r="AI563">
            <v>12.170464743265416</v>
          </cell>
        </row>
        <row r="564">
          <cell r="A564">
            <v>42644</v>
          </cell>
          <cell r="B564">
            <v>9.7536904761904761</v>
          </cell>
          <cell r="D564">
            <v>34.444800000000001</v>
          </cell>
          <cell r="G564">
            <v>1.2234025837848661E-2</v>
          </cell>
          <cell r="K564">
            <v>323.27</v>
          </cell>
          <cell r="L564">
            <v>33.86</v>
          </cell>
          <cell r="M564">
            <v>1.2791399999999999</v>
          </cell>
          <cell r="Q564">
            <v>-0.58480000000000132</v>
          </cell>
          <cell r="Z564">
            <v>40.598599999999998</v>
          </cell>
          <cell r="AA564">
            <v>4.4642999999999944</v>
          </cell>
          <cell r="AB564">
            <v>36.134300000000003</v>
          </cell>
          <cell r="AD564">
            <v>34.0929</v>
          </cell>
          <cell r="AE564">
            <v>6.8033000000000001</v>
          </cell>
          <cell r="AF564">
            <v>40.8962</v>
          </cell>
          <cell r="AI564">
            <v>11.56592896122639</v>
          </cell>
        </row>
        <row r="565">
          <cell r="A565">
            <v>42675</v>
          </cell>
          <cell r="B565">
            <v>10.025476190476191</v>
          </cell>
          <cell r="D565">
            <v>35.036200000000001</v>
          </cell>
          <cell r="G565">
            <v>-1.1877344359851327E-3</v>
          </cell>
          <cell r="K565">
            <v>322.41000000000003</v>
          </cell>
          <cell r="L565">
            <v>34.520000000000003</v>
          </cell>
          <cell r="M565">
            <v>0.95092000000000176</v>
          </cell>
          <cell r="Q565">
            <v>-0.51619999999999777</v>
          </cell>
          <cell r="Z565">
            <v>41.048099999999998</v>
          </cell>
          <cell r="AA565">
            <v>4.2618999999999971</v>
          </cell>
          <cell r="AB565">
            <v>36.786200000000001</v>
          </cell>
          <cell r="AD565">
            <v>36.999000000000002</v>
          </cell>
          <cell r="AE565">
            <v>4.5371999999999986</v>
          </cell>
          <cell r="AF565">
            <v>41.536200000000001</v>
          </cell>
          <cell r="AI565">
            <v>10.716874710284475</v>
          </cell>
        </row>
        <row r="566">
          <cell r="A566">
            <v>42705</v>
          </cell>
          <cell r="B566">
            <v>10.213690476190475</v>
          </cell>
          <cell r="D566">
            <v>36.395699999999998</v>
          </cell>
          <cell r="G566">
            <v>8.152164012471097E-3</v>
          </cell>
          <cell r="K566">
            <v>321.02</v>
          </cell>
          <cell r="L566">
            <v>35.57</v>
          </cell>
          <cell r="M566">
            <v>0.81763999999999903</v>
          </cell>
          <cell r="Q566">
            <v>-0.82569999999999766</v>
          </cell>
          <cell r="Z566">
            <v>41.288600000000002</v>
          </cell>
          <cell r="AA566">
            <v>3.4405000000000001</v>
          </cell>
          <cell r="AB566">
            <v>37.848100000000002</v>
          </cell>
          <cell r="AD566">
            <v>39.098100000000002</v>
          </cell>
          <cell r="AE566">
            <v>3.4405000000000001</v>
          </cell>
          <cell r="AF566">
            <v>42.538600000000002</v>
          </cell>
          <cell r="AI566">
            <v>8.1041694902153871</v>
          </cell>
        </row>
        <row r="567">
          <cell r="A567">
            <v>42736</v>
          </cell>
          <cell r="B567">
            <v>10.33075</v>
          </cell>
          <cell r="D567">
            <v>35.111499999999999</v>
          </cell>
          <cell r="G567">
            <v>-2.0992225310764168E-2</v>
          </cell>
          <cell r="K567">
            <v>332.34</v>
          </cell>
          <cell r="L567">
            <v>33.58</v>
          </cell>
          <cell r="M567">
            <v>0.74747999999999948</v>
          </cell>
          <cell r="Q567">
            <v>-1.5315000000000012</v>
          </cell>
          <cell r="Z567">
            <v>39.861499999999999</v>
          </cell>
          <cell r="AA567">
            <v>3.75</v>
          </cell>
          <cell r="AB567">
            <v>36.111499999999999</v>
          </cell>
          <cell r="AD567">
            <v>39.869500000000002</v>
          </cell>
          <cell r="AE567">
            <v>1.5045000000000002</v>
          </cell>
          <cell r="AF567">
            <v>41.374000000000002</v>
          </cell>
          <cell r="AI567">
            <v>7.4141169296458145</v>
          </cell>
        </row>
        <row r="568">
          <cell r="A568">
            <v>42767</v>
          </cell>
          <cell r="B568">
            <v>10.365657894736842</v>
          </cell>
          <cell r="D568">
            <v>33.698399999999999</v>
          </cell>
          <cell r="G568">
            <v>-1.2168079633832041E-2</v>
          </cell>
          <cell r="K568">
            <v>334.42</v>
          </cell>
          <cell r="L568">
            <v>32</v>
          </cell>
          <cell r="M568">
            <v>0.65214000000000105</v>
          </cell>
          <cell r="Q568">
            <v>-1.6983999999999995</v>
          </cell>
          <cell r="Z568">
            <v>38.448399999999999</v>
          </cell>
          <cell r="AA568">
            <v>3.6657999999999973</v>
          </cell>
          <cell r="AB568">
            <v>34.782600000000002</v>
          </cell>
          <cell r="AD568">
            <v>39.459499999999998</v>
          </cell>
          <cell r="AE568">
            <v>-0.36899999999999977</v>
          </cell>
          <cell r="AF568">
            <v>39.090499999999999</v>
          </cell>
          <cell r="AI568">
            <v>3.7095168679110628</v>
          </cell>
        </row>
        <row r="569">
          <cell r="A569">
            <v>42795</v>
          </cell>
          <cell r="B569">
            <v>9.9634782608695645</v>
          </cell>
          <cell r="D569">
            <v>32.93</v>
          </cell>
          <cell r="G569">
            <v>2.4638169121488085E-3</v>
          </cell>
          <cell r="K569">
            <v>320.33999999999997</v>
          </cell>
          <cell r="L569">
            <v>30.86</v>
          </cell>
          <cell r="M569">
            <v>0.58227999999999902</v>
          </cell>
          <cell r="Q569">
            <v>-2.0700000000000003</v>
          </cell>
          <cell r="Z569">
            <v>37.666499999999999</v>
          </cell>
          <cell r="AA569">
            <v>4.3042999999999978</v>
          </cell>
          <cell r="AB569">
            <v>33.362200000000001</v>
          </cell>
          <cell r="AD569">
            <v>37.8583</v>
          </cell>
          <cell r="AE569">
            <v>1.4699999999997715E-2</v>
          </cell>
          <cell r="AF569">
            <v>37.872999999999998</v>
          </cell>
          <cell r="AI569">
            <v>3.1891267693653198</v>
          </cell>
        </row>
        <row r="570">
          <cell r="A570">
            <v>42826</v>
          </cell>
          <cell r="B570">
            <v>9.4672368421052635</v>
          </cell>
          <cell r="D570">
            <v>31.538399999999999</v>
          </cell>
          <cell r="G570">
            <v>7.2310326181274087E-4</v>
          </cell>
          <cell r="K570">
            <v>305.67</v>
          </cell>
          <cell r="L570">
            <v>29.57</v>
          </cell>
          <cell r="M570">
            <v>0.60333999999999932</v>
          </cell>
          <cell r="Q570">
            <v>-1.968399999999999</v>
          </cell>
          <cell r="Z570">
            <v>36.788400000000003</v>
          </cell>
          <cell r="AA570">
            <v>4.6709999999999994</v>
          </cell>
          <cell r="AB570">
            <v>32.117400000000004</v>
          </cell>
          <cell r="AD570">
            <v>36.67</v>
          </cell>
          <cell r="AE570">
            <v>0.18419999999999703</v>
          </cell>
          <cell r="AF570">
            <v>36.854199999999999</v>
          </cell>
          <cell r="AI570">
            <v>0.76466224198178878</v>
          </cell>
        </row>
        <row r="571">
          <cell r="A571">
            <v>42856</v>
          </cell>
          <cell r="B571">
            <v>9.5303409090909081</v>
          </cell>
          <cell r="D571">
            <v>32.490900000000003</v>
          </cell>
          <cell r="G571">
            <v>6.3594750339023842E-3</v>
          </cell>
          <cell r="K571">
            <v>307.63</v>
          </cell>
          <cell r="L571">
            <v>30.6</v>
          </cell>
          <cell r="M571">
            <v>0.64886000000000088</v>
          </cell>
          <cell r="Q571">
            <v>-1.890900000000002</v>
          </cell>
          <cell r="Z571">
            <v>37.740900000000003</v>
          </cell>
          <cell r="AA571">
            <v>4.5368000000000066</v>
          </cell>
          <cell r="AB571">
            <v>33.204099999999997</v>
          </cell>
          <cell r="AD571">
            <v>36.9559</v>
          </cell>
          <cell r="AE571">
            <v>1.0350000000000037</v>
          </cell>
          <cell r="AF571">
            <v>37.990900000000003</v>
          </cell>
          <cell r="AI571">
            <v>4.518248647096847</v>
          </cell>
        </row>
        <row r="572">
          <cell r="A572">
            <v>42887</v>
          </cell>
          <cell r="B572">
            <v>9.2459090909090911</v>
          </cell>
          <cell r="D572">
            <v>31.970500000000001</v>
          </cell>
          <cell r="G572">
            <v>4.8984160589383707E-3</v>
          </cell>
          <cell r="K572">
            <v>300.72000000000003</v>
          </cell>
          <cell r="L572">
            <v>30.74</v>
          </cell>
          <cell r="M572">
            <v>0.77224000000000181</v>
          </cell>
          <cell r="Q572">
            <v>-1.2305000000000028</v>
          </cell>
          <cell r="Z572">
            <v>37.220500000000001</v>
          </cell>
          <cell r="AA572">
            <v>3.9432000000000045</v>
          </cell>
          <cell r="AB572">
            <v>33.277299999999997</v>
          </cell>
          <cell r="AD572">
            <v>36.340499999999999</v>
          </cell>
          <cell r="AE572">
            <v>1.7595000000000027</v>
          </cell>
          <cell r="AF572">
            <v>38.1</v>
          </cell>
          <cell r="AI572">
            <v>6.224076781056862</v>
          </cell>
        </row>
        <row r="573">
          <cell r="A573">
            <v>42917</v>
          </cell>
          <cell r="B573">
            <v>9.9459999999999997</v>
          </cell>
          <cell r="D573">
            <v>33.548499999999997</v>
          </cell>
          <cell r="G573">
            <v>-7.3104689382589294E-3</v>
          </cell>
          <cell r="K573">
            <v>326.04000000000002</v>
          </cell>
          <cell r="L573">
            <v>32.82</v>
          </cell>
          <cell r="M573">
            <v>0.87658000000000058</v>
          </cell>
          <cell r="Q573">
            <v>-0.72849999999999682</v>
          </cell>
          <cell r="Z573">
            <v>39.085000000000001</v>
          </cell>
          <cell r="AA573">
            <v>3.875</v>
          </cell>
          <cell r="AB573">
            <v>35.21</v>
          </cell>
          <cell r="AD573">
            <v>35.082999999999998</v>
          </cell>
          <cell r="AE573">
            <v>4.1144999999999996</v>
          </cell>
          <cell r="AF573">
            <v>39.197499999999998</v>
          </cell>
          <cell r="AI573">
            <v>8.3910259447428821</v>
          </cell>
        </row>
        <row r="574">
          <cell r="A574">
            <v>42948</v>
          </cell>
          <cell r="B574">
            <v>9.4005434782608699</v>
          </cell>
          <cell r="D574">
            <v>33.869999999999997</v>
          </cell>
          <cell r="G574">
            <v>2.0442386421503533E-2</v>
          </cell>
          <cell r="K574">
            <v>301.05</v>
          </cell>
          <cell r="L574">
            <v>33.17</v>
          </cell>
          <cell r="M574">
            <v>0.88049999999999962</v>
          </cell>
          <cell r="Q574">
            <v>-0.69999999999999574</v>
          </cell>
          <cell r="Z574">
            <v>40.159599999999998</v>
          </cell>
          <cell r="AA574">
            <v>4.5</v>
          </cell>
          <cell r="AB574">
            <v>35.659599999999998</v>
          </cell>
          <cell r="AD574">
            <v>34.612200000000001</v>
          </cell>
          <cell r="AE574">
            <v>4.9603999999999999</v>
          </cell>
          <cell r="AF574">
            <v>39.572600000000001</v>
          </cell>
          <cell r="AI574">
            <v>5.3072691963880665</v>
          </cell>
        </row>
        <row r="575">
          <cell r="A575">
            <v>42979</v>
          </cell>
          <cell r="B575">
            <v>9.6304999999999996</v>
          </cell>
          <cell r="D575">
            <v>34.28</v>
          </cell>
          <cell r="G575">
            <v>-1.3387964561908383E-3</v>
          </cell>
          <cell r="K575">
            <v>307.7</v>
          </cell>
          <cell r="L575">
            <v>33.28</v>
          </cell>
          <cell r="M575">
            <v>0.92659999999999876</v>
          </cell>
          <cell r="Q575">
            <v>-1</v>
          </cell>
          <cell r="Z575">
            <v>40.567500000000003</v>
          </cell>
          <cell r="AA575">
            <v>4.7750000000000057</v>
          </cell>
          <cell r="AB575">
            <v>35.792499999999997</v>
          </cell>
          <cell r="AD575">
            <v>37.08</v>
          </cell>
          <cell r="AE575">
            <v>2.9375</v>
          </cell>
          <cell r="AF575">
            <v>40.017499999999998</v>
          </cell>
          <cell r="AI575">
            <v>5.3534574867825704</v>
          </cell>
        </row>
        <row r="576">
          <cell r="A576">
            <v>43009</v>
          </cell>
          <cell r="B576">
            <v>9.7506818181818193</v>
          </cell>
          <cell r="D576">
            <v>33.6</v>
          </cell>
          <cell r="G576">
            <v>-1.1919465215606828E-2</v>
          </cell>
          <cell r="K576">
            <v>315.23</v>
          </cell>
          <cell r="L576">
            <v>32.35</v>
          </cell>
          <cell r="M576">
            <v>1.0203600000000002</v>
          </cell>
          <cell r="Q576">
            <v>-1.25</v>
          </cell>
          <cell r="Z576">
            <v>39.887700000000002</v>
          </cell>
          <cell r="AA576">
            <v>5.25</v>
          </cell>
          <cell r="AB576">
            <v>34.637700000000002</v>
          </cell>
          <cell r="AD576">
            <v>36.0473</v>
          </cell>
          <cell r="AE576">
            <v>3.5904000000000025</v>
          </cell>
          <cell r="AF576">
            <v>39.637700000000002</v>
          </cell>
          <cell r="AI576">
            <v>3.9405981670872805</v>
          </cell>
        </row>
        <row r="577">
          <cell r="A577">
            <v>43040</v>
          </cell>
          <cell r="B577">
            <v>9.8359523809523814</v>
          </cell>
          <cell r="D577">
            <v>34.409999999999997</v>
          </cell>
          <cell r="G577">
            <v>3.7917578047766409E-3</v>
          </cell>
          <cell r="K577">
            <v>313.52</v>
          </cell>
          <cell r="L577">
            <v>33.43</v>
          </cell>
          <cell r="M577">
            <v>0.87293999999999805</v>
          </cell>
          <cell r="Q577">
            <v>-0.97999999999999687</v>
          </cell>
          <cell r="Z577">
            <v>40.660499999999999</v>
          </cell>
          <cell r="AA577">
            <v>4.8453000000000017</v>
          </cell>
          <cell r="AB577">
            <v>35.815199999999997</v>
          </cell>
          <cell r="AD577">
            <v>36.072400000000002</v>
          </cell>
          <cell r="AE577">
            <v>4.1475999999999971</v>
          </cell>
          <cell r="AF577">
            <v>40.22</v>
          </cell>
          <cell r="AI577">
            <v>2.6794400675972199</v>
          </cell>
        </row>
        <row r="578">
          <cell r="A578">
            <v>43070</v>
          </cell>
          <cell r="B578">
            <v>9.7201250000000012</v>
          </cell>
          <cell r="D578">
            <v>33.14</v>
          </cell>
          <cell r="G578">
            <v>-1.2252159358042636E-2</v>
          </cell>
          <cell r="K578">
            <v>319.22000000000003</v>
          </cell>
          <cell r="L578">
            <v>32.270000000000003</v>
          </cell>
          <cell r="M578">
            <v>0.9767399999999995</v>
          </cell>
          <cell r="Q578">
            <v>-0.86999999999999744</v>
          </cell>
          <cell r="Z578">
            <v>39.433500000000002</v>
          </cell>
          <cell r="AA578">
            <v>4.75</v>
          </cell>
          <cell r="AB578">
            <v>34.683500000000002</v>
          </cell>
          <cell r="AD578">
            <v>33.874499999999998</v>
          </cell>
          <cell r="AE578">
            <v>4.7115000000000009</v>
          </cell>
          <cell r="AF578">
            <v>38.585999999999999</v>
          </cell>
          <cell r="AI578">
            <v>0.48365661150451089</v>
          </cell>
        </row>
        <row r="579">
          <cell r="A579">
            <v>43101</v>
          </cell>
          <cell r="B579">
            <v>9.7123809523809523</v>
          </cell>
          <cell r="D579">
            <v>32.950000000000003</v>
          </cell>
          <cell r="F579">
            <v>0.33524611847058589</v>
          </cell>
          <cell r="G579">
            <v>-3.9971867460221189E-3</v>
          </cell>
          <cell r="K579">
            <v>322.60000000000002</v>
          </cell>
          <cell r="L579">
            <v>31.61</v>
          </cell>
          <cell r="M579">
            <v>0.94860000000000078</v>
          </cell>
          <cell r="Q579">
            <v>-1.3400000000000034</v>
          </cell>
          <cell r="Z579">
            <v>39.267099999999999</v>
          </cell>
          <cell r="AA579">
            <v>4.9403999999999968</v>
          </cell>
          <cell r="AB579">
            <v>34.326700000000002</v>
          </cell>
          <cell r="AD579">
            <v>34.719499999999996</v>
          </cell>
          <cell r="AE579">
            <v>4.0476000000000028</v>
          </cell>
          <cell r="AF579">
            <v>38.767099999999999</v>
          </cell>
          <cell r="AI579">
            <v>0.1603204697320173</v>
          </cell>
          <cell r="AM579">
            <v>0.3876350221000594</v>
          </cell>
        </row>
        <row r="580">
          <cell r="A580">
            <v>43132</v>
          </cell>
          <cell r="B580">
            <v>10.10328947368421</v>
          </cell>
          <cell r="D580">
            <v>32.18</v>
          </cell>
          <cell r="F580">
            <v>0.30858633321186779</v>
          </cell>
          <cell r="G580">
            <v>-2.6659785258718094E-2</v>
          </cell>
          <cell r="K580">
            <v>362.85</v>
          </cell>
          <cell r="L580">
            <v>30.63</v>
          </cell>
          <cell r="M580">
            <v>1.3591999999999995</v>
          </cell>
          <cell r="Q580">
            <v>-1.5500000000000007</v>
          </cell>
          <cell r="Z580">
            <v>38.452100000000002</v>
          </cell>
          <cell r="AA580">
            <v>5.3094999999999999</v>
          </cell>
          <cell r="AB580">
            <v>33.142600000000002</v>
          </cell>
          <cell r="AD580">
            <v>34.6858</v>
          </cell>
          <cell r="AE580">
            <v>3.4594999999999985</v>
          </cell>
          <cell r="AF580">
            <v>38.145299999999999</v>
          </cell>
          <cell r="AI580">
            <v>1.2621360507631678</v>
          </cell>
          <cell r="AM580">
            <v>0.3876350221000594</v>
          </cell>
        </row>
        <row r="581">
          <cell r="A581">
            <v>43160</v>
          </cell>
          <cell r="B581">
            <v>10.393452380952381</v>
          </cell>
          <cell r="D581">
            <v>31.85</v>
          </cell>
          <cell r="F581">
            <v>0.29799775449101801</v>
          </cell>
          <cell r="G581">
            <v>-1.0588578720849784E-2</v>
          </cell>
          <cell r="K581">
            <v>379.85</v>
          </cell>
          <cell r="L581">
            <v>30.28</v>
          </cell>
          <cell r="M581">
            <v>1.5167000000000002</v>
          </cell>
          <cell r="Q581">
            <v>-1.5700000000000003</v>
          </cell>
          <cell r="Z581">
            <v>38.184800000000003</v>
          </cell>
          <cell r="AA581">
            <v>5.4000000000000057</v>
          </cell>
          <cell r="AB581">
            <v>32.784799999999997</v>
          </cell>
          <cell r="AD581">
            <v>34.9024</v>
          </cell>
          <cell r="AE581">
            <v>2.589500000000001</v>
          </cell>
          <cell r="AF581">
            <v>37.491900000000001</v>
          </cell>
          <cell r="AI581">
            <v>2.5284290146193165</v>
          </cell>
          <cell r="AM581">
            <v>0.3876350221000594</v>
          </cell>
        </row>
        <row r="582">
          <cell r="A582">
            <v>43191</v>
          </cell>
          <cell r="B582">
            <v>10.376428571428571</v>
          </cell>
          <cell r="D582">
            <v>31.35</v>
          </cell>
          <cell r="F582">
            <v>0.2916116309787361</v>
          </cell>
          <cell r="G582">
            <v>-6.3861235122819049E-3</v>
          </cell>
          <cell r="K582">
            <v>385.84</v>
          </cell>
          <cell r="L582">
            <v>29.7</v>
          </cell>
          <cell r="M582">
            <v>1.524779999999998</v>
          </cell>
          <cell r="Q582">
            <v>-1.6500000000000021</v>
          </cell>
          <cell r="Z582">
            <v>37.598599999999998</v>
          </cell>
          <cell r="AA582">
            <v>5.3999999999999986</v>
          </cell>
          <cell r="AB582">
            <v>32.198599999999999</v>
          </cell>
          <cell r="AD582">
            <v>35.0152</v>
          </cell>
          <cell r="AE582">
            <v>2.6428999999999974</v>
          </cell>
          <cell r="AF582">
            <v>37.658099999999997</v>
          </cell>
          <cell r="AI582">
            <v>3.3774630717482204</v>
          </cell>
          <cell r="AM582">
            <v>0.3876350221000594</v>
          </cell>
        </row>
        <row r="583">
          <cell r="A583">
            <v>43221</v>
          </cell>
          <cell r="B583">
            <v>10.201704545454545</v>
          </cell>
          <cell r="D583">
            <v>31</v>
          </cell>
          <cell r="F583">
            <v>0.28730305838739573</v>
          </cell>
          <cell r="G583">
            <v>-4.3085725913403761E-3</v>
          </cell>
          <cell r="K583">
            <v>393.55</v>
          </cell>
          <cell r="L583">
            <v>29.4</v>
          </cell>
          <cell r="M583">
            <v>1.8313000000000006</v>
          </cell>
          <cell r="Q583">
            <v>-1.6000000000000014</v>
          </cell>
          <cell r="Z583">
            <v>37.336799999999997</v>
          </cell>
          <cell r="AA583">
            <v>5.399999999999995</v>
          </cell>
          <cell r="AB583">
            <v>31.936800000000002</v>
          </cell>
          <cell r="AD583">
            <v>34.336399999999998</v>
          </cell>
          <cell r="AE583">
            <v>2.8413000000000039</v>
          </cell>
          <cell r="AF583">
            <v>37.177700000000002</v>
          </cell>
          <cell r="AI583">
            <v>1.051883933721264</v>
          </cell>
          <cell r="AM583">
            <v>0.3876350221000594</v>
          </cell>
        </row>
        <row r="584">
          <cell r="A584">
            <v>43252</v>
          </cell>
          <cell r="B584">
            <v>9.2521428571428572</v>
          </cell>
          <cell r="D584">
            <v>29.82</v>
          </cell>
          <cell r="F584">
            <v>0.3011816988183012</v>
          </cell>
          <cell r="G584">
            <v>1.3878640430905476E-2</v>
          </cell>
          <cell r="K584">
            <v>355.71</v>
          </cell>
          <cell r="L584">
            <v>28.3</v>
          </cell>
          <cell r="M584">
            <v>1.7912200000000009</v>
          </cell>
          <cell r="Q584">
            <v>-1.5199999999999996</v>
          </cell>
          <cell r="Z584">
            <v>37.142400000000002</v>
          </cell>
          <cell r="AA584">
            <v>6.421400000000002</v>
          </cell>
          <cell r="AB584">
            <v>30.721</v>
          </cell>
          <cell r="AD584">
            <v>33.113300000000002</v>
          </cell>
          <cell r="AE584">
            <v>2.1004999999999967</v>
          </cell>
          <cell r="AF584">
            <v>35.213799999999999</v>
          </cell>
          <cell r="AI584">
            <v>2.1714453940752279</v>
          </cell>
          <cell r="AM584">
            <v>0.3876350221000594</v>
          </cell>
        </row>
        <row r="585">
          <cell r="A585">
            <v>43282</v>
          </cell>
          <cell r="B585">
            <v>8.5065476190476197</v>
          </cell>
          <cell r="D585">
            <v>28.36</v>
          </cell>
          <cell r="F585">
            <v>0.30031556430946482</v>
          </cell>
          <cell r="G585">
            <v>-8.6613450883638032E-4</v>
          </cell>
          <cell r="K585">
            <v>341.08</v>
          </cell>
          <cell r="L585">
            <v>27.21</v>
          </cell>
          <cell r="M585">
            <v>1.9910599999999992</v>
          </cell>
          <cell r="Q585">
            <v>-1.1499999999999986</v>
          </cell>
          <cell r="Z585">
            <v>37.249000000000002</v>
          </cell>
          <cell r="AA585">
            <v>7.5633000000000017</v>
          </cell>
          <cell r="AB585">
            <v>29.685700000000001</v>
          </cell>
          <cell r="AD585">
            <v>31.390499999999999</v>
          </cell>
          <cell r="AE585">
            <v>2.684700000000003</v>
          </cell>
          <cell r="AF585">
            <v>34.075200000000002</v>
          </cell>
          <cell r="AI585">
            <v>0.98166115703421042</v>
          </cell>
          <cell r="AM585">
            <v>0.3876350221000594</v>
          </cell>
        </row>
        <row r="586">
          <cell r="A586">
            <v>43313</v>
          </cell>
          <cell r="B586">
            <v>8.6180434782608693</v>
          </cell>
          <cell r="D586">
            <v>28.33</v>
          </cell>
          <cell r="F586">
            <v>0.30518151459657433</v>
          </cell>
          <cell r="G586">
            <v>4.8659502871095106E-3</v>
          </cell>
          <cell r="K586">
            <v>332.5</v>
          </cell>
          <cell r="L586">
            <v>27.6</v>
          </cell>
          <cell r="M586">
            <v>1.9532000000000007</v>
          </cell>
          <cell r="Q586">
            <v>-0.72999999999999687</v>
          </cell>
          <cell r="Z586">
            <v>37.837800000000001</v>
          </cell>
          <cell r="AA586">
            <v>7.6677999999999997</v>
          </cell>
          <cell r="AB586">
            <v>30.17</v>
          </cell>
          <cell r="AD586">
            <v>30.576499999999999</v>
          </cell>
          <cell r="AE586">
            <v>3.5305</v>
          </cell>
          <cell r="AF586">
            <v>34.106999999999999</v>
          </cell>
          <cell r="AI586">
            <v>0.73718634722342458</v>
          </cell>
          <cell r="AM586">
            <v>0.3876350221000594</v>
          </cell>
        </row>
        <row r="587">
          <cell r="A587">
            <v>43344</v>
          </cell>
          <cell r="B587">
            <v>8.339736842105264</v>
          </cell>
          <cell r="D587">
            <v>28.26</v>
          </cell>
          <cell r="F587">
            <v>0.3120514122921314</v>
          </cell>
          <cell r="G587">
            <v>6.8698976955570701E-3</v>
          </cell>
          <cell r="K587">
            <v>318.32</v>
          </cell>
          <cell r="L587">
            <v>27.73</v>
          </cell>
          <cell r="M587">
            <v>2.1994399999999983</v>
          </cell>
          <cell r="Q587">
            <v>-0.53000000000000114</v>
          </cell>
          <cell r="Z587">
            <v>37.2211</v>
          </cell>
          <cell r="AA587">
            <v>6.9448000000000008</v>
          </cell>
          <cell r="AB587">
            <v>30.276299999999999</v>
          </cell>
          <cell r="AD587">
            <v>30.463200000000001</v>
          </cell>
          <cell r="AE587">
            <v>3.4288999999999987</v>
          </cell>
          <cell r="AF587">
            <v>33.892099999999999</v>
          </cell>
          <cell r="AI587">
            <v>-2.2398495400452347</v>
          </cell>
          <cell r="AM587">
            <v>0.3876350221000594</v>
          </cell>
        </row>
        <row r="588">
          <cell r="A588">
            <v>43374</v>
          </cell>
          <cell r="B588">
            <v>8.5960869565217379</v>
          </cell>
          <cell r="D588">
            <v>29.051739130434775</v>
          </cell>
          <cell r="F588">
            <v>0.31632242457523996</v>
          </cell>
          <cell r="G588">
            <v>4.2710122831085551E-3</v>
          </cell>
          <cell r="K588">
            <v>319.14999999999998</v>
          </cell>
          <cell r="L588">
            <v>28.89</v>
          </cell>
          <cell r="M588">
            <v>2.0699999999999985</v>
          </cell>
          <cell r="Q588">
            <v>-0.16173913043477484</v>
          </cell>
          <cell r="Z588">
            <v>39.1496</v>
          </cell>
          <cell r="AA588">
            <v>7.7108999999999988</v>
          </cell>
          <cell r="AB588">
            <v>31.438700000000001</v>
          </cell>
          <cell r="AD588">
            <v>30.222200000000001</v>
          </cell>
          <cell r="AE588">
            <v>4.5794999999999959</v>
          </cell>
          <cell r="AF588">
            <v>34.801699999999997</v>
          </cell>
          <cell r="AI588">
            <v>-1.167904649755954</v>
          </cell>
          <cell r="AM588">
            <v>0.3876350221000594</v>
          </cell>
        </row>
        <row r="589">
          <cell r="A589">
            <v>43405</v>
          </cell>
          <cell r="B589">
            <v>8.7710714285714282</v>
          </cell>
          <cell r="D589">
            <v>27.69</v>
          </cell>
          <cell r="F589">
            <v>0.31059314429289303</v>
          </cell>
          <cell r="G589">
            <v>-5.7292802823469269E-3</v>
          </cell>
          <cell r="K589">
            <v>310.61500000000001</v>
          </cell>
          <cell r="L589">
            <v>27.49</v>
          </cell>
          <cell r="M589">
            <v>1.3948300000000007</v>
          </cell>
          <cell r="Q589">
            <v>-0.20000000000000284</v>
          </cell>
          <cell r="Z589">
            <v>38.441000000000003</v>
          </cell>
          <cell r="AA589">
            <v>7.4977000000000018</v>
          </cell>
          <cell r="AB589">
            <v>30.943300000000001</v>
          </cell>
          <cell r="AD589">
            <v>27.97</v>
          </cell>
          <cell r="AE589">
            <v>6.4233000000000047</v>
          </cell>
          <cell r="AF589">
            <v>34.393300000000004</v>
          </cell>
          <cell r="AI589">
            <v>-0.50677817133190217</v>
          </cell>
          <cell r="AM589">
            <v>0.3876350221000594</v>
          </cell>
        </row>
        <row r="590">
          <cell r="A590">
            <v>43435</v>
          </cell>
          <cell r="B590">
            <v>8.9942499999999992</v>
          </cell>
          <cell r="D590">
            <v>28.32</v>
          </cell>
          <cell r="F590">
            <v>0.31403162493624004</v>
          </cell>
          <cell r="G590">
            <v>3.4384806433470083E-3</v>
          </cell>
          <cell r="K590">
            <v>311.7</v>
          </cell>
          <cell r="L590">
            <v>28.14</v>
          </cell>
          <cell r="M590">
            <v>1.2157999999999998</v>
          </cell>
          <cell r="Q590">
            <v>-0.17999999999999972</v>
          </cell>
          <cell r="Z590">
            <v>39.072499999999998</v>
          </cell>
          <cell r="AA590">
            <v>7.1999999999999993</v>
          </cell>
          <cell r="AB590">
            <v>31.872499999999999</v>
          </cell>
          <cell r="AD590">
            <v>27.580500000000001</v>
          </cell>
          <cell r="AE590">
            <v>7.7419999999999973</v>
          </cell>
          <cell r="AF590">
            <v>35.322499999999998</v>
          </cell>
          <cell r="AI590">
            <v>2.382105763701361</v>
          </cell>
          <cell r="AM590">
            <v>0.3876350221000594</v>
          </cell>
        </row>
        <row r="591">
          <cell r="A591">
            <v>43466</v>
          </cell>
          <cell r="B591">
            <v>9.0839285714285705</v>
          </cell>
          <cell r="D591">
            <v>29.000952380952373</v>
          </cell>
          <cell r="F591">
            <v>0.31555440414507763</v>
          </cell>
          <cell r="G591">
            <v>1.522779208837588E-3</v>
          </cell>
          <cell r="K591">
            <v>314.92</v>
          </cell>
          <cell r="L591">
            <v>28.44</v>
          </cell>
          <cell r="M591">
            <v>1.2465400000000013</v>
          </cell>
          <cell r="Q591">
            <v>-0.56095238095237221</v>
          </cell>
          <cell r="Z591">
            <v>38.988999999999997</v>
          </cell>
          <cell r="AA591">
            <v>6.6713999999999984</v>
          </cell>
          <cell r="AB591">
            <v>32.317599999999999</v>
          </cell>
          <cell r="AD591">
            <v>29.3429</v>
          </cell>
          <cell r="AE591">
            <v>6.4675999999999974</v>
          </cell>
          <cell r="AF591">
            <v>35.810499999999998</v>
          </cell>
          <cell r="AI591">
            <v>0.32547957763929602</v>
          </cell>
          <cell r="AM591">
            <v>0.3876350221000594</v>
          </cell>
        </row>
        <row r="592">
          <cell r="A592">
            <v>43497</v>
          </cell>
          <cell r="B592">
            <v>9.1036842105263158</v>
          </cell>
          <cell r="D592">
            <v>30.23</v>
          </cell>
          <cell r="F592">
            <v>0.33015158796033373</v>
          </cell>
          <cell r="G592">
            <v>1.4597183815256098E-2</v>
          </cell>
          <cell r="K592">
            <v>306.83</v>
          </cell>
          <cell r="L592">
            <v>29.58</v>
          </cell>
          <cell r="M592">
            <v>1.1635599999999986</v>
          </cell>
          <cell r="Q592">
            <v>-0.65000000000000213</v>
          </cell>
          <cell r="Z592">
            <v>38.765300000000003</v>
          </cell>
          <cell r="AA592">
            <v>5.8606000000000051</v>
          </cell>
          <cell r="AB592">
            <v>32.904699999999998</v>
          </cell>
          <cell r="AD592">
            <v>30.573699999999999</v>
          </cell>
          <cell r="AE592">
            <v>6.3863000000000021</v>
          </cell>
          <cell r="AF592">
            <v>36.96</v>
          </cell>
          <cell r="AI592">
            <v>-0.51487772419670108</v>
          </cell>
          <cell r="AM592">
            <v>0.3876350221000594</v>
          </cell>
        </row>
        <row r="593">
          <cell r="A593">
            <v>43525</v>
          </cell>
          <cell r="B593">
            <v>8.9603571428571431</v>
          </cell>
          <cell r="D593">
            <v>29.38</v>
          </cell>
          <cell r="F593">
            <v>0.32266567092055265</v>
          </cell>
          <cell r="G593">
            <v>-7.4859170397810759E-3</v>
          </cell>
          <cell r="K593">
            <v>306.38</v>
          </cell>
          <cell r="L593">
            <v>28.62</v>
          </cell>
          <cell r="M593">
            <v>1.1981599999999997</v>
          </cell>
          <cell r="Q593">
            <v>-0.75999999999999801</v>
          </cell>
          <cell r="Z593">
            <v>37.463799999999999</v>
          </cell>
          <cell r="AA593">
            <v>5.6738</v>
          </cell>
          <cell r="AB593">
            <v>31.79</v>
          </cell>
          <cell r="AD593">
            <v>29.561</v>
          </cell>
          <cell r="AE593">
            <v>6.4695000000000036</v>
          </cell>
          <cell r="AF593">
            <v>36.030500000000004</v>
          </cell>
          <cell r="AI593">
            <v>-1.0792315019675129</v>
          </cell>
          <cell r="AM593">
            <v>0.3876350221000594</v>
          </cell>
        </row>
        <row r="594">
          <cell r="A594">
            <v>43556</v>
          </cell>
          <cell r="B594">
            <v>8.824761904761905</v>
          </cell>
          <cell r="D594">
            <v>28.556666666666668</v>
          </cell>
          <cell r="F594">
            <v>0.31829158904298632</v>
          </cell>
          <cell r="G594">
            <v>-4.374081877566327E-3</v>
          </cell>
          <cell r="K594">
            <v>304.26</v>
          </cell>
          <cell r="L594">
            <v>27.86</v>
          </cell>
          <cell r="M594">
            <v>1.191419999999999</v>
          </cell>
          <cell r="Q594">
            <v>-0.69666666666666899</v>
          </cell>
          <cell r="Z594">
            <v>35.592399999999998</v>
          </cell>
          <cell r="AA594">
            <v>4.5642999999999994</v>
          </cell>
          <cell r="AB594">
            <v>31.028099999999998</v>
          </cell>
          <cell r="AD594">
            <v>29.290500000000002</v>
          </cell>
          <cell r="AE594">
            <v>5.6471000000000018</v>
          </cell>
          <cell r="AF594">
            <v>34.937600000000003</v>
          </cell>
          <cell r="AI594">
            <v>-0.39806282054467701</v>
          </cell>
          <cell r="AM594">
            <v>0.3876350221000594</v>
          </cell>
        </row>
        <row r="595">
          <cell r="A595">
            <v>43586</v>
          </cell>
          <cell r="B595">
            <v>8.3092045454545449</v>
          </cell>
          <cell r="D595">
            <v>27.230454545454549</v>
          </cell>
          <cell r="F595">
            <v>0.31200749980469256</v>
          </cell>
          <cell r="G595">
            <v>-6.2840892382937663E-3</v>
          </cell>
          <cell r="K595">
            <v>297.52</v>
          </cell>
          <cell r="L595">
            <v>26.93</v>
          </cell>
          <cell r="M595">
            <v>1.4321400000000004</v>
          </cell>
          <cell r="Q595">
            <v>-0.3004545454545493</v>
          </cell>
          <cell r="Z595">
            <v>34.980499999999999</v>
          </cell>
          <cell r="AA595">
            <v>4.8491</v>
          </cell>
          <cell r="AB595">
            <v>30.131399999999999</v>
          </cell>
          <cell r="AD595">
            <v>28.909099999999999</v>
          </cell>
          <cell r="AE595">
            <v>5.1622999999999983</v>
          </cell>
          <cell r="AF595">
            <v>34.071399999999997</v>
          </cell>
          <cell r="AI595">
            <v>0.34358561338995841</v>
          </cell>
          <cell r="AM595">
            <v>0.3876350221000594</v>
          </cell>
        </row>
        <row r="596">
          <cell r="A596">
            <v>43617</v>
          </cell>
          <cell r="B596">
            <v>8.8889999999999993</v>
          </cell>
          <cell r="D596">
            <v>27.85</v>
          </cell>
          <cell r="F596">
            <v>0.30474460541865461</v>
          </cell>
          <cell r="G596">
            <v>-7.2628943860379436E-3</v>
          </cell>
          <cell r="H596"/>
          <cell r="K596">
            <v>324.75</v>
          </cell>
          <cell r="L596">
            <v>28.24</v>
          </cell>
          <cell r="M596">
            <v>1.4582999999999995</v>
          </cell>
          <cell r="Q596">
            <v>0.38999999999999702</v>
          </cell>
          <cell r="Z596">
            <v>35.603000000000002</v>
          </cell>
          <cell r="AA596">
            <v>4.2125000000000021</v>
          </cell>
          <cell r="AB596">
            <v>31.390499999999999</v>
          </cell>
          <cell r="AD596">
            <v>28.454999999999998</v>
          </cell>
          <cell r="AE596">
            <v>6.5480000000000018</v>
          </cell>
          <cell r="AF596">
            <v>35.003</v>
          </cell>
          <cell r="AI596">
            <v>2.1142121230450002</v>
          </cell>
          <cell r="AM596">
            <v>0.3876350221000594</v>
          </cell>
        </row>
        <row r="597">
          <cell r="A597">
            <v>43647</v>
          </cell>
          <cell r="B597">
            <v>8.8578409090909087</v>
          </cell>
          <cell r="D597">
            <v>28.054999999999996</v>
          </cell>
          <cell r="F597">
            <v>0.31355127130483373</v>
          </cell>
          <cell r="G597">
            <v>8.8066658861791214E-3</v>
          </cell>
          <cell r="H597"/>
          <cell r="K597">
            <v>310.77</v>
          </cell>
          <cell r="L597">
            <v>27.68</v>
          </cell>
          <cell r="M597">
            <v>0.97284000000000148</v>
          </cell>
          <cell r="Q597">
            <v>-0.37499999999999645</v>
          </cell>
          <cell r="Z597">
            <v>35.486800000000002</v>
          </cell>
          <cell r="AA597">
            <v>4.063600000000001</v>
          </cell>
          <cell r="AB597">
            <v>31.423200000000001</v>
          </cell>
          <cell r="AD597">
            <v>27.679500000000001</v>
          </cell>
          <cell r="AE597">
            <v>7.4096000000000011</v>
          </cell>
          <cell r="AF597">
            <v>35.089100000000002</v>
          </cell>
          <cell r="AI597">
            <v>4.2791887372835973</v>
          </cell>
          <cell r="AM597">
            <v>0.3876350221000594</v>
          </cell>
        </row>
        <row r="598">
          <cell r="A598">
            <v>43678</v>
          </cell>
          <cell r="B598">
            <v>8.5627272727272725</v>
          </cell>
          <cell r="D598">
            <v>28.569999999999997</v>
          </cell>
          <cell r="F598">
            <v>0.32685727360658973</v>
          </cell>
          <cell r="G598">
            <v>1.3306002301755993E-2</v>
          </cell>
          <cell r="H598"/>
          <cell r="K598">
            <v>296.92</v>
          </cell>
          <cell r="L598">
            <v>28.41</v>
          </cell>
          <cell r="M598">
            <v>1.1192400000000013</v>
          </cell>
          <cell r="Q598">
            <v>-0.15999999999999659</v>
          </cell>
          <cell r="Z598">
            <v>36.638199999999998</v>
          </cell>
          <cell r="AA598">
            <v>5.1172999999999966</v>
          </cell>
          <cell r="AB598">
            <v>31.520900000000001</v>
          </cell>
          <cell r="AD598">
            <v>29.2773</v>
          </cell>
          <cell r="AE598">
            <v>6.9745000000000026</v>
          </cell>
          <cell r="AF598">
            <v>36.251800000000003</v>
          </cell>
          <cell r="AI598">
            <v>5.6348894709667228</v>
          </cell>
          <cell r="AM598">
            <v>0.3876350221000594</v>
          </cell>
        </row>
        <row r="599">
          <cell r="A599">
            <v>43709</v>
          </cell>
          <cell r="B599">
            <v>8.7757500000000004</v>
          </cell>
          <cell r="D599">
            <v>29.063000000000006</v>
          </cell>
          <cell r="F599">
            <v>0.3315271947435664</v>
          </cell>
          <cell r="G599">
            <v>4.6699211369766735E-3</v>
          </cell>
          <cell r="H599"/>
          <cell r="K599">
            <v>295.57</v>
          </cell>
          <cell r="L599">
            <v>28.81</v>
          </cell>
          <cell r="M599">
            <v>1.0971399999999996</v>
          </cell>
          <cell r="Z599">
            <v>37.350499999999997</v>
          </cell>
          <cell r="AA599">
            <v>5.3874999999999957</v>
          </cell>
          <cell r="AB599">
            <v>31.963000000000001</v>
          </cell>
          <cell r="AD599">
            <v>29.465499999999999</v>
          </cell>
          <cell r="AE599">
            <v>7.197499999999998</v>
          </cell>
          <cell r="AF599">
            <v>36.662999999999997</v>
          </cell>
          <cell r="AI599">
            <v>6.7535305079230206</v>
          </cell>
          <cell r="AM599">
            <v>0.3876350221000594</v>
          </cell>
        </row>
        <row r="600">
          <cell r="A600">
            <v>43739</v>
          </cell>
          <cell r="B600">
            <v>9.2497826086956518</v>
          </cell>
          <cell r="D600">
            <v>30.28</v>
          </cell>
          <cell r="F600">
            <v>0.33084406947136391</v>
          </cell>
          <cell r="G600">
            <v>-6.8312527220248942E-4</v>
          </cell>
          <cell r="H600"/>
          <cell r="K600">
            <v>309.48</v>
          </cell>
          <cell r="L600">
            <v>30.14</v>
          </cell>
          <cell r="M600">
            <v>1.0564599999999995</v>
          </cell>
          <cell r="Z600">
            <v>38.78</v>
          </cell>
          <cell r="AA600">
            <v>5.5108999999999995</v>
          </cell>
          <cell r="AB600">
            <v>33.269100000000002</v>
          </cell>
          <cell r="AD600">
            <v>29.347799999999999</v>
          </cell>
          <cell r="AE600">
            <v>8.1822000000000017</v>
          </cell>
          <cell r="AF600">
            <v>37.53</v>
          </cell>
          <cell r="AI600">
            <v>8.7051290190061223</v>
          </cell>
          <cell r="AM600">
            <v>0.3876350221000594</v>
          </cell>
        </row>
        <row r="601">
          <cell r="A601">
            <v>43770</v>
          </cell>
          <cell r="B601">
            <v>9.0616249999999994</v>
          </cell>
          <cell r="D601">
            <v>30.957999999999998</v>
          </cell>
          <cell r="F601">
            <v>0.33974605195289781</v>
          </cell>
          <cell r="G601">
            <v>8.9019824815338988E-3</v>
          </cell>
          <cell r="H601"/>
          <cell r="K601">
            <v>303.13</v>
          </cell>
          <cell r="L601">
            <v>30.62</v>
          </cell>
          <cell r="M601">
            <v>0.90845999999999982</v>
          </cell>
          <cell r="Z601">
            <v>37.582999999999998</v>
          </cell>
          <cell r="AA601">
            <v>3.8164999999999978</v>
          </cell>
          <cell r="AB601">
            <v>33.766500000000001</v>
          </cell>
          <cell r="AD601">
            <v>32.612499999999997</v>
          </cell>
          <cell r="AE601">
            <v>5.4455000000000027</v>
          </cell>
          <cell r="AF601">
            <v>38.058</v>
          </cell>
          <cell r="AI601">
            <v>11.075804548101765</v>
          </cell>
          <cell r="AM601">
            <v>0.3876350221000594</v>
          </cell>
        </row>
        <row r="602">
          <cell r="A602">
            <v>43800</v>
          </cell>
          <cell r="B602">
            <v>9.1158333333333346</v>
          </cell>
          <cell r="D602">
            <v>32.689523809523813</v>
          </cell>
          <cell r="F602">
            <v>0.35386661443137424</v>
          </cell>
          <cell r="G602">
            <v>1.4120562478476428E-2</v>
          </cell>
          <cell r="H602"/>
          <cell r="K602">
            <v>299.58999999999997</v>
          </cell>
          <cell r="L602">
            <v>32.270000000000003</v>
          </cell>
          <cell r="M602">
            <v>0.89297999999999966</v>
          </cell>
          <cell r="Z602">
            <v>38.439500000000002</v>
          </cell>
          <cell r="AA602">
            <v>3.0571000000000055</v>
          </cell>
          <cell r="AB602">
            <v>35.382399999999997</v>
          </cell>
          <cell r="AD602">
            <v>36.591700000000003</v>
          </cell>
          <cell r="AE602">
            <v>3.2049999999999983</v>
          </cell>
          <cell r="AF602">
            <v>39.796700000000001</v>
          </cell>
          <cell r="AI602">
            <v>7.6238546338900157</v>
          </cell>
          <cell r="AM602">
            <v>0.3876350221000594</v>
          </cell>
        </row>
        <row r="603">
          <cell r="A603">
            <v>43831</v>
          </cell>
          <cell r="B603">
            <v>9.1738095238095241</v>
          </cell>
          <cell r="D603">
            <v>33.150952380952383</v>
          </cell>
          <cell r="F603">
            <v>0.35616094953060651</v>
          </cell>
          <cell r="G603">
            <v>2.2943350992322697E-3</v>
          </cell>
          <cell r="H603"/>
          <cell r="K603">
            <v>300.11</v>
          </cell>
          <cell r="L603">
            <v>33.04</v>
          </cell>
          <cell r="M603">
            <v>0.96731999999999907</v>
          </cell>
          <cell r="Z603">
            <v>38.566699999999997</v>
          </cell>
          <cell r="AA603">
            <v>2.4737999999999971</v>
          </cell>
          <cell r="AB603">
            <v>36.0929</v>
          </cell>
          <cell r="AD603">
            <v>38.9405</v>
          </cell>
          <cell r="AE603">
            <v>2.1905000000000001</v>
          </cell>
          <cell r="AF603">
            <v>41.131</v>
          </cell>
          <cell r="AI603">
            <v>2.5745251775115285</v>
          </cell>
          <cell r="AM603">
            <v>0.3876350221000594</v>
          </cell>
        </row>
        <row r="604">
          <cell r="A604">
            <v>43862</v>
          </cell>
          <cell r="B604">
            <v>8.8567105263157888</v>
          </cell>
          <cell r="D604">
            <v>30.248421052631581</v>
          </cell>
          <cell r="F604">
            <v>0.34207894862149424</v>
          </cell>
          <cell r="G604">
            <v>-1.4082000909112269E-2</v>
          </cell>
          <cell r="H604"/>
          <cell r="K604">
            <v>295.27999999999997</v>
          </cell>
          <cell r="L604">
            <v>30.26</v>
          </cell>
          <cell r="M604">
            <v>0.86486000000000018</v>
          </cell>
          <cell r="Z604">
            <v>35.866799999999998</v>
          </cell>
          <cell r="AA604">
            <v>2.434199999999997</v>
          </cell>
          <cell r="AB604">
            <v>33.432600000000001</v>
          </cell>
          <cell r="AD604">
            <v>35.138199999999998</v>
          </cell>
          <cell r="AE604">
            <v>2.8997000000000028</v>
          </cell>
          <cell r="AF604">
            <v>38.0379</v>
          </cell>
          <cell r="AI604">
            <v>1.1867988932959079</v>
          </cell>
          <cell r="AM604">
            <v>0.3876350221000594</v>
          </cell>
        </row>
        <row r="605">
          <cell r="A605">
            <v>43891</v>
          </cell>
          <cell r="B605">
            <v>8.6909090909090914</v>
          </cell>
          <cell r="D605">
            <v>27.017727272727271</v>
          </cell>
          <cell r="F605">
            <v>0.30221017790228838</v>
          </cell>
          <cell r="G605">
            <v>-3.9868770719205859E-2</v>
          </cell>
          <cell r="H605"/>
          <cell r="K605">
            <v>312.38</v>
          </cell>
          <cell r="L605">
            <v>27.04</v>
          </cell>
          <cell r="M605">
            <v>1.7387599999999992</v>
          </cell>
          <cell r="Z605">
            <v>33.244999999999997</v>
          </cell>
          <cell r="AA605">
            <v>3.0681999999999974</v>
          </cell>
          <cell r="AB605">
            <v>30.1768</v>
          </cell>
          <cell r="AD605">
            <v>31.159099999999999</v>
          </cell>
          <cell r="AE605">
            <v>3.1085999999999991</v>
          </cell>
          <cell r="AF605">
            <v>34.267699999999998</v>
          </cell>
          <cell r="AI605">
            <v>3.0100556211389247</v>
          </cell>
          <cell r="AM605">
            <v>0.3876350221000594</v>
          </cell>
        </row>
        <row r="606">
          <cell r="A606">
            <v>43922</v>
          </cell>
          <cell r="B606">
            <v>8.4366666666666656</v>
          </cell>
          <cell r="D606">
            <v>26.202857142857148</v>
          </cell>
          <cell r="F606">
            <v>0.3097543401409561</v>
          </cell>
          <cell r="G606">
            <v>7.5441622386677176E-3</v>
          </cell>
          <cell r="H606"/>
          <cell r="K606">
            <v>295.39</v>
          </cell>
          <cell r="L606">
            <v>25.69</v>
          </cell>
          <cell r="M606">
            <v>0.78068000000000026</v>
          </cell>
          <cell r="Z606">
            <v>33.333799999999997</v>
          </cell>
          <cell r="AA606">
            <v>4.5308999999999955</v>
          </cell>
          <cell r="AB606">
            <v>28.802900000000001</v>
          </cell>
          <cell r="AD606">
            <v>29.892900000000001</v>
          </cell>
          <cell r="AE606">
            <v>2.9980999999999973</v>
          </cell>
          <cell r="AF606">
            <v>32.890999999999998</v>
          </cell>
          <cell r="AI606">
            <v>4.004681571089403</v>
          </cell>
          <cell r="AM606">
            <v>0.3876350221000594</v>
          </cell>
        </row>
        <row r="607">
          <cell r="A607">
            <v>43952</v>
          </cell>
          <cell r="B607">
            <v>8.4186249999999987</v>
          </cell>
          <cell r="D607">
            <v>26.708999999999996</v>
          </cell>
          <cell r="F607">
            <v>0.31750692454916135</v>
          </cell>
          <cell r="G607">
            <v>7.7525844082052542E-3</v>
          </cell>
          <cell r="H607"/>
          <cell r="K607">
            <v>288.56</v>
          </cell>
          <cell r="L607">
            <v>25.27</v>
          </cell>
          <cell r="M607">
            <v>0.64361999999999853</v>
          </cell>
          <cell r="Z607">
            <v>32.503500000000003</v>
          </cell>
          <cell r="AA607">
            <v>4.0850000000000009</v>
          </cell>
          <cell r="AB607">
            <v>28.418500000000002</v>
          </cell>
          <cell r="AD607">
            <v>28.512499999999999</v>
          </cell>
          <cell r="AE607">
            <v>4.8210000000000015</v>
          </cell>
          <cell r="AF607">
            <v>33.333500000000001</v>
          </cell>
          <cell r="AI607">
            <v>7.0300696164788405</v>
          </cell>
          <cell r="AM607">
            <v>0.3876350221000594</v>
          </cell>
        </row>
        <row r="608">
          <cell r="A608">
            <v>43983</v>
          </cell>
          <cell r="B608">
            <v>8.6720454545454544</v>
          </cell>
          <cell r="D608">
            <v>27.891363636363643</v>
          </cell>
          <cell r="F608">
            <v>0.32719410036419483</v>
          </cell>
          <cell r="G608">
            <v>9.6871758150334775E-3</v>
          </cell>
          <cell r="H608"/>
          <cell r="K608">
            <v>288.66000000000003</v>
          </cell>
          <cell r="L608">
            <v>26.61</v>
          </cell>
          <cell r="M608">
            <v>0.53602000000000061</v>
          </cell>
          <cell r="Z608">
            <v>35.277700000000003</v>
          </cell>
          <cell r="AA608">
            <v>5.5136000000000038</v>
          </cell>
          <cell r="AB608">
            <v>29.764099999999999</v>
          </cell>
          <cell r="AD608">
            <v>32.159100000000002</v>
          </cell>
          <cell r="AE608">
            <v>2.7322999999999951</v>
          </cell>
          <cell r="AF608">
            <v>34.891399999999997</v>
          </cell>
          <cell r="AI608">
            <v>9.7109215726195259</v>
          </cell>
          <cell r="AM608">
            <v>0.3876350221000594</v>
          </cell>
        </row>
        <row r="609">
          <cell r="A609">
            <v>44013</v>
          </cell>
          <cell r="B609">
            <v>8.9521590909090918</v>
          </cell>
          <cell r="D609">
            <v>29.206818181818178</v>
          </cell>
          <cell r="F609">
            <v>0.33466668750032552</v>
          </cell>
          <cell r="G609">
            <v>7.4725871361306928E-3</v>
          </cell>
          <cell r="H609"/>
          <cell r="K609">
            <v>291.25</v>
          </cell>
          <cell r="L609">
            <v>28.71</v>
          </cell>
          <cell r="M609">
            <v>0.61309999999999931</v>
          </cell>
          <cell r="Z609">
            <v>41.952300000000001</v>
          </cell>
          <cell r="AA609">
            <v>10.141400000000001</v>
          </cell>
          <cell r="AB609">
            <v>31.8109</v>
          </cell>
          <cell r="AD609">
            <v>34.204500000000003</v>
          </cell>
          <cell r="AE609">
            <v>2.5882000000000005</v>
          </cell>
          <cell r="AF609">
            <v>36.792700000000004</v>
          </cell>
          <cell r="AI609">
            <v>11.65833996625831</v>
          </cell>
          <cell r="AM609">
            <v>0.3876350221000594</v>
          </cell>
        </row>
        <row r="610">
          <cell r="A610">
            <v>44044</v>
          </cell>
          <cell r="B610">
            <v>9.0394047619047608</v>
          </cell>
          <cell r="D610">
            <v>31.59238095238096</v>
          </cell>
          <cell r="F610">
            <v>0.35190902050645539</v>
          </cell>
          <cell r="G610">
            <v>1.7242333006129873E-2</v>
          </cell>
          <cell r="H610"/>
          <cell r="K610">
            <v>290.18</v>
          </cell>
          <cell r="L610">
            <v>32.130000000000003</v>
          </cell>
          <cell r="M610">
            <v>1.0425599999999999</v>
          </cell>
          <cell r="Z610">
            <v>46.604799999999997</v>
          </cell>
          <cell r="AA610">
            <v>11.4619</v>
          </cell>
          <cell r="AB610">
            <v>35.142899999999997</v>
          </cell>
          <cell r="AE610"/>
          <cell r="AI610">
            <v>9.641715193523325</v>
          </cell>
          <cell r="AM610">
            <v>0.3876350221000594</v>
          </cell>
        </row>
        <row r="611">
          <cell r="A611">
            <v>44075</v>
          </cell>
          <cell r="B611">
            <v>9.9833333333333343</v>
          </cell>
          <cell r="D611">
            <v>33.51047619047619</v>
          </cell>
          <cell r="F611">
            <v>0.34140283127795618</v>
          </cell>
          <cell r="G611">
            <v>-1.0506189228499219E-2</v>
          </cell>
          <cell r="K611">
            <v>319.99</v>
          </cell>
          <cell r="L611">
            <v>34.200000000000003</v>
          </cell>
          <cell r="M611">
            <v>0.82832761904761831</v>
          </cell>
          <cell r="Z611">
            <v>48.5105</v>
          </cell>
          <cell r="AA611">
            <v>11.292900000000003</v>
          </cell>
          <cell r="AB611">
            <v>37.217599999999997</v>
          </cell>
          <cell r="AE611"/>
          <cell r="AI611">
            <v>13.060358115481822</v>
          </cell>
          <cell r="AM611">
            <v>0.3876350221000594</v>
          </cell>
        </row>
        <row r="612">
          <cell r="A612">
            <v>44105</v>
          </cell>
          <cell r="B612">
            <v>10.548068181818183</v>
          </cell>
          <cell r="D612">
            <v>33.276818181818186</v>
          </cell>
          <cell r="F612">
            <v>0.31129319618840279</v>
          </cell>
          <cell r="G612">
            <v>-3.0109635089553388E-2</v>
          </cell>
          <cell r="H612"/>
          <cell r="K612">
            <v>367.11</v>
          </cell>
          <cell r="L612">
            <v>33.909999999999997</v>
          </cell>
          <cell r="M612">
            <v>1.2549009523809502</v>
          </cell>
          <cell r="Z612">
            <v>48.276800000000001</v>
          </cell>
          <cell r="AA612">
            <v>11.25</v>
          </cell>
          <cell r="AB612">
            <v>37.026800000000001</v>
          </cell>
          <cell r="AE612"/>
          <cell r="AI612">
            <v>15.072433717547518</v>
          </cell>
          <cell r="AM612">
            <v>0.3876350221000594</v>
          </cell>
        </row>
        <row r="613">
          <cell r="A613">
            <v>44136</v>
          </cell>
          <cell r="B613">
            <v>11.41925</v>
          </cell>
          <cell r="D613">
            <v>36.862499999999997</v>
          </cell>
          <cell r="F613">
            <v>0.3207568512967322</v>
          </cell>
          <cell r="G613">
            <v>9.4636551083294163E-3</v>
          </cell>
          <cell r="H613">
            <v>44136</v>
          </cell>
          <cell r="K613">
            <v>387.83</v>
          </cell>
          <cell r="L613">
            <v>37.79</v>
          </cell>
          <cell r="M613">
            <v>1.2124100000000038</v>
          </cell>
          <cell r="Z613">
            <v>50.557499999999997</v>
          </cell>
          <cell r="AA613">
            <v>9.4549999999999983</v>
          </cell>
          <cell r="AB613">
            <v>41.102499999999999</v>
          </cell>
          <cell r="AE613"/>
          <cell r="AI613">
            <v>14.59588508084245</v>
          </cell>
          <cell r="AM613">
            <v>0.3876350221000594</v>
          </cell>
        </row>
        <row r="614">
          <cell r="A614">
            <v>44166</v>
          </cell>
          <cell r="B614">
            <v>12.074318181818182</v>
          </cell>
          <cell r="D614">
            <v>39.571363636363643</v>
          </cell>
          <cell r="F614">
            <v>0.33123813364888166</v>
          </cell>
          <cell r="G614">
            <v>1.0481282352149457E-2</v>
          </cell>
          <cell r="H614">
            <v>44166</v>
          </cell>
          <cell r="K614">
            <v>396.68</v>
          </cell>
          <cell r="L614">
            <v>40.85</v>
          </cell>
          <cell r="M614">
            <v>1.0603647619047631</v>
          </cell>
          <cell r="Z614">
            <v>54.571399999999997</v>
          </cell>
          <cell r="AA614">
            <v>8.8522999999999996</v>
          </cell>
          <cell r="AB614">
            <v>45.719099999999997</v>
          </cell>
          <cell r="AE614"/>
          <cell r="AI614">
            <v>15.245796035952882</v>
          </cell>
          <cell r="AM614">
            <v>0.3876350221000594</v>
          </cell>
        </row>
        <row r="615">
          <cell r="A615">
            <v>44197</v>
          </cell>
          <cell r="B615">
            <v>13.725131578947369</v>
          </cell>
          <cell r="D615">
            <v>43.154210526315786</v>
          </cell>
          <cell r="F615">
            <v>0.32859896682870915</v>
          </cell>
          <cell r="G615">
            <v>-2.6391668201725116E-3</v>
          </cell>
          <cell r="H615">
            <v>44197</v>
          </cell>
          <cell r="K615">
            <v>439.24</v>
          </cell>
          <cell r="L615">
            <v>44.31</v>
          </cell>
          <cell r="M615">
            <v>0.70182736842105342</v>
          </cell>
          <cell r="Z615">
            <v>57.733199999999997</v>
          </cell>
          <cell r="AA615">
            <v>8.3157999999999959</v>
          </cell>
          <cell r="AB615">
            <v>49.417400000000001</v>
          </cell>
          <cell r="AE615"/>
          <cell r="AI615">
            <v>20.783452906338084</v>
          </cell>
          <cell r="AM615">
            <v>0.3876350221000594</v>
          </cell>
        </row>
        <row r="616">
          <cell r="A616">
            <v>44228</v>
          </cell>
          <cell r="B616">
            <v>13.820526315789472</v>
          </cell>
          <cell r="D616">
            <v>46.94631578947368</v>
          </cell>
          <cell r="F616">
            <v>0.35377220049656133</v>
          </cell>
          <cell r="G616">
            <v>2.517323366785218E-2</v>
          </cell>
          <cell r="H616">
            <v>44228</v>
          </cell>
          <cell r="K616">
            <v>427.28</v>
          </cell>
          <cell r="L616">
            <v>48.37</v>
          </cell>
          <cell r="M616">
            <v>0.76328105263157653</v>
          </cell>
          <cell r="Z616">
            <v>62.683199999999999</v>
          </cell>
          <cell r="AA616">
            <v>10.079000000000001</v>
          </cell>
          <cell r="AB616">
            <v>52.604199999999999</v>
          </cell>
          <cell r="AE616"/>
          <cell r="AI616">
            <v>29.66124548177762</v>
          </cell>
          <cell r="AM616">
            <v>0.3876350221000594</v>
          </cell>
        </row>
        <row r="617">
          <cell r="A617">
            <v>44256</v>
          </cell>
          <cell r="B617">
            <v>14.148804347826088</v>
          </cell>
          <cell r="D617">
            <v>53.370000000000012</v>
          </cell>
          <cell r="F617">
            <v>0.39532442102754528</v>
          </cell>
          <cell r="G617">
            <v>4.1552220530983952E-2</v>
          </cell>
          <cell r="H617">
            <v>44256</v>
          </cell>
          <cell r="K617">
            <v>410.02</v>
          </cell>
          <cell r="L617">
            <v>56</v>
          </cell>
          <cell r="M617">
            <v>0.82150521739130511</v>
          </cell>
          <cell r="Z617">
            <v>72.630899999999997</v>
          </cell>
          <cell r="AA617">
            <v>10.021799999999999</v>
          </cell>
          <cell r="AB617">
            <v>62.609099999999998</v>
          </cell>
          <cell r="AE617"/>
          <cell r="AI617">
            <v>40.886196116938208</v>
          </cell>
          <cell r="AM617">
            <v>0.3876350221000594</v>
          </cell>
        </row>
        <row r="618">
          <cell r="A618">
            <v>44287</v>
          </cell>
          <cell r="B618">
            <v>14.654999999999999</v>
          </cell>
          <cell r="D618">
            <v>58.235714285714302</v>
          </cell>
          <cell r="F618">
            <v>0.41448204572028952</v>
          </cell>
          <cell r="G618">
            <v>1.9157624692744235E-2</v>
          </cell>
          <cell r="H618">
            <v>44287</v>
          </cell>
          <cell r="K618">
            <v>413.36</v>
          </cell>
          <cell r="L618">
            <v>62.88</v>
          </cell>
          <cell r="M618">
            <v>1.0039104761904731</v>
          </cell>
          <cell r="Z618">
            <v>88.140500000000003</v>
          </cell>
          <cell r="AA618">
            <v>16.373800000000003</v>
          </cell>
          <cell r="AB618">
            <v>71.7667</v>
          </cell>
          <cell r="AE618"/>
          <cell r="AI618">
            <v>42.38436027756498</v>
          </cell>
          <cell r="AM618">
            <v>0.3876350221000594</v>
          </cell>
        </row>
        <row r="619">
          <cell r="A619">
            <v>44317</v>
          </cell>
          <cell r="B619">
            <v>15.722375</v>
          </cell>
          <cell r="D619">
            <v>65.639500000000012</v>
          </cell>
          <cell r="F619">
            <v>0.4418070882173783</v>
          </cell>
          <cell r="G619">
            <v>2.7325042497088781E-2</v>
          </cell>
          <cell r="H619">
            <v>44317</v>
          </cell>
          <cell r="K619">
            <v>421.03</v>
          </cell>
          <cell r="L619">
            <v>74.75</v>
          </cell>
          <cell r="M619">
            <v>1.4874850000000048</v>
          </cell>
          <cell r="Z619">
            <v>103.6395</v>
          </cell>
          <cell r="AA619">
            <v>10.849999999999994</v>
          </cell>
          <cell r="AB619">
            <v>92.789500000000004</v>
          </cell>
          <cell r="AE619"/>
          <cell r="AI619">
            <v>42.858475329819456</v>
          </cell>
          <cell r="AM619">
            <v>0.3876350221000594</v>
          </cell>
        </row>
        <row r="620">
          <cell r="A620">
            <v>44348</v>
          </cell>
          <cell r="B620">
            <v>14.624431818181817</v>
          </cell>
          <cell r="D620">
            <v>65.243181818181839</v>
          </cell>
          <cell r="F620">
            <v>0.46587903081841647</v>
          </cell>
          <cell r="G620">
            <v>2.4071942601038177E-2</v>
          </cell>
          <cell r="H620">
            <v>44348</v>
          </cell>
          <cell r="K620">
            <v>378.18</v>
          </cell>
          <cell r="L620">
            <v>74.75</v>
          </cell>
          <cell r="M620">
            <v>1.7215736363636367</v>
          </cell>
          <cell r="Z620">
            <v>99.152299999999997</v>
          </cell>
          <cell r="AA620">
            <v>1.7954999999999899</v>
          </cell>
          <cell r="AB620">
            <v>97.356800000000007</v>
          </cell>
          <cell r="AE620"/>
          <cell r="AI620">
            <v>36.28711063210995</v>
          </cell>
          <cell r="AM620">
            <v>0.3876350221000594</v>
          </cell>
        </row>
        <row r="621">
          <cell r="A621">
            <v>44378</v>
          </cell>
          <cell r="B621">
            <v>14.249285714285714</v>
          </cell>
          <cell r="D621">
            <v>64.936190476190475</v>
          </cell>
          <cell r="F621">
            <v>0.4732629971541612</v>
          </cell>
          <cell r="G621">
            <v>7.3839663357447294E-3</v>
          </cell>
          <cell r="H621">
            <v>44378</v>
          </cell>
          <cell r="K621">
            <v>365.23</v>
          </cell>
          <cell r="L621">
            <v>72.930000000000007</v>
          </cell>
          <cell r="M621">
            <v>1.4891933333333327</v>
          </cell>
          <cell r="Z621">
            <v>96.620999999999995</v>
          </cell>
          <cell r="AA621">
            <v>3.827699999999993</v>
          </cell>
          <cell r="AB621">
            <v>92.793300000000002</v>
          </cell>
          <cell r="AE621"/>
          <cell r="AI621">
            <v>30.165174834917131</v>
          </cell>
          <cell r="AM621">
            <v>0.3876350221000594</v>
          </cell>
        </row>
        <row r="622">
          <cell r="A622">
            <v>44409</v>
          </cell>
          <cell r="B622">
            <v>13.717727272727272</v>
          </cell>
          <cell r="D622">
            <v>61.464090909090899</v>
          </cell>
          <cell r="F622">
            <v>0.46468815401057745</v>
          </cell>
          <cell r="G622">
            <v>-8.5748431435837547E-3</v>
          </cell>
          <cell r="H622">
            <v>44409</v>
          </cell>
          <cell r="K622">
            <v>358.21</v>
          </cell>
          <cell r="L622">
            <v>70.010000000000005</v>
          </cell>
          <cell r="M622">
            <v>1.7558109090909113</v>
          </cell>
          <cell r="Z622">
            <v>91.145899999999997</v>
          </cell>
          <cell r="AA622">
            <v>8.3182000000000045</v>
          </cell>
          <cell r="AB622">
            <v>82.827699999999993</v>
          </cell>
          <cell r="AE622"/>
          <cell r="AI622">
            <v>31.964158042572752</v>
          </cell>
          <cell r="AM622">
            <v>0.3876350221000594</v>
          </cell>
        </row>
        <row r="623">
          <cell r="A623">
            <v>44440</v>
          </cell>
          <cell r="B623">
            <v>12.776071428571429</v>
          </cell>
          <cell r="D623">
            <v>57.204761904761902</v>
          </cell>
          <cell r="F623">
            <v>0.45905460659559016</v>
          </cell>
          <cell r="G623">
            <v>-5.6335474149872833E-3</v>
          </cell>
          <cell r="H623">
            <v>44440</v>
          </cell>
          <cell r="K623">
            <v>343.55</v>
          </cell>
          <cell r="L623">
            <v>65.930000000000007</v>
          </cell>
          <cell r="M623">
            <v>2.0365904761904776</v>
          </cell>
          <cell r="Z623">
            <v>83.7286</v>
          </cell>
          <cell r="AA623">
            <v>8.5715000000000003</v>
          </cell>
          <cell r="AB623">
            <v>75.1571</v>
          </cell>
          <cell r="AE623"/>
          <cell r="AI623">
            <v>27.973481833435883</v>
          </cell>
          <cell r="AM623">
            <v>0.3876350221000594</v>
          </cell>
        </row>
        <row r="624">
          <cell r="A624">
            <v>44470</v>
          </cell>
          <cell r="B624">
            <v>12.30202380952381</v>
          </cell>
          <cell r="D624">
            <v>61.246190476190478</v>
          </cell>
          <cell r="F624">
            <v>0.48701773252401637</v>
          </cell>
          <cell r="G624">
            <v>2.7963125928426202E-2</v>
          </cell>
          <cell r="H624">
            <v>44470</v>
          </cell>
          <cell r="K624">
            <v>325.43</v>
          </cell>
          <cell r="L624">
            <v>70.42</v>
          </cell>
          <cell r="M624">
            <v>2.6034599999999983</v>
          </cell>
          <cell r="Z624">
            <v>86.846199999999996</v>
          </cell>
          <cell r="AA624">
            <v>7.1951999999999998</v>
          </cell>
          <cell r="AB624">
            <v>79.650999999999996</v>
          </cell>
          <cell r="AE624"/>
          <cell r="AI624">
            <v>23.406712591601369</v>
          </cell>
          <cell r="AM624">
            <v>0.3876350221000594</v>
          </cell>
        </row>
        <row r="625">
          <cell r="A625">
            <v>44501</v>
          </cell>
          <cell r="B625">
            <v>12.37154761904762</v>
          </cell>
          <cell r="D625">
            <v>59.234761904761896</v>
          </cell>
          <cell r="F625">
            <v>0.45675122914853694</v>
          </cell>
          <cell r="G625">
            <v>-3.0266503375479425E-2</v>
          </cell>
          <cell r="H625">
            <v>44501</v>
          </cell>
          <cell r="K625">
            <v>358.73</v>
          </cell>
          <cell r="L625">
            <v>66.459999999999994</v>
          </cell>
          <cell r="M625">
            <v>2.6664849999999998</v>
          </cell>
          <cell r="Z625">
            <v>90.849500000000006</v>
          </cell>
          <cell r="AA625">
            <v>13.471900000000005</v>
          </cell>
          <cell r="AB625">
            <v>77.377600000000001</v>
          </cell>
          <cell r="AE625"/>
          <cell r="AI625">
            <v>24.695092081533325</v>
          </cell>
          <cell r="AM625">
            <v>0.3876350221000594</v>
          </cell>
        </row>
        <row r="626">
          <cell r="A626">
            <v>44531</v>
          </cell>
          <cell r="B626">
            <v>12.895</v>
          </cell>
          <cell r="D626">
            <v>55.209545454545463</v>
          </cell>
          <cell r="F626">
            <v>0.42059900062677258</v>
          </cell>
          <cell r="G626">
            <v>-3.6152228521764362E-2</v>
          </cell>
          <cell r="H626">
            <v>44531</v>
          </cell>
          <cell r="K626">
            <v>399.53</v>
          </cell>
          <cell r="L626">
            <v>63.69</v>
          </cell>
          <cell r="M626">
            <v>2.7620123809523793</v>
          </cell>
          <cell r="Z626">
            <v>87.157600000000002</v>
          </cell>
          <cell r="AA626">
            <v>14.119</v>
          </cell>
          <cell r="AB626">
            <v>73.038600000000002</v>
          </cell>
          <cell r="AE626"/>
          <cell r="AI626">
            <v>28.544094683696621</v>
          </cell>
          <cell r="AM626">
            <v>0.3876350221000594</v>
          </cell>
        </row>
        <row r="627">
          <cell r="A627">
            <v>44562</v>
          </cell>
          <cell r="B627">
            <v>14.000999999999999</v>
          </cell>
          <cell r="D627">
            <v>60.679999999999993</v>
          </cell>
          <cell r="F627">
            <v>0.42712542057916741</v>
          </cell>
          <cell r="G627">
            <v>6.5264199523948352E-3</v>
          </cell>
          <cell r="H627">
            <v>44562</v>
          </cell>
          <cell r="K627">
            <v>421.21</v>
          </cell>
          <cell r="L627">
            <v>65.7</v>
          </cell>
          <cell r="M627">
            <v>2.4042199999999987</v>
          </cell>
          <cell r="Z627">
            <v>92.68</v>
          </cell>
          <cell r="AA627">
            <v>17.112500000000011</v>
          </cell>
          <cell r="AB627">
            <v>75.567499999999995</v>
          </cell>
          <cell r="AE627"/>
          <cell r="AI627">
            <v>34.582102542074153</v>
          </cell>
          <cell r="AM627">
            <v>0.3876350221000594</v>
          </cell>
        </row>
        <row r="628">
          <cell r="A628">
            <v>44593</v>
          </cell>
          <cell r="B628">
            <v>15.885526315789473</v>
          </cell>
          <cell r="D628">
            <v>67.012631578947364</v>
          </cell>
          <cell r="F628">
            <v>0.42656607010044023</v>
          </cell>
          <cell r="G628">
            <v>-5.5935047872718302E-4</v>
          </cell>
          <cell r="H628">
            <v>44593</v>
          </cell>
          <cell r="K628">
            <v>460.45</v>
          </cell>
          <cell r="L628">
            <v>70.91</v>
          </cell>
          <cell r="M628">
            <v>1.9836315789473691</v>
          </cell>
          <cell r="Z628">
            <v>99.012600000000006</v>
          </cell>
          <cell r="AA628">
            <v>19.355200000000011</v>
          </cell>
          <cell r="AB628">
            <v>79.657399999999996</v>
          </cell>
          <cell r="AE628"/>
          <cell r="AI628">
            <v>39.440017275202386</v>
          </cell>
          <cell r="AM628">
            <v>0.3876350221000594</v>
          </cell>
        </row>
        <row r="629">
          <cell r="A629">
            <v>44621</v>
          </cell>
          <cell r="B629">
            <v>16.797391304347826</v>
          </cell>
          <cell r="D629">
            <v>74.006521739130449</v>
          </cell>
          <cell r="F629">
            <v>0.43882851876200424</v>
          </cell>
          <cell r="G629">
            <v>1.2262448661564007E-2</v>
          </cell>
          <cell r="H629">
            <v>44621</v>
          </cell>
          <cell r="K629">
            <v>493.97500000000002</v>
          </cell>
          <cell r="L629">
            <v>76.405000000000001</v>
          </cell>
          <cell r="M629">
            <v>2.5487608695652142</v>
          </cell>
          <cell r="Z629">
            <v>102.7022</v>
          </cell>
          <cell r="AA629">
            <v>11.4131</v>
          </cell>
          <cell r="AB629">
            <v>91.289100000000005</v>
          </cell>
          <cell r="AE629"/>
          <cell r="AI629">
            <v>38.716383997640001</v>
          </cell>
          <cell r="AM629">
            <v>0.3876350221000594</v>
          </cell>
        </row>
        <row r="630">
          <cell r="A630">
            <v>44652</v>
          </cell>
          <cell r="B630">
            <v>16.823</v>
          </cell>
          <cell r="D630">
            <v>79.201999999999998</v>
          </cell>
          <cell r="F630">
            <v>0.46372823401290442</v>
          </cell>
          <cell r="G630">
            <v>2.4899715250900178E-2</v>
          </cell>
          <cell r="H630">
            <v>44652</v>
          </cell>
          <cell r="K630">
            <v>475.35999999999996</v>
          </cell>
          <cell r="L630">
            <v>83.846000000000004</v>
          </cell>
          <cell r="M630">
            <v>2.7027800000000042</v>
          </cell>
          <cell r="Z630">
            <v>109.152</v>
          </cell>
          <cell r="AA630">
            <v>12.650000000000006</v>
          </cell>
          <cell r="AB630">
            <v>96.501999999999995</v>
          </cell>
          <cell r="AE630"/>
          <cell r="AI630">
            <v>34.327280941423744</v>
          </cell>
          <cell r="AM630">
            <v>0.3876350221000594</v>
          </cell>
        </row>
        <row r="631">
          <cell r="A631">
            <v>44682</v>
          </cell>
          <cell r="B631">
            <v>16.770238095238096</v>
          </cell>
          <cell r="D631">
            <v>81.004761904761907</v>
          </cell>
          <cell r="F631">
            <v>0.492695444645257</v>
          </cell>
          <cell r="G631">
            <v>2.896721063235258E-2</v>
          </cell>
          <cell r="H631">
            <v>44682</v>
          </cell>
          <cell r="K631">
            <v>441.27499999999998</v>
          </cell>
          <cell r="L631">
            <v>87.385000000000005</v>
          </cell>
          <cell r="M631">
            <v>2.2944238095238099</v>
          </cell>
          <cell r="Z631">
            <v>114.86190000000001</v>
          </cell>
          <cell r="AA631">
            <v>10.833300000000008</v>
          </cell>
          <cell r="AB631">
            <v>104.0286</v>
          </cell>
          <cell r="AE631"/>
          <cell r="AI631">
            <v>15.664811667093502</v>
          </cell>
          <cell r="AM631">
            <v>0.3876350221000594</v>
          </cell>
        </row>
        <row r="632">
          <cell r="A632">
            <v>44713</v>
          </cell>
          <cell r="B632">
            <v>16.900833333333331</v>
          </cell>
          <cell r="D632">
            <v>76.33</v>
          </cell>
          <cell r="F632">
            <v>0.47111329255855372</v>
          </cell>
          <cell r="G632">
            <v>-2.1582152086703277E-2</v>
          </cell>
          <cell r="H632">
            <v>44713</v>
          </cell>
          <cell r="K632">
            <v>445.92499999999995</v>
          </cell>
          <cell r="L632">
            <v>80.297499999999999</v>
          </cell>
          <cell r="M632">
            <v>1.2152321428571504</v>
          </cell>
          <cell r="Z632">
            <v>111.33</v>
          </cell>
          <cell r="AA632">
            <v>12.547600000000003</v>
          </cell>
          <cell r="AB632">
            <v>98.782399999999996</v>
          </cell>
          <cell r="AE632"/>
          <cell r="AI632">
            <v>27.433031329355181</v>
          </cell>
          <cell r="AM632">
            <v>0.3876350221000594</v>
          </cell>
        </row>
        <row r="633">
          <cell r="A633">
            <v>44743</v>
          </cell>
          <cell r="B633">
            <v>15.504124999999998</v>
          </cell>
          <cell r="D633">
            <v>61.398000000000003</v>
          </cell>
          <cell r="F633">
            <v>0.41005262736088482</v>
          </cell>
          <cell r="G633">
            <v>-6.1060665197668895E-2</v>
          </cell>
          <cell r="H633">
            <v>44743</v>
          </cell>
          <cell r="K633">
            <v>467.87</v>
          </cell>
          <cell r="L633">
            <v>67.74799999999999</v>
          </cell>
          <cell r="M633">
            <v>1.7139950000000006</v>
          </cell>
          <cell r="Z633">
            <v>96.397999999999996</v>
          </cell>
          <cell r="AA633">
            <v>14.899999999999991</v>
          </cell>
          <cell r="AB633">
            <v>81.498000000000005</v>
          </cell>
          <cell r="AE633"/>
          <cell r="AI633">
            <v>22.949076034994903</v>
          </cell>
          <cell r="AM633">
            <v>0.3876350221000594</v>
          </cell>
        </row>
        <row r="634">
          <cell r="A634">
            <v>44774</v>
          </cell>
          <cell r="B634">
            <v>15.698586956521741</v>
          </cell>
          <cell r="D634">
            <v>67.486956521739117</v>
          </cell>
          <cell r="F634">
            <v>0.42726667143793046</v>
          </cell>
          <cell r="G634">
            <v>1.7214044077045632E-2</v>
          </cell>
          <cell r="H634">
            <v>44774</v>
          </cell>
          <cell r="K634">
            <v>510.90000000000009</v>
          </cell>
          <cell r="L634">
            <v>72.334999999999994</v>
          </cell>
          <cell r="M634">
            <v>3.185019565217388</v>
          </cell>
          <cell r="Z634">
            <v>97.350399999999993</v>
          </cell>
          <cell r="AA634">
            <v>11.941299999999998</v>
          </cell>
          <cell r="AB634">
            <v>85.409099999999995</v>
          </cell>
          <cell r="AE634"/>
          <cell r="AI634">
            <v>22.074880845048881</v>
          </cell>
          <cell r="AM634">
            <v>0.3876350221000594</v>
          </cell>
        </row>
        <row r="635">
          <cell r="A635">
            <v>44805</v>
          </cell>
          <cell r="B635">
            <v>14.607142857142858</v>
          </cell>
          <cell r="D635">
            <v>66.873333333333335</v>
          </cell>
          <cell r="F635">
            <v>0.43878768942352764</v>
          </cell>
          <cell r="G635">
            <v>1.1521017985597182E-2</v>
          </cell>
          <cell r="H635">
            <v>44805</v>
          </cell>
          <cell r="K635">
            <v>473.94</v>
          </cell>
          <cell r="L635">
            <v>70.626000000000005</v>
          </cell>
          <cell r="M635">
            <v>3.011611428571431</v>
          </cell>
          <cell r="Z635">
            <v>90.587599999999995</v>
          </cell>
          <cell r="AA635">
            <v>6.7856999999999914</v>
          </cell>
          <cell r="AB635">
            <v>83.801900000000003</v>
          </cell>
          <cell r="AE635"/>
          <cell r="AI635">
            <v>27.569601090477384</v>
          </cell>
          <cell r="AM635">
            <v>0.3876350221000594</v>
          </cell>
        </row>
        <row r="636">
          <cell r="A636">
            <v>44835</v>
          </cell>
          <cell r="B636">
            <v>13.813095238095238</v>
          </cell>
          <cell r="D636">
            <v>68.494285714285709</v>
          </cell>
          <cell r="F636">
            <v>0.45555837081142714</v>
          </cell>
          <cell r="G636">
            <v>1.67706813878995E-2</v>
          </cell>
          <cell r="H636">
            <v>44835</v>
          </cell>
          <cell r="K636">
            <v>468.67499999999995</v>
          </cell>
          <cell r="L636">
            <v>72.67</v>
          </cell>
          <cell r="M636">
            <v>4.5527999999999977</v>
          </cell>
          <cell r="Z636">
            <v>88.137600000000006</v>
          </cell>
          <cell r="AA636">
            <v>3.964742857142852</v>
          </cell>
          <cell r="AB636">
            <v>84.172857142857154</v>
          </cell>
          <cell r="AE636"/>
          <cell r="AI636">
            <v>10.813668425852917</v>
          </cell>
          <cell r="AM636">
            <v>0.3876350221000594</v>
          </cell>
        </row>
        <row r="637">
          <cell r="A637">
            <v>44866</v>
          </cell>
          <cell r="B637">
            <v>14.420119047619048</v>
          </cell>
          <cell r="D637">
            <v>74.968095238095245</v>
          </cell>
          <cell r="F637">
            <v>0.47591739999214022</v>
          </cell>
          <cell r="G637">
            <v>2.0359029180713084E-2</v>
          </cell>
          <cell r="H637">
            <v>44866</v>
          </cell>
          <cell r="K637">
            <v>436.74999999999994</v>
          </cell>
          <cell r="L637">
            <v>79.180000000000007</v>
          </cell>
          <cell r="M637">
            <v>3.7366250000000019</v>
          </cell>
          <cell r="Z637">
            <v>93.081900000000005</v>
          </cell>
          <cell r="AA637">
            <v>1.6428523809523909</v>
          </cell>
          <cell r="AB637">
            <v>91.439047619047614</v>
          </cell>
          <cell r="AE637"/>
          <cell r="AI637">
            <v>9.1608392730349379</v>
          </cell>
          <cell r="AM637">
            <v>0.3876350221000594</v>
          </cell>
        </row>
        <row r="638">
          <cell r="A638">
            <v>44896</v>
          </cell>
          <cell r="B638">
            <v>14.744166666666667</v>
          </cell>
          <cell r="D638">
            <v>64.203809523809525</v>
          </cell>
          <cell r="F638">
            <v>0.41431486307094739</v>
          </cell>
          <cell r="G638">
            <v>-6.160253692119283E-2</v>
          </cell>
          <cell r="H638">
            <v>44896</v>
          </cell>
          <cell r="K638">
            <v>462.85</v>
          </cell>
          <cell r="L638">
            <v>68.14</v>
          </cell>
          <cell r="M638">
            <v>2.7785999999999973</v>
          </cell>
          <cell r="Z638">
            <v>82.203800000000001</v>
          </cell>
          <cell r="AA638">
            <v>3.4999904761904759</v>
          </cell>
          <cell r="AB638">
            <v>78.703809523809525</v>
          </cell>
          <cell r="AE638"/>
          <cell r="AI638">
            <v>10.810717647658571</v>
          </cell>
          <cell r="AM638">
            <v>0.3876350221000594</v>
          </cell>
        </row>
        <row r="639">
          <cell r="A639">
            <v>44927</v>
          </cell>
          <cell r="B639">
            <v>15.101500000000001</v>
          </cell>
          <cell r="D639">
            <v>62.383999999999993</v>
          </cell>
          <cell r="F639">
            <v>0.39773031558814148</v>
          </cell>
          <cell r="G639">
            <v>-1.6584547482805911E-2</v>
          </cell>
          <cell r="H639">
            <v>44927</v>
          </cell>
          <cell r="Z639">
            <v>80.384</v>
          </cell>
          <cell r="AA639">
            <v>5.6124999999999972</v>
          </cell>
          <cell r="AB639">
            <v>74.771500000000003</v>
          </cell>
          <cell r="AM639">
            <v>0.3876350221000594</v>
          </cell>
        </row>
        <row r="640">
          <cell r="A640">
            <v>44958</v>
          </cell>
          <cell r="B640">
            <v>15.276052631578947</v>
          </cell>
          <cell r="D640">
            <v>60.783157894736839</v>
          </cell>
          <cell r="F640">
            <v>0.38140026420079259</v>
          </cell>
          <cell r="G640">
            <v>-1.6330051387348887E-2</v>
          </cell>
          <cell r="H640">
            <v>44958</v>
          </cell>
          <cell r="Z640">
            <v>76.467399999999998</v>
          </cell>
          <cell r="AA640">
            <v>4.5395052631579063</v>
          </cell>
          <cell r="AB640">
            <v>71.927894736842092</v>
          </cell>
          <cell r="AM640">
            <v>0.3876350221000594</v>
          </cell>
        </row>
        <row r="641">
          <cell r="A641">
            <v>44986</v>
          </cell>
          <cell r="B641">
            <v>14.89304347826087</v>
          </cell>
          <cell r="D641">
            <v>56.891304347826086</v>
          </cell>
          <cell r="F641">
            <v>0.37749620628573732</v>
          </cell>
          <cell r="G641">
            <v>-3.9040579150552701E-3</v>
          </cell>
          <cell r="H641">
            <v>44986</v>
          </cell>
          <cell r="Z641">
            <v>71.804299999999998</v>
          </cell>
          <cell r="AA641">
            <v>3.7608217391304493</v>
          </cell>
          <cell r="AB641">
            <v>68.043478260869549</v>
          </cell>
          <cell r="AM641">
            <v>0.3876350221000594</v>
          </cell>
        </row>
        <row r="642">
          <cell r="A642">
            <v>45017</v>
          </cell>
          <cell r="B642">
            <v>14.881315789473684</v>
          </cell>
          <cell r="D642">
            <v>53.917894736842108</v>
          </cell>
          <cell r="F642">
            <v>0.37436414664094025</v>
          </cell>
          <cell r="G642">
            <v>-3.1320596447970694E-3</v>
          </cell>
          <cell r="H642">
            <v>45017</v>
          </cell>
          <cell r="Z642">
            <v>68.944199999999995</v>
          </cell>
          <cell r="AA642">
            <v>2.8947263157894838</v>
          </cell>
          <cell r="AB642">
            <v>66.049473684210511</v>
          </cell>
          <cell r="AM642">
            <v>0.3876350221000594</v>
          </cell>
        </row>
        <row r="643">
          <cell r="A643">
            <v>45047</v>
          </cell>
          <cell r="B643">
            <v>13.855909090909091</v>
          </cell>
          <cell r="D643">
            <v>49.765454545454553</v>
          </cell>
          <cell r="F643">
            <v>0.3735762787047463</v>
          </cell>
          <cell r="G643">
            <v>-7.8786793619395334E-4</v>
          </cell>
          <cell r="H643">
            <v>45047</v>
          </cell>
          <cell r="Z643">
            <v>65.765500000000003</v>
          </cell>
          <cell r="AA643">
            <v>2.6364090909090905</v>
          </cell>
          <cell r="AB643">
            <v>63.129090909090912</v>
          </cell>
          <cell r="AM643">
            <v>0.3876350221000594</v>
          </cell>
        </row>
        <row r="644">
          <cell r="A644">
            <v>45078</v>
          </cell>
          <cell r="B644">
            <v>14.307142857142857</v>
          </cell>
          <cell r="D644">
            <v>55.860952380952369</v>
          </cell>
          <cell r="F644">
            <v>0.40739300151416225</v>
          </cell>
          <cell r="G644">
            <v>3.3816722809415944E-2</v>
          </cell>
          <cell r="H644">
            <v>45078</v>
          </cell>
          <cell r="Z644">
            <v>75.456199999999995</v>
          </cell>
          <cell r="AA644">
            <v>3.5357238095238017</v>
          </cell>
          <cell r="AB644">
            <v>71.920476190476194</v>
          </cell>
          <cell r="AM644">
            <v>0.3876350221000594</v>
          </cell>
        </row>
        <row r="645">
          <cell r="A645">
            <v>45108</v>
          </cell>
          <cell r="B645">
            <v>15.082125000000001</v>
          </cell>
          <cell r="D645">
            <v>66.389999999999972</v>
          </cell>
          <cell r="F645">
            <v>0.43415709175565814</v>
          </cell>
          <cell r="G645">
            <v>2.6764090241495897E-2</v>
          </cell>
          <cell r="H645">
            <v>45108</v>
          </cell>
          <cell r="Z645">
            <v>87.39</v>
          </cell>
          <cell r="AA645">
            <v>4.1750000000000114</v>
          </cell>
          <cell r="AB645">
            <v>83.214999999999989</v>
          </cell>
          <cell r="AM645">
            <v>0.3876350221000594</v>
          </cell>
        </row>
        <row r="646">
          <cell r="A646">
            <v>45139</v>
          </cell>
          <cell r="B646">
            <v>13.884021739130436</v>
          </cell>
          <cell r="D646">
            <v>65.607391304347829</v>
          </cell>
          <cell r="F646">
            <v>0.4409498289057272</v>
          </cell>
          <cell r="G646">
            <v>6.7927371500690614E-3</v>
          </cell>
          <cell r="H646">
            <v>45139</v>
          </cell>
          <cell r="Z646">
            <v>84.650899999999993</v>
          </cell>
          <cell r="AA646">
            <v>4.8261173913043365</v>
          </cell>
          <cell r="AB646">
            <v>79.824782608695656</v>
          </cell>
          <cell r="AM646">
            <v>0.3876350221000594</v>
          </cell>
        </row>
        <row r="647">
          <cell r="A647">
            <v>45170</v>
          </cell>
          <cell r="B647">
            <v>13.242875</v>
          </cell>
          <cell r="D647">
            <v>61.316499999999984</v>
          </cell>
          <cell r="F647">
            <v>0.43708677722770506</v>
          </cell>
          <cell r="G647">
            <v>-3.8630516780221447E-3</v>
          </cell>
          <cell r="H647">
            <v>45170</v>
          </cell>
          <cell r="Z647">
            <v>78.456500000000005</v>
          </cell>
          <cell r="AA647">
            <v>4.1150000000000233</v>
          </cell>
          <cell r="AB647">
            <v>74.341499999999982</v>
          </cell>
          <cell r="AM647">
            <v>0.3876350221000594</v>
          </cell>
        </row>
        <row r="648">
          <cell r="A648">
            <v>45200</v>
          </cell>
          <cell r="B648">
            <v>12.843863636363638</v>
          </cell>
          <cell r="D648">
            <v>53.868181818181831</v>
          </cell>
          <cell r="F648">
            <v>0.40121471470454817</v>
          </cell>
          <cell r="G648">
            <v>-3.5872062523156889E-2</v>
          </cell>
          <cell r="H648">
            <v>45200</v>
          </cell>
          <cell r="Z648">
            <v>70.656800000000004</v>
          </cell>
          <cell r="AA648">
            <v>4.9477090909090862</v>
          </cell>
          <cell r="AB648">
            <v>65.709090909090918</v>
          </cell>
          <cell r="AM648">
            <v>0.3876350221000594</v>
          </cell>
        </row>
        <row r="649">
          <cell r="A649">
            <v>45231</v>
          </cell>
          <cell r="B649">
            <v>13.448690476190476</v>
          </cell>
          <cell r="D649">
            <v>51.671428571428564</v>
          </cell>
          <cell r="F649">
            <v>0.36362235015783434</v>
          </cell>
          <cell r="G649">
            <v>-3.759236454671383E-2</v>
          </cell>
          <cell r="H649">
            <v>45231</v>
          </cell>
          <cell r="Z649">
            <v>67.099999999999994</v>
          </cell>
          <cell r="AA649">
            <v>3.8273809523809419</v>
          </cell>
          <cell r="AB649">
            <v>63.272619047619052</v>
          </cell>
          <cell r="AM649">
            <v>0.3876350221000594</v>
          </cell>
        </row>
        <row r="650">
          <cell r="A650">
            <v>45261</v>
          </cell>
          <cell r="B650">
            <v>13.109249999999999</v>
          </cell>
          <cell r="D650">
            <v>49.773000000000003</v>
          </cell>
          <cell r="F650">
            <v>0.38101981918533889</v>
          </cell>
          <cell r="G650">
            <v>1.7397469027504553E-2</v>
          </cell>
          <cell r="H650">
            <v>45261</v>
          </cell>
          <cell r="Z650">
            <v>64.906499999999994</v>
          </cell>
          <cell r="AA650">
            <v>4.5834999999999937</v>
          </cell>
          <cell r="AB650">
            <v>60.323</v>
          </cell>
          <cell r="AM650">
            <v>0.3876350221000594</v>
          </cell>
        </row>
        <row r="651">
          <cell r="A651">
            <v>45292</v>
          </cell>
          <cell r="B651">
            <v>12.30154761904762</v>
          </cell>
          <cell r="D651">
            <v>47.540476190476184</v>
          </cell>
          <cell r="F651">
            <v>0.39483727570782784</v>
          </cell>
          <cell r="G651">
            <v>1.3817456522488947E-2</v>
          </cell>
          <cell r="H651">
            <v>45292</v>
          </cell>
          <cell r="Z651">
            <v>60.564300000000003</v>
          </cell>
          <cell r="AA651">
            <v>4.4285857142857239</v>
          </cell>
          <cell r="AB651">
            <v>56.135714285714279</v>
          </cell>
          <cell r="AM651">
            <v>0.3876350221000594</v>
          </cell>
        </row>
        <row r="652">
          <cell r="A652">
            <v>45323</v>
          </cell>
          <cell r="B652">
            <v>11.693875</v>
          </cell>
          <cell r="D652">
            <v>45.639999999999993</v>
          </cell>
          <cell r="F652">
            <v>0.39851908770214101</v>
          </cell>
          <cell r="G652">
            <v>3.6818119943131666E-3</v>
          </cell>
          <cell r="H652">
            <v>45323</v>
          </cell>
          <cell r="Z652">
            <v>57.365000000000002</v>
          </cell>
          <cell r="AA652">
            <v>4.2750000000000057</v>
          </cell>
          <cell r="AB652">
            <v>53.089999999999996</v>
          </cell>
          <cell r="AM652">
            <v>0.3876350221000594</v>
          </cell>
        </row>
        <row r="653">
          <cell r="A653">
            <v>45352</v>
          </cell>
          <cell r="B653">
            <v>11.792874999999999</v>
          </cell>
          <cell r="D653">
            <v>47.468999999999994</v>
          </cell>
          <cell r="F653">
            <v>0.41336340520394294</v>
          </cell>
          <cell r="G653">
            <v>1.4844317501801929E-2</v>
          </cell>
          <cell r="H653">
            <v>45352</v>
          </cell>
          <cell r="Z653">
            <v>58.494</v>
          </cell>
          <cell r="AA653">
            <v>5.1875000000000071</v>
          </cell>
          <cell r="AB653">
            <v>53.306499999999993</v>
          </cell>
          <cell r="AM653">
            <v>0.3876350221000594</v>
          </cell>
        </row>
        <row r="654">
          <cell r="A654">
            <v>45383</v>
          </cell>
          <cell r="B654">
            <v>11.646136363636362</v>
          </cell>
          <cell r="D654">
            <v>46.189999999999991</v>
          </cell>
          <cell r="F654">
            <v>0.40550203912241917</v>
          </cell>
          <cell r="G654">
            <v>-7.8613660815237685E-3</v>
          </cell>
          <cell r="H654">
            <v>45383</v>
          </cell>
          <cell r="Z654">
            <v>56.967300000000002</v>
          </cell>
          <cell r="AA654">
            <v>6.1704818181818339</v>
          </cell>
          <cell r="AB654">
            <v>50.796818181818168</v>
          </cell>
          <cell r="AM654">
            <v>0.3876350221000594</v>
          </cell>
        </row>
        <row r="655">
          <cell r="A655">
            <v>45413</v>
          </cell>
          <cell r="B655">
            <v>12.165113636363637</v>
          </cell>
          <cell r="D655">
            <v>44.612272727272725</v>
          </cell>
          <cell r="F655">
            <v>0.37468266481387447</v>
          </cell>
          <cell r="H655">
            <v>45413</v>
          </cell>
          <cell r="Z655">
            <v>54.816800000000001</v>
          </cell>
          <cell r="AA655">
            <v>6.2272545454545494</v>
          </cell>
          <cell r="AB655">
            <v>48.589545454545451</v>
          </cell>
          <cell r="AM655">
            <v>0.3876350221000594</v>
          </cell>
        </row>
        <row r="656">
          <cell r="A656">
            <v>45444</v>
          </cell>
          <cell r="B656">
            <v>11.728552631578948</v>
          </cell>
          <cell r="D656">
            <v>43.706842105263163</v>
          </cell>
          <cell r="F656">
            <v>0.37613972469958368</v>
          </cell>
          <cell r="H656">
            <v>45444</v>
          </cell>
          <cell r="Z656">
            <v>54.206800000000001</v>
          </cell>
          <cell r="AA656">
            <v>5.6052210526315775</v>
          </cell>
          <cell r="AB656">
            <v>48.601578947368424</v>
          </cell>
          <cell r="AM656">
            <v>0.3876350221000594</v>
          </cell>
        </row>
        <row r="657">
          <cell r="A657">
            <v>45474</v>
          </cell>
          <cell r="B657">
            <v>11.16159090909091</v>
          </cell>
          <cell r="D657">
            <v>46.263181818181813</v>
          </cell>
          <cell r="F657">
            <v>0.38790833107832567</v>
          </cell>
          <cell r="H657">
            <v>45474</v>
          </cell>
          <cell r="AM657">
            <v>0.3876350221000594</v>
          </cell>
        </row>
        <row r="658">
          <cell r="A658">
            <v>45505</v>
          </cell>
          <cell r="B658">
            <v>9.8473863636363639</v>
          </cell>
          <cell r="D658">
            <v>41.318181818181813</v>
          </cell>
          <cell r="F658">
            <v>0.39650690070315631</v>
          </cell>
          <cell r="H658">
            <v>45505</v>
          </cell>
          <cell r="AM658">
            <v>0.3876350221000594</v>
          </cell>
        </row>
        <row r="659">
          <cell r="A659">
            <v>45536</v>
          </cell>
          <cell r="B659">
            <v>10.142125</v>
          </cell>
          <cell r="D659">
            <v>41.493000000000002</v>
          </cell>
          <cell r="F659">
            <v>0.39126990862542083</v>
          </cell>
          <cell r="H659">
            <v>45536</v>
          </cell>
          <cell r="AM659">
            <v>0.3876350221000594</v>
          </cell>
        </row>
        <row r="660">
          <cell r="A660">
            <v>45566</v>
          </cell>
          <cell r="B660">
            <v>10.028695652173912</v>
          </cell>
          <cell r="D660">
            <v>43.290869565217378</v>
          </cell>
          <cell r="F660">
            <v>0.40547232278478423</v>
          </cell>
          <cell r="H660">
            <v>45566</v>
          </cell>
          <cell r="AM660">
            <v>0.3876350221000594</v>
          </cell>
        </row>
        <row r="661">
          <cell r="A661">
            <v>45597</v>
          </cell>
          <cell r="B661">
            <v>9.9507500000000011</v>
          </cell>
          <cell r="D661">
            <v>44.668500000000002</v>
          </cell>
          <cell r="F661">
            <v>0.43303781331342722</v>
          </cell>
          <cell r="H661">
            <v>45597</v>
          </cell>
          <cell r="AM661">
            <v>0.3876350221000594</v>
          </cell>
        </row>
        <row r="662">
          <cell r="A662">
            <v>45627</v>
          </cell>
          <cell r="F662">
            <v>0.41329925232392284</v>
          </cell>
          <cell r="AM662">
            <v>0.3876350221000594</v>
          </cell>
        </row>
        <row r="663">
          <cell r="A663">
            <v>45658</v>
          </cell>
          <cell r="F663">
            <v>0.43364995767892406</v>
          </cell>
          <cell r="AM663">
            <v>0.3876350221000594</v>
          </cell>
        </row>
        <row r="664">
          <cell r="A664">
            <v>45689</v>
          </cell>
          <cell r="F664">
            <v>0.43498506150264293</v>
          </cell>
          <cell r="AM664">
            <v>0.3876350221000594</v>
          </cell>
        </row>
        <row r="665">
          <cell r="A665">
            <v>45717</v>
          </cell>
          <cell r="F665">
            <v>0.41890547263681605</v>
          </cell>
          <cell r="AM665">
            <v>0.3876350221000594</v>
          </cell>
        </row>
        <row r="666">
          <cell r="A666">
            <v>45748</v>
          </cell>
          <cell r="F666">
            <v>0.42630622444343469</v>
          </cell>
          <cell r="AM666">
            <v>0.3876350221000594</v>
          </cell>
        </row>
        <row r="667">
          <cell r="A667">
            <v>45778</v>
          </cell>
          <cell r="F667">
            <v>0.43075221238938061</v>
          </cell>
          <cell r="AM667">
            <v>0.3876350221000594</v>
          </cell>
        </row>
        <row r="668">
          <cell r="A668">
            <v>45809</v>
          </cell>
          <cell r="F668">
            <v>0.43370044052863449</v>
          </cell>
          <cell r="AM668">
            <v>0.3876350221000594</v>
          </cell>
        </row>
        <row r="669">
          <cell r="A669">
            <v>45839</v>
          </cell>
          <cell r="F669">
            <v>0.43457388240475658</v>
          </cell>
          <cell r="AM669">
            <v>0.3876350221000594</v>
          </cell>
        </row>
        <row r="670">
          <cell r="A670">
            <v>45870</v>
          </cell>
          <cell r="F670">
            <v>0.43620258914376564</v>
          </cell>
          <cell r="AM670">
            <v>0.3876350221000594</v>
          </cell>
        </row>
        <row r="671">
          <cell r="A671">
            <v>45901</v>
          </cell>
          <cell r="F671">
            <v>0.43754844961240302</v>
          </cell>
          <cell r="AM671">
            <v>0.3876350221000594</v>
          </cell>
        </row>
        <row r="672">
          <cell r="A672">
            <v>45931</v>
          </cell>
          <cell r="F672">
            <v>0.44053593179049949</v>
          </cell>
          <cell r="AM672">
            <v>0.3876350221000594</v>
          </cell>
        </row>
        <row r="673">
          <cell r="A673">
            <v>45962</v>
          </cell>
          <cell r="F673">
            <v>0.4441854934601665</v>
          </cell>
          <cell r="AM673">
            <v>0.3876350221000594</v>
          </cell>
        </row>
        <row r="674">
          <cell r="A674">
            <v>45992</v>
          </cell>
          <cell r="F674">
            <v>0.44623376623376632</v>
          </cell>
          <cell r="AM674">
            <v>0.3876350221000594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ilshare"/>
      <sheetName val="Chart1"/>
      <sheetName val="Chart2"/>
      <sheetName val="Chart3"/>
      <sheetName val="Chart4"/>
      <sheetName val="Chart5"/>
      <sheetName val="Monthly Oil Share Change (2)"/>
      <sheetName val="Monthly Oil Share Change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</sheetNames>
    <sheetDataSet>
      <sheetData sheetId="17">
        <row r="22">
          <cell r="A22">
            <v>9</v>
          </cell>
          <cell r="B22" t="e">
            <v>#NAME?</v>
          </cell>
          <cell r="E22">
            <v>1.25</v>
          </cell>
        </row>
        <row r="23">
          <cell r="A23">
            <v>9.1</v>
          </cell>
          <cell r="B23" t="e">
            <v>#NAME?</v>
          </cell>
          <cell r="E23">
            <v>2.5</v>
          </cell>
        </row>
        <row r="24">
          <cell r="A24">
            <v>9.1999999999999993</v>
          </cell>
          <cell r="B24" t="e">
            <v>#NAME?</v>
          </cell>
          <cell r="E24">
            <v>5</v>
          </cell>
        </row>
        <row r="25">
          <cell r="A25">
            <v>9.2999999999999989</v>
          </cell>
          <cell r="B25" t="e">
            <v>#NAME?</v>
          </cell>
          <cell r="E25">
            <v>7.5</v>
          </cell>
        </row>
        <row r="26">
          <cell r="A26">
            <v>9.3999999999999986</v>
          </cell>
          <cell r="B26" t="e">
            <v>#NAME?</v>
          </cell>
          <cell r="E26">
            <v>25</v>
          </cell>
        </row>
        <row r="27">
          <cell r="A27">
            <v>9.4999999999999982</v>
          </cell>
          <cell r="B27" t="e">
            <v>#NAME?</v>
          </cell>
          <cell r="E27">
            <v>30</v>
          </cell>
        </row>
        <row r="28">
          <cell r="A28">
            <v>9.5999999999999979</v>
          </cell>
          <cell r="B28" t="e">
            <v>#NAME?</v>
          </cell>
          <cell r="E28">
            <v>25</v>
          </cell>
          <cell r="H28" t="str">
            <v>Options Market</v>
          </cell>
          <cell r="K28" t="str">
            <v>The Jacobsen</v>
          </cell>
          <cell r="N28" t="str">
            <v>Options Market</v>
          </cell>
          <cell r="Q28" t="str">
            <v>The Jacobsen</v>
          </cell>
          <cell r="T28" t="str">
            <v>Options Market</v>
          </cell>
          <cell r="W28" t="str">
            <v>The Jacobsen</v>
          </cell>
        </row>
        <row r="29">
          <cell r="A29">
            <v>9.6999999999999975</v>
          </cell>
          <cell r="B29" t="e">
            <v>#NAME?</v>
          </cell>
          <cell r="E29">
            <v>2.5</v>
          </cell>
        </row>
        <row r="30">
          <cell r="A30">
            <v>9.7999999999999972</v>
          </cell>
          <cell r="B30" t="e">
            <v>#NAME?</v>
          </cell>
          <cell r="E30">
            <v>1.25</v>
          </cell>
          <cell r="G30">
            <v>8.4</v>
          </cell>
          <cell r="H30" t="e">
            <v>#NAME?</v>
          </cell>
          <cell r="K30">
            <v>0</v>
          </cell>
          <cell r="M30">
            <v>8.1999999999999993</v>
          </cell>
          <cell r="N30" t="e">
            <v>#NAME?</v>
          </cell>
          <cell r="Q30">
            <v>0</v>
          </cell>
          <cell r="S30">
            <v>8</v>
          </cell>
          <cell r="T30" t="e">
            <v>#NAME?</v>
          </cell>
          <cell r="W30">
            <v>0</v>
          </cell>
        </row>
        <row r="31">
          <cell r="A31">
            <v>9.8999999999999968</v>
          </cell>
          <cell r="B31" t="e">
            <v>#NAME?</v>
          </cell>
          <cell r="E31">
            <v>0</v>
          </cell>
          <cell r="G31">
            <v>8.5</v>
          </cell>
          <cell r="H31" t="e">
            <v>#NAME?</v>
          </cell>
          <cell r="K31">
            <v>0</v>
          </cell>
          <cell r="M31">
            <v>8.4</v>
          </cell>
          <cell r="N31" t="e">
            <v>#NAME?</v>
          </cell>
          <cell r="Q31">
            <v>0</v>
          </cell>
          <cell r="S31">
            <v>8.1999999999999993</v>
          </cell>
          <cell r="T31" t="e">
            <v>#NAME?</v>
          </cell>
          <cell r="W31">
            <v>0</v>
          </cell>
        </row>
        <row r="32">
          <cell r="A32">
            <v>9.9999999999999964</v>
          </cell>
          <cell r="B32" t="e">
            <v>#NAME?</v>
          </cell>
          <cell r="E32">
            <v>0</v>
          </cell>
          <cell r="G32">
            <v>8.6</v>
          </cell>
          <cell r="H32" t="e">
            <v>#NAME?</v>
          </cell>
          <cell r="K32">
            <v>0</v>
          </cell>
          <cell r="M32">
            <v>8.6</v>
          </cell>
          <cell r="N32" t="e">
            <v>#NAME?</v>
          </cell>
          <cell r="Q32">
            <v>1.25</v>
          </cell>
          <cell r="S32">
            <v>8.4</v>
          </cell>
          <cell r="T32" t="e">
            <v>#NAME?</v>
          </cell>
          <cell r="W32">
            <v>3.75</v>
          </cell>
        </row>
        <row r="33">
          <cell r="A33">
            <v>10.099999999999996</v>
          </cell>
          <cell r="B33" t="e">
            <v>#NAME?</v>
          </cell>
          <cell r="E33">
            <v>0</v>
          </cell>
          <cell r="G33">
            <v>8.6999999999999993</v>
          </cell>
          <cell r="H33" t="e">
            <v>#NAME?</v>
          </cell>
          <cell r="K33">
            <v>0</v>
          </cell>
          <cell r="M33">
            <v>8.8000000000000007</v>
          </cell>
          <cell r="N33" t="e">
            <v>#NAME?</v>
          </cell>
          <cell r="Q33">
            <v>7.5</v>
          </cell>
          <cell r="S33">
            <v>8.6</v>
          </cell>
          <cell r="T33" t="e">
            <v>#NAME?</v>
          </cell>
          <cell r="W33">
            <v>5</v>
          </cell>
        </row>
        <row r="34">
          <cell r="A34">
            <v>10.199999999999996</v>
          </cell>
          <cell r="B34" t="e">
            <v>#NAME?</v>
          </cell>
          <cell r="E34">
            <v>0</v>
          </cell>
          <cell r="G34">
            <v>8.8000000000000007</v>
          </cell>
          <cell r="H34" t="e">
            <v>#NAME?</v>
          </cell>
          <cell r="K34">
            <v>0</v>
          </cell>
          <cell r="M34">
            <v>9</v>
          </cell>
          <cell r="N34" t="e">
            <v>#NAME?</v>
          </cell>
          <cell r="Q34">
            <v>12.5</v>
          </cell>
          <cell r="S34">
            <v>8.8000000000000007</v>
          </cell>
          <cell r="T34" t="e">
            <v>#NAME?</v>
          </cell>
          <cell r="W34">
            <v>15</v>
          </cell>
        </row>
        <row r="35">
          <cell r="A35">
            <v>10.299999999999995</v>
          </cell>
          <cell r="B35" t="e">
            <v>#NAME?</v>
          </cell>
          <cell r="E35">
            <v>0</v>
          </cell>
          <cell r="G35">
            <v>8.9</v>
          </cell>
          <cell r="H35" t="e">
            <v>#NAME?</v>
          </cell>
          <cell r="K35">
            <v>0</v>
          </cell>
          <cell r="M35">
            <v>9.1999999999999993</v>
          </cell>
          <cell r="N35" t="e">
            <v>#NAME?</v>
          </cell>
          <cell r="Q35">
            <v>22.5</v>
          </cell>
          <cell r="S35">
            <v>9</v>
          </cell>
          <cell r="T35" t="e">
            <v>#NAME?</v>
          </cell>
          <cell r="W35">
            <v>25</v>
          </cell>
        </row>
        <row r="36">
          <cell r="A36">
            <v>10.399999999999995</v>
          </cell>
          <cell r="B36" t="e">
            <v>#NAME?</v>
          </cell>
          <cell r="E36">
            <v>0</v>
          </cell>
          <cell r="G36">
            <v>9</v>
          </cell>
          <cell r="H36" t="e">
            <v>#NAME?</v>
          </cell>
          <cell r="K36">
            <v>1.25</v>
          </cell>
          <cell r="M36">
            <v>9.4</v>
          </cell>
          <cell r="N36" t="e">
            <v>#NAME?</v>
          </cell>
          <cell r="Q36">
            <v>25.5</v>
          </cell>
          <cell r="S36">
            <v>9.1999999999999993</v>
          </cell>
          <cell r="T36" t="e">
            <v>#NAME?</v>
          </cell>
          <cell r="W36">
            <v>25</v>
          </cell>
        </row>
        <row r="37">
          <cell r="G37">
            <v>9.1</v>
          </cell>
          <cell r="H37" t="e">
            <v>#NAME?</v>
          </cell>
          <cell r="K37">
            <v>2.5</v>
          </cell>
          <cell r="M37">
            <v>9.6</v>
          </cell>
          <cell r="N37" t="e">
            <v>#NAME?</v>
          </cell>
          <cell r="Q37">
            <v>22.5</v>
          </cell>
          <cell r="S37">
            <v>9.4</v>
          </cell>
          <cell r="T37" t="e">
            <v>#NAME?</v>
          </cell>
          <cell r="W37">
            <v>15</v>
          </cell>
        </row>
        <row r="38">
          <cell r="G38">
            <v>9.1999999999999993</v>
          </cell>
          <cell r="H38" t="e">
            <v>#NAME?</v>
          </cell>
          <cell r="K38">
            <v>7.5</v>
          </cell>
          <cell r="M38">
            <v>9.8000000000000007</v>
          </cell>
          <cell r="N38" t="e">
            <v>#NAME?</v>
          </cell>
          <cell r="Q38">
            <v>7.5</v>
          </cell>
          <cell r="S38">
            <v>9.6</v>
          </cell>
          <cell r="T38" t="e">
            <v>#NAME?</v>
          </cell>
          <cell r="W38">
            <v>5</v>
          </cell>
        </row>
        <row r="39">
          <cell r="G39">
            <v>9.3000000000000007</v>
          </cell>
          <cell r="H39" t="e">
            <v>#NAME?</v>
          </cell>
          <cell r="K39">
            <v>15</v>
          </cell>
          <cell r="M39">
            <v>10</v>
          </cell>
          <cell r="N39" t="e">
            <v>#NAME?</v>
          </cell>
          <cell r="Q39">
            <v>0.75</v>
          </cell>
          <cell r="S39">
            <v>9.8000000000000007</v>
          </cell>
          <cell r="T39" t="e">
            <v>#NAME?</v>
          </cell>
          <cell r="W39">
            <v>3.75</v>
          </cell>
        </row>
        <row r="40">
          <cell r="G40">
            <v>9.4</v>
          </cell>
          <cell r="H40" t="e">
            <v>#NAME?</v>
          </cell>
          <cell r="K40">
            <v>25</v>
          </cell>
          <cell r="M40">
            <v>10.199999999999999</v>
          </cell>
          <cell r="N40" t="e">
            <v>#NAME?</v>
          </cell>
          <cell r="Q40">
            <v>0</v>
          </cell>
          <cell r="S40">
            <v>10</v>
          </cell>
          <cell r="T40" t="e">
            <v>#NAME?</v>
          </cell>
          <cell r="W40">
            <v>2.5</v>
          </cell>
        </row>
        <row r="41">
          <cell r="G41">
            <v>9.5</v>
          </cell>
          <cell r="H41" t="e">
            <v>#NAME?</v>
          </cell>
          <cell r="K41">
            <v>25</v>
          </cell>
          <cell r="M41">
            <v>10.4</v>
          </cell>
          <cell r="N41" t="e">
            <v>#NAME?</v>
          </cell>
          <cell r="Q41">
            <v>0</v>
          </cell>
          <cell r="S41">
            <v>10.199999999999999</v>
          </cell>
          <cell r="T41" t="e">
            <v>#NAME?</v>
          </cell>
          <cell r="W41">
            <v>0</v>
          </cell>
        </row>
        <row r="42">
          <cell r="G42">
            <v>9.6</v>
          </cell>
          <cell r="H42" t="e">
            <v>#NAME?</v>
          </cell>
          <cell r="K42">
            <v>15</v>
          </cell>
          <cell r="M42">
            <v>10.6</v>
          </cell>
          <cell r="N42" t="e">
            <v>#NAME?</v>
          </cell>
          <cell r="Q42">
            <v>0</v>
          </cell>
          <cell r="S42">
            <v>10.4</v>
          </cell>
          <cell r="T42" t="e">
            <v>#NAME?</v>
          </cell>
          <cell r="W42">
            <v>0</v>
          </cell>
        </row>
        <row r="43">
          <cell r="G43">
            <v>9.6999999999999993</v>
          </cell>
          <cell r="H43" t="e">
            <v>#NAME?</v>
          </cell>
          <cell r="K43">
            <v>7.5</v>
          </cell>
          <cell r="M43">
            <v>10.8</v>
          </cell>
          <cell r="N43" t="e">
            <v>#NAME?</v>
          </cell>
          <cell r="Q43">
            <v>0</v>
          </cell>
          <cell r="S43">
            <v>10.6</v>
          </cell>
          <cell r="T43" t="e">
            <v>#NAME?</v>
          </cell>
          <cell r="W43">
            <v>0</v>
          </cell>
        </row>
        <row r="44">
          <cell r="G44">
            <v>9.8000000000000007</v>
          </cell>
          <cell r="H44" t="e">
            <v>#NAME?</v>
          </cell>
          <cell r="K44">
            <v>1.25</v>
          </cell>
          <cell r="M44">
            <v>11</v>
          </cell>
          <cell r="N44" t="e">
            <v>#NAME?</v>
          </cell>
          <cell r="Q44">
            <v>0</v>
          </cell>
          <cell r="S44">
            <v>10.8</v>
          </cell>
          <cell r="T44" t="e">
            <v>#NAME?</v>
          </cell>
          <cell r="W44">
            <v>0</v>
          </cell>
        </row>
        <row r="45">
          <cell r="G45">
            <v>9.9</v>
          </cell>
          <cell r="H45" t="e">
            <v>#NAME?</v>
          </cell>
          <cell r="K45">
            <v>1.25</v>
          </cell>
          <cell r="M45">
            <v>11.2</v>
          </cell>
          <cell r="N45" t="e">
            <v>#NAME?</v>
          </cell>
          <cell r="Q45">
            <v>0</v>
          </cell>
          <cell r="S45">
            <v>11</v>
          </cell>
          <cell r="T45" t="e">
            <v>#NAME?</v>
          </cell>
          <cell r="W45">
            <v>0</v>
          </cell>
        </row>
        <row r="46">
          <cell r="G46">
            <v>10</v>
          </cell>
          <cell r="H46" t="e">
            <v>#NAME?</v>
          </cell>
          <cell r="K46">
            <v>0</v>
          </cell>
          <cell r="M46">
            <v>11.4</v>
          </cell>
          <cell r="N46" t="e">
            <v>#NAME?</v>
          </cell>
          <cell r="Q46">
            <v>0</v>
          </cell>
          <cell r="S46">
            <v>11.2</v>
          </cell>
          <cell r="T46" t="e">
            <v>#NAME?</v>
          </cell>
          <cell r="W46">
            <v>0</v>
          </cell>
        </row>
        <row r="47">
          <cell r="G47">
            <v>10.1</v>
          </cell>
          <cell r="H47" t="e">
            <v>#NAME?</v>
          </cell>
          <cell r="K47">
            <v>0</v>
          </cell>
          <cell r="M47">
            <v>11.6</v>
          </cell>
          <cell r="N47" t="e">
            <v>#NAME?</v>
          </cell>
          <cell r="Q47">
            <v>0</v>
          </cell>
          <cell r="S47">
            <v>11.4</v>
          </cell>
          <cell r="T47" t="e">
            <v>#NAME?</v>
          </cell>
          <cell r="W47">
            <v>0</v>
          </cell>
        </row>
        <row r="48">
          <cell r="G48">
            <v>10.199999999999999</v>
          </cell>
          <cell r="H48" t="e">
            <v>#NAME?</v>
          </cell>
          <cell r="K48">
            <v>0</v>
          </cell>
          <cell r="S48">
            <v>11.6</v>
          </cell>
          <cell r="T48" t="e">
            <v>#NAME?</v>
          </cell>
          <cell r="W48">
            <v>0</v>
          </cell>
        </row>
        <row r="49">
          <cell r="A49">
            <v>9.1999999999999993</v>
          </cell>
          <cell r="D49">
            <v>9.199999999999986E-3</v>
          </cell>
          <cell r="E49">
            <v>5.0000000000000001E-3</v>
          </cell>
          <cell r="G49">
            <v>10.3</v>
          </cell>
          <cell r="H49" t="e">
            <v>#NAME?</v>
          </cell>
          <cell r="K49">
            <v>0</v>
          </cell>
          <cell r="S49">
            <v>11.8</v>
          </cell>
          <cell r="T49" t="e">
            <v>#NAME?</v>
          </cell>
          <cell r="W49">
            <v>0</v>
          </cell>
        </row>
        <row r="50">
          <cell r="A50">
            <v>9.3999999999999986</v>
          </cell>
          <cell r="D50">
            <v>1.3600000000000056E-2</v>
          </cell>
          <cell r="E50">
            <v>7.4999999999999997E-3</v>
          </cell>
          <cell r="G50">
            <v>10.4</v>
          </cell>
          <cell r="H50" t="e">
            <v>#NAME?</v>
          </cell>
          <cell r="K50">
            <v>0</v>
          </cell>
          <cell r="S50">
            <v>12</v>
          </cell>
          <cell r="T50" t="e">
            <v>#NAME?</v>
          </cell>
          <cell r="W50">
            <v>0</v>
          </cell>
        </row>
        <row r="51">
          <cell r="A51">
            <v>9.5999999999999979</v>
          </cell>
          <cell r="D51">
            <v>2.0499999999999963E-2</v>
          </cell>
          <cell r="E51">
            <v>1.2500000000000001E-2</v>
          </cell>
          <cell r="G51">
            <v>10.5</v>
          </cell>
          <cell r="H51" t="e">
            <v>#NAME?</v>
          </cell>
          <cell r="K51">
            <v>0</v>
          </cell>
        </row>
        <row r="52">
          <cell r="A52">
            <v>9.7999999999999972</v>
          </cell>
          <cell r="D52">
            <v>9.5681214925248392E-3</v>
          </cell>
          <cell r="E52">
            <v>0.03</v>
          </cell>
        </row>
        <row r="53">
          <cell r="A53">
            <v>9.9999999999999964</v>
          </cell>
          <cell r="D53">
            <v>3.8034124297482652E-2</v>
          </cell>
          <cell r="E53">
            <v>0.04</v>
          </cell>
        </row>
        <row r="54">
          <cell r="A54">
            <v>10.199999999999996</v>
          </cell>
          <cell r="D54">
            <v>6.4446170550152782E-2</v>
          </cell>
          <cell r="E54">
            <v>0.08</v>
          </cell>
        </row>
        <row r="55">
          <cell r="A55">
            <v>10.399999999999995</v>
          </cell>
          <cell r="D55">
            <v>6.3951583659839772E-2</v>
          </cell>
          <cell r="E55">
            <v>0.14000000000000001</v>
          </cell>
        </row>
        <row r="56">
          <cell r="A56">
            <v>10.599999999999994</v>
          </cell>
          <cell r="D56">
            <v>4.882334429251356E-2</v>
          </cell>
          <cell r="E56">
            <v>0.2</v>
          </cell>
        </row>
        <row r="57">
          <cell r="A57">
            <v>10.799999999999994</v>
          </cell>
          <cell r="D57">
            <v>8.1407244532475609E-2</v>
          </cell>
          <cell r="E57">
            <v>0.15</v>
          </cell>
        </row>
        <row r="58">
          <cell r="A58">
            <v>10.999999999999993</v>
          </cell>
          <cell r="D58">
            <v>7.8800247961584358E-2</v>
          </cell>
          <cell r="E58">
            <v>0.125</v>
          </cell>
        </row>
        <row r="59">
          <cell r="A59">
            <v>11.199999999999992</v>
          </cell>
          <cell r="D59">
            <v>7.5152342143140372E-2</v>
          </cell>
          <cell r="E59">
            <v>0.1</v>
          </cell>
        </row>
        <row r="60">
          <cell r="A60">
            <v>11.399999999999991</v>
          </cell>
          <cell r="D60">
            <v>6.7228814395955683E-2</v>
          </cell>
          <cell r="E60">
            <v>0.05</v>
          </cell>
        </row>
        <row r="61">
          <cell r="A61">
            <v>11.599999999999991</v>
          </cell>
          <cell r="D61">
            <v>6.0430159087446145E-2</v>
          </cell>
          <cell r="E61">
            <v>0.03</v>
          </cell>
        </row>
        <row r="62">
          <cell r="A62">
            <v>11.79999999999999</v>
          </cell>
          <cell r="D62">
            <v>6.3449908254727239E-2</v>
          </cell>
          <cell r="E62">
            <v>0.02</v>
          </cell>
        </row>
        <row r="63">
          <cell r="A63">
            <v>11.999999999999989</v>
          </cell>
          <cell r="D63">
            <v>4.0694628216646711E-2</v>
          </cell>
          <cell r="E63">
            <v>0.01</v>
          </cell>
        </row>
      </sheetData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0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C945-C237-4F49-9066-3BE6203D4BAC}">
  <dimension ref="A1:W68"/>
  <sheetViews>
    <sheetView zoomScale="85" zoomScaleNormal="85" workbookViewId="0">
      <selection activeCell="W14" sqref="W14"/>
    </sheetView>
  </sheetViews>
  <sheetFormatPr defaultColWidth="8.85546875" defaultRowHeight="15" x14ac:dyDescent="0.25"/>
  <cols>
    <col min="1" max="1" width="9.42578125" bestFit="1" customWidth="1"/>
  </cols>
  <sheetData>
    <row r="1" spans="1:23" x14ac:dyDescent="0.25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1" t="s">
        <v>2</v>
      </c>
      <c r="N1" s="1"/>
      <c r="O1" s="1"/>
      <c r="P1" s="1"/>
      <c r="Q1" s="1"/>
      <c r="S1" s="1" t="s">
        <v>3</v>
      </c>
      <c r="T1" s="1"/>
      <c r="U1" s="1"/>
      <c r="V1" s="1"/>
      <c r="W1" s="1"/>
    </row>
    <row r="2" spans="1:23" x14ac:dyDescent="0.25">
      <c r="A2" s="1" t="s">
        <v>4</v>
      </c>
      <c r="B2" s="1"/>
      <c r="C2" t="s">
        <v>5</v>
      </c>
      <c r="D2" s="1" t="s">
        <v>6</v>
      </c>
      <c r="E2" s="1"/>
      <c r="G2" s="1" t="s">
        <v>4</v>
      </c>
      <c r="H2" s="1"/>
      <c r="I2" t="s">
        <v>5</v>
      </c>
      <c r="J2" s="1" t="s">
        <v>6</v>
      </c>
      <c r="K2" s="1"/>
      <c r="M2" s="1" t="s">
        <v>4</v>
      </c>
      <c r="N2" s="1"/>
      <c r="O2" t="s">
        <v>5</v>
      </c>
      <c r="P2" s="1" t="s">
        <v>6</v>
      </c>
      <c r="Q2" s="1"/>
      <c r="S2" s="1" t="s">
        <v>4</v>
      </c>
      <c r="T2" s="1"/>
      <c r="U2" t="s">
        <v>5</v>
      </c>
      <c r="V2" s="1" t="s">
        <v>6</v>
      </c>
      <c r="W2" s="1"/>
    </row>
    <row r="3" spans="1:23" x14ac:dyDescent="0.25">
      <c r="A3" t="e">
        <f ca="1">_xll.RtGet("IDN","1S930K0","PRIMACT_1")/100</f>
        <v>#NAME?</v>
      </c>
      <c r="B3" s="2"/>
      <c r="C3" s="3">
        <v>930</v>
      </c>
      <c r="D3" s="2"/>
      <c r="E3" s="2"/>
      <c r="G3" t="e">
        <f ca="1">_xll.RtGet("IDN","1S830C8","PRIMACT_1")/100</f>
        <v>#NAME?</v>
      </c>
      <c r="H3" s="2"/>
      <c r="I3" s="3">
        <v>830</v>
      </c>
      <c r="J3" t="e">
        <f ca="1">_xll.RtGet("IDN","1S830O8","PRIMACT_1")/100</f>
        <v>#NAME?</v>
      </c>
      <c r="K3" t="e">
        <f t="shared" ref="K3:K25" ca="1" si="0">J4</f>
        <v>#NAME?</v>
      </c>
      <c r="M3" t="e">
        <f ca="1">_xll.RtGet("IDN","1S800E8","PRIMACT_1")/100</f>
        <v>#NAME?</v>
      </c>
      <c r="N3" s="2"/>
      <c r="O3" s="3">
        <v>800</v>
      </c>
      <c r="P3" t="e">
        <f ca="1">_xll.RtGet("IDN","1S800Q8","PRIMACT_1")/100</f>
        <v>#NAME?</v>
      </c>
      <c r="Q3" t="e">
        <f ca="1">P3</f>
        <v>#NAME?</v>
      </c>
      <c r="S3" t="e">
        <f ca="1">_xll.RtGet("IDN","1S780G8","PRIMACT_1")/100</f>
        <v>#NAME?</v>
      </c>
      <c r="U3" s="3">
        <v>780</v>
      </c>
      <c r="V3" t="e">
        <f ca="1">_xll.RtGet("IDN","1S780S8","PRIMACT_1")/100</f>
        <v>#NAME?</v>
      </c>
      <c r="W3" t="e">
        <f ca="1">V3</f>
        <v>#NAME?</v>
      </c>
    </row>
    <row r="4" spans="1:23" x14ac:dyDescent="0.25">
      <c r="A4" t="e">
        <f ca="1">_xll.RtGet("IDN","1S940K0","PRIMACT_1")/100</f>
        <v>#NAME?</v>
      </c>
      <c r="B4" t="e">
        <f t="shared" ref="B4:B18" ca="1" si="1">A3</f>
        <v>#NAME?</v>
      </c>
      <c r="C4">
        <f t="shared" ref="C4:C18" si="2">C3+10</f>
        <v>940</v>
      </c>
      <c r="D4" t="e">
        <f ca="1">_xll.RtGet("IDN","1S940K0","PRIMACT_1")/100</f>
        <v>#NAME?</v>
      </c>
      <c r="E4" t="e">
        <f t="shared" ref="E4:E18" ca="1" si="3">D5</f>
        <v>#NAME?</v>
      </c>
      <c r="G4" t="e">
        <f ca="1">_xll.RtGet("IDN","1S840C8","PRIMACT_1")/100</f>
        <v>#NAME?</v>
      </c>
      <c r="H4" t="e">
        <f t="shared" ref="H4:H25" ca="1" si="4">G3</f>
        <v>#NAME?</v>
      </c>
      <c r="I4">
        <f t="shared" ref="I4:I25" si="5">I3+10</f>
        <v>840</v>
      </c>
      <c r="J4" t="e">
        <f ca="1">_xll.RtGet("IDN","1S840O8","PRIMACT_1")/100</f>
        <v>#NAME?</v>
      </c>
      <c r="K4" t="e">
        <f t="shared" ca="1" si="0"/>
        <v>#NAME?</v>
      </c>
      <c r="M4" t="e">
        <f ca="1">_xll.RtGet("IDN","1S820E8","PRIMACT_1")/100</f>
        <v>#NAME?</v>
      </c>
      <c r="N4" t="e">
        <f t="shared" ref="N4:N22" ca="1" si="6">M3</f>
        <v>#NAME?</v>
      </c>
      <c r="O4">
        <f t="shared" ref="O4:O22" si="7">O3+20</f>
        <v>820</v>
      </c>
      <c r="P4" t="e">
        <f ca="1">_xll.RtGet("IDN","1S820Q8","PRIMACT_1")/100</f>
        <v>#NAME?</v>
      </c>
      <c r="Q4" t="e">
        <f t="shared" ref="Q4:Q21" ca="1" si="8">P5</f>
        <v>#NAME?</v>
      </c>
      <c r="S4" t="e">
        <f ca="1">_xll.RtGet("IDN","1S800G8","PRIMACT_1")/100</f>
        <v>#NAME?</v>
      </c>
      <c r="T4" t="e">
        <f t="shared" ref="T4:T25" ca="1" si="9">S3</f>
        <v>#NAME?</v>
      </c>
      <c r="U4">
        <f t="shared" ref="U4:U25" si="10">U3+20</f>
        <v>800</v>
      </c>
      <c r="V4" t="e">
        <f ca="1">_xll.RtGet("IDN","1S800S8","PRIMACT_1")/100</f>
        <v>#NAME?</v>
      </c>
      <c r="W4" t="e">
        <f ca="1">V4</f>
        <v>#NAME?</v>
      </c>
    </row>
    <row r="5" spans="1:23" x14ac:dyDescent="0.25">
      <c r="A5" t="e">
        <f ca="1">_xll.RtGet("IDN","1S940K0","PRIMACT_1")/100</f>
        <v>#NAME?</v>
      </c>
      <c r="B5" t="e">
        <f t="shared" ca="1" si="1"/>
        <v>#NAME?</v>
      </c>
      <c r="C5">
        <f t="shared" si="2"/>
        <v>950</v>
      </c>
      <c r="D5" t="e">
        <f ca="1">_xll.RtGet("IDN","1S950K0","PRIMACT_1")/100</f>
        <v>#NAME?</v>
      </c>
      <c r="E5" t="e">
        <f t="shared" ca="1" si="3"/>
        <v>#NAME?</v>
      </c>
      <c r="G5" t="e">
        <f ca="1">_xll.RtGet("IDN","1S850C8","PRIMACT_1")/100</f>
        <v>#NAME?</v>
      </c>
      <c r="H5" t="e">
        <f t="shared" ca="1" si="4"/>
        <v>#NAME?</v>
      </c>
      <c r="I5">
        <f t="shared" si="5"/>
        <v>850</v>
      </c>
      <c r="J5" t="e">
        <f ca="1">_xll.RtGet("IDN","1S850O8","PRIMACT_1")/100</f>
        <v>#NAME?</v>
      </c>
      <c r="K5" t="e">
        <f t="shared" ca="1" si="0"/>
        <v>#NAME?</v>
      </c>
      <c r="M5" t="e">
        <f ca="1">_xll.RtGet("IDN","1S840E8","PRIMACT_1")/100</f>
        <v>#NAME?</v>
      </c>
      <c r="N5" t="e">
        <f t="shared" ca="1" si="6"/>
        <v>#NAME?</v>
      </c>
      <c r="O5">
        <f t="shared" si="7"/>
        <v>840</v>
      </c>
      <c r="P5" t="e">
        <f ca="1">_xll.RtGet("IDN","1S840Q8","PRIMACT_1")/100</f>
        <v>#NAME?</v>
      </c>
      <c r="Q5" t="e">
        <f t="shared" ca="1" si="8"/>
        <v>#NAME?</v>
      </c>
      <c r="S5" t="e">
        <f ca="1">_xll.RtGet("IDN","1S820G8","PRIMACT_1")/100</f>
        <v>#NAME?</v>
      </c>
      <c r="T5" t="e">
        <f t="shared" ca="1" si="9"/>
        <v>#NAME?</v>
      </c>
      <c r="U5">
        <f t="shared" si="10"/>
        <v>820</v>
      </c>
      <c r="V5" t="e">
        <f ca="1">_xll.RtGet("IDN","1S820S8","PRIMACT_1")/100</f>
        <v>#NAME?</v>
      </c>
      <c r="W5" t="e">
        <f ca="1">V5</f>
        <v>#NAME?</v>
      </c>
    </row>
    <row r="6" spans="1:23" x14ac:dyDescent="0.25">
      <c r="A6" t="e">
        <f ca="1">_xll.RtGet("IDN","1S960K0","PRIMACT_1")/100</f>
        <v>#NAME?</v>
      </c>
      <c r="B6" t="e">
        <f t="shared" ca="1" si="1"/>
        <v>#NAME?</v>
      </c>
      <c r="C6">
        <f t="shared" si="2"/>
        <v>960</v>
      </c>
      <c r="D6" t="e">
        <f ca="1">_xll.RtGet("IDN","1S960K0","PRIMACT_1")/100</f>
        <v>#NAME?</v>
      </c>
      <c r="E6" t="e">
        <f t="shared" ca="1" si="3"/>
        <v>#NAME?</v>
      </c>
      <c r="G6" t="e">
        <f ca="1">_xll.RtGet("IDN","1S860C8","PRIMACT_1")/100</f>
        <v>#NAME?</v>
      </c>
      <c r="H6" t="e">
        <f t="shared" ca="1" si="4"/>
        <v>#NAME?</v>
      </c>
      <c r="I6">
        <f t="shared" si="5"/>
        <v>860</v>
      </c>
      <c r="J6" t="e">
        <f ca="1">_xll.RtGet("IDN","1S860O8","PRIMACT_1")/100</f>
        <v>#NAME?</v>
      </c>
      <c r="K6" t="e">
        <f t="shared" ca="1" si="0"/>
        <v>#NAME?</v>
      </c>
      <c r="M6" t="e">
        <f ca="1">_xll.RtGet("IDN","1S860E8","PRIMACT_1")/100</f>
        <v>#NAME?</v>
      </c>
      <c r="N6" t="e">
        <f t="shared" ca="1" si="6"/>
        <v>#NAME?</v>
      </c>
      <c r="O6">
        <f t="shared" si="7"/>
        <v>860</v>
      </c>
      <c r="P6" t="e">
        <f ca="1">_xll.RtGet("IDN","1S860Q8","PRIMACT_1")/100</f>
        <v>#NAME?</v>
      </c>
      <c r="Q6" t="e">
        <f t="shared" ca="1" si="8"/>
        <v>#NAME?</v>
      </c>
      <c r="S6" t="e">
        <f ca="1">_xll.RtGet("IDN","1S840G8","PRIMACT_1")/100</f>
        <v>#NAME?</v>
      </c>
      <c r="T6" t="e">
        <f t="shared" ca="1" si="9"/>
        <v>#NAME?</v>
      </c>
      <c r="U6">
        <f t="shared" si="10"/>
        <v>840</v>
      </c>
      <c r="V6" t="e">
        <f ca="1">_xll.RtGet("IDN","1S840S8","PRIMACT_1")/100</f>
        <v>#NAME?</v>
      </c>
      <c r="W6" t="e">
        <f ca="1">V6</f>
        <v>#NAME?</v>
      </c>
    </row>
    <row r="7" spans="1:23" x14ac:dyDescent="0.25">
      <c r="A7" t="e">
        <f ca="1">_xll.RtGet("IDN","1S970K0","PRIMACT_1")/100</f>
        <v>#NAME?</v>
      </c>
      <c r="B7" t="e">
        <f t="shared" ca="1" si="1"/>
        <v>#NAME?</v>
      </c>
      <c r="C7">
        <f t="shared" si="2"/>
        <v>970</v>
      </c>
      <c r="D7" t="e">
        <f ca="1">_xll.RtGet("IDN","1S970K0","PRIMACT_1")/100</f>
        <v>#NAME?</v>
      </c>
      <c r="E7" t="e">
        <f t="shared" ca="1" si="3"/>
        <v>#NAME?</v>
      </c>
      <c r="G7" t="e">
        <f ca="1">_xll.RtGet("IDN","1S870C8","PRIMACT_1")/100</f>
        <v>#NAME?</v>
      </c>
      <c r="H7" t="e">
        <f t="shared" ca="1" si="4"/>
        <v>#NAME?</v>
      </c>
      <c r="I7">
        <f t="shared" si="5"/>
        <v>870</v>
      </c>
      <c r="J7" t="e">
        <f ca="1">_xll.RtGet("IDN","1S870O8","PRIMACT_1")/100</f>
        <v>#NAME?</v>
      </c>
      <c r="K7" t="e">
        <f t="shared" ca="1" si="0"/>
        <v>#NAME?</v>
      </c>
      <c r="M7" t="e">
        <f ca="1">_xll.RtGet("IDN","1S880E8","PRIMACT_1")/100</f>
        <v>#NAME?</v>
      </c>
      <c r="N7" t="e">
        <f t="shared" ca="1" si="6"/>
        <v>#NAME?</v>
      </c>
      <c r="O7">
        <f t="shared" si="7"/>
        <v>880</v>
      </c>
      <c r="P7" t="e">
        <f ca="1">_xll.RtGet("IDN","1S880Q8","PRIMACT_1")/100</f>
        <v>#NAME?</v>
      </c>
      <c r="Q7" t="e">
        <f t="shared" ca="1" si="8"/>
        <v>#NAME?</v>
      </c>
      <c r="S7" t="e">
        <f ca="1">_xll.RtGet("IDN","1S860G8","PRIMACT_1")/100</f>
        <v>#NAME?</v>
      </c>
      <c r="T7" t="e">
        <f t="shared" ca="1" si="9"/>
        <v>#NAME?</v>
      </c>
      <c r="U7">
        <f t="shared" si="10"/>
        <v>860</v>
      </c>
      <c r="V7" t="e">
        <f ca="1">_xll.RtGet("IDN","1S860S8","PRIMACT_1")/100</f>
        <v>#NAME?</v>
      </c>
      <c r="W7" t="e">
        <f t="shared" ref="W7:W24" ca="1" si="11">V8</f>
        <v>#NAME?</v>
      </c>
    </row>
    <row r="8" spans="1:23" x14ac:dyDescent="0.25">
      <c r="A8" t="e">
        <f ca="1">_xll.RtGet("IDN","1S980K0","PRIMACT_1")/100</f>
        <v>#NAME?</v>
      </c>
      <c r="B8" t="e">
        <f t="shared" ca="1" si="1"/>
        <v>#NAME?</v>
      </c>
      <c r="C8">
        <f t="shared" si="2"/>
        <v>980</v>
      </c>
      <c r="D8" t="e">
        <f ca="1">_xll.RtGet("IDN","1S980K0","PRIMACT_1")/100</f>
        <v>#NAME?</v>
      </c>
      <c r="E8" t="e">
        <f t="shared" ca="1" si="3"/>
        <v>#NAME?</v>
      </c>
      <c r="G8" t="e">
        <f ca="1">_xll.RtGet("IDN","1S880C8","PRIMACT_1")/100</f>
        <v>#NAME?</v>
      </c>
      <c r="H8" t="e">
        <f t="shared" ca="1" si="4"/>
        <v>#NAME?</v>
      </c>
      <c r="I8">
        <f t="shared" si="5"/>
        <v>880</v>
      </c>
      <c r="J8" t="e">
        <f ca="1">_xll.RtGet("IDN","1S880O8","PRIMACT_1")/100</f>
        <v>#NAME?</v>
      </c>
      <c r="K8" t="e">
        <f t="shared" ca="1" si="0"/>
        <v>#NAME?</v>
      </c>
      <c r="M8" t="e">
        <f ca="1">_xll.RtGet("IDN","1S900E8","PRIMACT_1")/100</f>
        <v>#NAME?</v>
      </c>
      <c r="N8" t="e">
        <f t="shared" ca="1" si="6"/>
        <v>#NAME?</v>
      </c>
      <c r="O8">
        <f t="shared" si="7"/>
        <v>900</v>
      </c>
      <c r="P8" t="e">
        <f ca="1">_xll.RtGet("IDN","1S900Q8","PRIMACT_1")/100</f>
        <v>#NAME?</v>
      </c>
      <c r="Q8" t="e">
        <f t="shared" ca="1" si="8"/>
        <v>#NAME?</v>
      </c>
      <c r="S8" t="e">
        <f ca="1">_xll.RtGet("IDN","1S880G8","PRIMACT_1")/100</f>
        <v>#NAME?</v>
      </c>
      <c r="T8" t="e">
        <f t="shared" ca="1" si="9"/>
        <v>#NAME?</v>
      </c>
      <c r="U8">
        <f t="shared" si="10"/>
        <v>880</v>
      </c>
      <c r="V8" t="e">
        <f ca="1">_xll.RtGet("IDN","1S880S8","PRIMACT_1")/100</f>
        <v>#NAME?</v>
      </c>
      <c r="W8" t="e">
        <f t="shared" ca="1" si="11"/>
        <v>#NAME?</v>
      </c>
    </row>
    <row r="9" spans="1:23" x14ac:dyDescent="0.25">
      <c r="A9" t="e">
        <f ca="1">_xll.RtGet("IDN","1S990K0","PRIMACT_1")/100</f>
        <v>#NAME?</v>
      </c>
      <c r="B9" t="e">
        <f t="shared" ca="1" si="1"/>
        <v>#NAME?</v>
      </c>
      <c r="C9">
        <f t="shared" si="2"/>
        <v>990</v>
      </c>
      <c r="D9" t="e">
        <f ca="1">_xll.RtGet("IDN","1S990K0","PRIMACT_1")/100</f>
        <v>#NAME?</v>
      </c>
      <c r="E9" t="e">
        <f t="shared" ca="1" si="3"/>
        <v>#NAME?</v>
      </c>
      <c r="G9" t="e">
        <f ca="1">_xll.RtGet("IDN","1S890C8","PRIMACT_1")/100</f>
        <v>#NAME?</v>
      </c>
      <c r="H9" t="e">
        <f t="shared" ca="1" si="4"/>
        <v>#NAME?</v>
      </c>
      <c r="I9">
        <f t="shared" si="5"/>
        <v>890</v>
      </c>
      <c r="J9" t="e">
        <f ca="1">_xll.RtGet("IDN","1S890O8","PRIMACT_1")/100</f>
        <v>#NAME?</v>
      </c>
      <c r="K9" t="e">
        <f t="shared" ca="1" si="0"/>
        <v>#NAME?</v>
      </c>
      <c r="M9" t="e">
        <f ca="1">_xll.RtGet("IDN","1S920E8","PRIMACT_1")/100</f>
        <v>#NAME?</v>
      </c>
      <c r="N9" t="e">
        <f t="shared" ca="1" si="6"/>
        <v>#NAME?</v>
      </c>
      <c r="O9">
        <f t="shared" si="7"/>
        <v>920</v>
      </c>
      <c r="P9" t="e">
        <f ca="1">_xll.RtGet("IDN","1S920Q8","PRIMACT_1")/100</f>
        <v>#NAME?</v>
      </c>
      <c r="Q9" t="e">
        <f t="shared" ca="1" si="8"/>
        <v>#NAME?</v>
      </c>
      <c r="S9" t="e">
        <f ca="1">_xll.RtGet("IDN","1S900G8","PRIMACT_1")/100</f>
        <v>#NAME?</v>
      </c>
      <c r="T9" t="e">
        <f t="shared" ca="1" si="9"/>
        <v>#NAME?</v>
      </c>
      <c r="U9">
        <f t="shared" si="10"/>
        <v>900</v>
      </c>
      <c r="V9" t="e">
        <f ca="1">_xll.RtGet("IDN","1S900S8","PRIMACT_1")/100</f>
        <v>#NAME?</v>
      </c>
      <c r="W9" t="e">
        <f t="shared" ca="1" si="11"/>
        <v>#NAME?</v>
      </c>
    </row>
    <row r="10" spans="1:23" x14ac:dyDescent="0.25">
      <c r="A10" t="e">
        <f ca="1">_xll.RtGet("IDN","1S1000K0","PRIMACT_1")/100</f>
        <v>#NAME?</v>
      </c>
      <c r="B10" t="e">
        <f t="shared" ca="1" si="1"/>
        <v>#NAME?</v>
      </c>
      <c r="C10">
        <f t="shared" si="2"/>
        <v>1000</v>
      </c>
      <c r="D10" t="e">
        <f ca="1">_xll.RtGet("IDN","1S1000K0","PRIMACT_1")/100</f>
        <v>#NAME?</v>
      </c>
      <c r="E10" t="e">
        <f t="shared" ca="1" si="3"/>
        <v>#NAME?</v>
      </c>
      <c r="G10" t="e">
        <f ca="1">_xll.RtGet("IDN","1S900C8","PRIMACT_1")/100</f>
        <v>#NAME?</v>
      </c>
      <c r="H10" t="e">
        <f t="shared" ca="1" si="4"/>
        <v>#NAME?</v>
      </c>
      <c r="I10">
        <f t="shared" si="5"/>
        <v>900</v>
      </c>
      <c r="J10" t="e">
        <f ca="1">_xll.RtGet("IDN","1S900O8","PRIMACT_1")/100</f>
        <v>#NAME?</v>
      </c>
      <c r="K10" t="e">
        <f t="shared" ca="1" si="0"/>
        <v>#NAME?</v>
      </c>
      <c r="M10" t="e">
        <f ca="1">_xll.RtGet("IDN","1S940E8","PRIMACT_1")/100</f>
        <v>#NAME?</v>
      </c>
      <c r="N10" t="e">
        <f t="shared" ca="1" si="6"/>
        <v>#NAME?</v>
      </c>
      <c r="O10">
        <f t="shared" si="7"/>
        <v>940</v>
      </c>
      <c r="P10" t="e">
        <f ca="1">_xll.RtGet("IDN","1S940Q8","PRIMACT_1")/100</f>
        <v>#NAME?</v>
      </c>
      <c r="Q10" t="e">
        <f t="shared" ca="1" si="8"/>
        <v>#NAME?</v>
      </c>
      <c r="S10" t="e">
        <f ca="1">_xll.RtGet("IDN","1S920G8","PRIMACT_1")/100</f>
        <v>#NAME?</v>
      </c>
      <c r="T10" t="e">
        <f t="shared" ca="1" si="9"/>
        <v>#NAME?</v>
      </c>
      <c r="U10">
        <f t="shared" si="10"/>
        <v>920</v>
      </c>
      <c r="V10" t="e">
        <f ca="1">_xll.RtGet("IDN","1S920S8","PRIMACT_1")/100</f>
        <v>#NAME?</v>
      </c>
      <c r="W10" t="e">
        <f t="shared" ca="1" si="11"/>
        <v>#NAME?</v>
      </c>
    </row>
    <row r="11" spans="1:23" x14ac:dyDescent="0.25">
      <c r="A11" t="e">
        <f ca="1">_xll.RtGet("IDN","1S1010K0","PRIMACT_1")/100</f>
        <v>#NAME?</v>
      </c>
      <c r="B11" t="e">
        <f t="shared" ca="1" si="1"/>
        <v>#NAME?</v>
      </c>
      <c r="C11">
        <f t="shared" si="2"/>
        <v>1010</v>
      </c>
      <c r="D11" t="e">
        <f ca="1">_xll.RtGet("IDN","1S1010K0","PRIMACT_1")/100</f>
        <v>#NAME?</v>
      </c>
      <c r="E11" t="e">
        <f t="shared" ca="1" si="3"/>
        <v>#NAME?</v>
      </c>
      <c r="G11" t="e">
        <f ca="1">_xll.RtGet("IDN","1S910C8","PRIMACT_1")/100</f>
        <v>#NAME?</v>
      </c>
      <c r="H11" t="e">
        <f t="shared" ca="1" si="4"/>
        <v>#NAME?</v>
      </c>
      <c r="I11">
        <f t="shared" si="5"/>
        <v>910</v>
      </c>
      <c r="J11" t="e">
        <f ca="1">_xll.RtGet("IDN","1S910O8","PRIMACT_1")/100</f>
        <v>#NAME?</v>
      </c>
      <c r="K11" t="e">
        <f t="shared" ca="1" si="0"/>
        <v>#NAME?</v>
      </c>
      <c r="M11" t="e">
        <f ca="1">_xll.RtGet("IDN","1S960E8","PRIMACT_1")/100</f>
        <v>#NAME?</v>
      </c>
      <c r="N11" t="e">
        <f t="shared" ca="1" si="6"/>
        <v>#NAME?</v>
      </c>
      <c r="O11">
        <f t="shared" si="7"/>
        <v>960</v>
      </c>
      <c r="P11" t="e">
        <f ca="1">_xll.RtGet("IDN","1S960Q8","PRIMACT_1")/100</f>
        <v>#NAME?</v>
      </c>
      <c r="Q11" t="e">
        <f t="shared" ca="1" si="8"/>
        <v>#NAME?</v>
      </c>
      <c r="S11" t="e">
        <f ca="1">_xll.RtGet("IDN","1S940G8","PRIMACT_1")/100</f>
        <v>#NAME?</v>
      </c>
      <c r="T11" t="e">
        <f t="shared" ca="1" si="9"/>
        <v>#NAME?</v>
      </c>
      <c r="U11">
        <f t="shared" si="10"/>
        <v>940</v>
      </c>
      <c r="V11" t="e">
        <f ca="1">_xll.RtGet("IDN","1S940S8","PRIMACT_1")/100</f>
        <v>#NAME?</v>
      </c>
      <c r="W11" t="e">
        <f t="shared" ca="1" si="11"/>
        <v>#NAME?</v>
      </c>
    </row>
    <row r="12" spans="1:23" x14ac:dyDescent="0.25">
      <c r="A12" t="e">
        <f ca="1">_xll.RtGet("IDN","1S1020K0","PRIMACT_1")/100</f>
        <v>#NAME?</v>
      </c>
      <c r="B12" t="e">
        <f t="shared" ca="1" si="1"/>
        <v>#NAME?</v>
      </c>
      <c r="C12">
        <f t="shared" si="2"/>
        <v>1020</v>
      </c>
      <c r="D12" t="e">
        <f ca="1">_xll.RtGet("IDN","1S1020K0","PRIMACT_1")/100</f>
        <v>#NAME?</v>
      </c>
      <c r="E12" t="e">
        <f t="shared" ca="1" si="3"/>
        <v>#NAME?</v>
      </c>
      <c r="G12" t="e">
        <f ca="1">_xll.RtGet("IDN","1S920C8","PRIMACT_1")/100</f>
        <v>#NAME?</v>
      </c>
      <c r="H12" t="e">
        <f t="shared" ca="1" si="4"/>
        <v>#NAME?</v>
      </c>
      <c r="I12">
        <f t="shared" si="5"/>
        <v>920</v>
      </c>
      <c r="J12" t="e">
        <f ca="1">_xll.RtGet("IDN","1S920O8","PRIMACT_1")/100</f>
        <v>#NAME?</v>
      </c>
      <c r="K12" t="e">
        <f t="shared" ca="1" si="0"/>
        <v>#NAME?</v>
      </c>
      <c r="M12" t="e">
        <f ca="1">_xll.RtGet("IDN","1S980E8","PRIMACT_1")/100</f>
        <v>#NAME?</v>
      </c>
      <c r="N12" t="e">
        <f t="shared" ca="1" si="6"/>
        <v>#NAME?</v>
      </c>
      <c r="O12">
        <f t="shared" si="7"/>
        <v>980</v>
      </c>
      <c r="P12" t="e">
        <f ca="1">_xll.RtGet("IDN","1S980Q8","PRIMACT_1")/100</f>
        <v>#NAME?</v>
      </c>
      <c r="Q12" t="e">
        <f t="shared" ca="1" si="8"/>
        <v>#NAME?</v>
      </c>
      <c r="S12" t="e">
        <f ca="1">_xll.RtGet("IDN","1S960G8","PRIMACT_1")/100</f>
        <v>#NAME?</v>
      </c>
      <c r="T12" t="e">
        <f t="shared" ca="1" si="9"/>
        <v>#NAME?</v>
      </c>
      <c r="U12">
        <f t="shared" si="10"/>
        <v>960</v>
      </c>
      <c r="V12" t="e">
        <f ca="1">_xll.RtGet("IDN","1S960S8","PRIMACT_1")/100</f>
        <v>#NAME?</v>
      </c>
      <c r="W12" t="e">
        <f t="shared" ca="1" si="11"/>
        <v>#NAME?</v>
      </c>
    </row>
    <row r="13" spans="1:23" x14ac:dyDescent="0.25">
      <c r="A13" t="e">
        <f ca="1">_xll.RtGet("IDN","1S1030K0","PRIMACT_1")/100</f>
        <v>#NAME?</v>
      </c>
      <c r="B13" t="e">
        <f t="shared" ca="1" si="1"/>
        <v>#NAME?</v>
      </c>
      <c r="C13">
        <f t="shared" si="2"/>
        <v>1030</v>
      </c>
      <c r="D13" t="e">
        <f ca="1">_xll.RtGet("IDN","1S1030K0","PRIMACT_1")/100</f>
        <v>#NAME?</v>
      </c>
      <c r="E13" t="e">
        <f t="shared" ca="1" si="3"/>
        <v>#NAME?</v>
      </c>
      <c r="G13" t="e">
        <f ca="1">_xll.RtGet("IDN","1S930C8","PRIMACT_1")/100</f>
        <v>#NAME?</v>
      </c>
      <c r="H13" t="e">
        <f t="shared" ca="1" si="4"/>
        <v>#NAME?</v>
      </c>
      <c r="I13">
        <f t="shared" si="5"/>
        <v>930</v>
      </c>
      <c r="J13" t="e">
        <f ca="1">_xll.RtGet("IDN","1S930O8","PRIMACT_1")/100</f>
        <v>#NAME?</v>
      </c>
      <c r="K13" t="e">
        <f t="shared" ca="1" si="0"/>
        <v>#NAME?</v>
      </c>
      <c r="M13" t="e">
        <f ca="1">_xll.RtGet("IDN","1S1000E8","PRIMACT_1")/100</f>
        <v>#NAME?</v>
      </c>
      <c r="N13" t="e">
        <f t="shared" ca="1" si="6"/>
        <v>#NAME?</v>
      </c>
      <c r="O13">
        <f t="shared" si="7"/>
        <v>1000</v>
      </c>
      <c r="P13" t="e">
        <f ca="1">_xll.RtGet("IDN","1S1000Q8","PRIMACT_1")/100</f>
        <v>#NAME?</v>
      </c>
      <c r="Q13" t="e">
        <f t="shared" ca="1" si="8"/>
        <v>#NAME?</v>
      </c>
      <c r="S13" t="e">
        <f ca="1">_xll.RtGet("IDN","1S980G8","PRIMACT_1")/100</f>
        <v>#NAME?</v>
      </c>
      <c r="T13" t="e">
        <f t="shared" ca="1" si="9"/>
        <v>#NAME?</v>
      </c>
      <c r="U13">
        <f t="shared" si="10"/>
        <v>980</v>
      </c>
      <c r="V13" t="e">
        <f ca="1">_xll.RtGet("IDN","1S980S8","PRIMACT_1")/100</f>
        <v>#NAME?</v>
      </c>
      <c r="W13" t="e">
        <f t="shared" ca="1" si="11"/>
        <v>#NAME?</v>
      </c>
    </row>
    <row r="14" spans="1:23" x14ac:dyDescent="0.25">
      <c r="A14" t="e">
        <f ca="1">_xll.RtGet("IDN","1S1040K0","PRIMACT_1")/100</f>
        <v>#NAME?</v>
      </c>
      <c r="B14" t="e">
        <f t="shared" ca="1" si="1"/>
        <v>#NAME?</v>
      </c>
      <c r="C14">
        <f t="shared" si="2"/>
        <v>1040</v>
      </c>
      <c r="D14" t="e">
        <f ca="1">_xll.RtGet("IDN","1S1040K0","PRIMACT_1")/100</f>
        <v>#NAME?</v>
      </c>
      <c r="E14" t="e">
        <f t="shared" ca="1" si="3"/>
        <v>#NAME?</v>
      </c>
      <c r="G14" t="e">
        <f ca="1">_xll.RtGet("IDN","1S940C8","PRIMACT_1")/100</f>
        <v>#NAME?</v>
      </c>
      <c r="H14" t="e">
        <f t="shared" ca="1" si="4"/>
        <v>#NAME?</v>
      </c>
      <c r="I14">
        <f t="shared" si="5"/>
        <v>940</v>
      </c>
      <c r="J14" t="e">
        <f ca="1">_xll.RtGet("IDN","1S940O8","PRIMACT_1")/100</f>
        <v>#NAME?</v>
      </c>
      <c r="K14" t="e">
        <f t="shared" ca="1" si="0"/>
        <v>#NAME?</v>
      </c>
      <c r="M14" t="e">
        <f ca="1">_xll.RtGet("IDN","1S1020E8","PRIMACT_1")/100</f>
        <v>#NAME?</v>
      </c>
      <c r="N14" t="e">
        <f t="shared" ca="1" si="6"/>
        <v>#NAME?</v>
      </c>
      <c r="O14">
        <f t="shared" si="7"/>
        <v>1020</v>
      </c>
      <c r="P14" t="e">
        <f ca="1">_xll.RtGet("IDN","1S1020Q8","PRIMACT_1")/100</f>
        <v>#NAME?</v>
      </c>
      <c r="Q14" t="e">
        <f t="shared" ca="1" si="8"/>
        <v>#NAME?</v>
      </c>
      <c r="S14" t="e">
        <f ca="1">_xll.RtGet("IDN","1S1000G8","PRIMACT_1")/100</f>
        <v>#NAME?</v>
      </c>
      <c r="T14" t="e">
        <f t="shared" ca="1" si="9"/>
        <v>#NAME?</v>
      </c>
      <c r="U14">
        <f t="shared" si="10"/>
        <v>1000</v>
      </c>
      <c r="V14" t="e">
        <f ca="1">_xll.RtGet("IDN","1S1000S8","PRIMACT_1")/100</f>
        <v>#NAME?</v>
      </c>
      <c r="W14" t="e">
        <f t="shared" ca="1" si="11"/>
        <v>#NAME?</v>
      </c>
    </row>
    <row r="15" spans="1:23" x14ac:dyDescent="0.25">
      <c r="A15" t="e">
        <f ca="1">_xll.RtGet("IDN","1S1050K0","PRIMACT_1")/100</f>
        <v>#NAME?</v>
      </c>
      <c r="B15" t="e">
        <f t="shared" ca="1" si="1"/>
        <v>#NAME?</v>
      </c>
      <c r="C15">
        <f t="shared" si="2"/>
        <v>1050</v>
      </c>
      <c r="D15" t="e">
        <f ca="1">_xll.RtGet("IDN","1S1050K0","PRIMACT_1")/100</f>
        <v>#NAME?</v>
      </c>
      <c r="E15" t="e">
        <f t="shared" ca="1" si="3"/>
        <v>#NAME?</v>
      </c>
      <c r="G15" t="e">
        <f ca="1">_xll.RtGet("IDN","1S950C8","PRIMACT_1")/100</f>
        <v>#NAME?</v>
      </c>
      <c r="H15" t="e">
        <f t="shared" ca="1" si="4"/>
        <v>#NAME?</v>
      </c>
      <c r="I15">
        <f t="shared" si="5"/>
        <v>950</v>
      </c>
      <c r="J15" t="e">
        <f ca="1">_xll.RtGet("IDN","1S950O8","PRIMACT_1")/100</f>
        <v>#NAME?</v>
      </c>
      <c r="K15" t="e">
        <f t="shared" ca="1" si="0"/>
        <v>#NAME?</v>
      </c>
      <c r="M15" t="e">
        <f ca="1">_xll.RtGet("IDN","1S1040E8","PRIMACT_1")/100</f>
        <v>#NAME?</v>
      </c>
      <c r="N15" t="e">
        <f t="shared" ca="1" si="6"/>
        <v>#NAME?</v>
      </c>
      <c r="O15">
        <f t="shared" si="7"/>
        <v>1040</v>
      </c>
      <c r="P15" t="e">
        <f ca="1">_xll.RtGet("IDN","1S1040Q8","PRIMACT_1")/100</f>
        <v>#NAME?</v>
      </c>
      <c r="Q15" t="e">
        <f t="shared" ca="1" si="8"/>
        <v>#NAME?</v>
      </c>
      <c r="S15" t="e">
        <f ca="1">_xll.RtGet("IDN","1S1020G8","PRIMACT_1")/100</f>
        <v>#NAME?</v>
      </c>
      <c r="T15" t="e">
        <f t="shared" ca="1" si="9"/>
        <v>#NAME?</v>
      </c>
      <c r="U15">
        <f t="shared" si="10"/>
        <v>1020</v>
      </c>
      <c r="V15" t="e">
        <f ca="1">_xll.RtGet("IDN","1S1020S8","PRIMACT_1")/100</f>
        <v>#NAME?</v>
      </c>
      <c r="W15" t="e">
        <f t="shared" ca="1" si="11"/>
        <v>#NAME?</v>
      </c>
    </row>
    <row r="16" spans="1:23" x14ac:dyDescent="0.25">
      <c r="A16" t="e">
        <f ca="1">_xll.RtGet("IDN","1S1060K0","PRIMACT_1")/100</f>
        <v>#NAME?</v>
      </c>
      <c r="B16" t="e">
        <f t="shared" ca="1" si="1"/>
        <v>#NAME?</v>
      </c>
      <c r="C16">
        <f t="shared" si="2"/>
        <v>1060</v>
      </c>
      <c r="D16" t="e">
        <f ca="1">_xll.RtGet("IDN","1S1060K0","PRIMACT_1")/100</f>
        <v>#NAME?</v>
      </c>
      <c r="E16" t="e">
        <f t="shared" ca="1" si="3"/>
        <v>#NAME?</v>
      </c>
      <c r="G16" t="e">
        <f ca="1">_xll.RtGet("IDN","1S960C8","PRIMACT_1")/100</f>
        <v>#NAME?</v>
      </c>
      <c r="H16" t="e">
        <f t="shared" ca="1" si="4"/>
        <v>#NAME?</v>
      </c>
      <c r="I16">
        <f t="shared" si="5"/>
        <v>960</v>
      </c>
      <c r="J16" t="e">
        <f ca="1">_xll.RtGet("IDN","1S960O8","PRIMACT_1")/100</f>
        <v>#NAME?</v>
      </c>
      <c r="K16" t="e">
        <f t="shared" ca="1" si="0"/>
        <v>#NAME?</v>
      </c>
      <c r="M16" t="e">
        <f ca="1">_xll.RtGet("IDN","1S1060E8","PRIMACT_1")/100</f>
        <v>#NAME?</v>
      </c>
      <c r="N16" t="e">
        <f t="shared" ca="1" si="6"/>
        <v>#NAME?</v>
      </c>
      <c r="O16">
        <f t="shared" si="7"/>
        <v>1060</v>
      </c>
      <c r="P16" t="e">
        <f ca="1">_xll.RtGet("IDN","1S1060Q8","PRIMACT_1")/100</f>
        <v>#NAME?</v>
      </c>
      <c r="Q16" t="e">
        <f t="shared" ca="1" si="8"/>
        <v>#NAME?</v>
      </c>
      <c r="S16" t="e">
        <f ca="1">_xll.RtGet("IDN","1S1040G8","PRIMACT_1")/100</f>
        <v>#NAME?</v>
      </c>
      <c r="T16" t="e">
        <f t="shared" ca="1" si="9"/>
        <v>#NAME?</v>
      </c>
      <c r="U16">
        <f t="shared" si="10"/>
        <v>1040</v>
      </c>
      <c r="V16" t="e">
        <f ca="1">_xll.RtGet("IDN","1S1040S8","PRIMACT_1")/100</f>
        <v>#NAME?</v>
      </c>
      <c r="W16" t="e">
        <f t="shared" ca="1" si="11"/>
        <v>#NAME?</v>
      </c>
    </row>
    <row r="17" spans="1:23" x14ac:dyDescent="0.25">
      <c r="A17" t="e">
        <f ca="1">_xll.RtGet("IDN","1S1070K0","PRIMACT_1")/100</f>
        <v>#NAME?</v>
      </c>
      <c r="B17" t="e">
        <f t="shared" ca="1" si="1"/>
        <v>#NAME?</v>
      </c>
      <c r="C17">
        <f t="shared" si="2"/>
        <v>1070</v>
      </c>
      <c r="D17" t="e">
        <f ca="1">_xll.RtGet("IDN","1S1070K0","PRIMACT_1")/100</f>
        <v>#NAME?</v>
      </c>
      <c r="E17" t="e">
        <f t="shared" ca="1" si="3"/>
        <v>#NAME?</v>
      </c>
      <c r="G17" t="e">
        <f ca="1">_xll.RtGet("IDN","1S970C8","PRIMACT_1")/100</f>
        <v>#NAME?</v>
      </c>
      <c r="H17" t="e">
        <f t="shared" ca="1" si="4"/>
        <v>#NAME?</v>
      </c>
      <c r="I17">
        <f t="shared" si="5"/>
        <v>970</v>
      </c>
      <c r="J17" t="e">
        <f ca="1">_xll.RtGet("IDN","1S970O8","PRIMACT_1")/100</f>
        <v>#NAME?</v>
      </c>
      <c r="K17" t="e">
        <f t="shared" ca="1" si="0"/>
        <v>#NAME?</v>
      </c>
      <c r="M17" t="e">
        <f ca="1">_xll.RtGet("IDN","1S1080E8","PRIMACT_1")/100</f>
        <v>#NAME?</v>
      </c>
      <c r="N17" t="e">
        <f t="shared" ca="1" si="6"/>
        <v>#NAME?</v>
      </c>
      <c r="O17">
        <f t="shared" si="7"/>
        <v>1080</v>
      </c>
      <c r="P17" t="e">
        <f ca="1">_xll.RtGet("IDN","1S1080Q8","PRIMACT_1")/100</f>
        <v>#NAME?</v>
      </c>
      <c r="Q17" t="e">
        <f t="shared" ca="1" si="8"/>
        <v>#NAME?</v>
      </c>
      <c r="S17" t="e">
        <f ca="1">_xll.RtGet("IDN","1S1060G8","PRIMACT_1")/100</f>
        <v>#NAME?</v>
      </c>
      <c r="T17" t="e">
        <f t="shared" ca="1" si="9"/>
        <v>#NAME?</v>
      </c>
      <c r="U17">
        <f t="shared" si="10"/>
        <v>1060</v>
      </c>
      <c r="V17" t="e">
        <f ca="1">_xll.RtGet("IDN","1S1060S8","PRIMACT_1")/100</f>
        <v>#NAME?</v>
      </c>
      <c r="W17" t="e">
        <f t="shared" ca="1" si="11"/>
        <v>#NAME?</v>
      </c>
    </row>
    <row r="18" spans="1:23" x14ac:dyDescent="0.25">
      <c r="A18" t="e">
        <f ca="1">_xll.RtGet("IDN","1S1080K0","PRIMACT_1")/100</f>
        <v>#NAME?</v>
      </c>
      <c r="B18" t="e">
        <f t="shared" ca="1" si="1"/>
        <v>#NAME?</v>
      </c>
      <c r="C18">
        <f t="shared" si="2"/>
        <v>1080</v>
      </c>
      <c r="D18" t="e">
        <f ca="1">_xll.RtGet("IDN","1S1080K0","PRIMACT_1")/100</f>
        <v>#NAME?</v>
      </c>
      <c r="E18" t="e">
        <f t="shared" ca="1" si="3"/>
        <v>#NAME?</v>
      </c>
      <c r="G18" t="e">
        <f ca="1">_xll.RtGet("IDN","1S980C8","PRIMACT_1")/100</f>
        <v>#NAME?</v>
      </c>
      <c r="H18" t="e">
        <f t="shared" ca="1" si="4"/>
        <v>#NAME?</v>
      </c>
      <c r="I18">
        <f t="shared" si="5"/>
        <v>980</v>
      </c>
      <c r="J18" t="e">
        <f ca="1">_xll.RtGet("IDN","1S980O8","PRIMACT_1")/100</f>
        <v>#NAME?</v>
      </c>
      <c r="K18" t="e">
        <f t="shared" ca="1" si="0"/>
        <v>#NAME?</v>
      </c>
      <c r="M18" t="e">
        <f ca="1">_xll.RtGet("IDN","1S1100E8","PRIMACT_1")/100</f>
        <v>#NAME?</v>
      </c>
      <c r="N18" t="e">
        <f t="shared" ca="1" si="6"/>
        <v>#NAME?</v>
      </c>
      <c r="O18">
        <f t="shared" si="7"/>
        <v>1100</v>
      </c>
      <c r="P18" t="e">
        <f ca="1">_xll.RtGet("IDN","1S1100Q8","PRIMACT_1")/100</f>
        <v>#NAME?</v>
      </c>
      <c r="Q18" t="e">
        <f t="shared" ca="1" si="8"/>
        <v>#NAME?</v>
      </c>
      <c r="S18" t="e">
        <f ca="1">_xll.RtGet("IDN","1S1080G8","PRIMACT_1")/100</f>
        <v>#NAME?</v>
      </c>
      <c r="T18" t="e">
        <f t="shared" ca="1" si="9"/>
        <v>#NAME?</v>
      </c>
      <c r="U18">
        <f t="shared" si="10"/>
        <v>1080</v>
      </c>
      <c r="V18" t="e">
        <f ca="1">_xll.RtGet("IDN","1S1080S8","PRIMACT_1")/100</f>
        <v>#NAME?</v>
      </c>
      <c r="W18" t="e">
        <f t="shared" ca="1" si="11"/>
        <v>#NAME?</v>
      </c>
    </row>
    <row r="19" spans="1:23" x14ac:dyDescent="0.25">
      <c r="D19" t="e">
        <f ca="1">_xll.RtGet("IDN","1S1090K0","PRIMACT_1")/100</f>
        <v>#NAME?</v>
      </c>
      <c r="G19" t="e">
        <f ca="1">_xll.RtGet("IDN","1S990C8","PRIMACT_1")/100</f>
        <v>#NAME?</v>
      </c>
      <c r="H19" t="e">
        <f t="shared" ca="1" si="4"/>
        <v>#NAME?</v>
      </c>
      <c r="I19">
        <f t="shared" si="5"/>
        <v>990</v>
      </c>
      <c r="J19" t="e">
        <f ca="1">_xll.RtGet("IDN","1S990O8","PRIMACT_1")/100</f>
        <v>#NAME?</v>
      </c>
      <c r="K19" t="e">
        <f t="shared" ca="1" si="0"/>
        <v>#NAME?</v>
      </c>
      <c r="M19" t="e">
        <f ca="1">_xll.RtGet("IDN","1S1120E8","PRIMACT_1")/100</f>
        <v>#NAME?</v>
      </c>
      <c r="N19" t="e">
        <f t="shared" ca="1" si="6"/>
        <v>#NAME?</v>
      </c>
      <c r="O19">
        <f t="shared" si="7"/>
        <v>1120</v>
      </c>
      <c r="P19" t="e">
        <f ca="1">_xll.RtGet("IDN","1S1120Q8","PRIMACT_1")/100</f>
        <v>#NAME?</v>
      </c>
      <c r="Q19" t="e">
        <f t="shared" ca="1" si="8"/>
        <v>#NAME?</v>
      </c>
      <c r="S19" t="e">
        <f ca="1">_xll.RtGet("IDN","1S1100G8","PRIMACT_1")/100</f>
        <v>#NAME?</v>
      </c>
      <c r="T19" t="e">
        <f t="shared" ca="1" si="9"/>
        <v>#NAME?</v>
      </c>
      <c r="U19">
        <f t="shared" si="10"/>
        <v>1100</v>
      </c>
      <c r="V19" t="e">
        <f ca="1">_xll.RtGet("IDN","1S1100S8","PRIMACT_1")/100</f>
        <v>#NAME?</v>
      </c>
      <c r="W19" t="e">
        <f t="shared" ca="1" si="11"/>
        <v>#NAME?</v>
      </c>
    </row>
    <row r="20" spans="1:23" x14ac:dyDescent="0.25">
      <c r="G20" t="e">
        <f ca="1">_xll.RtGet("IDN","1S1000C8","PRIMACT_1")/100</f>
        <v>#NAME?</v>
      </c>
      <c r="H20" t="e">
        <f t="shared" ca="1" si="4"/>
        <v>#NAME?</v>
      </c>
      <c r="I20">
        <f t="shared" si="5"/>
        <v>1000</v>
      </c>
      <c r="J20" t="e">
        <f ca="1">_xll.RtGet("IDN","1S1000O8","PRIMACT_1")/100</f>
        <v>#NAME?</v>
      </c>
      <c r="K20" t="e">
        <f t="shared" ca="1" si="0"/>
        <v>#NAME?</v>
      </c>
      <c r="M20" t="e">
        <f ca="1">_xll.RtGet("IDN","1S1140E8","PRIMACT_1")/100</f>
        <v>#NAME?</v>
      </c>
      <c r="N20" t="e">
        <f t="shared" ca="1" si="6"/>
        <v>#NAME?</v>
      </c>
      <c r="O20">
        <f t="shared" si="7"/>
        <v>1140</v>
      </c>
      <c r="P20" t="e">
        <f ca="1">_xll.RtGet("IDN","1S1140Q8","PRIMACT_1")/100</f>
        <v>#NAME?</v>
      </c>
      <c r="Q20" t="e">
        <f t="shared" ca="1" si="8"/>
        <v>#NAME?</v>
      </c>
      <c r="S20" t="e">
        <f ca="1">_xll.RtGet("IDN","1S1120G8","PRIMACT_1")/100</f>
        <v>#NAME?</v>
      </c>
      <c r="T20" t="e">
        <f t="shared" ca="1" si="9"/>
        <v>#NAME?</v>
      </c>
      <c r="U20">
        <f t="shared" si="10"/>
        <v>1120</v>
      </c>
      <c r="V20" t="e">
        <f ca="1">_xll.RtGet("IDN","1S1120S8","PRIMACT_1")/100</f>
        <v>#NAME?</v>
      </c>
      <c r="W20" t="e">
        <f t="shared" ca="1" si="11"/>
        <v>#NAME?</v>
      </c>
    </row>
    <row r="21" spans="1:23" x14ac:dyDescent="0.25">
      <c r="B21" t="s">
        <v>7</v>
      </c>
      <c r="C21" t="s">
        <v>8</v>
      </c>
      <c r="D21" t="s">
        <v>9</v>
      </c>
      <c r="E21" t="s">
        <v>10</v>
      </c>
      <c r="G21" t="e">
        <f ca="1">_xll.RtGet("IDN","1S1010C8","PRIMACT_1")/100</f>
        <v>#NAME?</v>
      </c>
      <c r="H21" t="e">
        <f t="shared" ca="1" si="4"/>
        <v>#NAME?</v>
      </c>
      <c r="I21">
        <f t="shared" si="5"/>
        <v>1010</v>
      </c>
      <c r="J21" t="e">
        <f ca="1">_xll.RtGet("IDN","1S1010O8","PRIMACT_1")/100</f>
        <v>#NAME?</v>
      </c>
      <c r="K21" t="e">
        <f t="shared" ca="1" si="0"/>
        <v>#NAME?</v>
      </c>
      <c r="M21" t="e">
        <f ca="1">_xll.RtGet("IDN","1S1160E8","PRIMACT_1")/100</f>
        <v>#NAME?</v>
      </c>
      <c r="N21" t="e">
        <f t="shared" ca="1" si="6"/>
        <v>#NAME?</v>
      </c>
      <c r="O21">
        <f t="shared" si="7"/>
        <v>1160</v>
      </c>
      <c r="P21" t="e">
        <f ca="1">_xll.RtGet("IDN","1S1160Q8","PRIMACT_1")/100</f>
        <v>#NAME?</v>
      </c>
      <c r="Q21" t="e">
        <f t="shared" ca="1" si="8"/>
        <v>#NAME?</v>
      </c>
      <c r="S21" t="e">
        <f ca="1">_xll.RtGet("IDN","1S1140G8","PRIMACT_1")/100</f>
        <v>#NAME?</v>
      </c>
      <c r="T21" t="e">
        <f t="shared" ca="1" si="9"/>
        <v>#NAME?</v>
      </c>
      <c r="U21">
        <f t="shared" si="10"/>
        <v>1140</v>
      </c>
      <c r="V21" t="e">
        <f ca="1">_xll.RtGet("IDN","1S1140S8","PRIMACT_1")/100</f>
        <v>#NAME?</v>
      </c>
      <c r="W21" t="e">
        <f t="shared" ca="1" si="11"/>
        <v>#NAME?</v>
      </c>
    </row>
    <row r="22" spans="1:23" x14ac:dyDescent="0.25">
      <c r="A22" s="4">
        <v>9</v>
      </c>
      <c r="B22" t="e">
        <f t="shared" ref="B22:B36" ca="1" si="12">IF(100-(D22+C22)&gt;0,100-(D22+C22),0)</f>
        <v>#NAME?</v>
      </c>
      <c r="C22" t="e">
        <f t="shared" ref="C22:C36" ca="1" si="13">100-(((B4-A4)/0.1)*100)</f>
        <v>#NAME?</v>
      </c>
      <c r="D22" t="e">
        <f t="shared" ref="D22:D36" ca="1" si="14">100-(((E4-D4)/0.1)*100)</f>
        <v>#NAME?</v>
      </c>
      <c r="E22">
        <v>1.25</v>
      </c>
      <c r="G22" t="e">
        <f ca="1">_xll.RtGet("IDN","1S1020C8","PRIMACT_1")/100</f>
        <v>#NAME?</v>
      </c>
      <c r="H22" t="e">
        <f t="shared" ca="1" si="4"/>
        <v>#NAME?</v>
      </c>
      <c r="I22">
        <f t="shared" si="5"/>
        <v>1020</v>
      </c>
      <c r="J22" t="e">
        <f ca="1">_xll.RtGet("IDN","1S1020O8","PRIMACT_1")/100</f>
        <v>#NAME?</v>
      </c>
      <c r="K22" t="e">
        <f t="shared" ca="1" si="0"/>
        <v>#NAME?</v>
      </c>
      <c r="M22" t="e">
        <f ca="1">_xll.RtGet("IDN","1S1180E8","PRIMACT_1")/100</f>
        <v>#NAME?</v>
      </c>
      <c r="N22" t="e">
        <f t="shared" ca="1" si="6"/>
        <v>#NAME?</v>
      </c>
      <c r="O22">
        <f t="shared" si="7"/>
        <v>1180</v>
      </c>
      <c r="P22" t="e">
        <f ca="1">_xll.RtGet("IDN","1S1800Q8","PRIMACT_1")/100</f>
        <v>#NAME?</v>
      </c>
      <c r="S22" t="e">
        <f ca="1">_xll.RtGet("IDN","1S1160G8","PRIMACT_1")/100</f>
        <v>#NAME?</v>
      </c>
      <c r="T22" t="e">
        <f t="shared" ca="1" si="9"/>
        <v>#NAME?</v>
      </c>
      <c r="U22">
        <f t="shared" si="10"/>
        <v>1160</v>
      </c>
      <c r="V22" t="e">
        <f ca="1">_xll.RtGet("IDN","1S1160S8","PRIMACT_1")/100</f>
        <v>#NAME?</v>
      </c>
      <c r="W22" t="e">
        <f t="shared" ca="1" si="11"/>
        <v>#NAME?</v>
      </c>
    </row>
    <row r="23" spans="1:23" x14ac:dyDescent="0.25">
      <c r="A23" s="4">
        <f t="shared" ref="A23:A42" si="15">A22+0.1</f>
        <v>9.1</v>
      </c>
      <c r="B23" t="e">
        <f t="shared" ca="1" si="12"/>
        <v>#NAME?</v>
      </c>
      <c r="C23" t="e">
        <f t="shared" ca="1" si="13"/>
        <v>#NAME?</v>
      </c>
      <c r="D23" t="e">
        <f t="shared" ca="1" si="14"/>
        <v>#NAME?</v>
      </c>
      <c r="E23">
        <v>2.5</v>
      </c>
      <c r="G23" t="e">
        <f ca="1">_xll.RtGet("IDN","1S1030C8","PRIMACT_1")/100</f>
        <v>#NAME?</v>
      </c>
      <c r="H23" t="e">
        <f t="shared" ca="1" si="4"/>
        <v>#NAME?</v>
      </c>
      <c r="I23">
        <f t="shared" si="5"/>
        <v>1030</v>
      </c>
      <c r="J23" t="e">
        <f ca="1">_xll.RtGet("IDN","1S1030O8","PRIMACT_1")/100</f>
        <v>#NAME?</v>
      </c>
      <c r="K23" t="e">
        <f t="shared" ca="1" si="0"/>
        <v>#NAME?</v>
      </c>
      <c r="S23" t="e">
        <f ca="1">_xll.RtGet("IDN","1S1180G8","PRIMACT_1")/100</f>
        <v>#NAME?</v>
      </c>
      <c r="T23" t="e">
        <f t="shared" ca="1" si="9"/>
        <v>#NAME?</v>
      </c>
      <c r="U23">
        <f t="shared" si="10"/>
        <v>1180</v>
      </c>
      <c r="V23" t="e">
        <f ca="1">_xll.RtGet("IDN","1S1180S8","PRIMACT_1")/100</f>
        <v>#NAME?</v>
      </c>
      <c r="W23" t="e">
        <f t="shared" ca="1" si="11"/>
        <v>#NAME?</v>
      </c>
    </row>
    <row r="24" spans="1:23" x14ac:dyDescent="0.25">
      <c r="A24" s="4">
        <f t="shared" si="15"/>
        <v>9.1999999999999993</v>
      </c>
      <c r="B24" t="e">
        <f t="shared" ca="1" si="12"/>
        <v>#NAME?</v>
      </c>
      <c r="C24" t="e">
        <f t="shared" ca="1" si="13"/>
        <v>#NAME?</v>
      </c>
      <c r="D24" t="e">
        <f t="shared" ca="1" si="14"/>
        <v>#NAME?</v>
      </c>
      <c r="E24">
        <v>5</v>
      </c>
      <c r="G24" t="e">
        <f ca="1">_xll.RtGet("IDN","1S1040C8","PRIMACT_1")/100</f>
        <v>#NAME?</v>
      </c>
      <c r="H24" t="e">
        <f t="shared" ca="1" si="4"/>
        <v>#NAME?</v>
      </c>
      <c r="I24">
        <f t="shared" si="5"/>
        <v>1040</v>
      </c>
      <c r="J24" t="e">
        <f ca="1">_xll.RtGet("IDN","1S1040O8","PRIMACT_1")/100</f>
        <v>#NAME?</v>
      </c>
      <c r="K24" t="e">
        <f t="shared" ca="1" si="0"/>
        <v>#NAME?</v>
      </c>
      <c r="S24" t="e">
        <f ca="1">_xll.RtGet("IDN","1S1200G8","PRIMACT_1")/100</f>
        <v>#NAME?</v>
      </c>
      <c r="T24" t="e">
        <f t="shared" ca="1" si="9"/>
        <v>#NAME?</v>
      </c>
      <c r="U24">
        <f t="shared" si="10"/>
        <v>1200</v>
      </c>
      <c r="V24" t="e">
        <f ca="1">_xll.RtGet("IDN","1S1200S8","PRIMACT_1")/100</f>
        <v>#NAME?</v>
      </c>
      <c r="W24" t="e">
        <f t="shared" ca="1" si="11"/>
        <v>#NAME?</v>
      </c>
    </row>
    <row r="25" spans="1:23" x14ac:dyDescent="0.25">
      <c r="A25" s="4">
        <f t="shared" si="15"/>
        <v>9.2999999999999989</v>
      </c>
      <c r="B25" t="e">
        <f t="shared" ca="1" si="12"/>
        <v>#NAME?</v>
      </c>
      <c r="C25" t="e">
        <f t="shared" ca="1" si="13"/>
        <v>#NAME?</v>
      </c>
      <c r="D25" t="e">
        <f t="shared" ca="1" si="14"/>
        <v>#NAME?</v>
      </c>
      <c r="E25">
        <v>7.5</v>
      </c>
      <c r="G25" t="e">
        <f ca="1">_xll.RtGet("IDN","1S1050C8","PRIMACT_1")/100</f>
        <v>#NAME?</v>
      </c>
      <c r="H25" t="e">
        <f t="shared" ca="1" si="4"/>
        <v>#NAME?</v>
      </c>
      <c r="I25">
        <f t="shared" si="5"/>
        <v>1050</v>
      </c>
      <c r="J25" t="e">
        <f ca="1">_xll.RtGet("IDN","1S1050O8","PRIMACT_1")/100</f>
        <v>#NAME?</v>
      </c>
      <c r="K25" t="e">
        <f t="shared" ca="1" si="0"/>
        <v>#NAME?</v>
      </c>
      <c r="S25" t="e">
        <f ca="1">_xll.RtGet("IDN","1S1210G8","PRIMACT_1")/100</f>
        <v>#NAME?</v>
      </c>
      <c r="T25" t="e">
        <f t="shared" ca="1" si="9"/>
        <v>#NAME?</v>
      </c>
      <c r="U25">
        <f t="shared" si="10"/>
        <v>1220</v>
      </c>
      <c r="V25" t="e">
        <f ca="1">_xll.RtGet("IDN","1S1220S8","PRIMACT_1")/100</f>
        <v>#NAME?</v>
      </c>
    </row>
    <row r="26" spans="1:23" x14ac:dyDescent="0.25">
      <c r="A26" s="4">
        <f t="shared" si="15"/>
        <v>9.3999999999999986</v>
      </c>
      <c r="B26" t="e">
        <f t="shared" ca="1" si="12"/>
        <v>#NAME?</v>
      </c>
      <c r="C26" t="e">
        <f t="shared" ca="1" si="13"/>
        <v>#NAME?</v>
      </c>
      <c r="D26" t="e">
        <f t="shared" ca="1" si="14"/>
        <v>#NAME?</v>
      </c>
      <c r="E26">
        <v>25</v>
      </c>
      <c r="J26" t="e">
        <f ca="1">_xll.RtGet("IDN","1S1060O8","PRIMACT_1")/100</f>
        <v>#NAME?</v>
      </c>
    </row>
    <row r="27" spans="1:23" x14ac:dyDescent="0.25">
      <c r="A27" s="4">
        <f t="shared" si="15"/>
        <v>9.4999999999999982</v>
      </c>
      <c r="B27" t="e">
        <f t="shared" ca="1" si="12"/>
        <v>#NAME?</v>
      </c>
      <c r="C27" t="e">
        <f t="shared" ca="1" si="13"/>
        <v>#NAME?</v>
      </c>
      <c r="D27" t="e">
        <f t="shared" ca="1" si="14"/>
        <v>#NAME?</v>
      </c>
      <c r="E27">
        <v>30</v>
      </c>
    </row>
    <row r="28" spans="1:23" x14ac:dyDescent="0.25">
      <c r="A28" s="4">
        <f t="shared" si="15"/>
        <v>9.5999999999999979</v>
      </c>
      <c r="B28" t="e">
        <f t="shared" ca="1" si="12"/>
        <v>#NAME?</v>
      </c>
      <c r="C28" t="e">
        <f t="shared" ca="1" si="13"/>
        <v>#NAME?</v>
      </c>
      <c r="D28" t="e">
        <f t="shared" ca="1" si="14"/>
        <v>#NAME?</v>
      </c>
      <c r="E28">
        <v>25</v>
      </c>
      <c r="H28" t="s">
        <v>7</v>
      </c>
      <c r="I28" t="s">
        <v>8</v>
      </c>
      <c r="J28" t="s">
        <v>9</v>
      </c>
      <c r="K28" t="s">
        <v>10</v>
      </c>
      <c r="N28" t="s">
        <v>7</v>
      </c>
      <c r="O28" t="s">
        <v>8</v>
      </c>
      <c r="P28" t="s">
        <v>9</v>
      </c>
      <c r="Q28" t="s">
        <v>10</v>
      </c>
      <c r="T28" t="s">
        <v>7</v>
      </c>
      <c r="U28" t="s">
        <v>8</v>
      </c>
      <c r="V28" t="s">
        <v>9</v>
      </c>
      <c r="W28" t="s">
        <v>10</v>
      </c>
    </row>
    <row r="29" spans="1:23" x14ac:dyDescent="0.25">
      <c r="A29" s="4">
        <f t="shared" si="15"/>
        <v>9.6999999999999975</v>
      </c>
      <c r="B29" t="e">
        <f t="shared" ca="1" si="12"/>
        <v>#NAME?</v>
      </c>
      <c r="C29" t="e">
        <f t="shared" ca="1" si="13"/>
        <v>#NAME?</v>
      </c>
      <c r="D29" t="e">
        <f t="shared" ca="1" si="14"/>
        <v>#NAME?</v>
      </c>
      <c r="E29">
        <v>2.5</v>
      </c>
      <c r="G29" s="4"/>
      <c r="M29" s="4"/>
      <c r="S29" s="4"/>
    </row>
    <row r="30" spans="1:23" x14ac:dyDescent="0.25">
      <c r="A30" s="4">
        <f t="shared" si="15"/>
        <v>9.7999999999999972</v>
      </c>
      <c r="B30" t="e">
        <f t="shared" ca="1" si="12"/>
        <v>#NAME?</v>
      </c>
      <c r="C30" t="e">
        <f t="shared" ca="1" si="13"/>
        <v>#NAME?</v>
      </c>
      <c r="D30" t="e">
        <f t="shared" ca="1" si="14"/>
        <v>#NAME?</v>
      </c>
      <c r="E30">
        <v>1.25</v>
      </c>
      <c r="G30" s="4">
        <v>8.4</v>
      </c>
      <c r="H30" t="e">
        <f t="shared" ref="H30:H51" ca="1" si="16">IF(100-(J30+I30)&gt;0,100-(J30+I30),0)</f>
        <v>#NAME?</v>
      </c>
      <c r="I30" t="e">
        <f t="shared" ref="I30:I51" ca="1" si="17">100-(((H4-G4)/0.1)*100)</f>
        <v>#NAME?</v>
      </c>
      <c r="J30" t="e">
        <f t="shared" ref="J30:J51" ca="1" si="18">100-(((K4-J4)/0.1)*100)</f>
        <v>#NAME?</v>
      </c>
      <c r="K30">
        <v>0</v>
      </c>
      <c r="M30" s="4">
        <f t="shared" ref="M30:M47" si="19">O4/100</f>
        <v>8.1999999999999993</v>
      </c>
      <c r="N30" t="e">
        <f t="shared" ref="N30:N47" ca="1" si="20">IF(100-(P30+O30)&gt;0,100-(P30+O30),0)</f>
        <v>#NAME?</v>
      </c>
      <c r="O30" t="e">
        <f t="shared" ref="O30:O47" ca="1" si="21">100-(((N4-M4)/0.2)*100)</f>
        <v>#NAME?</v>
      </c>
      <c r="P30" t="e">
        <f t="shared" ref="P30:P47" ca="1" si="22">100-(((Q4-P4)/0.2)*100)</f>
        <v>#NAME?</v>
      </c>
      <c r="Q30">
        <v>0</v>
      </c>
      <c r="S30" s="4">
        <f t="shared" ref="S30:S50" si="23">U4/100</f>
        <v>8</v>
      </c>
      <c r="T30" t="e">
        <f t="shared" ref="T30:T50" ca="1" si="24">IF(100-(V30+U30)&gt;0,100-(V30+U30),0)</f>
        <v>#NAME?</v>
      </c>
      <c r="U30" t="e">
        <f t="shared" ref="U30:U50" ca="1" si="25">100-(((T4-S4)/0.2)*100)</f>
        <v>#NAME?</v>
      </c>
      <c r="V30" t="e">
        <f t="shared" ref="V30:V50" ca="1" si="26">100-(((W4-V4)/0.2)*100)</f>
        <v>#NAME?</v>
      </c>
      <c r="W30">
        <v>0</v>
      </c>
    </row>
    <row r="31" spans="1:23" x14ac:dyDescent="0.25">
      <c r="A31" s="4">
        <f t="shared" si="15"/>
        <v>9.8999999999999968</v>
      </c>
      <c r="B31" t="e">
        <f t="shared" ca="1" si="12"/>
        <v>#NAME?</v>
      </c>
      <c r="C31" t="e">
        <f t="shared" ca="1" si="13"/>
        <v>#NAME?</v>
      </c>
      <c r="D31" t="e">
        <f t="shared" ca="1" si="14"/>
        <v>#NAME?</v>
      </c>
      <c r="E31">
        <v>0</v>
      </c>
      <c r="G31" s="4">
        <v>8.5</v>
      </c>
      <c r="H31" t="e">
        <f t="shared" ca="1" si="16"/>
        <v>#NAME?</v>
      </c>
      <c r="I31" t="e">
        <f t="shared" ca="1" si="17"/>
        <v>#NAME?</v>
      </c>
      <c r="J31" t="e">
        <f t="shared" ca="1" si="18"/>
        <v>#NAME?</v>
      </c>
      <c r="K31">
        <v>0</v>
      </c>
      <c r="M31" s="4">
        <f t="shared" si="19"/>
        <v>8.4</v>
      </c>
      <c r="N31" t="e">
        <f t="shared" ca="1" si="20"/>
        <v>#NAME?</v>
      </c>
      <c r="O31" t="e">
        <f t="shared" ca="1" si="21"/>
        <v>#NAME?</v>
      </c>
      <c r="P31" t="e">
        <f t="shared" ca="1" si="22"/>
        <v>#NAME?</v>
      </c>
      <c r="Q31">
        <v>0</v>
      </c>
      <c r="S31" s="4">
        <f t="shared" si="23"/>
        <v>8.1999999999999993</v>
      </c>
      <c r="T31" t="e">
        <f t="shared" ca="1" si="24"/>
        <v>#NAME?</v>
      </c>
      <c r="U31" t="e">
        <f t="shared" ca="1" si="25"/>
        <v>#NAME?</v>
      </c>
      <c r="V31" t="e">
        <f t="shared" ca="1" si="26"/>
        <v>#NAME?</v>
      </c>
      <c r="W31">
        <v>0</v>
      </c>
    </row>
    <row r="32" spans="1:23" x14ac:dyDescent="0.25">
      <c r="A32" s="4">
        <f t="shared" si="15"/>
        <v>9.9999999999999964</v>
      </c>
      <c r="B32" t="e">
        <f t="shared" ca="1" si="12"/>
        <v>#NAME?</v>
      </c>
      <c r="C32" t="e">
        <f t="shared" ca="1" si="13"/>
        <v>#NAME?</v>
      </c>
      <c r="D32" t="e">
        <f t="shared" ca="1" si="14"/>
        <v>#NAME?</v>
      </c>
      <c r="E32">
        <v>0</v>
      </c>
      <c r="G32" s="4">
        <v>8.6</v>
      </c>
      <c r="H32" t="e">
        <f t="shared" ca="1" si="16"/>
        <v>#NAME?</v>
      </c>
      <c r="I32" t="e">
        <f t="shared" ca="1" si="17"/>
        <v>#NAME?</v>
      </c>
      <c r="J32" t="e">
        <f t="shared" ca="1" si="18"/>
        <v>#NAME?</v>
      </c>
      <c r="K32">
        <v>0</v>
      </c>
      <c r="M32" s="4">
        <f t="shared" si="19"/>
        <v>8.6</v>
      </c>
      <c r="N32" t="e">
        <f t="shared" ca="1" si="20"/>
        <v>#NAME?</v>
      </c>
      <c r="O32" t="e">
        <f t="shared" ca="1" si="21"/>
        <v>#NAME?</v>
      </c>
      <c r="P32" t="e">
        <f t="shared" ca="1" si="22"/>
        <v>#NAME?</v>
      </c>
      <c r="Q32">
        <v>1.25</v>
      </c>
      <c r="S32" s="4">
        <f t="shared" si="23"/>
        <v>8.4</v>
      </c>
      <c r="T32" t="e">
        <f t="shared" ca="1" si="24"/>
        <v>#NAME?</v>
      </c>
      <c r="U32" t="e">
        <f t="shared" ca="1" si="25"/>
        <v>#NAME?</v>
      </c>
      <c r="V32" t="e">
        <f t="shared" ca="1" si="26"/>
        <v>#NAME?</v>
      </c>
      <c r="W32">
        <v>3.75</v>
      </c>
    </row>
    <row r="33" spans="1:23" x14ac:dyDescent="0.25">
      <c r="A33" s="4">
        <f t="shared" si="15"/>
        <v>10.099999999999996</v>
      </c>
      <c r="B33" t="e">
        <f t="shared" ca="1" si="12"/>
        <v>#NAME?</v>
      </c>
      <c r="C33" t="e">
        <f t="shared" ca="1" si="13"/>
        <v>#NAME?</v>
      </c>
      <c r="D33" t="e">
        <f t="shared" ca="1" si="14"/>
        <v>#NAME?</v>
      </c>
      <c r="E33">
        <v>0</v>
      </c>
      <c r="G33" s="4">
        <v>8.6999999999999993</v>
      </c>
      <c r="H33" t="e">
        <f t="shared" ca="1" si="16"/>
        <v>#NAME?</v>
      </c>
      <c r="I33" t="e">
        <f t="shared" ca="1" si="17"/>
        <v>#NAME?</v>
      </c>
      <c r="J33" t="e">
        <f t="shared" ca="1" si="18"/>
        <v>#NAME?</v>
      </c>
      <c r="K33">
        <v>0</v>
      </c>
      <c r="M33" s="4">
        <f t="shared" si="19"/>
        <v>8.8000000000000007</v>
      </c>
      <c r="N33" t="e">
        <f t="shared" ca="1" si="20"/>
        <v>#NAME?</v>
      </c>
      <c r="O33" t="e">
        <f t="shared" ca="1" si="21"/>
        <v>#NAME?</v>
      </c>
      <c r="P33" t="e">
        <f t="shared" ca="1" si="22"/>
        <v>#NAME?</v>
      </c>
      <c r="Q33">
        <v>7.5</v>
      </c>
      <c r="S33" s="4">
        <f t="shared" si="23"/>
        <v>8.6</v>
      </c>
      <c r="T33" t="e">
        <f t="shared" ca="1" si="24"/>
        <v>#NAME?</v>
      </c>
      <c r="U33" t="e">
        <f t="shared" ca="1" si="25"/>
        <v>#NAME?</v>
      </c>
      <c r="V33" t="e">
        <f t="shared" ca="1" si="26"/>
        <v>#NAME?</v>
      </c>
      <c r="W33">
        <v>5</v>
      </c>
    </row>
    <row r="34" spans="1:23" x14ac:dyDescent="0.25">
      <c r="A34" s="4">
        <f t="shared" si="15"/>
        <v>10.199999999999996</v>
      </c>
      <c r="B34" t="e">
        <f t="shared" ca="1" si="12"/>
        <v>#NAME?</v>
      </c>
      <c r="C34" t="e">
        <f t="shared" ca="1" si="13"/>
        <v>#NAME?</v>
      </c>
      <c r="D34" t="e">
        <f t="shared" ca="1" si="14"/>
        <v>#NAME?</v>
      </c>
      <c r="E34">
        <v>0</v>
      </c>
      <c r="G34" s="4">
        <v>8.8000000000000007</v>
      </c>
      <c r="H34" t="e">
        <f t="shared" ca="1" si="16"/>
        <v>#NAME?</v>
      </c>
      <c r="I34" t="e">
        <f t="shared" ca="1" si="17"/>
        <v>#NAME?</v>
      </c>
      <c r="J34" t="e">
        <f t="shared" ca="1" si="18"/>
        <v>#NAME?</v>
      </c>
      <c r="K34">
        <v>0</v>
      </c>
      <c r="M34" s="4">
        <f t="shared" si="19"/>
        <v>9</v>
      </c>
      <c r="N34" t="e">
        <f t="shared" ca="1" si="20"/>
        <v>#NAME?</v>
      </c>
      <c r="O34" t="e">
        <f t="shared" ca="1" si="21"/>
        <v>#NAME?</v>
      </c>
      <c r="P34" t="e">
        <f t="shared" ca="1" si="22"/>
        <v>#NAME?</v>
      </c>
      <c r="Q34">
        <v>12.5</v>
      </c>
      <c r="S34" s="4">
        <f t="shared" si="23"/>
        <v>8.8000000000000007</v>
      </c>
      <c r="T34" t="e">
        <f t="shared" ca="1" si="24"/>
        <v>#NAME?</v>
      </c>
      <c r="U34" t="e">
        <f t="shared" ca="1" si="25"/>
        <v>#NAME?</v>
      </c>
      <c r="V34" t="e">
        <f t="shared" ca="1" si="26"/>
        <v>#NAME?</v>
      </c>
      <c r="W34">
        <v>15</v>
      </c>
    </row>
    <row r="35" spans="1:23" x14ac:dyDescent="0.25">
      <c r="A35" s="4">
        <f t="shared" si="15"/>
        <v>10.299999999999995</v>
      </c>
      <c r="B35" t="e">
        <f t="shared" ca="1" si="12"/>
        <v>#NAME?</v>
      </c>
      <c r="C35" t="e">
        <f t="shared" ca="1" si="13"/>
        <v>#NAME?</v>
      </c>
      <c r="D35" t="e">
        <f t="shared" ca="1" si="14"/>
        <v>#NAME?</v>
      </c>
      <c r="E35">
        <v>0</v>
      </c>
      <c r="G35" s="4">
        <v>8.9</v>
      </c>
      <c r="H35" t="e">
        <f t="shared" ca="1" si="16"/>
        <v>#NAME?</v>
      </c>
      <c r="I35" t="e">
        <f t="shared" ca="1" si="17"/>
        <v>#NAME?</v>
      </c>
      <c r="J35" t="e">
        <f t="shared" ca="1" si="18"/>
        <v>#NAME?</v>
      </c>
      <c r="K35">
        <v>0</v>
      </c>
      <c r="M35" s="4">
        <f t="shared" si="19"/>
        <v>9.1999999999999993</v>
      </c>
      <c r="N35" t="e">
        <f t="shared" ca="1" si="20"/>
        <v>#NAME?</v>
      </c>
      <c r="O35" t="e">
        <f t="shared" ca="1" si="21"/>
        <v>#NAME?</v>
      </c>
      <c r="P35" t="e">
        <f t="shared" ca="1" si="22"/>
        <v>#NAME?</v>
      </c>
      <c r="Q35">
        <v>22.5</v>
      </c>
      <c r="S35" s="4">
        <f t="shared" si="23"/>
        <v>9</v>
      </c>
      <c r="T35" t="e">
        <f t="shared" ca="1" si="24"/>
        <v>#NAME?</v>
      </c>
      <c r="U35" t="e">
        <f t="shared" ca="1" si="25"/>
        <v>#NAME?</v>
      </c>
      <c r="V35" t="e">
        <f t="shared" ca="1" si="26"/>
        <v>#NAME?</v>
      </c>
      <c r="W35">
        <v>25</v>
      </c>
    </row>
    <row r="36" spans="1:23" x14ac:dyDescent="0.25">
      <c r="A36" s="4">
        <f t="shared" si="15"/>
        <v>10.399999999999995</v>
      </c>
      <c r="B36" t="e">
        <f t="shared" ca="1" si="12"/>
        <v>#NAME?</v>
      </c>
      <c r="C36" t="e">
        <f t="shared" ca="1" si="13"/>
        <v>#NAME?</v>
      </c>
      <c r="D36" t="e">
        <f t="shared" ca="1" si="14"/>
        <v>#NAME?</v>
      </c>
      <c r="E36">
        <v>0</v>
      </c>
      <c r="G36" s="4">
        <v>9</v>
      </c>
      <c r="H36" t="e">
        <f t="shared" ca="1" si="16"/>
        <v>#NAME?</v>
      </c>
      <c r="I36" t="e">
        <f t="shared" ca="1" si="17"/>
        <v>#NAME?</v>
      </c>
      <c r="J36" t="e">
        <f t="shared" ca="1" si="18"/>
        <v>#NAME?</v>
      </c>
      <c r="K36">
        <v>1.25</v>
      </c>
      <c r="M36" s="4">
        <f t="shared" si="19"/>
        <v>9.4</v>
      </c>
      <c r="N36" t="e">
        <f t="shared" ca="1" si="20"/>
        <v>#NAME?</v>
      </c>
      <c r="O36" t="e">
        <f t="shared" ca="1" si="21"/>
        <v>#NAME?</v>
      </c>
      <c r="P36" t="e">
        <f t="shared" ca="1" si="22"/>
        <v>#NAME?</v>
      </c>
      <c r="Q36">
        <v>25.5</v>
      </c>
      <c r="S36" s="4">
        <f t="shared" si="23"/>
        <v>9.1999999999999993</v>
      </c>
      <c r="T36" t="e">
        <f t="shared" ca="1" si="24"/>
        <v>#NAME?</v>
      </c>
      <c r="U36" t="e">
        <f t="shared" ca="1" si="25"/>
        <v>#NAME?</v>
      </c>
      <c r="V36" t="e">
        <f t="shared" ca="1" si="26"/>
        <v>#NAME?</v>
      </c>
      <c r="W36">
        <v>25</v>
      </c>
    </row>
    <row r="37" spans="1:23" x14ac:dyDescent="0.25">
      <c r="A37" s="4">
        <f t="shared" si="15"/>
        <v>10.499999999999995</v>
      </c>
      <c r="B37" t="e">
        <f ca="1">SUM(B22:B36)</f>
        <v>#NAME?</v>
      </c>
      <c r="E37">
        <f>SUM(E22:E36)</f>
        <v>100</v>
      </c>
      <c r="G37" s="4">
        <v>9.1</v>
      </c>
      <c r="H37" t="e">
        <f t="shared" ca="1" si="16"/>
        <v>#NAME?</v>
      </c>
      <c r="I37" t="e">
        <f t="shared" ca="1" si="17"/>
        <v>#NAME?</v>
      </c>
      <c r="J37" t="e">
        <f t="shared" ca="1" si="18"/>
        <v>#NAME?</v>
      </c>
      <c r="K37">
        <v>2.5</v>
      </c>
      <c r="M37" s="4">
        <f t="shared" si="19"/>
        <v>9.6</v>
      </c>
      <c r="N37" t="e">
        <f t="shared" ca="1" si="20"/>
        <v>#NAME?</v>
      </c>
      <c r="O37" t="e">
        <f t="shared" ca="1" si="21"/>
        <v>#NAME?</v>
      </c>
      <c r="P37" t="e">
        <f t="shared" ca="1" si="22"/>
        <v>#NAME?</v>
      </c>
      <c r="Q37">
        <v>22.5</v>
      </c>
      <c r="S37" s="4">
        <f t="shared" si="23"/>
        <v>9.4</v>
      </c>
      <c r="T37" t="e">
        <f t="shared" ca="1" si="24"/>
        <v>#NAME?</v>
      </c>
      <c r="U37" t="e">
        <f t="shared" ca="1" si="25"/>
        <v>#NAME?</v>
      </c>
      <c r="V37" t="e">
        <f t="shared" ca="1" si="26"/>
        <v>#NAME?</v>
      </c>
      <c r="W37">
        <v>15</v>
      </c>
    </row>
    <row r="38" spans="1:23" x14ac:dyDescent="0.25">
      <c r="A38" s="4">
        <f t="shared" si="15"/>
        <v>10.599999999999994</v>
      </c>
      <c r="G38" s="4">
        <v>9.1999999999999993</v>
      </c>
      <c r="H38" t="e">
        <f t="shared" ca="1" si="16"/>
        <v>#NAME?</v>
      </c>
      <c r="I38" t="e">
        <f t="shared" ca="1" si="17"/>
        <v>#NAME?</v>
      </c>
      <c r="J38" t="e">
        <f t="shared" ca="1" si="18"/>
        <v>#NAME?</v>
      </c>
      <c r="K38">
        <v>7.5</v>
      </c>
      <c r="M38" s="4">
        <f t="shared" si="19"/>
        <v>9.8000000000000007</v>
      </c>
      <c r="N38" t="e">
        <f t="shared" ca="1" si="20"/>
        <v>#NAME?</v>
      </c>
      <c r="O38" t="e">
        <f t="shared" ca="1" si="21"/>
        <v>#NAME?</v>
      </c>
      <c r="P38" t="e">
        <f t="shared" ca="1" si="22"/>
        <v>#NAME?</v>
      </c>
      <c r="Q38">
        <v>7.5</v>
      </c>
      <c r="S38" s="4">
        <f t="shared" si="23"/>
        <v>9.6</v>
      </c>
      <c r="T38" t="e">
        <f t="shared" ca="1" si="24"/>
        <v>#NAME?</v>
      </c>
      <c r="U38" t="e">
        <f t="shared" ca="1" si="25"/>
        <v>#NAME?</v>
      </c>
      <c r="V38" t="e">
        <f t="shared" ca="1" si="26"/>
        <v>#NAME?</v>
      </c>
      <c r="W38">
        <v>5</v>
      </c>
    </row>
    <row r="39" spans="1:23" x14ac:dyDescent="0.25">
      <c r="A39" s="4">
        <f t="shared" si="15"/>
        <v>10.699999999999994</v>
      </c>
      <c r="G39" s="5">
        <v>9.3000000000000007</v>
      </c>
      <c r="H39" t="e">
        <f t="shared" ca="1" si="16"/>
        <v>#NAME?</v>
      </c>
      <c r="I39" t="e">
        <f t="shared" ca="1" si="17"/>
        <v>#NAME?</v>
      </c>
      <c r="J39" t="e">
        <f t="shared" ca="1" si="18"/>
        <v>#NAME?</v>
      </c>
      <c r="K39">
        <v>15</v>
      </c>
      <c r="M39" s="4">
        <f t="shared" si="19"/>
        <v>10</v>
      </c>
      <c r="N39" t="e">
        <f t="shared" ca="1" si="20"/>
        <v>#NAME?</v>
      </c>
      <c r="O39" t="e">
        <f t="shared" ca="1" si="21"/>
        <v>#NAME?</v>
      </c>
      <c r="P39" t="e">
        <f t="shared" ca="1" si="22"/>
        <v>#NAME?</v>
      </c>
      <c r="Q39">
        <v>0.75</v>
      </c>
      <c r="S39" s="4">
        <f t="shared" si="23"/>
        <v>9.8000000000000007</v>
      </c>
      <c r="T39" t="e">
        <f t="shared" ca="1" si="24"/>
        <v>#NAME?</v>
      </c>
      <c r="U39" t="e">
        <f t="shared" ca="1" si="25"/>
        <v>#NAME?</v>
      </c>
      <c r="V39" t="e">
        <f t="shared" ca="1" si="26"/>
        <v>#NAME?</v>
      </c>
      <c r="W39">
        <v>3.75</v>
      </c>
    </row>
    <row r="40" spans="1:23" x14ac:dyDescent="0.25">
      <c r="A40" s="4">
        <f t="shared" si="15"/>
        <v>10.799999999999994</v>
      </c>
      <c r="G40" s="4">
        <v>9.4</v>
      </c>
      <c r="H40" t="e">
        <f t="shared" ca="1" si="16"/>
        <v>#NAME?</v>
      </c>
      <c r="I40" t="e">
        <f t="shared" ca="1" si="17"/>
        <v>#NAME?</v>
      </c>
      <c r="J40" t="e">
        <f t="shared" ca="1" si="18"/>
        <v>#NAME?</v>
      </c>
      <c r="K40">
        <v>25</v>
      </c>
      <c r="M40" s="4">
        <f t="shared" si="19"/>
        <v>10.199999999999999</v>
      </c>
      <c r="N40" t="e">
        <f t="shared" ca="1" si="20"/>
        <v>#NAME?</v>
      </c>
      <c r="O40" t="e">
        <f t="shared" ca="1" si="21"/>
        <v>#NAME?</v>
      </c>
      <c r="P40" t="e">
        <f t="shared" ca="1" si="22"/>
        <v>#NAME?</v>
      </c>
      <c r="Q40">
        <v>0</v>
      </c>
      <c r="S40" s="4">
        <f t="shared" si="23"/>
        <v>10</v>
      </c>
      <c r="T40" t="e">
        <f t="shared" ca="1" si="24"/>
        <v>#NAME?</v>
      </c>
      <c r="U40" t="e">
        <f t="shared" ca="1" si="25"/>
        <v>#NAME?</v>
      </c>
      <c r="V40" t="e">
        <f t="shared" ca="1" si="26"/>
        <v>#NAME?</v>
      </c>
      <c r="W40">
        <v>2.5</v>
      </c>
    </row>
    <row r="41" spans="1:23" x14ac:dyDescent="0.25">
      <c r="A41" s="4">
        <f t="shared" si="15"/>
        <v>10.899999999999993</v>
      </c>
      <c r="G41" s="4">
        <v>9.5</v>
      </c>
      <c r="H41" t="e">
        <f t="shared" ca="1" si="16"/>
        <v>#NAME?</v>
      </c>
      <c r="I41" t="e">
        <f t="shared" ca="1" si="17"/>
        <v>#NAME?</v>
      </c>
      <c r="J41" t="e">
        <f t="shared" ca="1" si="18"/>
        <v>#NAME?</v>
      </c>
      <c r="K41">
        <v>25</v>
      </c>
      <c r="M41" s="4">
        <f t="shared" si="19"/>
        <v>10.4</v>
      </c>
      <c r="N41" t="e">
        <f t="shared" ca="1" si="20"/>
        <v>#NAME?</v>
      </c>
      <c r="O41" t="e">
        <f t="shared" ca="1" si="21"/>
        <v>#NAME?</v>
      </c>
      <c r="P41" t="e">
        <f t="shared" ca="1" si="22"/>
        <v>#NAME?</v>
      </c>
      <c r="Q41">
        <v>0</v>
      </c>
      <c r="S41" s="4">
        <f t="shared" si="23"/>
        <v>10.199999999999999</v>
      </c>
      <c r="T41" t="e">
        <f t="shared" ca="1" si="24"/>
        <v>#NAME?</v>
      </c>
      <c r="U41" t="e">
        <f t="shared" ca="1" si="25"/>
        <v>#NAME?</v>
      </c>
      <c r="V41" t="e">
        <f t="shared" ca="1" si="26"/>
        <v>#NAME?</v>
      </c>
      <c r="W41">
        <v>0</v>
      </c>
    </row>
    <row r="42" spans="1:23" x14ac:dyDescent="0.25">
      <c r="A42" s="4">
        <f t="shared" si="15"/>
        <v>10.999999999999993</v>
      </c>
      <c r="G42" s="4">
        <v>9.6</v>
      </c>
      <c r="H42" t="e">
        <f t="shared" ca="1" si="16"/>
        <v>#NAME?</v>
      </c>
      <c r="I42" t="e">
        <f t="shared" ca="1" si="17"/>
        <v>#NAME?</v>
      </c>
      <c r="J42" t="e">
        <f t="shared" ca="1" si="18"/>
        <v>#NAME?</v>
      </c>
      <c r="K42">
        <v>15</v>
      </c>
      <c r="M42" s="4">
        <f t="shared" si="19"/>
        <v>10.6</v>
      </c>
      <c r="N42" t="e">
        <f t="shared" ca="1" si="20"/>
        <v>#NAME?</v>
      </c>
      <c r="O42" t="e">
        <f t="shared" ca="1" si="21"/>
        <v>#NAME?</v>
      </c>
      <c r="P42" t="e">
        <f t="shared" ca="1" si="22"/>
        <v>#NAME?</v>
      </c>
      <c r="Q42">
        <v>0</v>
      </c>
      <c r="S42" s="4">
        <f t="shared" si="23"/>
        <v>10.4</v>
      </c>
      <c r="T42" t="e">
        <f t="shared" ca="1" si="24"/>
        <v>#NAME?</v>
      </c>
      <c r="U42" t="e">
        <f t="shared" ca="1" si="25"/>
        <v>#NAME?</v>
      </c>
      <c r="V42" t="e">
        <f t="shared" ca="1" si="26"/>
        <v>#NAME?</v>
      </c>
      <c r="W42">
        <v>0</v>
      </c>
    </row>
    <row r="43" spans="1:23" x14ac:dyDescent="0.25">
      <c r="G43" s="4">
        <v>9.6999999999999993</v>
      </c>
      <c r="H43" t="e">
        <f t="shared" ca="1" si="16"/>
        <v>#NAME?</v>
      </c>
      <c r="I43" t="e">
        <f t="shared" ca="1" si="17"/>
        <v>#NAME?</v>
      </c>
      <c r="J43" t="e">
        <f t="shared" ca="1" si="18"/>
        <v>#NAME?</v>
      </c>
      <c r="K43">
        <v>7.5</v>
      </c>
      <c r="M43" s="4">
        <f t="shared" si="19"/>
        <v>10.8</v>
      </c>
      <c r="N43" t="e">
        <f t="shared" ca="1" si="20"/>
        <v>#NAME?</v>
      </c>
      <c r="O43" t="e">
        <f t="shared" ca="1" si="21"/>
        <v>#NAME?</v>
      </c>
      <c r="P43" t="e">
        <f t="shared" ca="1" si="22"/>
        <v>#NAME?</v>
      </c>
      <c r="Q43">
        <v>0</v>
      </c>
      <c r="S43" s="4">
        <f t="shared" si="23"/>
        <v>10.6</v>
      </c>
      <c r="T43" t="e">
        <f t="shared" ca="1" si="24"/>
        <v>#NAME?</v>
      </c>
      <c r="U43" t="e">
        <f t="shared" ca="1" si="25"/>
        <v>#NAME?</v>
      </c>
      <c r="V43" t="e">
        <f t="shared" ca="1" si="26"/>
        <v>#NAME?</v>
      </c>
      <c r="W43">
        <v>0</v>
      </c>
    </row>
    <row r="44" spans="1:23" x14ac:dyDescent="0.25">
      <c r="G44" s="4">
        <v>9.8000000000000007</v>
      </c>
      <c r="H44" t="e">
        <f t="shared" ca="1" si="16"/>
        <v>#NAME?</v>
      </c>
      <c r="I44" t="e">
        <f t="shared" ca="1" si="17"/>
        <v>#NAME?</v>
      </c>
      <c r="J44" t="e">
        <f t="shared" ca="1" si="18"/>
        <v>#NAME?</v>
      </c>
      <c r="K44">
        <v>1.25</v>
      </c>
      <c r="M44" s="4">
        <f t="shared" si="19"/>
        <v>11</v>
      </c>
      <c r="N44" t="e">
        <f t="shared" ca="1" si="20"/>
        <v>#NAME?</v>
      </c>
      <c r="O44" t="e">
        <f t="shared" ca="1" si="21"/>
        <v>#NAME?</v>
      </c>
      <c r="P44" t="e">
        <f t="shared" ca="1" si="22"/>
        <v>#NAME?</v>
      </c>
      <c r="Q44">
        <v>0</v>
      </c>
      <c r="S44" s="4">
        <f t="shared" si="23"/>
        <v>10.8</v>
      </c>
      <c r="T44" t="e">
        <f t="shared" ca="1" si="24"/>
        <v>#NAME?</v>
      </c>
      <c r="U44" t="e">
        <f t="shared" ca="1" si="25"/>
        <v>#NAME?</v>
      </c>
      <c r="V44" t="e">
        <f t="shared" ca="1" si="26"/>
        <v>#NAME?</v>
      </c>
      <c r="W44">
        <v>0</v>
      </c>
    </row>
    <row r="45" spans="1:23" x14ac:dyDescent="0.25">
      <c r="G45" s="4">
        <v>9.9</v>
      </c>
      <c r="H45" t="e">
        <f t="shared" ca="1" si="16"/>
        <v>#NAME?</v>
      </c>
      <c r="I45" t="e">
        <f t="shared" ca="1" si="17"/>
        <v>#NAME?</v>
      </c>
      <c r="J45" t="e">
        <f t="shared" ca="1" si="18"/>
        <v>#NAME?</v>
      </c>
      <c r="K45">
        <v>1.25</v>
      </c>
      <c r="M45" s="4">
        <f t="shared" si="19"/>
        <v>11.2</v>
      </c>
      <c r="N45" t="e">
        <f t="shared" ca="1" si="20"/>
        <v>#NAME?</v>
      </c>
      <c r="O45" t="e">
        <f t="shared" ca="1" si="21"/>
        <v>#NAME?</v>
      </c>
      <c r="P45" t="e">
        <f t="shared" ca="1" si="22"/>
        <v>#NAME?</v>
      </c>
      <c r="Q45">
        <v>0</v>
      </c>
      <c r="S45" s="4">
        <f t="shared" si="23"/>
        <v>11</v>
      </c>
      <c r="T45" t="e">
        <f t="shared" ca="1" si="24"/>
        <v>#NAME?</v>
      </c>
      <c r="U45" t="e">
        <f t="shared" ca="1" si="25"/>
        <v>#NAME?</v>
      </c>
      <c r="V45" t="e">
        <f t="shared" ca="1" si="26"/>
        <v>#NAME?</v>
      </c>
      <c r="W45">
        <v>0</v>
      </c>
    </row>
    <row r="46" spans="1:23" x14ac:dyDescent="0.25">
      <c r="G46" s="4">
        <v>10</v>
      </c>
      <c r="H46" t="e">
        <f t="shared" ca="1" si="16"/>
        <v>#NAME?</v>
      </c>
      <c r="I46" t="e">
        <f t="shared" ca="1" si="17"/>
        <v>#NAME?</v>
      </c>
      <c r="J46" t="e">
        <f t="shared" ca="1" si="18"/>
        <v>#NAME?</v>
      </c>
      <c r="K46">
        <v>0</v>
      </c>
      <c r="M46" s="4">
        <f t="shared" si="19"/>
        <v>11.4</v>
      </c>
      <c r="N46" t="e">
        <f t="shared" ca="1" si="20"/>
        <v>#NAME?</v>
      </c>
      <c r="O46" t="e">
        <f t="shared" ca="1" si="21"/>
        <v>#NAME?</v>
      </c>
      <c r="P46" t="e">
        <f t="shared" ca="1" si="22"/>
        <v>#NAME?</v>
      </c>
      <c r="Q46">
        <v>0</v>
      </c>
      <c r="S46" s="4">
        <f t="shared" si="23"/>
        <v>11.2</v>
      </c>
      <c r="T46" t="e">
        <f t="shared" ca="1" si="24"/>
        <v>#NAME?</v>
      </c>
      <c r="U46" t="e">
        <f t="shared" ca="1" si="25"/>
        <v>#NAME?</v>
      </c>
      <c r="V46" t="e">
        <f t="shared" ca="1" si="26"/>
        <v>#NAME?</v>
      </c>
      <c r="W46">
        <v>0</v>
      </c>
    </row>
    <row r="47" spans="1:23" x14ac:dyDescent="0.25">
      <c r="B47" t="s">
        <v>11</v>
      </c>
      <c r="C47" t="s">
        <v>12</v>
      </c>
      <c r="G47" s="4">
        <v>10.1</v>
      </c>
      <c r="H47" t="e">
        <f t="shared" ca="1" si="16"/>
        <v>#NAME?</v>
      </c>
      <c r="I47" t="e">
        <f t="shared" ca="1" si="17"/>
        <v>#NAME?</v>
      </c>
      <c r="J47" t="e">
        <f t="shared" ca="1" si="18"/>
        <v>#NAME?</v>
      </c>
      <c r="K47">
        <v>0</v>
      </c>
      <c r="M47" s="4">
        <f t="shared" si="19"/>
        <v>11.6</v>
      </c>
      <c r="N47" t="e">
        <f t="shared" ca="1" si="20"/>
        <v>#NAME?</v>
      </c>
      <c r="O47" t="e">
        <f t="shared" ca="1" si="21"/>
        <v>#NAME?</v>
      </c>
      <c r="P47" t="e">
        <f t="shared" ca="1" si="22"/>
        <v>#NAME?</v>
      </c>
      <c r="Q47">
        <v>0</v>
      </c>
      <c r="S47" s="4">
        <f t="shared" si="23"/>
        <v>11.4</v>
      </c>
      <c r="T47" t="e">
        <f t="shared" ca="1" si="24"/>
        <v>#NAME?</v>
      </c>
      <c r="U47" t="e">
        <f t="shared" ca="1" si="25"/>
        <v>#NAME?</v>
      </c>
      <c r="V47" t="e">
        <f t="shared" ca="1" si="26"/>
        <v>#NAME?</v>
      </c>
      <c r="W47">
        <v>0</v>
      </c>
    </row>
    <row r="48" spans="1:23" x14ac:dyDescent="0.25">
      <c r="A48" s="4">
        <v>9</v>
      </c>
      <c r="B48">
        <v>0.98970000000000002</v>
      </c>
      <c r="C48">
        <v>-2.7E-2</v>
      </c>
      <c r="G48" s="4">
        <v>10.199999999999999</v>
      </c>
      <c r="H48" t="e">
        <f t="shared" ca="1" si="16"/>
        <v>#NAME?</v>
      </c>
      <c r="I48" t="e">
        <f t="shared" ca="1" si="17"/>
        <v>#NAME?</v>
      </c>
      <c r="J48" t="e">
        <f t="shared" ca="1" si="18"/>
        <v>#NAME?</v>
      </c>
      <c r="K48">
        <v>0</v>
      </c>
      <c r="M48" s="4"/>
      <c r="S48" s="4">
        <f t="shared" si="23"/>
        <v>11.6</v>
      </c>
      <c r="T48" t="e">
        <f t="shared" ca="1" si="24"/>
        <v>#NAME?</v>
      </c>
      <c r="U48" t="e">
        <f t="shared" ca="1" si="25"/>
        <v>#NAME?</v>
      </c>
      <c r="V48" t="e">
        <f t="shared" ca="1" si="26"/>
        <v>#NAME?</v>
      </c>
      <c r="W48">
        <v>0</v>
      </c>
    </row>
    <row r="49" spans="1:23" x14ac:dyDescent="0.25">
      <c r="A49" s="4">
        <f t="shared" ref="A49:A63" si="27">A48+0.2</f>
        <v>9.1999999999999993</v>
      </c>
      <c r="B49">
        <v>0.98050000000000004</v>
      </c>
      <c r="D49" s="6">
        <f t="shared" ref="D49:D63" si="28">B48-B49</f>
        <v>9.199999999999986E-3</v>
      </c>
      <c r="E49" s="7">
        <v>5.0000000000000001E-3</v>
      </c>
      <c r="G49" s="4">
        <v>10.3</v>
      </c>
      <c r="H49" t="e">
        <f t="shared" ca="1" si="16"/>
        <v>#NAME?</v>
      </c>
      <c r="I49" t="e">
        <f t="shared" ca="1" si="17"/>
        <v>#NAME?</v>
      </c>
      <c r="J49" t="e">
        <f t="shared" ca="1" si="18"/>
        <v>#NAME?</v>
      </c>
      <c r="K49">
        <v>0</v>
      </c>
      <c r="M49" s="4"/>
      <c r="N49" t="e">
        <f ca="1">SUM(N30:N47)</f>
        <v>#NAME?</v>
      </c>
      <c r="Q49">
        <f>SUM(Q30:Q47)</f>
        <v>100</v>
      </c>
      <c r="S49" s="4">
        <f t="shared" si="23"/>
        <v>11.8</v>
      </c>
      <c r="T49" t="e">
        <f t="shared" ca="1" si="24"/>
        <v>#NAME?</v>
      </c>
      <c r="U49" t="e">
        <f t="shared" ca="1" si="25"/>
        <v>#NAME?</v>
      </c>
      <c r="V49" t="e">
        <f t="shared" ca="1" si="26"/>
        <v>#NAME?</v>
      </c>
      <c r="W49">
        <v>0</v>
      </c>
    </row>
    <row r="50" spans="1:23" x14ac:dyDescent="0.25">
      <c r="A50" s="4">
        <f t="shared" si="27"/>
        <v>9.3999999999999986</v>
      </c>
      <c r="B50">
        <v>0.96689999999999998</v>
      </c>
      <c r="D50" s="6">
        <f t="shared" si="28"/>
        <v>1.3600000000000056E-2</v>
      </c>
      <c r="E50" s="7">
        <v>7.4999999999999997E-3</v>
      </c>
      <c r="G50" s="4">
        <v>10.4</v>
      </c>
      <c r="H50" t="e">
        <f t="shared" ca="1" si="16"/>
        <v>#NAME?</v>
      </c>
      <c r="I50" t="e">
        <f t="shared" ca="1" si="17"/>
        <v>#NAME?</v>
      </c>
      <c r="J50" t="e">
        <f t="shared" ca="1" si="18"/>
        <v>#NAME?</v>
      </c>
      <c r="K50">
        <v>0</v>
      </c>
      <c r="M50" s="4"/>
      <c r="S50" s="4">
        <f t="shared" si="23"/>
        <v>12</v>
      </c>
      <c r="T50" t="e">
        <f t="shared" ca="1" si="24"/>
        <v>#NAME?</v>
      </c>
      <c r="U50" t="e">
        <f t="shared" ca="1" si="25"/>
        <v>#NAME?</v>
      </c>
      <c r="V50" t="e">
        <f t="shared" ca="1" si="26"/>
        <v>#NAME?</v>
      </c>
      <c r="W50">
        <v>0</v>
      </c>
    </row>
    <row r="51" spans="1:23" x14ac:dyDescent="0.25">
      <c r="A51" s="4">
        <f t="shared" si="27"/>
        <v>9.5999999999999979</v>
      </c>
      <c r="B51">
        <v>0.94640000000000002</v>
      </c>
      <c r="D51" s="6">
        <f t="shared" si="28"/>
        <v>2.0499999999999963E-2</v>
      </c>
      <c r="E51" s="7">
        <v>1.2500000000000001E-2</v>
      </c>
      <c r="G51" s="4">
        <v>10.5</v>
      </c>
      <c r="H51" t="e">
        <f t="shared" ca="1" si="16"/>
        <v>#NAME?</v>
      </c>
      <c r="I51" t="e">
        <f t="shared" ca="1" si="17"/>
        <v>#NAME?</v>
      </c>
      <c r="J51" t="e">
        <f t="shared" ca="1" si="18"/>
        <v>#NAME?</v>
      </c>
      <c r="K51">
        <v>0</v>
      </c>
      <c r="M51" s="4"/>
    </row>
    <row r="52" spans="1:23" x14ac:dyDescent="0.25">
      <c r="A52" s="4">
        <f t="shared" si="27"/>
        <v>9.7999999999999972</v>
      </c>
      <c r="B52">
        <v>0.93683187850747518</v>
      </c>
      <c r="D52" s="6">
        <f t="shared" si="28"/>
        <v>9.5681214925248392E-3</v>
      </c>
      <c r="E52" s="7">
        <v>0.03</v>
      </c>
      <c r="G52" s="4"/>
      <c r="H52" t="e">
        <f ca="1">SUM(H29:H51)</f>
        <v>#NAME?</v>
      </c>
      <c r="K52">
        <f>SUM(K37:K51)</f>
        <v>100</v>
      </c>
      <c r="M52" s="4"/>
    </row>
    <row r="53" spans="1:23" x14ac:dyDescent="0.25">
      <c r="A53" s="4">
        <f t="shared" si="27"/>
        <v>9.9999999999999964</v>
      </c>
      <c r="B53">
        <v>0.89879775420999253</v>
      </c>
      <c r="D53" s="6">
        <f t="shared" si="28"/>
        <v>3.8034124297482652E-2</v>
      </c>
      <c r="E53" s="7">
        <v>0.04</v>
      </c>
    </row>
    <row r="54" spans="1:23" x14ac:dyDescent="0.25">
      <c r="A54" s="4">
        <f t="shared" si="27"/>
        <v>10.199999999999996</v>
      </c>
      <c r="B54">
        <v>0.83435158365983975</v>
      </c>
      <c r="D54" s="6">
        <f t="shared" si="28"/>
        <v>6.4446170550152782E-2</v>
      </c>
      <c r="E54" s="7">
        <v>0.08</v>
      </c>
    </row>
    <row r="55" spans="1:23" x14ac:dyDescent="0.25">
      <c r="A55" s="4">
        <f t="shared" si="27"/>
        <v>10.399999999999995</v>
      </c>
      <c r="B55">
        <v>0.77039999999999997</v>
      </c>
      <c r="D55" s="6">
        <f t="shared" si="28"/>
        <v>6.3951583659839772E-2</v>
      </c>
      <c r="E55" s="7">
        <v>0.14000000000000001</v>
      </c>
      <c r="T55" t="e">
        <f ca="1">SUM(T30:T50)</f>
        <v>#NAME?</v>
      </c>
      <c r="W55">
        <f>SUM(W30:W50)</f>
        <v>100</v>
      </c>
    </row>
    <row r="56" spans="1:23" x14ac:dyDescent="0.25">
      <c r="A56" s="4">
        <f t="shared" si="27"/>
        <v>10.599999999999994</v>
      </c>
      <c r="B56">
        <v>0.72157665570748641</v>
      </c>
      <c r="D56" s="6">
        <f t="shared" si="28"/>
        <v>4.882334429251356E-2</v>
      </c>
      <c r="E56" s="7">
        <v>0.2</v>
      </c>
    </row>
    <row r="57" spans="1:23" x14ac:dyDescent="0.25">
      <c r="A57" s="4">
        <f t="shared" si="27"/>
        <v>10.799999999999994</v>
      </c>
      <c r="B57">
        <v>0.64016941117501081</v>
      </c>
      <c r="D57" s="6">
        <f t="shared" si="28"/>
        <v>8.1407244532475609E-2</v>
      </c>
      <c r="E57" s="7">
        <v>0.15</v>
      </c>
    </row>
    <row r="58" spans="1:23" x14ac:dyDescent="0.25">
      <c r="A58" s="4">
        <f t="shared" si="27"/>
        <v>10.999999999999993</v>
      </c>
      <c r="B58">
        <v>0.56136916321342645</v>
      </c>
      <c r="D58" s="6">
        <f t="shared" si="28"/>
        <v>7.8800247961584358E-2</v>
      </c>
      <c r="E58" s="7">
        <v>0.125</v>
      </c>
    </row>
    <row r="59" spans="1:23" x14ac:dyDescent="0.25">
      <c r="A59" s="4">
        <f t="shared" si="27"/>
        <v>11.199999999999992</v>
      </c>
      <c r="B59">
        <v>0.48621682107028608</v>
      </c>
      <c r="D59" s="6">
        <f t="shared" si="28"/>
        <v>7.5152342143140372E-2</v>
      </c>
      <c r="E59" s="7">
        <v>0.1</v>
      </c>
    </row>
    <row r="60" spans="1:23" x14ac:dyDescent="0.25">
      <c r="A60" s="4">
        <f t="shared" si="27"/>
        <v>11.399999999999991</v>
      </c>
      <c r="B60">
        <v>0.41898800667433039</v>
      </c>
      <c r="D60" s="6">
        <f t="shared" si="28"/>
        <v>6.7228814395955683E-2</v>
      </c>
      <c r="E60" s="7">
        <v>0.05</v>
      </c>
    </row>
    <row r="61" spans="1:23" x14ac:dyDescent="0.25">
      <c r="A61" s="4">
        <f t="shared" si="27"/>
        <v>11.599999999999991</v>
      </c>
      <c r="B61">
        <v>0.35855784758688425</v>
      </c>
      <c r="D61" s="6">
        <f t="shared" si="28"/>
        <v>6.0430159087446145E-2</v>
      </c>
      <c r="E61" s="7">
        <v>0.03</v>
      </c>
    </row>
    <row r="62" spans="1:23" x14ac:dyDescent="0.25">
      <c r="A62" s="4">
        <f t="shared" si="27"/>
        <v>11.79999999999999</v>
      </c>
      <c r="B62">
        <v>0.29510793933215701</v>
      </c>
      <c r="D62" s="6">
        <f t="shared" si="28"/>
        <v>6.3449908254727239E-2</v>
      </c>
      <c r="E62" s="7">
        <v>0.02</v>
      </c>
    </row>
    <row r="63" spans="1:23" x14ac:dyDescent="0.25">
      <c r="A63" s="4">
        <f t="shared" si="27"/>
        <v>11.999999999999989</v>
      </c>
      <c r="B63">
        <v>0.2544133111155103</v>
      </c>
      <c r="D63" s="6">
        <f t="shared" si="28"/>
        <v>4.0694628216646711E-2</v>
      </c>
      <c r="E63" s="7">
        <v>0.01</v>
      </c>
    </row>
    <row r="64" spans="1:23" x14ac:dyDescent="0.25">
      <c r="A64" s="4"/>
      <c r="D64" s="8">
        <f>SUM(D49:D63)</f>
        <v>0.73528668888448978</v>
      </c>
      <c r="E64" s="8">
        <f>SUM(E49:E63)</f>
        <v>1</v>
      </c>
    </row>
    <row r="65" spans="1:5" x14ac:dyDescent="0.25">
      <c r="A65" s="4"/>
      <c r="D65" s="6"/>
      <c r="E65" s="7"/>
    </row>
    <row r="66" spans="1:5" x14ac:dyDescent="0.25">
      <c r="A66" s="4"/>
      <c r="D66" s="6"/>
      <c r="E66" s="7"/>
    </row>
    <row r="67" spans="1:5" x14ac:dyDescent="0.25">
      <c r="A67" s="4"/>
      <c r="D67" s="6"/>
      <c r="E67" s="7"/>
    </row>
    <row r="68" spans="1:5" x14ac:dyDescent="0.25">
      <c r="A68" s="4"/>
      <c r="D68" s="6"/>
      <c r="E68" s="7"/>
    </row>
  </sheetData>
  <mergeCells count="12">
    <mergeCell ref="S2:T2"/>
    <mergeCell ref="V2:W2"/>
    <mergeCell ref="A1:E1"/>
    <mergeCell ref="G1:K1"/>
    <mergeCell ref="M1:Q1"/>
    <mergeCell ref="S1:W1"/>
    <mergeCell ref="A2:B2"/>
    <mergeCell ref="D2:E2"/>
    <mergeCell ref="G2:H2"/>
    <mergeCell ref="J2:K2"/>
    <mergeCell ref="M2:N2"/>
    <mergeCell ref="P2:Q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CD5B-4742-4E39-B6D8-7ACBCE4B3112}">
  <sheetPr>
    <pageSetUpPr fitToPage="1"/>
  </sheetPr>
  <dimension ref="A1"/>
  <sheetViews>
    <sheetView topLeftCell="A85" zoomScale="55" zoomScaleNormal="55" workbookViewId="0">
      <selection activeCell="W14" sqref="W14"/>
    </sheetView>
  </sheetViews>
  <sheetFormatPr defaultColWidth="8.85546875" defaultRowHeight="15" x14ac:dyDescent="0.25"/>
  <sheetData/>
  <printOptions horizontalCentered="1" verticalCentered="1"/>
  <pageMargins left="0.2" right="0.2" top="0.2" bottom="0.3" header="0.5" footer="0.2"/>
  <pageSetup scale="45" orientation="portrait" r:id="rId1"/>
  <headerFooter alignWithMargins="0">
    <oddFooter>&amp;L&amp;"Arial,Regular"&amp;10&amp;D&amp;C&amp;"Arial,Regular"&amp;10 14&amp;R&amp;"Arial,Regular"&amp;10© 2018 The Jacobsen Publishing Company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809D-90BC-4A7F-BC36-DBB787A48EB1}">
  <sheetPr>
    <pageSetUpPr fitToPage="1"/>
  </sheetPr>
  <dimension ref="A1"/>
  <sheetViews>
    <sheetView topLeftCell="A13" workbookViewId="0">
      <selection activeCell="W14" sqref="W14"/>
    </sheetView>
  </sheetViews>
  <sheetFormatPr defaultColWidth="8.85546875" defaultRowHeight="15" x14ac:dyDescent="0.25"/>
  <cols>
    <col min="1" max="1" width="1.7109375" customWidth="1"/>
  </cols>
  <sheetData/>
  <printOptions horizontalCentered="1" verticalCentered="1"/>
  <pageMargins left="0.7" right="0.2" top="0.2" bottom="0.35" header="0.5" footer="0.2"/>
  <pageSetup scale="73" orientation="landscape" r:id="rId1"/>
  <headerFooter scaleWithDoc="0" alignWithMargins="0">
    <oddFooter>&amp;L&amp;"Arial,Regular"&amp;10&amp;D&amp;C&amp;"Arial,Regular"&amp;10 15&amp;R&amp;"Arial,Regular"&amp;10© 2018 The Jacobsen Publishing Company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PDF Data</vt:lpstr>
      <vt:lpstr>Forecast Print</vt:lpstr>
      <vt:lpstr>PDF Print</vt:lpstr>
      <vt:lpstr>Oilshare</vt:lpstr>
      <vt:lpstr>Chart1</vt:lpstr>
      <vt:lpstr>Chart2</vt:lpstr>
      <vt:lpstr>Chart3</vt:lpstr>
      <vt:lpstr>Chart4</vt:lpstr>
      <vt:lpstr>Chart5</vt:lpstr>
      <vt:lpstr>Monthly Oil Share Change (2)</vt:lpstr>
      <vt:lpstr>Monthly Oil Share Change</vt:lpstr>
      <vt:lpstr>Chart6</vt:lpstr>
      <vt:lpstr>Chart7</vt:lpstr>
      <vt:lpstr>Chart8</vt:lpstr>
      <vt:lpstr>Chart9</vt:lpstr>
      <vt:lpstr>Chart10</vt:lpstr>
      <vt:lpstr>Chart11</vt:lpstr>
      <vt:lpstr>Chart12</vt:lpstr>
      <vt:lpstr>Chart13</vt:lpstr>
      <vt:lpstr>Chart14</vt:lpstr>
      <vt:lpstr>Chart15</vt:lpstr>
      <vt:lpstr>Chart16</vt:lpstr>
      <vt:lpstr>Chart17</vt:lpstr>
      <vt:lpstr>Chart18</vt:lpstr>
      <vt:lpstr>'PDF Print'!Print_Area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2025-07-17T09:21:18Z</dcterms:created>
  <dcterms:modified xsi:type="dcterms:W3CDTF">2025-07-17T09:22:23Z</dcterms:modified>
</cp:coreProperties>
</file>